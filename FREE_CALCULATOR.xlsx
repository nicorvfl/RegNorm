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380" yWindow="580" windowWidth="19420" windowHeight="11020" tabRatio="570"/>
  </bookViews>
  <sheets>
    <sheet name="Normative data" sheetId="1" r:id="rId1"/>
    <sheet name="SEM" sheetId="18" state="hidden" r:id="rId2"/>
    <sheet name="SD_PERC_SEM" sheetId="19" state="hidden" r:id="rId3"/>
    <sheet name="FONO" sheetId="16" state="hidden" r:id="rId4"/>
    <sheet name="SD_PERC_FONO" sheetId="17" state="hidden" r:id="rId5"/>
    <sheet name="TMTB" sheetId="14" state="hidden" r:id="rId6"/>
    <sheet name="SD_PERC_TMTB" sheetId="15" state="hidden" r:id="rId7"/>
    <sheet name="TMTA" sheetId="12" state="hidden" r:id="rId8"/>
    <sheet name="SD_PERC_TMTA" sheetId="13" state="hidden" r:id="rId9"/>
    <sheet name="DigDir" sheetId="22" state="hidden" r:id="rId10"/>
    <sheet name="DigInv" sheetId="10" state="hidden" r:id="rId11"/>
    <sheet name="SD_PERC_DigDir" sheetId="23" state="hidden" r:id="rId12"/>
    <sheet name="SD_PERC_DigInv" sheetId="11" state="hidden" r:id="rId13"/>
    <sheet name="RAVLT_Rec" sheetId="20" state="hidden" r:id="rId14"/>
    <sheet name="RAVLT_Delayed" sheetId="4" state="hidden" r:id="rId15"/>
    <sheet name="SD_PERC_RAVLTR" sheetId="21" state="hidden" r:id="rId16"/>
    <sheet name="SD_PERC_RAVLTD" sheetId="6" state="hidden" r:id="rId17"/>
    <sheet name="RAVLT_Learning" sheetId="2" state="hidden" r:id="rId18"/>
    <sheet name="SD_PERC_RAVLTL" sheetId="3" state="hidden" r:id="rId19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6" l="1"/>
  <c r="C27" i="18"/>
  <c r="C12" i="15"/>
  <c r="C13" i="15"/>
  <c r="C14" i="15"/>
  <c r="C15" i="15"/>
  <c r="C16" i="15"/>
  <c r="C17" i="15"/>
  <c r="C18" i="15"/>
  <c r="C19" i="15"/>
  <c r="C20" i="15"/>
  <c r="C21" i="15"/>
  <c r="C22" i="15"/>
  <c r="C11" i="15"/>
  <c r="B12" i="15"/>
  <c r="B13" i="15"/>
  <c r="B14" i="15"/>
  <c r="B15" i="15"/>
  <c r="B16" i="15"/>
  <c r="B17" i="15"/>
  <c r="B18" i="15"/>
  <c r="B19" i="15"/>
  <c r="B20" i="15"/>
  <c r="B21" i="15"/>
  <c r="B22" i="15"/>
  <c r="B11" i="15"/>
  <c r="C27" i="14"/>
  <c r="C27" i="12"/>
  <c r="B27" i="11"/>
  <c r="C27" i="10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5" i="23"/>
  <c r="M76" i="23"/>
  <c r="M77" i="23"/>
  <c r="M78" i="23"/>
  <c r="M79" i="23"/>
  <c r="M80" i="23"/>
  <c r="M81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101" i="23"/>
  <c r="M102" i="23"/>
  <c r="M103" i="23"/>
  <c r="M104" i="23"/>
  <c r="M105" i="23"/>
  <c r="M106" i="23"/>
  <c r="M107" i="23"/>
  <c r="M108" i="23"/>
  <c r="M109" i="23"/>
  <c r="M110" i="23"/>
  <c r="M111" i="23"/>
  <c r="M112" i="23"/>
  <c r="M113" i="23"/>
  <c r="M114" i="23"/>
  <c r="M115" i="23"/>
  <c r="M116" i="23"/>
  <c r="M117" i="23"/>
  <c r="M118" i="23"/>
  <c r="M119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M141" i="23"/>
  <c r="M142" i="23"/>
  <c r="M143" i="23"/>
  <c r="M144" i="23"/>
  <c r="M145" i="23"/>
  <c r="M146" i="23"/>
  <c r="M147" i="23"/>
  <c r="M148" i="23"/>
  <c r="M149" i="23"/>
  <c r="M150" i="23"/>
  <c r="M151" i="23"/>
  <c r="M152" i="23"/>
  <c r="M153" i="23"/>
  <c r="M154" i="23"/>
  <c r="M155" i="23"/>
  <c r="M156" i="23"/>
  <c r="M157" i="23"/>
  <c r="M158" i="23"/>
  <c r="M159" i="23"/>
  <c r="M160" i="23"/>
  <c r="M161" i="23"/>
  <c r="M162" i="23"/>
  <c r="M163" i="23"/>
  <c r="M164" i="23"/>
  <c r="M165" i="23"/>
  <c r="M166" i="23"/>
  <c r="M167" i="23"/>
  <c r="M168" i="23"/>
  <c r="M169" i="23"/>
  <c r="M170" i="23"/>
  <c r="M171" i="23"/>
  <c r="M172" i="23"/>
  <c r="M173" i="23"/>
  <c r="M174" i="23"/>
  <c r="M175" i="23"/>
  <c r="M176" i="23"/>
  <c r="M177" i="23"/>
  <c r="M178" i="23"/>
  <c r="M179" i="23"/>
  <c r="M180" i="23"/>
  <c r="M181" i="23"/>
  <c r="M182" i="23"/>
  <c r="M183" i="23"/>
  <c r="M184" i="23"/>
  <c r="M185" i="23"/>
  <c r="M186" i="23"/>
  <c r="M187" i="23"/>
  <c r="M188" i="23"/>
  <c r="M189" i="23"/>
  <c r="M190" i="23"/>
  <c r="M191" i="23"/>
  <c r="M192" i="23"/>
  <c r="M193" i="23"/>
  <c r="M194" i="23"/>
  <c r="M195" i="23"/>
  <c r="M196" i="23"/>
  <c r="M197" i="23"/>
  <c r="M198" i="23"/>
  <c r="M199" i="23"/>
  <c r="M200" i="23"/>
  <c r="M201" i="23"/>
  <c r="M202" i="23"/>
  <c r="M203" i="23"/>
  <c r="M204" i="23"/>
  <c r="M205" i="23"/>
  <c r="M206" i="23"/>
  <c r="M207" i="23"/>
  <c r="M208" i="23"/>
  <c r="M209" i="23"/>
  <c r="M210" i="23"/>
  <c r="M211" i="23"/>
  <c r="M212" i="23"/>
  <c r="M213" i="23"/>
  <c r="M214" i="23"/>
  <c r="M215" i="23"/>
  <c r="M216" i="23"/>
  <c r="M217" i="23"/>
  <c r="M218" i="23"/>
  <c r="M219" i="23"/>
  <c r="M220" i="23"/>
  <c r="M221" i="23"/>
  <c r="M222" i="23"/>
  <c r="M223" i="23"/>
  <c r="M224" i="23"/>
  <c r="M225" i="23"/>
  <c r="M226" i="23"/>
  <c r="M227" i="23"/>
  <c r="M228" i="23"/>
  <c r="M229" i="23"/>
  <c r="M230" i="23"/>
  <c r="M231" i="23"/>
  <c r="M232" i="23"/>
  <c r="M233" i="23"/>
  <c r="M234" i="23"/>
  <c r="M235" i="23"/>
  <c r="M236" i="23"/>
  <c r="M237" i="23"/>
  <c r="M238" i="23"/>
  <c r="M239" i="23"/>
  <c r="M240" i="23"/>
  <c r="M241" i="23"/>
  <c r="M242" i="23"/>
  <c r="M243" i="23"/>
  <c r="M244" i="23"/>
  <c r="M245" i="23"/>
  <c r="M246" i="23"/>
  <c r="M247" i="23"/>
  <c r="M248" i="23"/>
  <c r="M249" i="23"/>
  <c r="M250" i="23"/>
  <c r="M251" i="23"/>
  <c r="M252" i="23"/>
  <c r="M253" i="23"/>
  <c r="M254" i="23"/>
  <c r="M255" i="23"/>
  <c r="M256" i="23"/>
  <c r="M257" i="23"/>
  <c r="M258" i="23"/>
  <c r="M259" i="23"/>
  <c r="M260" i="23"/>
  <c r="M261" i="23"/>
  <c r="M262" i="23"/>
  <c r="M263" i="23"/>
  <c r="M264" i="23"/>
  <c r="M265" i="23"/>
  <c r="M266" i="23"/>
  <c r="M267" i="23"/>
  <c r="M268" i="23"/>
  <c r="M269" i="23"/>
  <c r="M270" i="23"/>
  <c r="M271" i="23"/>
  <c r="M272" i="23"/>
  <c r="M273" i="23"/>
  <c r="M274" i="23"/>
  <c r="M275" i="23"/>
  <c r="M276" i="23"/>
  <c r="M277" i="23"/>
  <c r="M278" i="23"/>
  <c r="M279" i="23"/>
  <c r="M280" i="23"/>
  <c r="M281" i="23"/>
  <c r="M282" i="23"/>
  <c r="M283" i="23"/>
  <c r="M284" i="23"/>
  <c r="M285" i="23"/>
  <c r="M286" i="23"/>
  <c r="M287" i="23"/>
  <c r="M288" i="23"/>
  <c r="M289" i="23"/>
  <c r="M290" i="23"/>
  <c r="M291" i="23"/>
  <c r="M292" i="23"/>
  <c r="M293" i="23"/>
  <c r="M294" i="23"/>
  <c r="M295" i="23"/>
  <c r="M296" i="23"/>
  <c r="M297" i="23"/>
  <c r="M298" i="23"/>
  <c r="M299" i="23"/>
  <c r="M300" i="23"/>
  <c r="M301" i="23"/>
  <c r="M302" i="23"/>
  <c r="M303" i="23"/>
  <c r="M304" i="23"/>
  <c r="M305" i="23"/>
  <c r="M306" i="23"/>
  <c r="M307" i="23"/>
  <c r="M308" i="23"/>
  <c r="M309" i="23"/>
  <c r="M310" i="23"/>
  <c r="M311" i="23"/>
  <c r="M312" i="23"/>
  <c r="M313" i="23"/>
  <c r="M314" i="23"/>
  <c r="M315" i="23"/>
  <c r="M316" i="23"/>
  <c r="M317" i="23"/>
  <c r="M318" i="23"/>
  <c r="M319" i="23"/>
  <c r="M320" i="23"/>
  <c r="M321" i="23"/>
  <c r="M322" i="23"/>
  <c r="M323" i="23"/>
  <c r="M324" i="23"/>
  <c r="M325" i="23"/>
  <c r="M326" i="23"/>
  <c r="M327" i="23"/>
  <c r="M328" i="23"/>
  <c r="M329" i="23"/>
  <c r="M330" i="23"/>
  <c r="M331" i="23"/>
  <c r="M332" i="23"/>
  <c r="M333" i="23"/>
  <c r="M334" i="23"/>
  <c r="M335" i="23"/>
  <c r="M336" i="23"/>
  <c r="M337" i="23"/>
  <c r="M338" i="23"/>
  <c r="M339" i="23"/>
  <c r="M340" i="23"/>
  <c r="M341" i="23"/>
  <c r="M342" i="23"/>
  <c r="M343" i="23"/>
  <c r="M344" i="23"/>
  <c r="M345" i="23"/>
  <c r="M346" i="23"/>
  <c r="M347" i="23"/>
  <c r="M348" i="23"/>
  <c r="M349" i="23"/>
  <c r="M350" i="23"/>
  <c r="M351" i="23"/>
  <c r="M352" i="23"/>
  <c r="M353" i="23"/>
  <c r="M354" i="23"/>
  <c r="M355" i="23"/>
  <c r="M356" i="23"/>
  <c r="M357" i="23"/>
  <c r="M358" i="23"/>
  <c r="M359" i="23"/>
  <c r="M360" i="23"/>
  <c r="M361" i="23"/>
  <c r="M362" i="23"/>
  <c r="M363" i="23"/>
  <c r="M364" i="23"/>
  <c r="M365" i="23"/>
  <c r="M366" i="23"/>
  <c r="M367" i="23"/>
  <c r="M368" i="23"/>
  <c r="M369" i="23"/>
  <c r="M370" i="23"/>
  <c r="M371" i="23"/>
  <c r="M372" i="23"/>
  <c r="M373" i="23"/>
  <c r="M374" i="23"/>
  <c r="M375" i="23"/>
  <c r="M376" i="23"/>
  <c r="M377" i="23"/>
  <c r="M378" i="23"/>
  <c r="M379" i="23"/>
  <c r="M380" i="23"/>
  <c r="M381" i="23"/>
  <c r="M382" i="23"/>
  <c r="M383" i="23"/>
  <c r="M384" i="23"/>
  <c r="M385" i="23"/>
  <c r="M386" i="23"/>
  <c r="M387" i="23"/>
  <c r="M388" i="23"/>
  <c r="M389" i="23"/>
  <c r="M390" i="23"/>
  <c r="M391" i="23"/>
  <c r="M392" i="23"/>
  <c r="M393" i="23"/>
  <c r="M394" i="23"/>
  <c r="M395" i="23"/>
  <c r="M396" i="23"/>
  <c r="M397" i="23"/>
  <c r="M398" i="23"/>
  <c r="M399" i="23"/>
  <c r="M400" i="23"/>
  <c r="M401" i="23"/>
  <c r="M402" i="23"/>
  <c r="M403" i="23"/>
  <c r="M404" i="23"/>
  <c r="M405" i="23"/>
  <c r="M406" i="23"/>
  <c r="M407" i="23"/>
  <c r="M408" i="23"/>
  <c r="M409" i="23"/>
  <c r="M410" i="23"/>
  <c r="M411" i="23"/>
  <c r="M412" i="23"/>
  <c r="M413" i="23"/>
  <c r="M414" i="23"/>
  <c r="M415" i="23"/>
  <c r="M416" i="23"/>
  <c r="M417" i="23"/>
  <c r="M418" i="23"/>
  <c r="M419" i="23"/>
  <c r="M420" i="23"/>
  <c r="M421" i="23"/>
  <c r="M422" i="23"/>
  <c r="M423" i="23"/>
  <c r="M424" i="23"/>
  <c r="M425" i="23"/>
  <c r="M426" i="23"/>
  <c r="M427" i="23"/>
  <c r="M428" i="23"/>
  <c r="M429" i="23"/>
  <c r="M430" i="23"/>
  <c r="M431" i="23"/>
  <c r="M432" i="23"/>
  <c r="M433" i="23"/>
  <c r="M434" i="23"/>
  <c r="M435" i="23"/>
  <c r="M436" i="23"/>
  <c r="M437" i="23"/>
  <c r="M438" i="23"/>
  <c r="M439" i="23"/>
  <c r="M440" i="23"/>
  <c r="M441" i="23"/>
  <c r="M442" i="23"/>
  <c r="M443" i="23"/>
  <c r="M444" i="23"/>
  <c r="M445" i="23"/>
  <c r="M446" i="23"/>
  <c r="M447" i="23"/>
  <c r="M448" i="23"/>
  <c r="M449" i="23"/>
  <c r="M450" i="23"/>
  <c r="M451" i="23"/>
  <c r="M452" i="23"/>
  <c r="M453" i="23"/>
  <c r="M454" i="23"/>
  <c r="M455" i="23"/>
  <c r="M456" i="23"/>
  <c r="M457" i="23"/>
  <c r="M458" i="23"/>
  <c r="M459" i="23"/>
  <c r="M460" i="23"/>
  <c r="M461" i="23"/>
  <c r="M462" i="23"/>
  <c r="M463" i="23"/>
  <c r="M464" i="23"/>
  <c r="M465" i="23"/>
  <c r="M466" i="23"/>
  <c r="M467" i="23"/>
  <c r="M468" i="23"/>
  <c r="M469" i="23"/>
  <c r="M470" i="23"/>
  <c r="M471" i="23"/>
  <c r="M472" i="23"/>
  <c r="M473" i="23"/>
  <c r="M474" i="23"/>
  <c r="M475" i="23"/>
  <c r="M476" i="23"/>
  <c r="M477" i="23"/>
  <c r="M478" i="23"/>
  <c r="M479" i="23"/>
  <c r="M480" i="23"/>
  <c r="M481" i="23"/>
  <c r="M482" i="23"/>
  <c r="M483" i="23"/>
  <c r="M484" i="23"/>
  <c r="M485" i="23"/>
  <c r="M486" i="23"/>
  <c r="M487" i="23"/>
  <c r="M488" i="23"/>
  <c r="M489" i="23"/>
  <c r="M490" i="23"/>
  <c r="M491" i="23"/>
  <c r="M492" i="23"/>
  <c r="M493" i="23"/>
  <c r="M494" i="23"/>
  <c r="M495" i="23"/>
  <c r="M496" i="23"/>
  <c r="M497" i="23"/>
  <c r="M498" i="23"/>
  <c r="M499" i="23"/>
  <c r="M500" i="23"/>
  <c r="M501" i="23"/>
  <c r="M502" i="23"/>
  <c r="M503" i="23"/>
  <c r="M504" i="23"/>
  <c r="M505" i="23"/>
  <c r="M506" i="23"/>
  <c r="M507" i="23"/>
  <c r="M508" i="23"/>
  <c r="M509" i="23"/>
  <c r="M510" i="23"/>
  <c r="M511" i="23"/>
  <c r="M512" i="23"/>
  <c r="M513" i="23"/>
  <c r="M514" i="23"/>
  <c r="M515" i="23"/>
  <c r="M516" i="23"/>
  <c r="M517" i="23"/>
  <c r="M518" i="23"/>
  <c r="M519" i="23"/>
  <c r="M520" i="23"/>
  <c r="M521" i="23"/>
  <c r="M522" i="23"/>
  <c r="M523" i="23"/>
  <c r="M524" i="23"/>
  <c r="M525" i="23"/>
  <c r="M526" i="23"/>
  <c r="M527" i="23"/>
  <c r="M528" i="23"/>
  <c r="M529" i="23"/>
  <c r="M530" i="23"/>
  <c r="M531" i="23"/>
  <c r="M532" i="23"/>
  <c r="M533" i="23"/>
  <c r="M534" i="23"/>
  <c r="M535" i="23"/>
  <c r="M536" i="23"/>
  <c r="M537" i="23"/>
  <c r="M538" i="23"/>
  <c r="M539" i="23"/>
  <c r="M540" i="23"/>
  <c r="M541" i="23"/>
  <c r="M542" i="23"/>
  <c r="M543" i="23"/>
  <c r="M544" i="23"/>
  <c r="M545" i="23"/>
  <c r="M546" i="23"/>
  <c r="M547" i="23"/>
  <c r="M548" i="23"/>
  <c r="M549" i="23"/>
  <c r="M550" i="23"/>
  <c r="M551" i="23"/>
  <c r="M552" i="23"/>
  <c r="M553" i="23"/>
  <c r="M554" i="23"/>
  <c r="M555" i="23"/>
  <c r="M556" i="23"/>
  <c r="M557" i="23"/>
  <c r="M558" i="23"/>
  <c r="M559" i="23"/>
  <c r="M560" i="23"/>
  <c r="M561" i="23"/>
  <c r="M562" i="23"/>
  <c r="M563" i="23"/>
  <c r="M564" i="23"/>
  <c r="M565" i="23"/>
  <c r="M566" i="23"/>
  <c r="M567" i="23"/>
  <c r="M568" i="23"/>
  <c r="M569" i="23"/>
  <c r="M570" i="23"/>
  <c r="M571" i="23"/>
  <c r="M572" i="23"/>
  <c r="M573" i="23"/>
  <c r="M574" i="23"/>
  <c r="M575" i="23"/>
  <c r="M576" i="23"/>
  <c r="M577" i="23"/>
  <c r="M578" i="23"/>
  <c r="M579" i="23"/>
  <c r="M580" i="23"/>
  <c r="M581" i="23"/>
  <c r="M582" i="23"/>
  <c r="M583" i="23"/>
  <c r="M584" i="23"/>
  <c r="M585" i="23"/>
  <c r="M586" i="23"/>
  <c r="M587" i="23"/>
  <c r="M588" i="23"/>
  <c r="M589" i="23"/>
  <c r="M590" i="23"/>
  <c r="M591" i="23"/>
  <c r="M592" i="23"/>
  <c r="M593" i="23"/>
  <c r="M594" i="23"/>
  <c r="M595" i="23"/>
  <c r="M596" i="23"/>
  <c r="M597" i="23"/>
  <c r="M598" i="23"/>
  <c r="M599" i="23"/>
  <c r="M600" i="23"/>
  <c r="M601" i="23"/>
  <c r="M602" i="23"/>
  <c r="M603" i="23"/>
  <c r="M604" i="23"/>
  <c r="M605" i="23"/>
  <c r="M606" i="23"/>
  <c r="M607" i="23"/>
  <c r="M608" i="23"/>
  <c r="M609" i="23"/>
  <c r="M610" i="23"/>
  <c r="M611" i="23"/>
  <c r="M612" i="23"/>
  <c r="M613" i="23"/>
  <c r="M614" i="23"/>
  <c r="M615" i="23"/>
  <c r="M616" i="23"/>
  <c r="M617" i="23"/>
  <c r="M618" i="23"/>
  <c r="M619" i="23"/>
  <c r="M620" i="23"/>
  <c r="M621" i="23"/>
  <c r="M622" i="23"/>
  <c r="M623" i="23"/>
  <c r="M624" i="23"/>
  <c r="M625" i="23"/>
  <c r="M626" i="23"/>
  <c r="M627" i="23"/>
  <c r="M628" i="23"/>
  <c r="M629" i="23"/>
  <c r="M630" i="23"/>
  <c r="M631" i="23"/>
  <c r="M632" i="23"/>
  <c r="M633" i="23"/>
  <c r="M634" i="23"/>
  <c r="M635" i="23"/>
  <c r="M636" i="23"/>
  <c r="M637" i="23"/>
  <c r="M638" i="23"/>
  <c r="M639" i="23"/>
  <c r="M640" i="23"/>
  <c r="M641" i="23"/>
  <c r="M642" i="23"/>
  <c r="M643" i="23"/>
  <c r="M644" i="23"/>
  <c r="M645" i="23"/>
  <c r="M646" i="23"/>
  <c r="M647" i="23"/>
  <c r="M648" i="23"/>
  <c r="M649" i="23"/>
  <c r="M650" i="23"/>
  <c r="M651" i="23"/>
  <c r="M652" i="23"/>
  <c r="M653" i="23"/>
  <c r="M654" i="23"/>
  <c r="M655" i="23"/>
  <c r="M656" i="23"/>
  <c r="M657" i="23"/>
  <c r="M658" i="23"/>
  <c r="M659" i="23"/>
  <c r="M660" i="23"/>
  <c r="M661" i="23"/>
  <c r="M662" i="23"/>
  <c r="M663" i="23"/>
  <c r="M664" i="23"/>
  <c r="M665" i="23"/>
  <c r="M666" i="23"/>
  <c r="M667" i="23"/>
  <c r="M668" i="23"/>
  <c r="P668" i="23" s="1"/>
  <c r="M669" i="23"/>
  <c r="M670" i="23"/>
  <c r="M671" i="23"/>
  <c r="M672" i="23"/>
  <c r="M673" i="23"/>
  <c r="M674" i="23"/>
  <c r="M675" i="23"/>
  <c r="M676" i="23"/>
  <c r="M677" i="23"/>
  <c r="M678" i="23"/>
  <c r="M679" i="23"/>
  <c r="M680" i="23"/>
  <c r="P680" i="23" s="1"/>
  <c r="M681" i="23"/>
  <c r="M682" i="23"/>
  <c r="M683" i="23"/>
  <c r="M684" i="23"/>
  <c r="M685" i="23"/>
  <c r="M686" i="23"/>
  <c r="M687" i="23"/>
  <c r="M688" i="23"/>
  <c r="M689" i="23"/>
  <c r="M690" i="23"/>
  <c r="M691" i="23"/>
  <c r="M692" i="23"/>
  <c r="P692" i="23" s="1"/>
  <c r="M693" i="23"/>
  <c r="M694" i="23"/>
  <c r="M695" i="23"/>
  <c r="M696" i="23"/>
  <c r="M697" i="23"/>
  <c r="M698" i="23"/>
  <c r="M699" i="23"/>
  <c r="M700" i="23"/>
  <c r="M701" i="23"/>
  <c r="M702" i="23"/>
  <c r="M703" i="23"/>
  <c r="M704" i="23"/>
  <c r="P704" i="23" s="1"/>
  <c r="M705" i="23"/>
  <c r="M706" i="23"/>
  <c r="M707" i="23"/>
  <c r="M708" i="23"/>
  <c r="M709" i="23"/>
  <c r="M710" i="23"/>
  <c r="M711" i="23"/>
  <c r="M712" i="23"/>
  <c r="M713" i="23"/>
  <c r="M714" i="23"/>
  <c r="M715" i="23"/>
  <c r="M716" i="23"/>
  <c r="P716" i="23" s="1"/>
  <c r="M717" i="23"/>
  <c r="M718" i="23"/>
  <c r="M719" i="23"/>
  <c r="M720" i="23"/>
  <c r="M721" i="23"/>
  <c r="M722" i="23"/>
  <c r="M723" i="23"/>
  <c r="M724" i="23"/>
  <c r="M725" i="23"/>
  <c r="P725" i="23" s="1"/>
  <c r="M726" i="23"/>
  <c r="M727" i="23"/>
  <c r="M728" i="23"/>
  <c r="P728" i="23" s="1"/>
  <c r="M729" i="23"/>
  <c r="M730" i="23"/>
  <c r="M731" i="23"/>
  <c r="M732" i="23"/>
  <c r="M733" i="23"/>
  <c r="M734" i="23"/>
  <c r="M735" i="23"/>
  <c r="M736" i="23"/>
  <c r="M737" i="23"/>
  <c r="P737" i="23" s="1"/>
  <c r="M738" i="23"/>
  <c r="M739" i="23"/>
  <c r="M740" i="23"/>
  <c r="P740" i="23" s="1"/>
  <c r="M741" i="23"/>
  <c r="M742" i="23"/>
  <c r="M743" i="23"/>
  <c r="M744" i="23"/>
  <c r="M745" i="23"/>
  <c r="M746" i="23"/>
  <c r="M747" i="23"/>
  <c r="M748" i="23"/>
  <c r="M749" i="23"/>
  <c r="P749" i="23" s="1"/>
  <c r="M750" i="23"/>
  <c r="M751" i="23"/>
  <c r="M752" i="23"/>
  <c r="P752" i="23" s="1"/>
  <c r="M753" i="23"/>
  <c r="M754" i="23"/>
  <c r="M755" i="23"/>
  <c r="M756" i="23"/>
  <c r="M757" i="23"/>
  <c r="M758" i="23"/>
  <c r="M759" i="23"/>
  <c r="M760" i="23"/>
  <c r="M761" i="23"/>
  <c r="P761" i="23" s="1"/>
  <c r="M762" i="23"/>
  <c r="M763" i="23"/>
  <c r="M764" i="23"/>
  <c r="P764" i="23" s="1"/>
  <c r="M765" i="23"/>
  <c r="M766" i="23"/>
  <c r="M767" i="23"/>
  <c r="M768" i="23"/>
  <c r="M769" i="23"/>
  <c r="M770" i="23"/>
  <c r="M771" i="23"/>
  <c r="M772" i="23"/>
  <c r="M773" i="23"/>
  <c r="P773" i="23" s="1"/>
  <c r="M774" i="23"/>
  <c r="M775" i="23"/>
  <c r="M776" i="23"/>
  <c r="P776" i="23" s="1"/>
  <c r="M777" i="23"/>
  <c r="M778" i="23"/>
  <c r="M779" i="23"/>
  <c r="M780" i="23"/>
  <c r="M781" i="23"/>
  <c r="M782" i="23"/>
  <c r="M783" i="23"/>
  <c r="M784" i="23"/>
  <c r="M785" i="23"/>
  <c r="P785" i="23" s="1"/>
  <c r="M786" i="23"/>
  <c r="M787" i="23"/>
  <c r="M788" i="23"/>
  <c r="P788" i="23" s="1"/>
  <c r="M789" i="23"/>
  <c r="M790" i="23"/>
  <c r="M791" i="23"/>
  <c r="M792" i="23"/>
  <c r="M793" i="23"/>
  <c r="M794" i="23"/>
  <c r="M795" i="23"/>
  <c r="M796" i="23"/>
  <c r="M797" i="23"/>
  <c r="P797" i="23" s="1"/>
  <c r="M798" i="23"/>
  <c r="M799" i="23"/>
  <c r="M800" i="23"/>
  <c r="P800" i="23" s="1"/>
  <c r="M801" i="23"/>
  <c r="M802" i="23"/>
  <c r="M803" i="23"/>
  <c r="M804" i="23"/>
  <c r="M805" i="23"/>
  <c r="M806" i="23"/>
  <c r="M807" i="23"/>
  <c r="M808" i="23"/>
  <c r="M809" i="23"/>
  <c r="P809" i="23" s="1"/>
  <c r="M810" i="23"/>
  <c r="M811" i="23"/>
  <c r="M812" i="23"/>
  <c r="P812" i="23" s="1"/>
  <c r="M813" i="23"/>
  <c r="M814" i="23"/>
  <c r="M815" i="23"/>
  <c r="M816" i="23"/>
  <c r="M817" i="23"/>
  <c r="M818" i="23"/>
  <c r="P818" i="23" s="1"/>
  <c r="M819" i="23"/>
  <c r="M820" i="23"/>
  <c r="M821" i="23"/>
  <c r="P821" i="23" s="1"/>
  <c r="M822" i="23"/>
  <c r="M823" i="23"/>
  <c r="M824" i="23"/>
  <c r="P824" i="23" s="1"/>
  <c r="M825" i="23"/>
  <c r="M826" i="23"/>
  <c r="M827" i="23"/>
  <c r="M828" i="23"/>
  <c r="M829" i="23"/>
  <c r="M830" i="23"/>
  <c r="P830" i="23" s="1"/>
  <c r="M831" i="23"/>
  <c r="M832" i="23"/>
  <c r="M833" i="23"/>
  <c r="P833" i="23" s="1"/>
  <c r="M834" i="23"/>
  <c r="M835" i="23"/>
  <c r="M836" i="23"/>
  <c r="P836" i="23" s="1"/>
  <c r="M837" i="23"/>
  <c r="M838" i="23"/>
  <c r="M839" i="23"/>
  <c r="M840" i="23"/>
  <c r="M841" i="23"/>
  <c r="M842" i="23"/>
  <c r="P842" i="23" s="1"/>
  <c r="M843" i="23"/>
  <c r="M844" i="23"/>
  <c r="M845" i="23"/>
  <c r="P845" i="23" s="1"/>
  <c r="M846" i="23"/>
  <c r="M847" i="23"/>
  <c r="M848" i="23"/>
  <c r="P848" i="23" s="1"/>
  <c r="M849" i="23"/>
  <c r="M850" i="23"/>
  <c r="M851" i="23"/>
  <c r="M852" i="23"/>
  <c r="M853" i="23"/>
  <c r="M854" i="23"/>
  <c r="P854" i="23" s="1"/>
  <c r="M855" i="23"/>
  <c r="M856" i="23"/>
  <c r="M857" i="23"/>
  <c r="P857" i="23" s="1"/>
  <c r="M858" i="23"/>
  <c r="M859" i="23"/>
  <c r="M860" i="23"/>
  <c r="P860" i="23" s="1"/>
  <c r="M861" i="23"/>
  <c r="M862" i="23"/>
  <c r="M863" i="23"/>
  <c r="M864" i="23"/>
  <c r="M865" i="23"/>
  <c r="M866" i="23"/>
  <c r="P866" i="23" s="1"/>
  <c r="M867" i="23"/>
  <c r="M868" i="23"/>
  <c r="M869" i="23"/>
  <c r="P869" i="23" s="1"/>
  <c r="M870" i="23"/>
  <c r="M871" i="23"/>
  <c r="M872" i="23"/>
  <c r="P872" i="23" s="1"/>
  <c r="M873" i="23"/>
  <c r="M874" i="23"/>
  <c r="M875" i="23"/>
  <c r="M876" i="23"/>
  <c r="M877" i="23"/>
  <c r="M878" i="23"/>
  <c r="P878" i="23" s="1"/>
  <c r="M879" i="23"/>
  <c r="M880" i="23"/>
  <c r="M881" i="23"/>
  <c r="P881" i="23" s="1"/>
  <c r="M882" i="23"/>
  <c r="M883" i="23"/>
  <c r="M884" i="23"/>
  <c r="P884" i="23" s="1"/>
  <c r="M885" i="23"/>
  <c r="M886" i="23"/>
  <c r="M887" i="23"/>
  <c r="M888" i="23"/>
  <c r="M889" i="23"/>
  <c r="M890" i="23"/>
  <c r="P890" i="23" s="1"/>
  <c r="M891" i="23"/>
  <c r="M892" i="23"/>
  <c r="M893" i="23"/>
  <c r="P893" i="23" s="1"/>
  <c r="M894" i="23"/>
  <c r="M895" i="23"/>
  <c r="M896" i="23"/>
  <c r="P896" i="23" s="1"/>
  <c r="M897" i="23"/>
  <c r="M898" i="23"/>
  <c r="M899" i="23"/>
  <c r="M900" i="23"/>
  <c r="M901" i="23"/>
  <c r="M902" i="23"/>
  <c r="P902" i="23" s="1"/>
  <c r="M903" i="23"/>
  <c r="M904" i="23"/>
  <c r="M905" i="23"/>
  <c r="P905" i="23" s="1"/>
  <c r="M906" i="23"/>
  <c r="M907" i="23"/>
  <c r="M908" i="23"/>
  <c r="P908" i="23" s="1"/>
  <c r="M909" i="23"/>
  <c r="M910" i="23"/>
  <c r="M911" i="23"/>
  <c r="M912" i="23"/>
  <c r="M913" i="23"/>
  <c r="M914" i="23"/>
  <c r="P914" i="23" s="1"/>
  <c r="M915" i="23"/>
  <c r="M916" i="23"/>
  <c r="M917" i="23"/>
  <c r="P917" i="23" s="1"/>
  <c r="M918" i="23"/>
  <c r="M919" i="23"/>
  <c r="M920" i="23"/>
  <c r="P920" i="23" s="1"/>
  <c r="M921" i="23"/>
  <c r="M922" i="23"/>
  <c r="M923" i="23"/>
  <c r="M924" i="23"/>
  <c r="M925" i="23"/>
  <c r="M926" i="23"/>
  <c r="P926" i="23" s="1"/>
  <c r="M927" i="23"/>
  <c r="M928" i="23"/>
  <c r="M929" i="23"/>
  <c r="P929" i="23" s="1"/>
  <c r="M930" i="23"/>
  <c r="M931" i="23"/>
  <c r="M932" i="23"/>
  <c r="P932" i="23" s="1"/>
  <c r="M933" i="23"/>
  <c r="M934" i="23"/>
  <c r="M935" i="23"/>
  <c r="M936" i="23"/>
  <c r="M937" i="23"/>
  <c r="M938" i="23"/>
  <c r="P938" i="23" s="1"/>
  <c r="M939" i="23"/>
  <c r="M940" i="23"/>
  <c r="M941" i="23"/>
  <c r="P941" i="23" s="1"/>
  <c r="M942" i="23"/>
  <c r="M943" i="23"/>
  <c r="M944" i="23"/>
  <c r="P944" i="23" s="1"/>
  <c r="M945" i="23"/>
  <c r="M946" i="23"/>
  <c r="M947" i="23"/>
  <c r="M948" i="23"/>
  <c r="M949" i="23"/>
  <c r="M950" i="23"/>
  <c r="P950" i="23" s="1"/>
  <c r="M951" i="23"/>
  <c r="M952" i="23"/>
  <c r="M953" i="23"/>
  <c r="P953" i="23" s="1"/>
  <c r="M954" i="23"/>
  <c r="M955" i="23"/>
  <c r="M956" i="23"/>
  <c r="P956" i="23" s="1"/>
  <c r="M957" i="23"/>
  <c r="M958" i="23"/>
  <c r="M959" i="23"/>
  <c r="M960" i="23"/>
  <c r="M961" i="23"/>
  <c r="P961" i="23" s="1"/>
  <c r="M962" i="23"/>
  <c r="P962" i="23" s="1"/>
  <c r="M963" i="23"/>
  <c r="M964" i="23"/>
  <c r="M965" i="23"/>
  <c r="P965" i="23" s="1"/>
  <c r="M966" i="23"/>
  <c r="M967" i="23"/>
  <c r="M968" i="23"/>
  <c r="P968" i="23" s="1"/>
  <c r="M969" i="23"/>
  <c r="M970" i="23"/>
  <c r="M971" i="23"/>
  <c r="M972" i="23"/>
  <c r="M973" i="23"/>
  <c r="P973" i="23" s="1"/>
  <c r="M974" i="23"/>
  <c r="P974" i="23" s="1"/>
  <c r="M975" i="23"/>
  <c r="M976" i="23"/>
  <c r="M977" i="23"/>
  <c r="P977" i="23" s="1"/>
  <c r="M978" i="23"/>
  <c r="M979" i="23"/>
  <c r="M980" i="23"/>
  <c r="P980" i="23" s="1"/>
  <c r="M981" i="23"/>
  <c r="M982" i="23"/>
  <c r="M983" i="23"/>
  <c r="M984" i="23"/>
  <c r="M985" i="23"/>
  <c r="P985" i="23" s="1"/>
  <c r="M986" i="23"/>
  <c r="P986" i="23" s="1"/>
  <c r="M987" i="23"/>
  <c r="M988" i="23"/>
  <c r="M989" i="23"/>
  <c r="P989" i="23" s="1"/>
  <c r="M990" i="23"/>
  <c r="M991" i="23"/>
  <c r="M992" i="23"/>
  <c r="P992" i="23" s="1"/>
  <c r="M993" i="23"/>
  <c r="M994" i="23"/>
  <c r="M995" i="23"/>
  <c r="M996" i="23"/>
  <c r="M997" i="23"/>
  <c r="P997" i="23" s="1"/>
  <c r="M998" i="23"/>
  <c r="P998" i="23" s="1"/>
  <c r="M999" i="23"/>
  <c r="M1000" i="23"/>
  <c r="M1001" i="23"/>
  <c r="P1001" i="23" s="1"/>
  <c r="M1002" i="23"/>
  <c r="M1003" i="23"/>
  <c r="M1004" i="23"/>
  <c r="P1004" i="23" s="1"/>
  <c r="M1005" i="23"/>
  <c r="P1005" i="23" s="1"/>
  <c r="M1006" i="23"/>
  <c r="M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69" i="23"/>
  <c r="L70" i="23"/>
  <c r="L71" i="23"/>
  <c r="L72" i="23"/>
  <c r="L73" i="23"/>
  <c r="L74" i="23"/>
  <c r="L75" i="23"/>
  <c r="L76" i="23"/>
  <c r="L77" i="23"/>
  <c r="L78" i="23"/>
  <c r="L79" i="23"/>
  <c r="L80" i="23"/>
  <c r="L81" i="23"/>
  <c r="L82" i="23"/>
  <c r="L83" i="23"/>
  <c r="L84" i="23"/>
  <c r="L85" i="23"/>
  <c r="L86" i="23"/>
  <c r="L87" i="23"/>
  <c r="L88" i="23"/>
  <c r="L89" i="23"/>
  <c r="L90" i="23"/>
  <c r="L91" i="23"/>
  <c r="L92" i="23"/>
  <c r="L93" i="23"/>
  <c r="L94" i="23"/>
  <c r="L95" i="23"/>
  <c r="L96" i="23"/>
  <c r="L97" i="23"/>
  <c r="L98" i="23"/>
  <c r="L99" i="23"/>
  <c r="L100" i="23"/>
  <c r="L101" i="23"/>
  <c r="L102" i="23"/>
  <c r="L103" i="23"/>
  <c r="L104" i="23"/>
  <c r="L105" i="23"/>
  <c r="L106" i="23"/>
  <c r="L107" i="23"/>
  <c r="L108" i="23"/>
  <c r="L109" i="23"/>
  <c r="L110" i="23"/>
  <c r="L111" i="23"/>
  <c r="L112" i="23"/>
  <c r="L113" i="23"/>
  <c r="L114" i="23"/>
  <c r="L115" i="23"/>
  <c r="L116" i="23"/>
  <c r="L117" i="23"/>
  <c r="L118" i="23"/>
  <c r="L119" i="23"/>
  <c r="L120" i="23"/>
  <c r="L121" i="23"/>
  <c r="L122" i="23"/>
  <c r="L123" i="23"/>
  <c r="L124" i="23"/>
  <c r="L125" i="23"/>
  <c r="L126" i="23"/>
  <c r="L127" i="23"/>
  <c r="L128" i="23"/>
  <c r="L129" i="23"/>
  <c r="L130" i="23"/>
  <c r="L131" i="23"/>
  <c r="L132" i="23"/>
  <c r="L133" i="23"/>
  <c r="L134" i="23"/>
  <c r="L135" i="23"/>
  <c r="L136" i="23"/>
  <c r="L137" i="23"/>
  <c r="L138" i="23"/>
  <c r="L139" i="23"/>
  <c r="L140" i="23"/>
  <c r="L141" i="23"/>
  <c r="L142" i="23"/>
  <c r="L143" i="23"/>
  <c r="L144" i="23"/>
  <c r="L145" i="23"/>
  <c r="L146" i="23"/>
  <c r="L147" i="23"/>
  <c r="L148" i="23"/>
  <c r="L149" i="23"/>
  <c r="L150" i="23"/>
  <c r="L151" i="23"/>
  <c r="L152" i="23"/>
  <c r="L153" i="23"/>
  <c r="L154" i="23"/>
  <c r="L155" i="23"/>
  <c r="L156" i="23"/>
  <c r="L157" i="23"/>
  <c r="L158" i="23"/>
  <c r="L159" i="23"/>
  <c r="L160" i="23"/>
  <c r="L161" i="23"/>
  <c r="L162" i="23"/>
  <c r="L163" i="23"/>
  <c r="L164" i="23"/>
  <c r="L165" i="23"/>
  <c r="L166" i="23"/>
  <c r="L167" i="23"/>
  <c r="L168" i="23"/>
  <c r="L169" i="23"/>
  <c r="L170" i="23"/>
  <c r="L171" i="23"/>
  <c r="L172" i="23"/>
  <c r="L173" i="23"/>
  <c r="L174" i="23"/>
  <c r="L175" i="23"/>
  <c r="L176" i="23"/>
  <c r="L177" i="23"/>
  <c r="L178" i="23"/>
  <c r="L179" i="23"/>
  <c r="L180" i="23"/>
  <c r="L181" i="23"/>
  <c r="L182" i="23"/>
  <c r="L183" i="23"/>
  <c r="L184" i="23"/>
  <c r="L185" i="23"/>
  <c r="L186" i="23"/>
  <c r="L187" i="23"/>
  <c r="L188" i="23"/>
  <c r="L189" i="23"/>
  <c r="L190" i="23"/>
  <c r="L191" i="23"/>
  <c r="L192" i="23"/>
  <c r="L193" i="23"/>
  <c r="L194" i="23"/>
  <c r="L195" i="23"/>
  <c r="L196" i="23"/>
  <c r="L197" i="23"/>
  <c r="L198" i="23"/>
  <c r="L199" i="23"/>
  <c r="L200" i="23"/>
  <c r="L201" i="23"/>
  <c r="L202" i="23"/>
  <c r="L203" i="23"/>
  <c r="L204" i="23"/>
  <c r="L205" i="23"/>
  <c r="L206" i="23"/>
  <c r="L207" i="23"/>
  <c r="L208" i="23"/>
  <c r="L209" i="23"/>
  <c r="L210" i="23"/>
  <c r="L211" i="23"/>
  <c r="L212" i="23"/>
  <c r="L213" i="23"/>
  <c r="L214" i="23"/>
  <c r="L215" i="23"/>
  <c r="L216" i="23"/>
  <c r="L217" i="23"/>
  <c r="L218" i="23"/>
  <c r="L219" i="23"/>
  <c r="L220" i="23"/>
  <c r="L221" i="23"/>
  <c r="L222" i="23"/>
  <c r="L223" i="23"/>
  <c r="L224" i="23"/>
  <c r="L225" i="23"/>
  <c r="L226" i="23"/>
  <c r="L227" i="23"/>
  <c r="L228" i="23"/>
  <c r="L229" i="23"/>
  <c r="L230" i="23"/>
  <c r="L231" i="23"/>
  <c r="L232" i="23"/>
  <c r="L233" i="23"/>
  <c r="L234" i="23"/>
  <c r="L235" i="23"/>
  <c r="L236" i="23"/>
  <c r="L237" i="23"/>
  <c r="L238" i="23"/>
  <c r="L239" i="23"/>
  <c r="L240" i="23"/>
  <c r="L241" i="23"/>
  <c r="L242" i="23"/>
  <c r="L243" i="23"/>
  <c r="L244" i="23"/>
  <c r="L245" i="23"/>
  <c r="L246" i="23"/>
  <c r="L247" i="23"/>
  <c r="L248" i="23"/>
  <c r="L249" i="23"/>
  <c r="L250" i="23"/>
  <c r="L251" i="23"/>
  <c r="L252" i="23"/>
  <c r="L253" i="23"/>
  <c r="L254" i="23"/>
  <c r="L255" i="23"/>
  <c r="L256" i="23"/>
  <c r="L257" i="23"/>
  <c r="L258" i="23"/>
  <c r="L259" i="23"/>
  <c r="L260" i="23"/>
  <c r="L261" i="23"/>
  <c r="L262" i="23"/>
  <c r="L263" i="23"/>
  <c r="L264" i="23"/>
  <c r="L265" i="23"/>
  <c r="L266" i="23"/>
  <c r="L267" i="23"/>
  <c r="L268" i="23"/>
  <c r="L269" i="23"/>
  <c r="L270" i="23"/>
  <c r="L271" i="23"/>
  <c r="L272" i="23"/>
  <c r="L273" i="23"/>
  <c r="L274" i="23"/>
  <c r="L275" i="23"/>
  <c r="L276" i="23"/>
  <c r="L277" i="23"/>
  <c r="L278" i="23"/>
  <c r="L279" i="23"/>
  <c r="L280" i="23"/>
  <c r="L281" i="23"/>
  <c r="L282" i="23"/>
  <c r="L283" i="23"/>
  <c r="L284" i="23"/>
  <c r="L285" i="23"/>
  <c r="L286" i="23"/>
  <c r="L287" i="23"/>
  <c r="L288" i="23"/>
  <c r="L289" i="23"/>
  <c r="L290" i="23"/>
  <c r="L291" i="23"/>
  <c r="L292" i="23"/>
  <c r="L293" i="23"/>
  <c r="L294" i="23"/>
  <c r="L295" i="23"/>
  <c r="L296" i="23"/>
  <c r="L297" i="23"/>
  <c r="L298" i="23"/>
  <c r="L299" i="23"/>
  <c r="L300" i="23"/>
  <c r="L301" i="23"/>
  <c r="L302" i="23"/>
  <c r="L303" i="23"/>
  <c r="L304" i="23"/>
  <c r="L305" i="23"/>
  <c r="L306" i="23"/>
  <c r="L307" i="23"/>
  <c r="L308" i="23"/>
  <c r="L309" i="23"/>
  <c r="L310" i="23"/>
  <c r="L311" i="23"/>
  <c r="L312" i="23"/>
  <c r="L313" i="23"/>
  <c r="L314" i="23"/>
  <c r="L315" i="23"/>
  <c r="L316" i="23"/>
  <c r="L317" i="23"/>
  <c r="L318" i="23"/>
  <c r="L319" i="23"/>
  <c r="L320" i="23"/>
  <c r="L321" i="23"/>
  <c r="L322" i="23"/>
  <c r="L323" i="23"/>
  <c r="L324" i="23"/>
  <c r="L325" i="23"/>
  <c r="L326" i="23"/>
  <c r="L327" i="23"/>
  <c r="L328" i="23"/>
  <c r="L329" i="23"/>
  <c r="L330" i="23"/>
  <c r="L331" i="23"/>
  <c r="L332" i="23"/>
  <c r="L333" i="23"/>
  <c r="L334" i="23"/>
  <c r="L335" i="23"/>
  <c r="L336" i="23"/>
  <c r="L337" i="23"/>
  <c r="L338" i="23"/>
  <c r="L339" i="23"/>
  <c r="L340" i="23"/>
  <c r="L341" i="23"/>
  <c r="L342" i="23"/>
  <c r="L343" i="23"/>
  <c r="L344" i="23"/>
  <c r="L345" i="23"/>
  <c r="L346" i="23"/>
  <c r="L347" i="23"/>
  <c r="L348" i="23"/>
  <c r="L349" i="23"/>
  <c r="L350" i="23"/>
  <c r="L351" i="23"/>
  <c r="L352" i="23"/>
  <c r="L353" i="23"/>
  <c r="L354" i="23"/>
  <c r="L355" i="23"/>
  <c r="L356" i="23"/>
  <c r="L357" i="23"/>
  <c r="L358" i="23"/>
  <c r="L359" i="23"/>
  <c r="L360" i="23"/>
  <c r="L361" i="23"/>
  <c r="L362" i="23"/>
  <c r="L363" i="23"/>
  <c r="L364" i="23"/>
  <c r="L365" i="23"/>
  <c r="L366" i="23"/>
  <c r="L367" i="23"/>
  <c r="L368" i="23"/>
  <c r="L369" i="23"/>
  <c r="L370" i="23"/>
  <c r="L371" i="23"/>
  <c r="L372" i="23"/>
  <c r="L373" i="23"/>
  <c r="L374" i="23"/>
  <c r="L375" i="23"/>
  <c r="L376" i="23"/>
  <c r="L377" i="23"/>
  <c r="L378" i="23"/>
  <c r="L379" i="23"/>
  <c r="L380" i="23"/>
  <c r="L381" i="23"/>
  <c r="L382" i="23"/>
  <c r="L383" i="23"/>
  <c r="L384" i="23"/>
  <c r="L385" i="23"/>
  <c r="L386" i="23"/>
  <c r="L387" i="23"/>
  <c r="L388" i="23"/>
  <c r="L389" i="23"/>
  <c r="L390" i="23"/>
  <c r="L391" i="23"/>
  <c r="L392" i="23"/>
  <c r="L393" i="23"/>
  <c r="L394" i="23"/>
  <c r="L395" i="23"/>
  <c r="L396" i="23"/>
  <c r="L397" i="23"/>
  <c r="L398" i="23"/>
  <c r="L399" i="23"/>
  <c r="L400" i="23"/>
  <c r="L401" i="23"/>
  <c r="L402" i="23"/>
  <c r="L403" i="23"/>
  <c r="L404" i="23"/>
  <c r="L405" i="23"/>
  <c r="L406" i="23"/>
  <c r="L407" i="23"/>
  <c r="L408" i="23"/>
  <c r="L409" i="23"/>
  <c r="L410" i="23"/>
  <c r="L411" i="23"/>
  <c r="L412" i="23"/>
  <c r="L413" i="23"/>
  <c r="L414" i="23"/>
  <c r="L415" i="23"/>
  <c r="L416" i="23"/>
  <c r="L417" i="23"/>
  <c r="L418" i="23"/>
  <c r="L419" i="23"/>
  <c r="L420" i="23"/>
  <c r="L421" i="23"/>
  <c r="L422" i="23"/>
  <c r="L423" i="23"/>
  <c r="L424" i="23"/>
  <c r="L425" i="23"/>
  <c r="L426" i="23"/>
  <c r="L427" i="23"/>
  <c r="L428" i="23"/>
  <c r="L429" i="23"/>
  <c r="L430" i="23"/>
  <c r="L431" i="23"/>
  <c r="L432" i="23"/>
  <c r="L433" i="23"/>
  <c r="L434" i="23"/>
  <c r="L435" i="23"/>
  <c r="L436" i="23"/>
  <c r="L437" i="23"/>
  <c r="L438" i="23"/>
  <c r="L439" i="23"/>
  <c r="L440" i="23"/>
  <c r="L441" i="23"/>
  <c r="L442" i="23"/>
  <c r="L443" i="23"/>
  <c r="L444" i="23"/>
  <c r="L445" i="23"/>
  <c r="L446" i="23"/>
  <c r="L447" i="23"/>
  <c r="L448" i="23"/>
  <c r="L449" i="23"/>
  <c r="L450" i="23"/>
  <c r="L451" i="23"/>
  <c r="L452" i="23"/>
  <c r="L453" i="23"/>
  <c r="L454" i="23"/>
  <c r="L455" i="23"/>
  <c r="L456" i="23"/>
  <c r="L457" i="23"/>
  <c r="L458" i="23"/>
  <c r="L459" i="23"/>
  <c r="L460" i="23"/>
  <c r="L461" i="23"/>
  <c r="L462" i="23"/>
  <c r="L463" i="23"/>
  <c r="L464" i="23"/>
  <c r="L465" i="23"/>
  <c r="L466" i="23"/>
  <c r="L467" i="23"/>
  <c r="L468" i="23"/>
  <c r="L469" i="23"/>
  <c r="L470" i="23"/>
  <c r="L471" i="23"/>
  <c r="L472" i="23"/>
  <c r="L473" i="23"/>
  <c r="L474" i="23"/>
  <c r="L475" i="23"/>
  <c r="L476" i="23"/>
  <c r="L477" i="23"/>
  <c r="L478" i="23"/>
  <c r="L479" i="23"/>
  <c r="L480" i="23"/>
  <c r="L481" i="23"/>
  <c r="L482" i="23"/>
  <c r="L483" i="23"/>
  <c r="L484" i="23"/>
  <c r="L485" i="23"/>
  <c r="L486" i="23"/>
  <c r="L487" i="23"/>
  <c r="L488" i="23"/>
  <c r="L489" i="23"/>
  <c r="L490" i="23"/>
  <c r="L491" i="23"/>
  <c r="L492" i="23"/>
  <c r="L493" i="23"/>
  <c r="L494" i="23"/>
  <c r="L495" i="23"/>
  <c r="L496" i="23"/>
  <c r="L497" i="23"/>
  <c r="L498" i="23"/>
  <c r="L499" i="23"/>
  <c r="L500" i="23"/>
  <c r="L501" i="23"/>
  <c r="L502" i="23"/>
  <c r="L503" i="23"/>
  <c r="L504" i="23"/>
  <c r="L505" i="23"/>
  <c r="L506" i="23"/>
  <c r="L507" i="23"/>
  <c r="L508" i="23"/>
  <c r="L509" i="23"/>
  <c r="L510" i="23"/>
  <c r="L511" i="23"/>
  <c r="L512" i="23"/>
  <c r="L513" i="23"/>
  <c r="L514" i="23"/>
  <c r="L515" i="23"/>
  <c r="L516" i="23"/>
  <c r="L517" i="23"/>
  <c r="L518" i="23"/>
  <c r="L519" i="23"/>
  <c r="L520" i="23"/>
  <c r="L521" i="23"/>
  <c r="L522" i="23"/>
  <c r="L523" i="23"/>
  <c r="L524" i="23"/>
  <c r="L525" i="23"/>
  <c r="L526" i="23"/>
  <c r="L527" i="23"/>
  <c r="L528" i="23"/>
  <c r="L529" i="23"/>
  <c r="L530" i="23"/>
  <c r="L531" i="23"/>
  <c r="L532" i="23"/>
  <c r="L533" i="23"/>
  <c r="L534" i="23"/>
  <c r="L535" i="23"/>
  <c r="L536" i="23"/>
  <c r="L537" i="23"/>
  <c r="L538" i="23"/>
  <c r="L539" i="23"/>
  <c r="L540" i="23"/>
  <c r="L541" i="23"/>
  <c r="L542" i="23"/>
  <c r="L543" i="23"/>
  <c r="L544" i="23"/>
  <c r="L545" i="23"/>
  <c r="L546" i="23"/>
  <c r="L547" i="23"/>
  <c r="L548" i="23"/>
  <c r="L549" i="23"/>
  <c r="L550" i="23"/>
  <c r="L551" i="23"/>
  <c r="L552" i="23"/>
  <c r="L553" i="23"/>
  <c r="L554" i="23"/>
  <c r="L555" i="23"/>
  <c r="L556" i="23"/>
  <c r="L557" i="23"/>
  <c r="L558" i="23"/>
  <c r="L559" i="23"/>
  <c r="L560" i="23"/>
  <c r="L561" i="23"/>
  <c r="L562" i="23"/>
  <c r="L563" i="23"/>
  <c r="L564" i="23"/>
  <c r="L565" i="23"/>
  <c r="L566" i="23"/>
  <c r="L567" i="23"/>
  <c r="L568" i="23"/>
  <c r="L569" i="23"/>
  <c r="L570" i="23"/>
  <c r="L571" i="23"/>
  <c r="L572" i="23"/>
  <c r="L573" i="23"/>
  <c r="L574" i="23"/>
  <c r="L575" i="23"/>
  <c r="L576" i="23"/>
  <c r="L577" i="23"/>
  <c r="L578" i="23"/>
  <c r="L579" i="23"/>
  <c r="L580" i="23"/>
  <c r="L581" i="23"/>
  <c r="L582" i="23"/>
  <c r="L583" i="23"/>
  <c r="L584" i="23"/>
  <c r="L585" i="23"/>
  <c r="L586" i="23"/>
  <c r="L587" i="23"/>
  <c r="L588" i="23"/>
  <c r="L589" i="23"/>
  <c r="L590" i="23"/>
  <c r="L591" i="23"/>
  <c r="L592" i="23"/>
  <c r="L593" i="23"/>
  <c r="L594" i="23"/>
  <c r="L595" i="23"/>
  <c r="L596" i="23"/>
  <c r="L597" i="23"/>
  <c r="L598" i="23"/>
  <c r="L599" i="23"/>
  <c r="L600" i="23"/>
  <c r="L601" i="23"/>
  <c r="L602" i="23"/>
  <c r="L603" i="23"/>
  <c r="L604" i="23"/>
  <c r="L605" i="23"/>
  <c r="L606" i="23"/>
  <c r="L607" i="23"/>
  <c r="L608" i="23"/>
  <c r="L609" i="23"/>
  <c r="L610" i="23"/>
  <c r="L611" i="23"/>
  <c r="L612" i="23"/>
  <c r="L613" i="23"/>
  <c r="L614" i="23"/>
  <c r="L615" i="23"/>
  <c r="L616" i="23"/>
  <c r="L617" i="23"/>
  <c r="L618" i="23"/>
  <c r="L619" i="23"/>
  <c r="L620" i="23"/>
  <c r="L621" i="23"/>
  <c r="L622" i="23"/>
  <c r="L623" i="23"/>
  <c r="L624" i="23"/>
  <c r="L625" i="23"/>
  <c r="L626" i="23"/>
  <c r="L627" i="23"/>
  <c r="L628" i="23"/>
  <c r="L629" i="23"/>
  <c r="L630" i="23"/>
  <c r="L631" i="23"/>
  <c r="L632" i="23"/>
  <c r="L633" i="23"/>
  <c r="L634" i="23"/>
  <c r="L635" i="23"/>
  <c r="L636" i="23"/>
  <c r="L637" i="23"/>
  <c r="L638" i="23"/>
  <c r="L639" i="23"/>
  <c r="L640" i="23"/>
  <c r="L641" i="23"/>
  <c r="L642" i="23"/>
  <c r="L643" i="23"/>
  <c r="L644" i="23"/>
  <c r="L645" i="23"/>
  <c r="L646" i="23"/>
  <c r="L647" i="23"/>
  <c r="L648" i="23"/>
  <c r="L649" i="23"/>
  <c r="L650" i="23"/>
  <c r="L651" i="23"/>
  <c r="L652" i="23"/>
  <c r="L653" i="23"/>
  <c r="L654" i="23"/>
  <c r="L655" i="23"/>
  <c r="L656" i="23"/>
  <c r="L657" i="23"/>
  <c r="L658" i="23"/>
  <c r="L659" i="23"/>
  <c r="L660" i="23"/>
  <c r="L661" i="23"/>
  <c r="L662" i="23"/>
  <c r="L663" i="23"/>
  <c r="L664" i="23"/>
  <c r="L665" i="23"/>
  <c r="L666" i="23"/>
  <c r="L667" i="23"/>
  <c r="L668" i="23"/>
  <c r="L669" i="23"/>
  <c r="L670" i="23"/>
  <c r="L671" i="23"/>
  <c r="L672" i="23"/>
  <c r="L673" i="23"/>
  <c r="L674" i="23"/>
  <c r="L675" i="23"/>
  <c r="L676" i="23"/>
  <c r="L677" i="23"/>
  <c r="L678" i="23"/>
  <c r="L679" i="23"/>
  <c r="L680" i="23"/>
  <c r="L681" i="23"/>
  <c r="L682" i="23"/>
  <c r="L683" i="23"/>
  <c r="L684" i="23"/>
  <c r="L685" i="23"/>
  <c r="L686" i="23"/>
  <c r="L687" i="23"/>
  <c r="L688" i="23"/>
  <c r="L689" i="23"/>
  <c r="L690" i="23"/>
  <c r="L691" i="23"/>
  <c r="L692" i="23"/>
  <c r="L693" i="23"/>
  <c r="L694" i="23"/>
  <c r="L695" i="23"/>
  <c r="L696" i="23"/>
  <c r="L697" i="23"/>
  <c r="L698" i="23"/>
  <c r="L699" i="23"/>
  <c r="L700" i="23"/>
  <c r="L701" i="23"/>
  <c r="L702" i="23"/>
  <c r="L703" i="23"/>
  <c r="L704" i="23"/>
  <c r="L705" i="23"/>
  <c r="L706" i="23"/>
  <c r="L707" i="23"/>
  <c r="L708" i="23"/>
  <c r="L709" i="23"/>
  <c r="L710" i="23"/>
  <c r="L711" i="23"/>
  <c r="L712" i="23"/>
  <c r="L713" i="23"/>
  <c r="L714" i="23"/>
  <c r="L715" i="23"/>
  <c r="L716" i="23"/>
  <c r="L717" i="23"/>
  <c r="L718" i="23"/>
  <c r="L719" i="23"/>
  <c r="L720" i="23"/>
  <c r="L721" i="23"/>
  <c r="L722" i="23"/>
  <c r="L723" i="23"/>
  <c r="L724" i="23"/>
  <c r="L725" i="23"/>
  <c r="L726" i="23"/>
  <c r="L727" i="23"/>
  <c r="L728" i="23"/>
  <c r="L729" i="23"/>
  <c r="L730" i="23"/>
  <c r="L731" i="23"/>
  <c r="L732" i="23"/>
  <c r="L733" i="23"/>
  <c r="L734" i="23"/>
  <c r="L735" i="23"/>
  <c r="L736" i="23"/>
  <c r="L737" i="23"/>
  <c r="L738" i="23"/>
  <c r="L739" i="23"/>
  <c r="L740" i="23"/>
  <c r="L741" i="23"/>
  <c r="L742" i="23"/>
  <c r="L743" i="23"/>
  <c r="L744" i="23"/>
  <c r="L745" i="23"/>
  <c r="L746" i="23"/>
  <c r="L747" i="23"/>
  <c r="L748" i="23"/>
  <c r="L749" i="23"/>
  <c r="L750" i="23"/>
  <c r="L751" i="23"/>
  <c r="L752" i="23"/>
  <c r="L753" i="23"/>
  <c r="L754" i="23"/>
  <c r="L755" i="23"/>
  <c r="L756" i="23"/>
  <c r="L757" i="23"/>
  <c r="L758" i="23"/>
  <c r="L759" i="23"/>
  <c r="L760" i="23"/>
  <c r="L761" i="23"/>
  <c r="L762" i="23"/>
  <c r="L763" i="23"/>
  <c r="L764" i="23"/>
  <c r="L765" i="23"/>
  <c r="L766" i="23"/>
  <c r="L767" i="23"/>
  <c r="L768" i="23"/>
  <c r="L769" i="23"/>
  <c r="L770" i="23"/>
  <c r="L771" i="23"/>
  <c r="L772" i="23"/>
  <c r="L773" i="23"/>
  <c r="L774" i="23"/>
  <c r="L775" i="23"/>
  <c r="L776" i="23"/>
  <c r="L777" i="23"/>
  <c r="L778" i="23"/>
  <c r="L779" i="23"/>
  <c r="L780" i="23"/>
  <c r="L781" i="23"/>
  <c r="L782" i="23"/>
  <c r="L783" i="23"/>
  <c r="L784" i="23"/>
  <c r="L785" i="23"/>
  <c r="L786" i="23"/>
  <c r="L787" i="23"/>
  <c r="L788" i="23"/>
  <c r="L789" i="23"/>
  <c r="L790" i="23"/>
  <c r="L791" i="23"/>
  <c r="L792" i="23"/>
  <c r="L793" i="23"/>
  <c r="L794" i="23"/>
  <c r="L795" i="23"/>
  <c r="L796" i="23"/>
  <c r="L797" i="23"/>
  <c r="L798" i="23"/>
  <c r="L799" i="23"/>
  <c r="L800" i="23"/>
  <c r="L801" i="23"/>
  <c r="L802" i="23"/>
  <c r="L803" i="23"/>
  <c r="L804" i="23"/>
  <c r="L805" i="23"/>
  <c r="L806" i="23"/>
  <c r="L807" i="23"/>
  <c r="L808" i="23"/>
  <c r="L809" i="23"/>
  <c r="L810" i="23"/>
  <c r="L811" i="23"/>
  <c r="L812" i="23"/>
  <c r="L813" i="23"/>
  <c r="L814" i="23"/>
  <c r="L815" i="23"/>
  <c r="L816" i="23"/>
  <c r="L817" i="23"/>
  <c r="L818" i="23"/>
  <c r="L819" i="23"/>
  <c r="L820" i="23"/>
  <c r="L821" i="23"/>
  <c r="L822" i="23"/>
  <c r="L823" i="23"/>
  <c r="L824" i="23"/>
  <c r="L825" i="23"/>
  <c r="L826" i="23"/>
  <c r="L827" i="23"/>
  <c r="L828" i="23"/>
  <c r="L829" i="23"/>
  <c r="L830" i="23"/>
  <c r="L831" i="23"/>
  <c r="L832" i="23"/>
  <c r="L833" i="23"/>
  <c r="L834" i="23"/>
  <c r="L835" i="23"/>
  <c r="L836" i="23"/>
  <c r="L837" i="23"/>
  <c r="L838" i="23"/>
  <c r="L839" i="23"/>
  <c r="L840" i="23"/>
  <c r="L841" i="23"/>
  <c r="L842" i="23"/>
  <c r="L843" i="23"/>
  <c r="L844" i="23"/>
  <c r="L845" i="23"/>
  <c r="L846" i="23"/>
  <c r="L847" i="23"/>
  <c r="L848" i="23"/>
  <c r="L849" i="23"/>
  <c r="L850" i="23"/>
  <c r="L851" i="23"/>
  <c r="L852" i="23"/>
  <c r="L853" i="23"/>
  <c r="L854" i="23"/>
  <c r="L855" i="23"/>
  <c r="L856" i="23"/>
  <c r="L857" i="23"/>
  <c r="L858" i="23"/>
  <c r="L859" i="23"/>
  <c r="L860" i="23"/>
  <c r="L861" i="23"/>
  <c r="L862" i="23"/>
  <c r="L863" i="23"/>
  <c r="L864" i="23"/>
  <c r="L865" i="23"/>
  <c r="L866" i="23"/>
  <c r="L867" i="23"/>
  <c r="L868" i="23"/>
  <c r="L869" i="23"/>
  <c r="L870" i="23"/>
  <c r="L871" i="23"/>
  <c r="L872" i="23"/>
  <c r="L873" i="23"/>
  <c r="L874" i="23"/>
  <c r="L875" i="23"/>
  <c r="L876" i="23"/>
  <c r="L877" i="23"/>
  <c r="L878" i="23"/>
  <c r="L879" i="23"/>
  <c r="L880" i="23"/>
  <c r="L881" i="23"/>
  <c r="L882" i="23"/>
  <c r="L883" i="23"/>
  <c r="L884" i="23"/>
  <c r="L885" i="23"/>
  <c r="L886" i="23"/>
  <c r="L887" i="23"/>
  <c r="L888" i="23"/>
  <c r="L889" i="23"/>
  <c r="L890" i="23"/>
  <c r="L891" i="23"/>
  <c r="L892" i="23"/>
  <c r="L893" i="23"/>
  <c r="L894" i="23"/>
  <c r="L895" i="23"/>
  <c r="L896" i="23"/>
  <c r="L897" i="23"/>
  <c r="L898" i="23"/>
  <c r="L899" i="23"/>
  <c r="L900" i="23"/>
  <c r="L901" i="23"/>
  <c r="L902" i="23"/>
  <c r="L903" i="23"/>
  <c r="L904" i="23"/>
  <c r="L905" i="23"/>
  <c r="L906" i="23"/>
  <c r="L907" i="23"/>
  <c r="L908" i="23"/>
  <c r="L909" i="23"/>
  <c r="L910" i="23"/>
  <c r="L911" i="23"/>
  <c r="L912" i="23"/>
  <c r="L913" i="23"/>
  <c r="L914" i="23"/>
  <c r="L915" i="23"/>
  <c r="L916" i="23"/>
  <c r="L917" i="23"/>
  <c r="L918" i="23"/>
  <c r="L919" i="23"/>
  <c r="L920" i="23"/>
  <c r="L921" i="23"/>
  <c r="L922" i="23"/>
  <c r="L923" i="23"/>
  <c r="L924" i="23"/>
  <c r="L925" i="23"/>
  <c r="L926" i="23"/>
  <c r="L927" i="23"/>
  <c r="L928" i="23"/>
  <c r="L929" i="23"/>
  <c r="L930" i="23"/>
  <c r="L931" i="23"/>
  <c r="L932" i="23"/>
  <c r="L933" i="23"/>
  <c r="L934" i="23"/>
  <c r="L935" i="23"/>
  <c r="L936" i="23"/>
  <c r="L937" i="23"/>
  <c r="L938" i="23"/>
  <c r="L939" i="23"/>
  <c r="L940" i="23"/>
  <c r="L941" i="23"/>
  <c r="L942" i="23"/>
  <c r="L943" i="23"/>
  <c r="L944" i="23"/>
  <c r="L945" i="23"/>
  <c r="L946" i="23"/>
  <c r="L947" i="23"/>
  <c r="L948" i="23"/>
  <c r="L949" i="23"/>
  <c r="L950" i="23"/>
  <c r="L951" i="23"/>
  <c r="L952" i="23"/>
  <c r="L953" i="23"/>
  <c r="L954" i="23"/>
  <c r="L955" i="23"/>
  <c r="L956" i="23"/>
  <c r="L957" i="23"/>
  <c r="L958" i="23"/>
  <c r="L959" i="23"/>
  <c r="L960" i="23"/>
  <c r="L961" i="23"/>
  <c r="L962" i="23"/>
  <c r="L963" i="23"/>
  <c r="L964" i="23"/>
  <c r="L965" i="23"/>
  <c r="L966" i="23"/>
  <c r="L967" i="23"/>
  <c r="L968" i="23"/>
  <c r="L969" i="23"/>
  <c r="L970" i="23"/>
  <c r="L971" i="23"/>
  <c r="L972" i="23"/>
  <c r="L973" i="23"/>
  <c r="L974" i="23"/>
  <c r="L975" i="23"/>
  <c r="L976" i="23"/>
  <c r="L977" i="23"/>
  <c r="L978" i="23"/>
  <c r="L979" i="23"/>
  <c r="L980" i="23"/>
  <c r="L981" i="23"/>
  <c r="L982" i="23"/>
  <c r="L983" i="23"/>
  <c r="L984" i="23"/>
  <c r="L985" i="23"/>
  <c r="L986" i="23"/>
  <c r="L987" i="23"/>
  <c r="L988" i="23"/>
  <c r="L989" i="23"/>
  <c r="L990" i="23"/>
  <c r="L991" i="23"/>
  <c r="L992" i="23"/>
  <c r="L993" i="23"/>
  <c r="L994" i="23"/>
  <c r="L995" i="23"/>
  <c r="L996" i="23"/>
  <c r="L997" i="23"/>
  <c r="L998" i="23"/>
  <c r="L999" i="23"/>
  <c r="L1000" i="23"/>
  <c r="L1001" i="23"/>
  <c r="L1002" i="23"/>
  <c r="L1003" i="23"/>
  <c r="L1004" i="23"/>
  <c r="L1005" i="23"/>
  <c r="L1006" i="23"/>
  <c r="L9" i="23"/>
  <c r="M6" i="23"/>
  <c r="M7" i="23"/>
  <c r="M5" i="23"/>
  <c r="L6" i="23"/>
  <c r="L7" i="23"/>
  <c r="L5" i="23"/>
  <c r="G3" i="23"/>
  <c r="C12" i="23"/>
  <c r="C13" i="23"/>
  <c r="C14" i="23"/>
  <c r="C15" i="23"/>
  <c r="C16" i="23"/>
  <c r="C17" i="23"/>
  <c r="C18" i="23"/>
  <c r="C19" i="23"/>
  <c r="C20" i="23"/>
  <c r="C21" i="23"/>
  <c r="C22" i="23"/>
  <c r="C11" i="23"/>
  <c r="B12" i="23"/>
  <c r="B13" i="23"/>
  <c r="B14" i="23"/>
  <c r="B15" i="23"/>
  <c r="B16" i="23"/>
  <c r="B17" i="23"/>
  <c r="B18" i="23"/>
  <c r="B19" i="23"/>
  <c r="B20" i="23"/>
  <c r="B21" i="23"/>
  <c r="B22" i="23"/>
  <c r="B11" i="23"/>
  <c r="C27" i="22"/>
  <c r="C33" i="22" s="1"/>
  <c r="P1006" i="23"/>
  <c r="P1003" i="23"/>
  <c r="P1002" i="23"/>
  <c r="P1000" i="23"/>
  <c r="P999" i="23"/>
  <c r="P996" i="23"/>
  <c r="P995" i="23"/>
  <c r="P994" i="23"/>
  <c r="P993" i="23"/>
  <c r="P991" i="23"/>
  <c r="P990" i="23"/>
  <c r="P988" i="23"/>
  <c r="P987" i="23"/>
  <c r="P984" i="23"/>
  <c r="P983" i="23"/>
  <c r="P982" i="23"/>
  <c r="P981" i="23"/>
  <c r="P979" i="23"/>
  <c r="P978" i="23"/>
  <c r="P976" i="23"/>
  <c r="P975" i="23"/>
  <c r="P972" i="23"/>
  <c r="P971" i="23"/>
  <c r="P970" i="23"/>
  <c r="P969" i="23"/>
  <c r="P967" i="23"/>
  <c r="P966" i="23"/>
  <c r="P964" i="23"/>
  <c r="P963" i="23"/>
  <c r="P960" i="23"/>
  <c r="P959" i="23"/>
  <c r="P958" i="23"/>
  <c r="P957" i="23"/>
  <c r="P955" i="23"/>
  <c r="P954" i="23"/>
  <c r="P952" i="23"/>
  <c r="P951" i="23"/>
  <c r="P949" i="23"/>
  <c r="P948" i="23"/>
  <c r="P947" i="23"/>
  <c r="P946" i="23"/>
  <c r="P945" i="23"/>
  <c r="P943" i="23"/>
  <c r="P942" i="23"/>
  <c r="P940" i="23"/>
  <c r="P939" i="23"/>
  <c r="P937" i="23"/>
  <c r="P936" i="23"/>
  <c r="P935" i="23"/>
  <c r="P934" i="23"/>
  <c r="P933" i="23"/>
  <c r="P931" i="23"/>
  <c r="P930" i="23"/>
  <c r="P928" i="23"/>
  <c r="P927" i="23"/>
  <c r="P925" i="23"/>
  <c r="P924" i="23"/>
  <c r="P923" i="23"/>
  <c r="P922" i="23"/>
  <c r="P921" i="23"/>
  <c r="P919" i="23"/>
  <c r="P918" i="23"/>
  <c r="P916" i="23"/>
  <c r="P915" i="23"/>
  <c r="P913" i="23"/>
  <c r="P912" i="23"/>
  <c r="P911" i="23"/>
  <c r="P910" i="23"/>
  <c r="P909" i="23"/>
  <c r="P907" i="23"/>
  <c r="P906" i="23"/>
  <c r="P904" i="23"/>
  <c r="P903" i="23"/>
  <c r="P901" i="23"/>
  <c r="P900" i="23"/>
  <c r="P899" i="23"/>
  <c r="P898" i="23"/>
  <c r="P897" i="23"/>
  <c r="P895" i="23"/>
  <c r="P894" i="23"/>
  <c r="P892" i="23"/>
  <c r="P891" i="23"/>
  <c r="P889" i="23"/>
  <c r="P888" i="23"/>
  <c r="P887" i="23"/>
  <c r="P886" i="23"/>
  <c r="P885" i="23"/>
  <c r="P883" i="23"/>
  <c r="P882" i="23"/>
  <c r="P880" i="23"/>
  <c r="P879" i="23"/>
  <c r="P877" i="23"/>
  <c r="P876" i="23"/>
  <c r="P875" i="23"/>
  <c r="P874" i="23"/>
  <c r="P873" i="23"/>
  <c r="P871" i="23"/>
  <c r="P870" i="23"/>
  <c r="P868" i="23"/>
  <c r="P867" i="23"/>
  <c r="P865" i="23"/>
  <c r="P864" i="23"/>
  <c r="P863" i="23"/>
  <c r="P862" i="23"/>
  <c r="P861" i="23"/>
  <c r="P859" i="23"/>
  <c r="P858" i="23"/>
  <c r="P856" i="23"/>
  <c r="P855" i="23"/>
  <c r="P853" i="23"/>
  <c r="P852" i="23"/>
  <c r="P851" i="23"/>
  <c r="P850" i="23"/>
  <c r="P849" i="23"/>
  <c r="P847" i="23"/>
  <c r="P846" i="23"/>
  <c r="P844" i="23"/>
  <c r="P843" i="23"/>
  <c r="P841" i="23"/>
  <c r="P840" i="23"/>
  <c r="P839" i="23"/>
  <c r="P838" i="23"/>
  <c r="P837" i="23"/>
  <c r="P835" i="23"/>
  <c r="P834" i="23"/>
  <c r="P832" i="23"/>
  <c r="P831" i="23"/>
  <c r="P829" i="23"/>
  <c r="P828" i="23"/>
  <c r="P827" i="23"/>
  <c r="P826" i="23"/>
  <c r="P825" i="23"/>
  <c r="P823" i="23"/>
  <c r="P822" i="23"/>
  <c r="P820" i="23"/>
  <c r="P819" i="23"/>
  <c r="P817" i="23"/>
  <c r="P816" i="23"/>
  <c r="P815" i="23"/>
  <c r="P814" i="23"/>
  <c r="P813" i="23"/>
  <c r="P811" i="23"/>
  <c r="P810" i="23"/>
  <c r="P808" i="23"/>
  <c r="P807" i="23"/>
  <c r="P806" i="23"/>
  <c r="P805" i="23"/>
  <c r="P804" i="23"/>
  <c r="P803" i="23"/>
  <c r="P802" i="23"/>
  <c r="P801" i="23"/>
  <c r="P799" i="23"/>
  <c r="P798" i="23"/>
  <c r="P796" i="23"/>
  <c r="P795" i="23"/>
  <c r="P794" i="23"/>
  <c r="P793" i="23"/>
  <c r="P792" i="23"/>
  <c r="P791" i="23"/>
  <c r="P790" i="23"/>
  <c r="P789" i="23"/>
  <c r="P787" i="23"/>
  <c r="P786" i="23"/>
  <c r="P784" i="23"/>
  <c r="P783" i="23"/>
  <c r="P782" i="23"/>
  <c r="P781" i="23"/>
  <c r="P780" i="23"/>
  <c r="P779" i="23"/>
  <c r="P778" i="23"/>
  <c r="P777" i="23"/>
  <c r="P775" i="23"/>
  <c r="P774" i="23"/>
  <c r="P772" i="23"/>
  <c r="P771" i="23"/>
  <c r="P770" i="23"/>
  <c r="P769" i="23"/>
  <c r="P768" i="23"/>
  <c r="P767" i="23"/>
  <c r="P766" i="23"/>
  <c r="P765" i="23"/>
  <c r="P763" i="23"/>
  <c r="P762" i="23"/>
  <c r="P760" i="23"/>
  <c r="P759" i="23"/>
  <c r="P758" i="23"/>
  <c r="P757" i="23"/>
  <c r="P756" i="23"/>
  <c r="P755" i="23"/>
  <c r="P754" i="23"/>
  <c r="P753" i="23"/>
  <c r="P751" i="23"/>
  <c r="P750" i="23"/>
  <c r="P748" i="23"/>
  <c r="P747" i="23"/>
  <c r="P746" i="23"/>
  <c r="P745" i="23"/>
  <c r="P744" i="23"/>
  <c r="P743" i="23"/>
  <c r="P742" i="23"/>
  <c r="P741" i="23"/>
  <c r="P739" i="23"/>
  <c r="P738" i="23"/>
  <c r="P736" i="23"/>
  <c r="P735" i="23"/>
  <c r="P734" i="23"/>
  <c r="P733" i="23"/>
  <c r="P732" i="23"/>
  <c r="P731" i="23"/>
  <c r="P730" i="23"/>
  <c r="P729" i="23"/>
  <c r="P727" i="23"/>
  <c r="P726" i="23"/>
  <c r="P724" i="23"/>
  <c r="P723" i="23"/>
  <c r="P722" i="23"/>
  <c r="P721" i="23"/>
  <c r="P720" i="23"/>
  <c r="P719" i="23"/>
  <c r="P718" i="23"/>
  <c r="P717" i="23"/>
  <c r="P715" i="23"/>
  <c r="P714" i="23"/>
  <c r="P713" i="23"/>
  <c r="P712" i="23"/>
  <c r="P711" i="23"/>
  <c r="P710" i="23"/>
  <c r="P709" i="23"/>
  <c r="P708" i="23"/>
  <c r="P707" i="23"/>
  <c r="P706" i="23"/>
  <c r="P705" i="23"/>
  <c r="P703" i="23"/>
  <c r="P702" i="23"/>
  <c r="P701" i="23"/>
  <c r="P700" i="23"/>
  <c r="P699" i="23"/>
  <c r="P698" i="23"/>
  <c r="P697" i="23"/>
  <c r="P696" i="23"/>
  <c r="P695" i="23"/>
  <c r="P694" i="23"/>
  <c r="P693" i="23"/>
  <c r="P691" i="23"/>
  <c r="P690" i="23"/>
  <c r="P689" i="23"/>
  <c r="P688" i="23"/>
  <c r="P687" i="23"/>
  <c r="P686" i="23"/>
  <c r="P685" i="23"/>
  <c r="P684" i="23"/>
  <c r="P683" i="23"/>
  <c r="P682" i="23"/>
  <c r="P681" i="23"/>
  <c r="P679" i="23"/>
  <c r="P678" i="23"/>
  <c r="P677" i="23"/>
  <c r="P676" i="23"/>
  <c r="P675" i="23"/>
  <c r="P674" i="23"/>
  <c r="P673" i="23"/>
  <c r="P672" i="23"/>
  <c r="P671" i="23"/>
  <c r="P670" i="23"/>
  <c r="P669" i="23"/>
  <c r="P667" i="23"/>
  <c r="P666" i="23"/>
  <c r="P665" i="23"/>
  <c r="P664" i="23"/>
  <c r="P663" i="23"/>
  <c r="P662" i="23"/>
  <c r="P661" i="23"/>
  <c r="P660" i="23"/>
  <c r="P659" i="23"/>
  <c r="P658" i="23"/>
  <c r="P657" i="23"/>
  <c r="P656" i="23"/>
  <c r="P655" i="23"/>
  <c r="P654" i="23"/>
  <c r="P653" i="23"/>
  <c r="P652" i="23"/>
  <c r="P651" i="23"/>
  <c r="P650" i="23"/>
  <c r="P649" i="23"/>
  <c r="P648" i="23"/>
  <c r="P647" i="23"/>
  <c r="P646" i="23"/>
  <c r="P645" i="23"/>
  <c r="P644" i="23"/>
  <c r="P643" i="23"/>
  <c r="P642" i="23"/>
  <c r="P641" i="23"/>
  <c r="P640" i="23"/>
  <c r="P639" i="23"/>
  <c r="P638" i="23"/>
  <c r="P637" i="23"/>
  <c r="P636" i="23"/>
  <c r="P635" i="23"/>
  <c r="P634" i="23"/>
  <c r="P633" i="23"/>
  <c r="P632" i="23"/>
  <c r="P631" i="23"/>
  <c r="P630" i="23"/>
  <c r="P629" i="23"/>
  <c r="P628" i="23"/>
  <c r="P627" i="23"/>
  <c r="P626" i="23"/>
  <c r="P625" i="23"/>
  <c r="P624" i="23"/>
  <c r="P623" i="23"/>
  <c r="P622" i="23"/>
  <c r="P621" i="23"/>
  <c r="P620" i="23"/>
  <c r="P619" i="23"/>
  <c r="P618" i="23"/>
  <c r="P617" i="23"/>
  <c r="P616" i="23"/>
  <c r="P615" i="23"/>
  <c r="P614" i="23"/>
  <c r="P613" i="23"/>
  <c r="P612" i="23"/>
  <c r="P611" i="23"/>
  <c r="P610" i="23"/>
  <c r="P609" i="23"/>
  <c r="P608" i="23"/>
  <c r="P607" i="23"/>
  <c r="P606" i="23"/>
  <c r="P605" i="23"/>
  <c r="P604" i="23"/>
  <c r="P603" i="23"/>
  <c r="P602" i="23"/>
  <c r="P601" i="23"/>
  <c r="P600" i="23"/>
  <c r="P599" i="23"/>
  <c r="P598" i="23"/>
  <c r="P597" i="23"/>
  <c r="P596" i="23"/>
  <c r="P595" i="23"/>
  <c r="P594" i="23"/>
  <c r="P593" i="23"/>
  <c r="P592" i="23"/>
  <c r="P591" i="23"/>
  <c r="P590" i="23"/>
  <c r="P589" i="23"/>
  <c r="P588" i="23"/>
  <c r="P587" i="23"/>
  <c r="P586" i="23"/>
  <c r="P585" i="23"/>
  <c r="P584" i="23"/>
  <c r="P583" i="23"/>
  <c r="P582" i="23"/>
  <c r="P581" i="23"/>
  <c r="P580" i="23"/>
  <c r="P579" i="23"/>
  <c r="P578" i="23"/>
  <c r="P577" i="23"/>
  <c r="P576" i="23"/>
  <c r="P575" i="23"/>
  <c r="P574" i="23"/>
  <c r="P573" i="23"/>
  <c r="P572" i="23"/>
  <c r="P571" i="23"/>
  <c r="P570" i="23"/>
  <c r="P569" i="23"/>
  <c r="P568" i="23"/>
  <c r="P567" i="23"/>
  <c r="P566" i="23"/>
  <c r="P565" i="23"/>
  <c r="P564" i="23"/>
  <c r="P563" i="23"/>
  <c r="P562" i="23"/>
  <c r="P561" i="23"/>
  <c r="P560" i="23"/>
  <c r="P559" i="23"/>
  <c r="P558" i="23"/>
  <c r="P557" i="23"/>
  <c r="P556" i="23"/>
  <c r="P555" i="23"/>
  <c r="P554" i="23"/>
  <c r="P553" i="23"/>
  <c r="P552" i="23"/>
  <c r="P551" i="23"/>
  <c r="P550" i="23"/>
  <c r="P549" i="23"/>
  <c r="P548" i="23"/>
  <c r="P547" i="23"/>
  <c r="P546" i="23"/>
  <c r="P545" i="23"/>
  <c r="P544" i="23"/>
  <c r="P543" i="23"/>
  <c r="P542" i="23"/>
  <c r="P541" i="23"/>
  <c r="P540" i="23"/>
  <c r="P539" i="23"/>
  <c r="P538" i="23"/>
  <c r="P537" i="23"/>
  <c r="P536" i="23"/>
  <c r="P535" i="23"/>
  <c r="P534" i="23"/>
  <c r="P533" i="23"/>
  <c r="P532" i="23"/>
  <c r="P531" i="23"/>
  <c r="P530" i="23"/>
  <c r="P529" i="23"/>
  <c r="P528" i="23"/>
  <c r="P527" i="23"/>
  <c r="P526" i="23"/>
  <c r="P525" i="23"/>
  <c r="P524" i="23"/>
  <c r="P523" i="23"/>
  <c r="P522" i="23"/>
  <c r="P521" i="23"/>
  <c r="P520" i="23"/>
  <c r="P519" i="23"/>
  <c r="P518" i="23"/>
  <c r="P517" i="23"/>
  <c r="P516" i="23"/>
  <c r="P515" i="23"/>
  <c r="P514" i="23"/>
  <c r="P513" i="23"/>
  <c r="P512" i="23"/>
  <c r="P511" i="23"/>
  <c r="P510" i="23"/>
  <c r="P509" i="23"/>
  <c r="P508" i="23"/>
  <c r="P507" i="23"/>
  <c r="P506" i="23"/>
  <c r="P505" i="23"/>
  <c r="P504" i="23"/>
  <c r="P503" i="23"/>
  <c r="P502" i="23"/>
  <c r="P501" i="23"/>
  <c r="P500" i="23"/>
  <c r="P499" i="23"/>
  <c r="P498" i="23"/>
  <c r="P497" i="23"/>
  <c r="P496" i="23"/>
  <c r="P495" i="23"/>
  <c r="P494" i="23"/>
  <c r="P493" i="23"/>
  <c r="P492" i="23"/>
  <c r="P491" i="23"/>
  <c r="P490" i="23"/>
  <c r="P489" i="23"/>
  <c r="P488" i="23"/>
  <c r="P487" i="23"/>
  <c r="P486" i="23"/>
  <c r="P485" i="23"/>
  <c r="P484" i="23"/>
  <c r="P483" i="23"/>
  <c r="P482" i="23"/>
  <c r="P481" i="23"/>
  <c r="P480" i="23"/>
  <c r="P479" i="23"/>
  <c r="P478" i="23"/>
  <c r="P477" i="23"/>
  <c r="P476" i="23"/>
  <c r="P475" i="23"/>
  <c r="P474" i="23"/>
  <c r="P473" i="23"/>
  <c r="P472" i="23"/>
  <c r="P471" i="23"/>
  <c r="P470" i="23"/>
  <c r="P469" i="23"/>
  <c r="P468" i="23"/>
  <c r="P467" i="23"/>
  <c r="P466" i="23"/>
  <c r="P465" i="23"/>
  <c r="P464" i="23"/>
  <c r="P463" i="23"/>
  <c r="P462" i="23"/>
  <c r="P461" i="23"/>
  <c r="P460" i="23"/>
  <c r="P459" i="23"/>
  <c r="P458" i="23"/>
  <c r="P457" i="23"/>
  <c r="P456" i="23"/>
  <c r="P455" i="23"/>
  <c r="P454" i="23"/>
  <c r="P453" i="23"/>
  <c r="P452" i="23"/>
  <c r="P451" i="23"/>
  <c r="P450" i="23"/>
  <c r="P449" i="23"/>
  <c r="P448" i="23"/>
  <c r="P447" i="23"/>
  <c r="P446" i="23"/>
  <c r="P445" i="23"/>
  <c r="P444" i="23"/>
  <c r="P443" i="23"/>
  <c r="P442" i="23"/>
  <c r="P441" i="23"/>
  <c r="P440" i="23"/>
  <c r="P439" i="23"/>
  <c r="P438" i="23"/>
  <c r="P437" i="23"/>
  <c r="P436" i="23"/>
  <c r="P435" i="23"/>
  <c r="P434" i="23"/>
  <c r="P433" i="23"/>
  <c r="P432" i="23"/>
  <c r="P431" i="23"/>
  <c r="P430" i="23"/>
  <c r="P429" i="23"/>
  <c r="P428" i="23"/>
  <c r="P427" i="23"/>
  <c r="P426" i="23"/>
  <c r="P425" i="23"/>
  <c r="P424" i="23"/>
  <c r="P423" i="23"/>
  <c r="P422" i="23"/>
  <c r="P421" i="23"/>
  <c r="P420" i="23"/>
  <c r="P419" i="23"/>
  <c r="P418" i="23"/>
  <c r="P417" i="23"/>
  <c r="P416" i="23"/>
  <c r="P415" i="23"/>
  <c r="P414" i="23"/>
  <c r="P413" i="23"/>
  <c r="P412" i="23"/>
  <c r="P411" i="23"/>
  <c r="P410" i="23"/>
  <c r="P409" i="23"/>
  <c r="P408" i="23"/>
  <c r="P407" i="23"/>
  <c r="P406" i="23"/>
  <c r="P405" i="23"/>
  <c r="P404" i="23"/>
  <c r="P403" i="23"/>
  <c r="P402" i="23"/>
  <c r="P401" i="23"/>
  <c r="P400" i="23"/>
  <c r="P399" i="23"/>
  <c r="P398" i="23"/>
  <c r="P397" i="23"/>
  <c r="P396" i="23"/>
  <c r="P395" i="23"/>
  <c r="P394" i="23"/>
  <c r="P393" i="23"/>
  <c r="P392" i="23"/>
  <c r="P391" i="23"/>
  <c r="P390" i="23"/>
  <c r="P389" i="23"/>
  <c r="P388" i="23"/>
  <c r="P387" i="23"/>
  <c r="P386" i="23"/>
  <c r="P385" i="23"/>
  <c r="P384" i="23"/>
  <c r="P383" i="23"/>
  <c r="P382" i="23"/>
  <c r="P381" i="23"/>
  <c r="P380" i="23"/>
  <c r="P379" i="23"/>
  <c r="P378" i="23"/>
  <c r="P377" i="23"/>
  <c r="P376" i="23"/>
  <c r="P375" i="23"/>
  <c r="P374" i="23"/>
  <c r="P373" i="23"/>
  <c r="P372" i="23"/>
  <c r="P371" i="23"/>
  <c r="P370" i="23"/>
  <c r="P369" i="23"/>
  <c r="P368" i="23"/>
  <c r="P367" i="23"/>
  <c r="P366" i="23"/>
  <c r="P365" i="23"/>
  <c r="P364" i="23"/>
  <c r="P363" i="23"/>
  <c r="P362" i="23"/>
  <c r="P361" i="23"/>
  <c r="P360" i="23"/>
  <c r="P359" i="23"/>
  <c r="P358" i="23"/>
  <c r="P357" i="23"/>
  <c r="P356" i="23"/>
  <c r="P355" i="23"/>
  <c r="P354" i="23"/>
  <c r="P353" i="23"/>
  <c r="P352" i="23"/>
  <c r="P351" i="23"/>
  <c r="P350" i="23"/>
  <c r="P349" i="23"/>
  <c r="P348" i="23"/>
  <c r="P347" i="23"/>
  <c r="P346" i="23"/>
  <c r="P345" i="23"/>
  <c r="P344" i="23"/>
  <c r="P343" i="23"/>
  <c r="P342" i="23"/>
  <c r="P341" i="23"/>
  <c r="P340" i="23"/>
  <c r="P339" i="23"/>
  <c r="P338" i="23"/>
  <c r="P337" i="23"/>
  <c r="P336" i="23"/>
  <c r="P335" i="23"/>
  <c r="P334" i="23"/>
  <c r="P333" i="23"/>
  <c r="P332" i="23"/>
  <c r="P331" i="23"/>
  <c r="P330" i="23"/>
  <c r="P329" i="23"/>
  <c r="P328" i="23"/>
  <c r="P327" i="23"/>
  <c r="P326" i="23"/>
  <c r="P325" i="23"/>
  <c r="P324" i="23"/>
  <c r="P323" i="23"/>
  <c r="P322" i="23"/>
  <c r="P321" i="23"/>
  <c r="P320" i="23"/>
  <c r="P319" i="23"/>
  <c r="P318" i="23"/>
  <c r="P317" i="23"/>
  <c r="P316" i="23"/>
  <c r="P315" i="23"/>
  <c r="P314" i="23"/>
  <c r="P313" i="23"/>
  <c r="P312" i="23"/>
  <c r="P311" i="23"/>
  <c r="P310" i="23"/>
  <c r="P309" i="23"/>
  <c r="P308" i="23"/>
  <c r="P307" i="23"/>
  <c r="P306" i="23"/>
  <c r="P305" i="23"/>
  <c r="P304" i="23"/>
  <c r="P303" i="23"/>
  <c r="P302" i="23"/>
  <c r="P301" i="23"/>
  <c r="P300" i="23"/>
  <c r="P299" i="23"/>
  <c r="P298" i="23"/>
  <c r="P297" i="23"/>
  <c r="P296" i="23"/>
  <c r="P295" i="23"/>
  <c r="P294" i="23"/>
  <c r="P293" i="23"/>
  <c r="P292" i="23"/>
  <c r="P291" i="23"/>
  <c r="P290" i="23"/>
  <c r="P289" i="23"/>
  <c r="P288" i="23"/>
  <c r="P287" i="23"/>
  <c r="P286" i="23"/>
  <c r="P285" i="23"/>
  <c r="P284" i="23"/>
  <c r="P283" i="23"/>
  <c r="P282" i="23"/>
  <c r="P281" i="23"/>
  <c r="P280" i="23"/>
  <c r="P279" i="23"/>
  <c r="P278" i="23"/>
  <c r="P277" i="23"/>
  <c r="P276" i="23"/>
  <c r="P275" i="23"/>
  <c r="P274" i="23"/>
  <c r="P273" i="23"/>
  <c r="P272" i="23"/>
  <c r="P271" i="23"/>
  <c r="P270" i="23"/>
  <c r="P269" i="23"/>
  <c r="P268" i="23"/>
  <c r="P267" i="23"/>
  <c r="P266" i="23"/>
  <c r="P265" i="23"/>
  <c r="P264" i="23"/>
  <c r="P263" i="23"/>
  <c r="P262" i="23"/>
  <c r="P261" i="23"/>
  <c r="P260" i="23"/>
  <c r="P259" i="23"/>
  <c r="P258" i="23"/>
  <c r="P257" i="23"/>
  <c r="P256" i="23"/>
  <c r="P255" i="23"/>
  <c r="P254" i="23"/>
  <c r="P253" i="23"/>
  <c r="P252" i="23"/>
  <c r="P251" i="23"/>
  <c r="P250" i="23"/>
  <c r="P249" i="23"/>
  <c r="P248" i="23"/>
  <c r="P247" i="23"/>
  <c r="P246" i="23"/>
  <c r="P245" i="23"/>
  <c r="P244" i="23"/>
  <c r="P243" i="23"/>
  <c r="P242" i="23"/>
  <c r="P241" i="23"/>
  <c r="P240" i="23"/>
  <c r="P239" i="23"/>
  <c r="P238" i="23"/>
  <c r="P237" i="23"/>
  <c r="P236" i="23"/>
  <c r="P235" i="23"/>
  <c r="P234" i="23"/>
  <c r="P233" i="23"/>
  <c r="P232" i="23"/>
  <c r="P231" i="23"/>
  <c r="P230" i="23"/>
  <c r="P229" i="23"/>
  <c r="P228" i="23"/>
  <c r="P227" i="23"/>
  <c r="P226" i="23"/>
  <c r="P225" i="23"/>
  <c r="P224" i="23"/>
  <c r="P223" i="23"/>
  <c r="P222" i="23"/>
  <c r="P221" i="23"/>
  <c r="P220" i="23"/>
  <c r="P219" i="23"/>
  <c r="P218" i="23"/>
  <c r="P217" i="23"/>
  <c r="P216" i="23"/>
  <c r="P215" i="23"/>
  <c r="P214" i="23"/>
  <c r="P213" i="23"/>
  <c r="P212" i="23"/>
  <c r="P211" i="23"/>
  <c r="P210" i="23"/>
  <c r="P209" i="23"/>
  <c r="P208" i="23"/>
  <c r="P207" i="23"/>
  <c r="P206" i="23"/>
  <c r="P205" i="23"/>
  <c r="P204" i="23"/>
  <c r="P203" i="23"/>
  <c r="P202" i="23"/>
  <c r="P201" i="23"/>
  <c r="P200" i="23"/>
  <c r="P199" i="23"/>
  <c r="P198" i="23"/>
  <c r="P197" i="23"/>
  <c r="P196" i="23"/>
  <c r="P195" i="23"/>
  <c r="P194" i="23"/>
  <c r="P193" i="23"/>
  <c r="P192" i="23"/>
  <c r="P191" i="23"/>
  <c r="P190" i="23"/>
  <c r="P189" i="23"/>
  <c r="P188" i="23"/>
  <c r="P187" i="23"/>
  <c r="P186" i="23"/>
  <c r="P185" i="23"/>
  <c r="P184" i="23"/>
  <c r="P183" i="23"/>
  <c r="P182" i="23"/>
  <c r="P181" i="23"/>
  <c r="P180" i="23"/>
  <c r="P179" i="23"/>
  <c r="P178" i="23"/>
  <c r="P177" i="23"/>
  <c r="P176" i="23"/>
  <c r="P175" i="23"/>
  <c r="P174" i="23"/>
  <c r="P173" i="23"/>
  <c r="P172" i="23"/>
  <c r="P171" i="23"/>
  <c r="P170" i="23"/>
  <c r="P169" i="23"/>
  <c r="P168" i="23"/>
  <c r="P167" i="23"/>
  <c r="P166" i="23"/>
  <c r="P165" i="23"/>
  <c r="P164" i="23"/>
  <c r="P163" i="23"/>
  <c r="P162" i="23"/>
  <c r="P161" i="23"/>
  <c r="P160" i="23"/>
  <c r="P159" i="23"/>
  <c r="P158" i="23"/>
  <c r="P157" i="23"/>
  <c r="P156" i="23"/>
  <c r="P155" i="23"/>
  <c r="P154" i="23"/>
  <c r="P153" i="23"/>
  <c r="P152" i="23"/>
  <c r="P151" i="23"/>
  <c r="P150" i="23"/>
  <c r="P149" i="23"/>
  <c r="P148" i="23"/>
  <c r="P147" i="23"/>
  <c r="P146" i="23"/>
  <c r="P145" i="23"/>
  <c r="P144" i="23"/>
  <c r="P143" i="23"/>
  <c r="P142" i="23"/>
  <c r="P141" i="23"/>
  <c r="P140" i="23"/>
  <c r="P139" i="23"/>
  <c r="P138" i="23"/>
  <c r="P137" i="23"/>
  <c r="P136" i="23"/>
  <c r="P135" i="23"/>
  <c r="P134" i="23"/>
  <c r="P133" i="23"/>
  <c r="P132" i="23"/>
  <c r="P131" i="23"/>
  <c r="P130" i="23"/>
  <c r="P129" i="23"/>
  <c r="P128" i="23"/>
  <c r="P127" i="23"/>
  <c r="P126" i="23"/>
  <c r="P125" i="23"/>
  <c r="P124" i="23"/>
  <c r="P123" i="23"/>
  <c r="P122" i="23"/>
  <c r="P121" i="23"/>
  <c r="P120" i="23"/>
  <c r="P119" i="23"/>
  <c r="P118" i="23"/>
  <c r="P117" i="23"/>
  <c r="P116" i="23"/>
  <c r="P115" i="23"/>
  <c r="P114" i="23"/>
  <c r="P113" i="23"/>
  <c r="P112" i="23"/>
  <c r="P111" i="23"/>
  <c r="P110" i="23"/>
  <c r="P109" i="23"/>
  <c r="P108" i="23"/>
  <c r="P107" i="23"/>
  <c r="P106" i="23"/>
  <c r="P105" i="23"/>
  <c r="P104" i="23"/>
  <c r="P103" i="23"/>
  <c r="P102" i="23"/>
  <c r="P101" i="23"/>
  <c r="P100" i="23"/>
  <c r="P99" i="23"/>
  <c r="P98" i="23"/>
  <c r="P97" i="23"/>
  <c r="P96" i="23"/>
  <c r="P95" i="23"/>
  <c r="P94" i="23"/>
  <c r="P93" i="23"/>
  <c r="P92" i="23"/>
  <c r="P91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D42" i="23"/>
  <c r="P41" i="23"/>
  <c r="P40" i="23"/>
  <c r="P39" i="23"/>
  <c r="P38" i="23"/>
  <c r="D38" i="23"/>
  <c r="P37" i="23"/>
  <c r="P36" i="23"/>
  <c r="P35" i="23"/>
  <c r="P34" i="23"/>
  <c r="P33" i="23"/>
  <c r="P32" i="23"/>
  <c r="P31" i="23"/>
  <c r="P30" i="23"/>
  <c r="P29" i="23"/>
  <c r="P28" i="23"/>
  <c r="P27" i="23"/>
  <c r="B27" i="23"/>
  <c r="A27" i="23"/>
  <c r="P26" i="23"/>
  <c r="P25" i="23"/>
  <c r="P24" i="23"/>
  <c r="P23" i="23"/>
  <c r="P22" i="23"/>
  <c r="P21" i="23"/>
  <c r="P20" i="23"/>
  <c r="P19" i="23"/>
  <c r="P18" i="23"/>
  <c r="P17" i="23"/>
  <c r="P16" i="23"/>
  <c r="P15" i="23"/>
  <c r="P14" i="23"/>
  <c r="P13" i="23"/>
  <c r="P12" i="23"/>
  <c r="P11" i="23"/>
  <c r="P10" i="23"/>
  <c r="C10" i="23"/>
  <c r="B10" i="23"/>
  <c r="P9" i="23"/>
  <c r="P7" i="23"/>
  <c r="P6" i="23"/>
  <c r="P5" i="23"/>
  <c r="M4" i="23"/>
  <c r="L4" i="23"/>
  <c r="M4" i="6"/>
  <c r="L4" i="6"/>
  <c r="B27" i="6"/>
  <c r="C27" i="4"/>
  <c r="C27" i="2"/>
  <c r="B8" i="23" l="1"/>
  <c r="D14" i="1"/>
  <c r="G20" i="23" a="1"/>
  <c r="G20" i="23" s="1"/>
  <c r="G21" i="23" s="1"/>
  <c r="D39" i="23" s="1"/>
  <c r="G14" i="1"/>
  <c r="M10" i="21"/>
  <c r="M11" i="21"/>
  <c r="P11" i="21" s="1"/>
  <c r="M12" i="21"/>
  <c r="M13" i="21"/>
  <c r="M14" i="21"/>
  <c r="M15" i="21"/>
  <c r="P15" i="21" s="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P31" i="21" s="1"/>
  <c r="M32" i="21"/>
  <c r="M33" i="21"/>
  <c r="M34" i="21"/>
  <c r="M35" i="21"/>
  <c r="M36" i="21"/>
  <c r="M37" i="21"/>
  <c r="P37" i="21" s="1"/>
  <c r="M38" i="21"/>
  <c r="M39" i="21"/>
  <c r="P39" i="21" s="1"/>
  <c r="M40" i="21"/>
  <c r="M41" i="21"/>
  <c r="M42" i="21"/>
  <c r="M43" i="21"/>
  <c r="M44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M59" i="21"/>
  <c r="M60" i="21"/>
  <c r="M61" i="21"/>
  <c r="M62" i="21"/>
  <c r="M63" i="21"/>
  <c r="M64" i="21"/>
  <c r="M65" i="21"/>
  <c r="M66" i="21"/>
  <c r="M67" i="21"/>
  <c r="M68" i="21"/>
  <c r="M69" i="21"/>
  <c r="M70" i="21"/>
  <c r="M71" i="21"/>
  <c r="M72" i="21"/>
  <c r="M73" i="21"/>
  <c r="M74" i="21"/>
  <c r="M75" i="21"/>
  <c r="M76" i="21"/>
  <c r="M77" i="21"/>
  <c r="M78" i="21"/>
  <c r="M79" i="21"/>
  <c r="M80" i="21"/>
  <c r="M81" i="21"/>
  <c r="M82" i="21"/>
  <c r="M83" i="21"/>
  <c r="M84" i="21"/>
  <c r="M85" i="21"/>
  <c r="M86" i="21"/>
  <c r="M87" i="21"/>
  <c r="M88" i="21"/>
  <c r="M89" i="21"/>
  <c r="M90" i="21"/>
  <c r="M91" i="21"/>
  <c r="M92" i="21"/>
  <c r="M93" i="21"/>
  <c r="M94" i="21"/>
  <c r="M95" i="21"/>
  <c r="M96" i="21"/>
  <c r="M97" i="21"/>
  <c r="M98" i="21"/>
  <c r="M99" i="21"/>
  <c r="M100" i="21"/>
  <c r="M101" i="21"/>
  <c r="M102" i="21"/>
  <c r="M103" i="21"/>
  <c r="M104" i="21"/>
  <c r="M105" i="21"/>
  <c r="M106" i="21"/>
  <c r="M107" i="21"/>
  <c r="M108" i="21"/>
  <c r="M109" i="21"/>
  <c r="M110" i="21"/>
  <c r="M111" i="21"/>
  <c r="M112" i="21"/>
  <c r="M113" i="21"/>
  <c r="M114" i="21"/>
  <c r="M115" i="21"/>
  <c r="M116" i="21"/>
  <c r="M117" i="21"/>
  <c r="M118" i="21"/>
  <c r="M119" i="21"/>
  <c r="M120" i="21"/>
  <c r="M121" i="21"/>
  <c r="M122" i="21"/>
  <c r="M123" i="21"/>
  <c r="M124" i="21"/>
  <c r="M125" i="21"/>
  <c r="M126" i="21"/>
  <c r="M127" i="21"/>
  <c r="M128" i="21"/>
  <c r="M129" i="21"/>
  <c r="M130" i="21"/>
  <c r="M131" i="21"/>
  <c r="M132" i="21"/>
  <c r="M133" i="21"/>
  <c r="M134" i="21"/>
  <c r="M135" i="21"/>
  <c r="M136" i="21"/>
  <c r="M137" i="21"/>
  <c r="M138" i="21"/>
  <c r="M139" i="21"/>
  <c r="M140" i="21"/>
  <c r="M141" i="21"/>
  <c r="M142" i="21"/>
  <c r="M143" i="21"/>
  <c r="M144" i="21"/>
  <c r="M145" i="21"/>
  <c r="M146" i="21"/>
  <c r="M147" i="21"/>
  <c r="M148" i="21"/>
  <c r="M149" i="21"/>
  <c r="M150" i="21"/>
  <c r="M151" i="21"/>
  <c r="M152" i="21"/>
  <c r="M153" i="21"/>
  <c r="M154" i="21"/>
  <c r="M155" i="21"/>
  <c r="M156" i="21"/>
  <c r="M157" i="21"/>
  <c r="M158" i="21"/>
  <c r="M159" i="21"/>
  <c r="M160" i="21"/>
  <c r="M161" i="21"/>
  <c r="M162" i="21"/>
  <c r="M163" i="21"/>
  <c r="M164" i="21"/>
  <c r="M165" i="21"/>
  <c r="M166" i="21"/>
  <c r="M167" i="21"/>
  <c r="M168" i="21"/>
  <c r="M169" i="21"/>
  <c r="M170" i="21"/>
  <c r="M171" i="21"/>
  <c r="M172" i="21"/>
  <c r="M173" i="21"/>
  <c r="M174" i="21"/>
  <c r="M175" i="21"/>
  <c r="M176" i="21"/>
  <c r="M177" i="21"/>
  <c r="M178" i="21"/>
  <c r="M179" i="21"/>
  <c r="M180" i="21"/>
  <c r="M181" i="21"/>
  <c r="M182" i="21"/>
  <c r="M183" i="21"/>
  <c r="M184" i="21"/>
  <c r="M185" i="21"/>
  <c r="M186" i="21"/>
  <c r="M187" i="21"/>
  <c r="M188" i="21"/>
  <c r="M189" i="21"/>
  <c r="M190" i="21"/>
  <c r="M191" i="21"/>
  <c r="M192" i="21"/>
  <c r="M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217" i="21"/>
  <c r="M218" i="21"/>
  <c r="M219" i="21"/>
  <c r="M220" i="21"/>
  <c r="M221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M245" i="21"/>
  <c r="M246" i="21"/>
  <c r="M247" i="21"/>
  <c r="M248" i="21"/>
  <c r="M249" i="21"/>
  <c r="M250" i="21"/>
  <c r="M251" i="21"/>
  <c r="M252" i="21"/>
  <c r="M253" i="21"/>
  <c r="M254" i="21"/>
  <c r="M255" i="21"/>
  <c r="M256" i="21"/>
  <c r="M257" i="21"/>
  <c r="M258" i="21"/>
  <c r="M259" i="21"/>
  <c r="M260" i="21"/>
  <c r="M261" i="21"/>
  <c r="M262" i="21"/>
  <c r="M263" i="21"/>
  <c r="M264" i="21"/>
  <c r="M265" i="21"/>
  <c r="M266" i="21"/>
  <c r="M267" i="21"/>
  <c r="M268" i="21"/>
  <c r="M269" i="21"/>
  <c r="M270" i="21"/>
  <c r="M271" i="21"/>
  <c r="M272" i="21"/>
  <c r="M273" i="21"/>
  <c r="M274" i="21"/>
  <c r="M275" i="21"/>
  <c r="M276" i="21"/>
  <c r="M277" i="21"/>
  <c r="M278" i="21"/>
  <c r="M279" i="21"/>
  <c r="M280" i="21"/>
  <c r="M281" i="21"/>
  <c r="M282" i="21"/>
  <c r="M283" i="21"/>
  <c r="M284" i="21"/>
  <c r="M285" i="21"/>
  <c r="M286" i="21"/>
  <c r="M287" i="21"/>
  <c r="M288" i="21"/>
  <c r="M289" i="21"/>
  <c r="M290" i="21"/>
  <c r="M291" i="21"/>
  <c r="M292" i="21"/>
  <c r="M293" i="21"/>
  <c r="M294" i="21"/>
  <c r="M295" i="21"/>
  <c r="P295" i="21" s="1"/>
  <c r="M296" i="21"/>
  <c r="M297" i="21"/>
  <c r="M298" i="21"/>
  <c r="M299" i="21"/>
  <c r="M300" i="21"/>
  <c r="M301" i="21"/>
  <c r="M302" i="21"/>
  <c r="M303" i="21"/>
  <c r="M304" i="21"/>
  <c r="M305" i="21"/>
  <c r="M306" i="21"/>
  <c r="M307" i="21"/>
  <c r="P307" i="21" s="1"/>
  <c r="M308" i="21"/>
  <c r="M309" i="21"/>
  <c r="M310" i="21"/>
  <c r="M311" i="21"/>
  <c r="P311" i="21" s="1"/>
  <c r="M312" i="21"/>
  <c r="M313" i="21"/>
  <c r="M314" i="21"/>
  <c r="M315" i="21"/>
  <c r="M316" i="21"/>
  <c r="M317" i="21"/>
  <c r="M318" i="21"/>
  <c r="M319" i="21"/>
  <c r="M320" i="21"/>
  <c r="M321" i="21"/>
  <c r="M322" i="21"/>
  <c r="M323" i="21"/>
  <c r="P323" i="21" s="1"/>
  <c r="M324" i="21"/>
  <c r="M325" i="21"/>
  <c r="M326" i="21"/>
  <c r="M327" i="21"/>
  <c r="M328" i="21"/>
  <c r="M329" i="21"/>
  <c r="M330" i="21"/>
  <c r="M331" i="21"/>
  <c r="P331" i="21" s="1"/>
  <c r="M332" i="21"/>
  <c r="M333" i="21"/>
  <c r="M334" i="21"/>
  <c r="M335" i="21"/>
  <c r="M336" i="21"/>
  <c r="M337" i="21"/>
  <c r="M338" i="21"/>
  <c r="M339" i="21"/>
  <c r="M340" i="21"/>
  <c r="M341" i="21"/>
  <c r="M342" i="21"/>
  <c r="M343" i="21"/>
  <c r="P343" i="21" s="1"/>
  <c r="M344" i="21"/>
  <c r="M345" i="21"/>
  <c r="M346" i="21"/>
  <c r="M347" i="21"/>
  <c r="M348" i="21"/>
  <c r="M349" i="21"/>
  <c r="M350" i="21"/>
  <c r="M351" i="21"/>
  <c r="M352" i="21"/>
  <c r="M353" i="21"/>
  <c r="M354" i="21"/>
  <c r="M355" i="21"/>
  <c r="M356" i="21"/>
  <c r="M357" i="21"/>
  <c r="M358" i="21"/>
  <c r="M359" i="21"/>
  <c r="M360" i="21"/>
  <c r="M361" i="21"/>
  <c r="M362" i="21"/>
  <c r="M363" i="21"/>
  <c r="M364" i="21"/>
  <c r="M365" i="21"/>
  <c r="M366" i="21"/>
  <c r="P366" i="21" s="1"/>
  <c r="M367" i="21"/>
  <c r="P367" i="21" s="1"/>
  <c r="M368" i="21"/>
  <c r="M369" i="21"/>
  <c r="M370" i="21"/>
  <c r="M371" i="21"/>
  <c r="M372" i="21"/>
  <c r="M373" i="21"/>
  <c r="M374" i="21"/>
  <c r="M375" i="21"/>
  <c r="M376" i="21"/>
  <c r="M377" i="21"/>
  <c r="M378" i="21"/>
  <c r="M379" i="21"/>
  <c r="P379" i="21" s="1"/>
  <c r="M380" i="21"/>
  <c r="M381" i="21"/>
  <c r="M382" i="21"/>
  <c r="M383" i="21"/>
  <c r="M384" i="21"/>
  <c r="M385" i="21"/>
  <c r="M386" i="21"/>
  <c r="M387" i="21"/>
  <c r="M388" i="21"/>
  <c r="M389" i="21"/>
  <c r="M390" i="21"/>
  <c r="M391" i="21"/>
  <c r="M392" i="21"/>
  <c r="M393" i="21"/>
  <c r="M394" i="21"/>
  <c r="M395" i="21"/>
  <c r="M396" i="21"/>
  <c r="M397" i="21"/>
  <c r="P397" i="21" s="1"/>
  <c r="M398" i="21"/>
  <c r="M399" i="21"/>
  <c r="M400" i="21"/>
  <c r="M401" i="21"/>
  <c r="M402" i="21"/>
  <c r="M403" i="21"/>
  <c r="P403" i="21" s="1"/>
  <c r="M404" i="21"/>
  <c r="M405" i="21"/>
  <c r="M406" i="21"/>
  <c r="M407" i="21"/>
  <c r="M408" i="21"/>
  <c r="M409" i="21"/>
  <c r="M410" i="21"/>
  <c r="M411" i="21"/>
  <c r="M412" i="21"/>
  <c r="M413" i="21"/>
  <c r="M414" i="21"/>
  <c r="M415" i="21"/>
  <c r="P415" i="21" s="1"/>
  <c r="M416" i="21"/>
  <c r="M417" i="21"/>
  <c r="M418" i="21"/>
  <c r="M419" i="21"/>
  <c r="M420" i="21"/>
  <c r="M421" i="21"/>
  <c r="M422" i="21"/>
  <c r="M423" i="21"/>
  <c r="M424" i="21"/>
  <c r="M425" i="21"/>
  <c r="M426" i="21"/>
  <c r="M427" i="21"/>
  <c r="M428" i="21"/>
  <c r="M429" i="21"/>
  <c r="M430" i="21"/>
  <c r="M431" i="21"/>
  <c r="M432" i="21"/>
  <c r="M433" i="21"/>
  <c r="P433" i="21" s="1"/>
  <c r="M434" i="21"/>
  <c r="M435" i="21"/>
  <c r="M436" i="21"/>
  <c r="M437" i="21"/>
  <c r="M438" i="21"/>
  <c r="M439" i="21"/>
  <c r="P439" i="21" s="1"/>
  <c r="M440" i="21"/>
  <c r="M441" i="21"/>
  <c r="M442" i="21"/>
  <c r="M443" i="21"/>
  <c r="M444" i="21"/>
  <c r="M445" i="21"/>
  <c r="M446" i="21"/>
  <c r="M447" i="21"/>
  <c r="M448" i="21"/>
  <c r="M449" i="21"/>
  <c r="M450" i="21"/>
  <c r="M451" i="21"/>
  <c r="P451" i="21" s="1"/>
  <c r="M452" i="21"/>
  <c r="M453" i="21"/>
  <c r="M454" i="21"/>
  <c r="M455" i="21"/>
  <c r="M456" i="21"/>
  <c r="M457" i="21"/>
  <c r="M458" i="21"/>
  <c r="M459" i="21"/>
  <c r="M460" i="21"/>
  <c r="M461" i="21"/>
  <c r="M462" i="21"/>
  <c r="P462" i="21" s="1"/>
  <c r="M463" i="21"/>
  <c r="M464" i="21"/>
  <c r="M465" i="21"/>
  <c r="M466" i="21"/>
  <c r="M467" i="21"/>
  <c r="M468" i="21"/>
  <c r="M469" i="21"/>
  <c r="P469" i="21" s="1"/>
  <c r="M470" i="21"/>
  <c r="M471" i="21"/>
  <c r="M472" i="21"/>
  <c r="M473" i="21"/>
  <c r="M474" i="21"/>
  <c r="M475" i="21"/>
  <c r="P475" i="21" s="1"/>
  <c r="M476" i="21"/>
  <c r="M477" i="21"/>
  <c r="M478" i="21"/>
  <c r="M479" i="21"/>
  <c r="P479" i="21" s="1"/>
  <c r="M480" i="21"/>
  <c r="M481" i="21"/>
  <c r="M482" i="21"/>
  <c r="M483" i="21"/>
  <c r="M484" i="21"/>
  <c r="M485" i="21"/>
  <c r="M486" i="21"/>
  <c r="M487" i="21"/>
  <c r="P487" i="21" s="1"/>
  <c r="M488" i="21"/>
  <c r="M489" i="21"/>
  <c r="M490" i="21"/>
  <c r="M491" i="21"/>
  <c r="M492" i="21"/>
  <c r="M493" i="21"/>
  <c r="M494" i="21"/>
  <c r="M495" i="21"/>
  <c r="M496" i="21"/>
  <c r="M497" i="21"/>
  <c r="M498" i="21"/>
  <c r="M499" i="21"/>
  <c r="P499" i="21" s="1"/>
  <c r="M500" i="21"/>
  <c r="P500" i="21" s="1"/>
  <c r="M501" i="21"/>
  <c r="M502" i="21"/>
  <c r="M503" i="21"/>
  <c r="M504" i="21"/>
  <c r="M505" i="21"/>
  <c r="P505" i="21" s="1"/>
  <c r="M506" i="21"/>
  <c r="M507" i="21"/>
  <c r="M508" i="21"/>
  <c r="M509" i="21"/>
  <c r="M510" i="21"/>
  <c r="M511" i="21"/>
  <c r="M512" i="21"/>
  <c r="M513" i="21"/>
  <c r="M514" i="21"/>
  <c r="M515" i="21"/>
  <c r="M516" i="21"/>
  <c r="M517" i="21"/>
  <c r="P517" i="21" s="1"/>
  <c r="M518" i="21"/>
  <c r="M519" i="21"/>
  <c r="P519" i="21" s="1"/>
  <c r="M520" i="21"/>
  <c r="M521" i="21"/>
  <c r="M522" i="21"/>
  <c r="M523" i="21"/>
  <c r="P523" i="21" s="1"/>
  <c r="M524" i="21"/>
  <c r="M525" i="21"/>
  <c r="M526" i="21"/>
  <c r="M527" i="21"/>
  <c r="M528" i="21"/>
  <c r="M529" i="21"/>
  <c r="P529" i="21" s="1"/>
  <c r="M530" i="21"/>
  <c r="M531" i="21"/>
  <c r="P531" i="21" s="1"/>
  <c r="M532" i="21"/>
  <c r="M533" i="21"/>
  <c r="M534" i="21"/>
  <c r="M535" i="21"/>
  <c r="P535" i="21" s="1"/>
  <c r="M536" i="21"/>
  <c r="M537" i="21"/>
  <c r="M538" i="21"/>
  <c r="M539" i="21"/>
  <c r="M540" i="21"/>
  <c r="M541" i="21"/>
  <c r="P541" i="21" s="1"/>
  <c r="M542" i="21"/>
  <c r="M543" i="21"/>
  <c r="P543" i="21" s="1"/>
  <c r="M544" i="21"/>
  <c r="M545" i="21"/>
  <c r="M546" i="21"/>
  <c r="M547" i="21"/>
  <c r="P547" i="21" s="1"/>
  <c r="M548" i="21"/>
  <c r="P548" i="21" s="1"/>
  <c r="M549" i="21"/>
  <c r="M550" i="21"/>
  <c r="M551" i="21"/>
  <c r="M552" i="21"/>
  <c r="P552" i="21" s="1"/>
  <c r="M553" i="21"/>
  <c r="P553" i="21" s="1"/>
  <c r="M554" i="21"/>
  <c r="M555" i="21"/>
  <c r="M556" i="21"/>
  <c r="M557" i="21"/>
  <c r="M558" i="21"/>
  <c r="M559" i="21"/>
  <c r="P559" i="21" s="1"/>
  <c r="M560" i="21"/>
  <c r="M561" i="21"/>
  <c r="M562" i="21"/>
  <c r="M563" i="21"/>
  <c r="P563" i="21" s="1"/>
  <c r="M564" i="21"/>
  <c r="M565" i="21"/>
  <c r="P565" i="21" s="1"/>
  <c r="M566" i="21"/>
  <c r="M567" i="21"/>
  <c r="M568" i="21"/>
  <c r="M569" i="21"/>
  <c r="M570" i="21"/>
  <c r="M571" i="21"/>
  <c r="P571" i="21" s="1"/>
  <c r="M572" i="21"/>
  <c r="P572" i="21" s="1"/>
  <c r="M573" i="21"/>
  <c r="M574" i="21"/>
  <c r="M575" i="21"/>
  <c r="M576" i="21"/>
  <c r="M577" i="21"/>
  <c r="M578" i="21"/>
  <c r="P578" i="21" s="1"/>
  <c r="M579" i="21"/>
  <c r="M580" i="21"/>
  <c r="M581" i="21"/>
  <c r="M582" i="21"/>
  <c r="M583" i="21"/>
  <c r="P583" i="21" s="1"/>
  <c r="M584" i="21"/>
  <c r="P584" i="21" s="1"/>
  <c r="M585" i="21"/>
  <c r="M586" i="21"/>
  <c r="M587" i="21"/>
  <c r="M588" i="21"/>
  <c r="M589" i="21"/>
  <c r="M590" i="21"/>
  <c r="P590" i="21" s="1"/>
  <c r="M591" i="21"/>
  <c r="M592" i="21"/>
  <c r="M593" i="21"/>
  <c r="M594" i="21"/>
  <c r="P594" i="21" s="1"/>
  <c r="M595" i="21"/>
  <c r="M596" i="21"/>
  <c r="P596" i="21" s="1"/>
  <c r="M597" i="21"/>
  <c r="M598" i="21"/>
  <c r="M599" i="21"/>
  <c r="M600" i="21"/>
  <c r="M601" i="21"/>
  <c r="M602" i="21"/>
  <c r="P602" i="21" s="1"/>
  <c r="M603" i="21"/>
  <c r="M604" i="21"/>
  <c r="M605" i="21"/>
  <c r="M606" i="21"/>
  <c r="M607" i="21"/>
  <c r="P607" i="21" s="1"/>
  <c r="M608" i="21"/>
  <c r="P608" i="21" s="1"/>
  <c r="M609" i="21"/>
  <c r="M610" i="21"/>
  <c r="M611" i="21"/>
  <c r="M612" i="21"/>
  <c r="M613" i="21"/>
  <c r="M614" i="21"/>
  <c r="P614" i="21" s="1"/>
  <c r="M615" i="21"/>
  <c r="M616" i="21"/>
  <c r="M617" i="21"/>
  <c r="M618" i="21"/>
  <c r="P618" i="21" s="1"/>
  <c r="M619" i="21"/>
  <c r="M620" i="21"/>
  <c r="P620" i="21" s="1"/>
  <c r="M621" i="21"/>
  <c r="M622" i="21"/>
  <c r="M623" i="21"/>
  <c r="P623" i="21" s="1"/>
  <c r="M624" i="21"/>
  <c r="M625" i="21"/>
  <c r="M626" i="21"/>
  <c r="P626" i="21" s="1"/>
  <c r="M627" i="21"/>
  <c r="M628" i="21"/>
  <c r="M629" i="21"/>
  <c r="M630" i="21"/>
  <c r="M631" i="21"/>
  <c r="M632" i="21"/>
  <c r="P632" i="21" s="1"/>
  <c r="M633" i="21"/>
  <c r="M634" i="21"/>
  <c r="M635" i="21"/>
  <c r="P635" i="21" s="1"/>
  <c r="M636" i="21"/>
  <c r="M637" i="21"/>
  <c r="M638" i="21"/>
  <c r="M639" i="21"/>
  <c r="P639" i="21" s="1"/>
  <c r="M640" i="21"/>
  <c r="M641" i="21"/>
  <c r="M642" i="21"/>
  <c r="P642" i="21" s="1"/>
  <c r="M643" i="21"/>
  <c r="P643" i="21" s="1"/>
  <c r="M644" i="21"/>
  <c r="M645" i="21"/>
  <c r="M646" i="21"/>
  <c r="M647" i="21"/>
  <c r="P647" i="21" s="1"/>
  <c r="M648" i="21"/>
  <c r="P648" i="21" s="1"/>
  <c r="M649" i="21"/>
  <c r="M650" i="21"/>
  <c r="M651" i="21"/>
  <c r="M652" i="21"/>
  <c r="M653" i="21"/>
  <c r="M654" i="21"/>
  <c r="P654" i="21" s="1"/>
  <c r="M655" i="21"/>
  <c r="M656" i="21"/>
  <c r="M657" i="21"/>
  <c r="M658" i="21"/>
  <c r="M659" i="21"/>
  <c r="P659" i="21" s="1"/>
  <c r="M660" i="21"/>
  <c r="M661" i="21"/>
  <c r="P661" i="21" s="1"/>
  <c r="M662" i="21"/>
  <c r="P662" i="21" s="1"/>
  <c r="M663" i="21"/>
  <c r="M664" i="21"/>
  <c r="M665" i="21"/>
  <c r="M666" i="21"/>
  <c r="M667" i="21"/>
  <c r="M668" i="21"/>
  <c r="P668" i="21" s="1"/>
  <c r="M669" i="21"/>
  <c r="M670" i="21"/>
  <c r="M671" i="21"/>
  <c r="P671" i="21" s="1"/>
  <c r="M672" i="21"/>
  <c r="M673" i="21"/>
  <c r="M674" i="21"/>
  <c r="M675" i="21"/>
  <c r="M676" i="21"/>
  <c r="M677" i="21"/>
  <c r="M678" i="21"/>
  <c r="M679" i="21"/>
  <c r="M680" i="21"/>
  <c r="M681" i="21"/>
  <c r="M682" i="21"/>
  <c r="M683" i="21"/>
  <c r="P683" i="21" s="1"/>
  <c r="M684" i="21"/>
  <c r="M685" i="21"/>
  <c r="M686" i="21"/>
  <c r="P686" i="21" s="1"/>
  <c r="M687" i="21"/>
  <c r="M688" i="21"/>
  <c r="M689" i="21"/>
  <c r="M690" i="21"/>
  <c r="P690" i="21" s="1"/>
  <c r="M691" i="21"/>
  <c r="P691" i="21" s="1"/>
  <c r="M692" i="21"/>
  <c r="M693" i="21"/>
  <c r="M694" i="21"/>
  <c r="M695" i="21"/>
  <c r="M696" i="21"/>
  <c r="P696" i="21" s="1"/>
  <c r="M697" i="21"/>
  <c r="P697" i="21" s="1"/>
  <c r="M698" i="21"/>
  <c r="M699" i="21"/>
  <c r="M700" i="21"/>
  <c r="M701" i="21"/>
  <c r="M702" i="21"/>
  <c r="P702" i="21" s="1"/>
  <c r="M703" i="21"/>
  <c r="M704" i="21"/>
  <c r="M705" i="21"/>
  <c r="M706" i="21"/>
  <c r="M707" i="21"/>
  <c r="P707" i="21" s="1"/>
  <c r="M708" i="21"/>
  <c r="M709" i="21"/>
  <c r="M710" i="21"/>
  <c r="M711" i="21"/>
  <c r="M712" i="21"/>
  <c r="M713" i="21"/>
  <c r="M714" i="21"/>
  <c r="P714" i="21" s="1"/>
  <c r="M715" i="21"/>
  <c r="M716" i="21"/>
  <c r="M717" i="21"/>
  <c r="M718" i="21"/>
  <c r="M719" i="21"/>
  <c r="P719" i="21" s="1"/>
  <c r="M720" i="21"/>
  <c r="M721" i="21"/>
  <c r="P721" i="21" s="1"/>
  <c r="M722" i="21"/>
  <c r="P722" i="21" s="1"/>
  <c r="M723" i="21"/>
  <c r="M724" i="21"/>
  <c r="M725" i="21"/>
  <c r="M726" i="21"/>
  <c r="P726" i="21" s="1"/>
  <c r="M727" i="21"/>
  <c r="M728" i="21"/>
  <c r="P728" i="21" s="1"/>
  <c r="M729" i="21"/>
  <c r="M730" i="21"/>
  <c r="M731" i="21"/>
  <c r="P731" i="21" s="1"/>
  <c r="M732" i="21"/>
  <c r="M733" i="21"/>
  <c r="P733" i="21" s="1"/>
  <c r="M734" i="21"/>
  <c r="M735" i="21"/>
  <c r="M736" i="21"/>
  <c r="P736" i="21" s="1"/>
  <c r="M737" i="21"/>
  <c r="M738" i="21"/>
  <c r="M739" i="21"/>
  <c r="M740" i="21"/>
  <c r="P740" i="21" s="1"/>
  <c r="M741" i="21"/>
  <c r="M742" i="21"/>
  <c r="M743" i="21"/>
  <c r="P743" i="21" s="1"/>
  <c r="M744" i="21"/>
  <c r="M745" i="21"/>
  <c r="M746" i="21"/>
  <c r="M747" i="21"/>
  <c r="P747" i="21" s="1"/>
  <c r="M748" i="21"/>
  <c r="P748" i="21" s="1"/>
  <c r="M749" i="21"/>
  <c r="M750" i="21"/>
  <c r="P750" i="21" s="1"/>
  <c r="M751" i="21"/>
  <c r="M752" i="21"/>
  <c r="M753" i="21"/>
  <c r="M754" i="21"/>
  <c r="P754" i="21" s="1"/>
  <c r="M755" i="21"/>
  <c r="M756" i="21"/>
  <c r="P756" i="21" s="1"/>
  <c r="M757" i="21"/>
  <c r="M758" i="21"/>
  <c r="M759" i="21"/>
  <c r="M760" i="21"/>
  <c r="M761" i="21"/>
  <c r="M762" i="21"/>
  <c r="M763" i="21"/>
  <c r="M764" i="21"/>
  <c r="M765" i="21"/>
  <c r="M766" i="21"/>
  <c r="M767" i="21"/>
  <c r="P767" i="21" s="1"/>
  <c r="M768" i="21"/>
  <c r="M769" i="21"/>
  <c r="P769" i="21" s="1"/>
  <c r="M770" i="21"/>
  <c r="M771" i="21"/>
  <c r="M772" i="21"/>
  <c r="M773" i="21"/>
  <c r="M774" i="21"/>
  <c r="P774" i="21" s="1"/>
  <c r="M775" i="21"/>
  <c r="M776" i="21"/>
  <c r="P776" i="21" s="1"/>
  <c r="M777" i="21"/>
  <c r="M778" i="21"/>
  <c r="M779" i="21"/>
  <c r="P779" i="21" s="1"/>
  <c r="M780" i="21"/>
  <c r="M781" i="21"/>
  <c r="P781" i="21" s="1"/>
  <c r="M782" i="21"/>
  <c r="M783" i="21"/>
  <c r="M784" i="21"/>
  <c r="P784" i="21" s="1"/>
  <c r="M785" i="21"/>
  <c r="M786" i="21"/>
  <c r="P786" i="21" s="1"/>
  <c r="M787" i="21"/>
  <c r="M788" i="21"/>
  <c r="P788" i="21" s="1"/>
  <c r="M789" i="21"/>
  <c r="M790" i="21"/>
  <c r="M791" i="21"/>
  <c r="P791" i="21" s="1"/>
  <c r="M792" i="21"/>
  <c r="M793" i="21"/>
  <c r="M794" i="21"/>
  <c r="M795" i="21"/>
  <c r="P795" i="21" s="1"/>
  <c r="M796" i="21"/>
  <c r="P796" i="21" s="1"/>
  <c r="M797" i="21"/>
  <c r="M798" i="21"/>
  <c r="P798" i="21" s="1"/>
  <c r="M799" i="21"/>
  <c r="M800" i="21"/>
  <c r="M801" i="21"/>
  <c r="M802" i="21"/>
  <c r="M803" i="21"/>
  <c r="P803" i="21" s="1"/>
  <c r="M804" i="21"/>
  <c r="P804" i="21" s="1"/>
  <c r="M805" i="21"/>
  <c r="P805" i="21" s="1"/>
  <c r="M806" i="21"/>
  <c r="M807" i="21"/>
  <c r="M808" i="21"/>
  <c r="M809" i="21"/>
  <c r="M810" i="21"/>
  <c r="M811" i="21"/>
  <c r="M812" i="21"/>
  <c r="P812" i="21" s="1"/>
  <c r="M813" i="21"/>
  <c r="M814" i="21"/>
  <c r="M815" i="21"/>
  <c r="P815" i="21" s="1"/>
  <c r="M816" i="21"/>
  <c r="P816" i="21" s="1"/>
  <c r="M817" i="21"/>
  <c r="P817" i="21" s="1"/>
  <c r="M818" i="21"/>
  <c r="M819" i="21"/>
  <c r="M820" i="21"/>
  <c r="P820" i="21" s="1"/>
  <c r="M821" i="21"/>
  <c r="M822" i="21"/>
  <c r="P822" i="21" s="1"/>
  <c r="M823" i="21"/>
  <c r="M824" i="21"/>
  <c r="P824" i="21" s="1"/>
  <c r="M825" i="21"/>
  <c r="M826" i="21"/>
  <c r="M827" i="21"/>
  <c r="M828" i="21"/>
  <c r="M829" i="21"/>
  <c r="P829" i="21" s="1"/>
  <c r="M830" i="21"/>
  <c r="M831" i="21"/>
  <c r="P831" i="21" s="1"/>
  <c r="M832" i="21"/>
  <c r="M833" i="21"/>
  <c r="M834" i="21"/>
  <c r="P834" i="21" s="1"/>
  <c r="M835" i="21"/>
  <c r="M836" i="21"/>
  <c r="M837" i="21"/>
  <c r="M838" i="21"/>
  <c r="P838" i="21" s="1"/>
  <c r="M839" i="21"/>
  <c r="P839" i="21" s="1"/>
  <c r="M840" i="21"/>
  <c r="P840" i="21" s="1"/>
  <c r="M841" i="21"/>
  <c r="M842" i="21"/>
  <c r="M843" i="21"/>
  <c r="P843" i="21" s="1"/>
  <c r="M844" i="21"/>
  <c r="M845" i="21"/>
  <c r="M846" i="21"/>
  <c r="M847" i="21"/>
  <c r="P847" i="21" s="1"/>
  <c r="M848" i="21"/>
  <c r="M849" i="21"/>
  <c r="M850" i="21"/>
  <c r="M851" i="21"/>
  <c r="P851" i="21" s="1"/>
  <c r="M852" i="21"/>
  <c r="M853" i="21"/>
  <c r="M854" i="21"/>
  <c r="P854" i="21" s="1"/>
  <c r="M855" i="21"/>
  <c r="M856" i="21"/>
  <c r="M857" i="21"/>
  <c r="M858" i="21"/>
  <c r="P858" i="21" s="1"/>
  <c r="M859" i="21"/>
  <c r="M860" i="21"/>
  <c r="M861" i="21"/>
  <c r="M862" i="21"/>
  <c r="M863" i="21"/>
  <c r="P863" i="21" s="1"/>
  <c r="M864" i="21"/>
  <c r="M865" i="21"/>
  <c r="P865" i="21" s="1"/>
  <c r="M866" i="21"/>
  <c r="P866" i="21" s="1"/>
  <c r="M867" i="21"/>
  <c r="M868" i="21"/>
  <c r="P868" i="21" s="1"/>
  <c r="M869" i="21"/>
  <c r="M870" i="21"/>
  <c r="M871" i="21"/>
  <c r="M872" i="21"/>
  <c r="P872" i="21" s="1"/>
  <c r="M873" i="21"/>
  <c r="M874" i="21"/>
  <c r="M875" i="21"/>
  <c r="P875" i="21" s="1"/>
  <c r="M876" i="21"/>
  <c r="P876" i="21" s="1"/>
  <c r="M877" i="21"/>
  <c r="M878" i="21"/>
  <c r="M879" i="21"/>
  <c r="P879" i="21" s="1"/>
  <c r="M880" i="21"/>
  <c r="M881" i="21"/>
  <c r="M882" i="21"/>
  <c r="M883" i="21"/>
  <c r="M884" i="21"/>
  <c r="P884" i="21" s="1"/>
  <c r="M885" i="21"/>
  <c r="M886" i="21"/>
  <c r="P886" i="21" s="1"/>
  <c r="M887" i="21"/>
  <c r="M888" i="21"/>
  <c r="P888" i="21" s="1"/>
  <c r="M889" i="21"/>
  <c r="P889" i="21" s="1"/>
  <c r="M890" i="21"/>
  <c r="M891" i="21"/>
  <c r="M892" i="21"/>
  <c r="M893" i="21"/>
  <c r="M894" i="21"/>
  <c r="P894" i="21" s="1"/>
  <c r="M895" i="21"/>
  <c r="P895" i="21" s="1"/>
  <c r="M896" i="21"/>
  <c r="P896" i="21" s="1"/>
  <c r="M897" i="21"/>
  <c r="M898" i="21"/>
  <c r="M899" i="21"/>
  <c r="P899" i="21" s="1"/>
  <c r="M900" i="21"/>
  <c r="M901" i="21"/>
  <c r="M902" i="21"/>
  <c r="P902" i="21" s="1"/>
  <c r="M903" i="21"/>
  <c r="P903" i="21" s="1"/>
  <c r="M904" i="21"/>
  <c r="M905" i="21"/>
  <c r="M906" i="21"/>
  <c r="P906" i="21" s="1"/>
  <c r="M907" i="21"/>
  <c r="M908" i="21"/>
  <c r="P908" i="21" s="1"/>
  <c r="M909" i="21"/>
  <c r="M910" i="21"/>
  <c r="M911" i="21"/>
  <c r="P911" i="21" s="1"/>
  <c r="M912" i="21"/>
  <c r="P912" i="21" s="1"/>
  <c r="M913" i="21"/>
  <c r="P913" i="21" s="1"/>
  <c r="M914" i="21"/>
  <c r="M915" i="21"/>
  <c r="M916" i="21"/>
  <c r="P916" i="21" s="1"/>
  <c r="M917" i="21"/>
  <c r="M918" i="21"/>
  <c r="P918" i="21" s="1"/>
  <c r="M919" i="21"/>
  <c r="M920" i="21"/>
  <c r="P920" i="21" s="1"/>
  <c r="M921" i="21"/>
  <c r="M922" i="21"/>
  <c r="M923" i="21"/>
  <c r="P923" i="21" s="1"/>
  <c r="M924" i="21"/>
  <c r="M925" i="21"/>
  <c r="M926" i="21"/>
  <c r="M927" i="21"/>
  <c r="P927" i="21" s="1"/>
  <c r="M928" i="21"/>
  <c r="M929" i="21"/>
  <c r="M930" i="21"/>
  <c r="P930" i="21" s="1"/>
  <c r="M931" i="21"/>
  <c r="P931" i="21" s="1"/>
  <c r="M932" i="21"/>
  <c r="P932" i="21" s="1"/>
  <c r="M933" i="21"/>
  <c r="M934" i="21"/>
  <c r="P934" i="21" s="1"/>
  <c r="M935" i="21"/>
  <c r="P935" i="21" s="1"/>
  <c r="M936" i="21"/>
  <c r="P936" i="21" s="1"/>
  <c r="M937" i="21"/>
  <c r="M938" i="21"/>
  <c r="M939" i="21"/>
  <c r="M940" i="21"/>
  <c r="M941" i="21"/>
  <c r="M942" i="21"/>
  <c r="P942" i="21" s="1"/>
  <c r="M943" i="21"/>
  <c r="P943" i="21" s="1"/>
  <c r="M944" i="21"/>
  <c r="P944" i="21" s="1"/>
  <c r="M945" i="21"/>
  <c r="M946" i="21"/>
  <c r="M947" i="21"/>
  <c r="P947" i="21" s="1"/>
  <c r="M948" i="21"/>
  <c r="P948" i="21" s="1"/>
  <c r="M949" i="21"/>
  <c r="M950" i="21"/>
  <c r="M951" i="21"/>
  <c r="P951" i="21" s="1"/>
  <c r="M952" i="21"/>
  <c r="M953" i="21"/>
  <c r="M954" i="21"/>
  <c r="P954" i="21" s="1"/>
  <c r="M955" i="21"/>
  <c r="P955" i="21" s="1"/>
  <c r="M956" i="21"/>
  <c r="P956" i="21" s="1"/>
  <c r="M957" i="21"/>
  <c r="M958" i="21"/>
  <c r="P958" i="21" s="1"/>
  <c r="M959" i="21"/>
  <c r="P959" i="21" s="1"/>
  <c r="M960" i="21"/>
  <c r="P960" i="21" s="1"/>
  <c r="M961" i="21"/>
  <c r="M962" i="21"/>
  <c r="P962" i="21" s="1"/>
  <c r="M963" i="21"/>
  <c r="P963" i="21" s="1"/>
  <c r="M964" i="21"/>
  <c r="M965" i="21"/>
  <c r="M966" i="21"/>
  <c r="P966" i="21" s="1"/>
  <c r="M967" i="21"/>
  <c r="M968" i="21"/>
  <c r="P968" i="21" s="1"/>
  <c r="M969" i="21"/>
  <c r="M970" i="21"/>
  <c r="P970" i="21" s="1"/>
  <c r="M971" i="21"/>
  <c r="P971" i="21" s="1"/>
  <c r="M972" i="21"/>
  <c r="P972" i="21" s="1"/>
  <c r="M973" i="21"/>
  <c r="P973" i="21" s="1"/>
  <c r="M974" i="21"/>
  <c r="M975" i="21"/>
  <c r="P975" i="21" s="1"/>
  <c r="M976" i="21"/>
  <c r="P976" i="21" s="1"/>
  <c r="M977" i="21"/>
  <c r="M978" i="21"/>
  <c r="P978" i="21" s="1"/>
  <c r="M979" i="21"/>
  <c r="P979" i="21" s="1"/>
  <c r="M980" i="21"/>
  <c r="P980" i="21" s="1"/>
  <c r="M981" i="21"/>
  <c r="M982" i="21"/>
  <c r="M983" i="21"/>
  <c r="P983" i="21" s="1"/>
  <c r="M984" i="21"/>
  <c r="P984" i="21" s="1"/>
  <c r="M985" i="21"/>
  <c r="M986" i="21"/>
  <c r="M987" i="21"/>
  <c r="P987" i="21" s="1"/>
  <c r="M988" i="21"/>
  <c r="M989" i="21"/>
  <c r="M990" i="21"/>
  <c r="P990" i="21" s="1"/>
  <c r="M991" i="21"/>
  <c r="P991" i="21" s="1"/>
  <c r="M992" i="21"/>
  <c r="M993" i="21"/>
  <c r="M994" i="21"/>
  <c r="M995" i="21"/>
  <c r="P995" i="21" s="1"/>
  <c r="M996" i="21"/>
  <c r="P996" i="21" s="1"/>
  <c r="M997" i="21"/>
  <c r="M998" i="21"/>
  <c r="P998" i="21" s="1"/>
  <c r="M999" i="21"/>
  <c r="P999" i="21" s="1"/>
  <c r="M1000" i="21"/>
  <c r="P1000" i="21" s="1"/>
  <c r="M1001" i="21"/>
  <c r="M1002" i="21"/>
  <c r="P1002" i="21" s="1"/>
  <c r="M1003" i="21"/>
  <c r="M1004" i="21"/>
  <c r="P1004" i="21" s="1"/>
  <c r="M1005" i="21"/>
  <c r="M1006" i="21"/>
  <c r="M9" i="21"/>
  <c r="M6" i="21"/>
  <c r="M7" i="21"/>
  <c r="M5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79" i="21"/>
  <c r="L80" i="21"/>
  <c r="L81" i="21"/>
  <c r="L82" i="21"/>
  <c r="L83" i="21"/>
  <c r="L84" i="21"/>
  <c r="L85" i="21"/>
  <c r="L86" i="21"/>
  <c r="L87" i="21"/>
  <c r="L88" i="21"/>
  <c r="L89" i="21"/>
  <c r="L90" i="21"/>
  <c r="L91" i="21"/>
  <c r="L92" i="21"/>
  <c r="L93" i="21"/>
  <c r="L94" i="21"/>
  <c r="L95" i="21"/>
  <c r="L96" i="21"/>
  <c r="L97" i="21"/>
  <c r="L98" i="21"/>
  <c r="L99" i="21"/>
  <c r="L100" i="21"/>
  <c r="L101" i="21"/>
  <c r="L102" i="21"/>
  <c r="L103" i="21"/>
  <c r="L104" i="21"/>
  <c r="L105" i="21"/>
  <c r="L106" i="21"/>
  <c r="L107" i="21"/>
  <c r="L108" i="21"/>
  <c r="L109" i="21"/>
  <c r="L110" i="21"/>
  <c r="L111" i="21"/>
  <c r="L112" i="21"/>
  <c r="L113" i="21"/>
  <c r="L114" i="21"/>
  <c r="L115" i="21"/>
  <c r="L116" i="21"/>
  <c r="L117" i="21"/>
  <c r="L118" i="21"/>
  <c r="L119" i="21"/>
  <c r="L120" i="21"/>
  <c r="L121" i="21"/>
  <c r="L122" i="21"/>
  <c r="L123" i="21"/>
  <c r="L124" i="21"/>
  <c r="L125" i="21"/>
  <c r="L126" i="21"/>
  <c r="L127" i="21"/>
  <c r="L128" i="21"/>
  <c r="L129" i="21"/>
  <c r="L130" i="21"/>
  <c r="L131" i="21"/>
  <c r="L132" i="21"/>
  <c r="L133" i="21"/>
  <c r="L134" i="21"/>
  <c r="L135" i="21"/>
  <c r="L136" i="21"/>
  <c r="L137" i="21"/>
  <c r="L138" i="21"/>
  <c r="L139" i="21"/>
  <c r="L140" i="21"/>
  <c r="L141" i="21"/>
  <c r="L142" i="21"/>
  <c r="L143" i="21"/>
  <c r="L144" i="21"/>
  <c r="L145" i="21"/>
  <c r="L146" i="21"/>
  <c r="L147" i="21"/>
  <c r="L148" i="21"/>
  <c r="L149" i="21"/>
  <c r="L150" i="21"/>
  <c r="L151" i="21"/>
  <c r="L152" i="21"/>
  <c r="L153" i="21"/>
  <c r="L154" i="21"/>
  <c r="L155" i="21"/>
  <c r="L156" i="21"/>
  <c r="L157" i="21"/>
  <c r="L158" i="21"/>
  <c r="L159" i="21"/>
  <c r="L160" i="21"/>
  <c r="L161" i="21"/>
  <c r="L162" i="21"/>
  <c r="L163" i="21"/>
  <c r="L164" i="21"/>
  <c r="L165" i="21"/>
  <c r="L166" i="21"/>
  <c r="L167" i="21"/>
  <c r="L168" i="21"/>
  <c r="L169" i="21"/>
  <c r="L170" i="21"/>
  <c r="L171" i="21"/>
  <c r="L172" i="21"/>
  <c r="L173" i="21"/>
  <c r="L174" i="21"/>
  <c r="L175" i="21"/>
  <c r="L176" i="21"/>
  <c r="L177" i="21"/>
  <c r="L178" i="21"/>
  <c r="L179" i="21"/>
  <c r="L180" i="21"/>
  <c r="L181" i="21"/>
  <c r="L182" i="21"/>
  <c r="L183" i="21"/>
  <c r="L184" i="21"/>
  <c r="L185" i="21"/>
  <c r="L186" i="21"/>
  <c r="L187" i="21"/>
  <c r="L188" i="21"/>
  <c r="L189" i="21"/>
  <c r="L190" i="21"/>
  <c r="L191" i="21"/>
  <c r="L192" i="21"/>
  <c r="L193" i="21"/>
  <c r="L194" i="21"/>
  <c r="L195" i="21"/>
  <c r="L196" i="21"/>
  <c r="L197" i="21"/>
  <c r="L198" i="21"/>
  <c r="L199" i="21"/>
  <c r="L200" i="21"/>
  <c r="L201" i="21"/>
  <c r="L202" i="21"/>
  <c r="L203" i="21"/>
  <c r="L204" i="21"/>
  <c r="L205" i="21"/>
  <c r="L206" i="21"/>
  <c r="L207" i="21"/>
  <c r="L208" i="21"/>
  <c r="L209" i="21"/>
  <c r="L210" i="21"/>
  <c r="L211" i="21"/>
  <c r="L212" i="21"/>
  <c r="L213" i="21"/>
  <c r="L214" i="21"/>
  <c r="L215" i="21"/>
  <c r="L216" i="21"/>
  <c r="L217" i="21"/>
  <c r="L218" i="21"/>
  <c r="L219" i="21"/>
  <c r="L220" i="21"/>
  <c r="L221" i="21"/>
  <c r="L222" i="21"/>
  <c r="L223" i="21"/>
  <c r="L224" i="21"/>
  <c r="L225" i="21"/>
  <c r="L226" i="21"/>
  <c r="L227" i="21"/>
  <c r="L228" i="21"/>
  <c r="L229" i="21"/>
  <c r="L230" i="21"/>
  <c r="L231" i="21"/>
  <c r="L232" i="21"/>
  <c r="L233" i="21"/>
  <c r="L234" i="21"/>
  <c r="L235" i="21"/>
  <c r="L236" i="21"/>
  <c r="L237" i="21"/>
  <c r="L238" i="21"/>
  <c r="L239" i="21"/>
  <c r="L240" i="21"/>
  <c r="L241" i="21"/>
  <c r="L242" i="21"/>
  <c r="L243" i="21"/>
  <c r="L244" i="21"/>
  <c r="L245" i="21"/>
  <c r="L246" i="21"/>
  <c r="L247" i="21"/>
  <c r="L248" i="21"/>
  <c r="L249" i="21"/>
  <c r="L250" i="21"/>
  <c r="L251" i="21"/>
  <c r="L252" i="21"/>
  <c r="L253" i="21"/>
  <c r="L254" i="21"/>
  <c r="L255" i="21"/>
  <c r="L256" i="21"/>
  <c r="L257" i="21"/>
  <c r="L258" i="21"/>
  <c r="L259" i="21"/>
  <c r="L260" i="21"/>
  <c r="L261" i="21"/>
  <c r="L262" i="21"/>
  <c r="L263" i="21"/>
  <c r="L264" i="21"/>
  <c r="L265" i="21"/>
  <c r="L266" i="21"/>
  <c r="L267" i="21"/>
  <c r="L268" i="21"/>
  <c r="L269" i="21"/>
  <c r="L270" i="21"/>
  <c r="L271" i="21"/>
  <c r="L272" i="21"/>
  <c r="L273" i="21"/>
  <c r="L274" i="21"/>
  <c r="L275" i="21"/>
  <c r="L276" i="21"/>
  <c r="L277" i="21"/>
  <c r="L278" i="21"/>
  <c r="L279" i="21"/>
  <c r="L280" i="21"/>
  <c r="L281" i="21"/>
  <c r="L282" i="21"/>
  <c r="L283" i="21"/>
  <c r="L284" i="21"/>
  <c r="L285" i="21"/>
  <c r="L286" i="21"/>
  <c r="L287" i="21"/>
  <c r="L288" i="21"/>
  <c r="L289" i="21"/>
  <c r="L290" i="21"/>
  <c r="L291" i="21"/>
  <c r="L292" i="21"/>
  <c r="L293" i="21"/>
  <c r="L294" i="21"/>
  <c r="L295" i="21"/>
  <c r="L296" i="21"/>
  <c r="L297" i="21"/>
  <c r="L298" i="21"/>
  <c r="L299" i="21"/>
  <c r="L300" i="21"/>
  <c r="L301" i="21"/>
  <c r="L302" i="21"/>
  <c r="L303" i="21"/>
  <c r="L304" i="21"/>
  <c r="L305" i="21"/>
  <c r="L306" i="21"/>
  <c r="L307" i="21"/>
  <c r="L308" i="21"/>
  <c r="L309" i="21"/>
  <c r="L310" i="21"/>
  <c r="L311" i="21"/>
  <c r="L312" i="21"/>
  <c r="L313" i="21"/>
  <c r="L314" i="21"/>
  <c r="L315" i="21"/>
  <c r="L316" i="21"/>
  <c r="L317" i="21"/>
  <c r="L318" i="21"/>
  <c r="L319" i="21"/>
  <c r="L320" i="21"/>
  <c r="L321" i="21"/>
  <c r="L322" i="21"/>
  <c r="L323" i="21"/>
  <c r="L324" i="21"/>
  <c r="L325" i="21"/>
  <c r="L326" i="21"/>
  <c r="L327" i="21"/>
  <c r="L328" i="21"/>
  <c r="L329" i="21"/>
  <c r="L330" i="21"/>
  <c r="L331" i="21"/>
  <c r="L332" i="21"/>
  <c r="L333" i="21"/>
  <c r="L334" i="21"/>
  <c r="L335" i="21"/>
  <c r="L336" i="21"/>
  <c r="L337" i="21"/>
  <c r="L338" i="21"/>
  <c r="L339" i="21"/>
  <c r="L340" i="21"/>
  <c r="L341" i="21"/>
  <c r="L342" i="21"/>
  <c r="L343" i="21"/>
  <c r="L344" i="21"/>
  <c r="L345" i="21"/>
  <c r="L346" i="21"/>
  <c r="L347" i="21"/>
  <c r="L348" i="21"/>
  <c r="L349" i="21"/>
  <c r="L350" i="21"/>
  <c r="L351" i="21"/>
  <c r="L352" i="21"/>
  <c r="L353" i="21"/>
  <c r="L354" i="21"/>
  <c r="L355" i="21"/>
  <c r="L356" i="21"/>
  <c r="L357" i="21"/>
  <c r="L358" i="21"/>
  <c r="L359" i="21"/>
  <c r="L360" i="21"/>
  <c r="L361" i="21"/>
  <c r="L362" i="21"/>
  <c r="L363" i="21"/>
  <c r="L364" i="21"/>
  <c r="L365" i="21"/>
  <c r="L366" i="21"/>
  <c r="L367" i="21"/>
  <c r="L368" i="21"/>
  <c r="L369" i="21"/>
  <c r="L370" i="21"/>
  <c r="L371" i="21"/>
  <c r="L372" i="21"/>
  <c r="L373" i="21"/>
  <c r="L374" i="21"/>
  <c r="L375" i="21"/>
  <c r="L376" i="21"/>
  <c r="L377" i="21"/>
  <c r="L378" i="21"/>
  <c r="L379" i="21"/>
  <c r="L380" i="21"/>
  <c r="L381" i="21"/>
  <c r="L382" i="21"/>
  <c r="L383" i="21"/>
  <c r="L384" i="21"/>
  <c r="L385" i="21"/>
  <c r="L386" i="21"/>
  <c r="L387" i="21"/>
  <c r="L388" i="21"/>
  <c r="L389" i="21"/>
  <c r="L390" i="21"/>
  <c r="L391" i="21"/>
  <c r="L392" i="21"/>
  <c r="L393" i="21"/>
  <c r="L394" i="21"/>
  <c r="L395" i="21"/>
  <c r="L396" i="21"/>
  <c r="L397" i="21"/>
  <c r="L398" i="21"/>
  <c r="L399" i="21"/>
  <c r="L400" i="21"/>
  <c r="L401" i="21"/>
  <c r="L402" i="21"/>
  <c r="L403" i="21"/>
  <c r="L404" i="21"/>
  <c r="L405" i="21"/>
  <c r="L406" i="21"/>
  <c r="L407" i="21"/>
  <c r="L408" i="21"/>
  <c r="L409" i="21"/>
  <c r="L410" i="21"/>
  <c r="L411" i="21"/>
  <c r="L412" i="21"/>
  <c r="L413" i="21"/>
  <c r="L414" i="21"/>
  <c r="L415" i="21"/>
  <c r="L416" i="21"/>
  <c r="L417" i="21"/>
  <c r="L418" i="21"/>
  <c r="L419" i="21"/>
  <c r="L420" i="21"/>
  <c r="L421" i="21"/>
  <c r="L422" i="21"/>
  <c r="L423" i="21"/>
  <c r="L424" i="21"/>
  <c r="L425" i="21"/>
  <c r="L426" i="21"/>
  <c r="L427" i="21"/>
  <c r="L428" i="21"/>
  <c r="L429" i="21"/>
  <c r="L430" i="21"/>
  <c r="L431" i="21"/>
  <c r="L432" i="21"/>
  <c r="L433" i="21"/>
  <c r="L434" i="21"/>
  <c r="L435" i="21"/>
  <c r="L436" i="21"/>
  <c r="L437" i="21"/>
  <c r="L438" i="21"/>
  <c r="L439" i="21"/>
  <c r="L440" i="21"/>
  <c r="L441" i="21"/>
  <c r="L442" i="21"/>
  <c r="L443" i="21"/>
  <c r="L444" i="21"/>
  <c r="L445" i="21"/>
  <c r="L446" i="21"/>
  <c r="L447" i="21"/>
  <c r="L448" i="21"/>
  <c r="L449" i="21"/>
  <c r="L450" i="21"/>
  <c r="L451" i="21"/>
  <c r="L452" i="21"/>
  <c r="L453" i="21"/>
  <c r="L454" i="21"/>
  <c r="L455" i="21"/>
  <c r="L456" i="21"/>
  <c r="L457" i="21"/>
  <c r="L458" i="21"/>
  <c r="L459" i="21"/>
  <c r="L460" i="21"/>
  <c r="L461" i="21"/>
  <c r="L462" i="21"/>
  <c r="L463" i="21"/>
  <c r="L464" i="21"/>
  <c r="L465" i="21"/>
  <c r="L466" i="21"/>
  <c r="L467" i="21"/>
  <c r="L468" i="21"/>
  <c r="L469" i="21"/>
  <c r="L470" i="21"/>
  <c r="L471" i="21"/>
  <c r="L472" i="21"/>
  <c r="L473" i="21"/>
  <c r="L474" i="21"/>
  <c r="L475" i="21"/>
  <c r="L476" i="21"/>
  <c r="L477" i="21"/>
  <c r="L478" i="21"/>
  <c r="L479" i="21"/>
  <c r="L480" i="21"/>
  <c r="L481" i="21"/>
  <c r="L482" i="21"/>
  <c r="L483" i="21"/>
  <c r="L484" i="21"/>
  <c r="L485" i="21"/>
  <c r="L486" i="21"/>
  <c r="L487" i="21"/>
  <c r="L488" i="21"/>
  <c r="L489" i="21"/>
  <c r="L490" i="21"/>
  <c r="L491" i="21"/>
  <c r="L492" i="21"/>
  <c r="L493" i="21"/>
  <c r="L494" i="21"/>
  <c r="L495" i="21"/>
  <c r="L496" i="21"/>
  <c r="L497" i="21"/>
  <c r="L498" i="21"/>
  <c r="L499" i="21"/>
  <c r="L500" i="21"/>
  <c r="L501" i="21"/>
  <c r="L502" i="21"/>
  <c r="L503" i="21"/>
  <c r="L504" i="21"/>
  <c r="L505" i="21"/>
  <c r="L506" i="21"/>
  <c r="L507" i="21"/>
  <c r="L508" i="21"/>
  <c r="L509" i="21"/>
  <c r="L510" i="21"/>
  <c r="L511" i="21"/>
  <c r="L512" i="21"/>
  <c r="L513" i="21"/>
  <c r="L514" i="21"/>
  <c r="L515" i="21"/>
  <c r="L516" i="21"/>
  <c r="L517" i="21"/>
  <c r="L518" i="21"/>
  <c r="L519" i="21"/>
  <c r="L520" i="21"/>
  <c r="L521" i="21"/>
  <c r="L522" i="21"/>
  <c r="L523" i="21"/>
  <c r="L524" i="21"/>
  <c r="L525" i="21"/>
  <c r="L526" i="21"/>
  <c r="L527" i="21"/>
  <c r="L528" i="21"/>
  <c r="L529" i="21"/>
  <c r="L530" i="21"/>
  <c r="L531" i="21"/>
  <c r="L532" i="21"/>
  <c r="L533" i="21"/>
  <c r="L534" i="21"/>
  <c r="L535" i="21"/>
  <c r="L536" i="21"/>
  <c r="L537" i="21"/>
  <c r="L538" i="21"/>
  <c r="L539" i="21"/>
  <c r="L540" i="21"/>
  <c r="L541" i="21"/>
  <c r="L542" i="21"/>
  <c r="L543" i="21"/>
  <c r="L544" i="21"/>
  <c r="L545" i="21"/>
  <c r="L546" i="21"/>
  <c r="L547" i="21"/>
  <c r="L548" i="21"/>
  <c r="L549" i="21"/>
  <c r="L550" i="21"/>
  <c r="L551" i="21"/>
  <c r="L552" i="21"/>
  <c r="L553" i="21"/>
  <c r="L554" i="21"/>
  <c r="L555" i="21"/>
  <c r="L556" i="21"/>
  <c r="L557" i="21"/>
  <c r="L558" i="21"/>
  <c r="L559" i="21"/>
  <c r="L560" i="21"/>
  <c r="L561" i="21"/>
  <c r="L562" i="21"/>
  <c r="L563" i="21"/>
  <c r="L564" i="21"/>
  <c r="L565" i="21"/>
  <c r="L566" i="21"/>
  <c r="L567" i="21"/>
  <c r="L568" i="21"/>
  <c r="L569" i="21"/>
  <c r="L570" i="21"/>
  <c r="L571" i="21"/>
  <c r="L572" i="21"/>
  <c r="L573" i="21"/>
  <c r="L574" i="21"/>
  <c r="L575" i="21"/>
  <c r="L576" i="21"/>
  <c r="L577" i="21"/>
  <c r="L578" i="21"/>
  <c r="L579" i="21"/>
  <c r="L580" i="21"/>
  <c r="L581" i="21"/>
  <c r="L582" i="21"/>
  <c r="L583" i="21"/>
  <c r="L584" i="21"/>
  <c r="L585" i="21"/>
  <c r="L586" i="21"/>
  <c r="L587" i="21"/>
  <c r="L588" i="21"/>
  <c r="L589" i="21"/>
  <c r="L590" i="21"/>
  <c r="L591" i="21"/>
  <c r="L592" i="21"/>
  <c r="L593" i="21"/>
  <c r="L594" i="21"/>
  <c r="L595" i="21"/>
  <c r="L596" i="21"/>
  <c r="L597" i="21"/>
  <c r="L598" i="21"/>
  <c r="L599" i="21"/>
  <c r="L600" i="21"/>
  <c r="L601" i="21"/>
  <c r="L602" i="21"/>
  <c r="L603" i="21"/>
  <c r="L604" i="21"/>
  <c r="L605" i="21"/>
  <c r="L606" i="21"/>
  <c r="L607" i="21"/>
  <c r="L608" i="21"/>
  <c r="L609" i="21"/>
  <c r="L610" i="21"/>
  <c r="L611" i="21"/>
  <c r="L612" i="21"/>
  <c r="L613" i="21"/>
  <c r="L614" i="21"/>
  <c r="L615" i="21"/>
  <c r="L616" i="21"/>
  <c r="L617" i="21"/>
  <c r="L618" i="21"/>
  <c r="L619" i="21"/>
  <c r="L620" i="21"/>
  <c r="L621" i="21"/>
  <c r="L622" i="21"/>
  <c r="L623" i="21"/>
  <c r="L624" i="21"/>
  <c r="L625" i="21"/>
  <c r="L626" i="21"/>
  <c r="L627" i="21"/>
  <c r="L628" i="21"/>
  <c r="L629" i="21"/>
  <c r="L630" i="21"/>
  <c r="L631" i="21"/>
  <c r="L632" i="21"/>
  <c r="L633" i="21"/>
  <c r="L634" i="21"/>
  <c r="L635" i="21"/>
  <c r="L636" i="21"/>
  <c r="L637" i="21"/>
  <c r="L638" i="21"/>
  <c r="L639" i="21"/>
  <c r="L640" i="21"/>
  <c r="L641" i="21"/>
  <c r="L642" i="21"/>
  <c r="L643" i="21"/>
  <c r="L644" i="21"/>
  <c r="L645" i="21"/>
  <c r="L646" i="21"/>
  <c r="L647" i="21"/>
  <c r="L648" i="21"/>
  <c r="L649" i="21"/>
  <c r="L650" i="21"/>
  <c r="L651" i="21"/>
  <c r="L652" i="21"/>
  <c r="L653" i="21"/>
  <c r="L654" i="21"/>
  <c r="L655" i="21"/>
  <c r="L656" i="21"/>
  <c r="L657" i="21"/>
  <c r="L658" i="21"/>
  <c r="L659" i="21"/>
  <c r="L660" i="21"/>
  <c r="L661" i="21"/>
  <c r="L662" i="21"/>
  <c r="L663" i="21"/>
  <c r="L664" i="21"/>
  <c r="L665" i="21"/>
  <c r="L666" i="21"/>
  <c r="L667" i="21"/>
  <c r="L668" i="21"/>
  <c r="L669" i="21"/>
  <c r="L670" i="21"/>
  <c r="L671" i="21"/>
  <c r="L672" i="21"/>
  <c r="L673" i="21"/>
  <c r="L674" i="21"/>
  <c r="L675" i="21"/>
  <c r="L676" i="21"/>
  <c r="L677" i="21"/>
  <c r="L678" i="21"/>
  <c r="L679" i="21"/>
  <c r="L680" i="21"/>
  <c r="L681" i="21"/>
  <c r="L682" i="21"/>
  <c r="L683" i="21"/>
  <c r="L684" i="21"/>
  <c r="L685" i="21"/>
  <c r="L686" i="21"/>
  <c r="L687" i="21"/>
  <c r="L688" i="21"/>
  <c r="L689" i="21"/>
  <c r="L690" i="21"/>
  <c r="L691" i="21"/>
  <c r="L692" i="21"/>
  <c r="L693" i="21"/>
  <c r="L694" i="21"/>
  <c r="L695" i="21"/>
  <c r="L696" i="21"/>
  <c r="L697" i="21"/>
  <c r="L698" i="21"/>
  <c r="L699" i="21"/>
  <c r="L700" i="21"/>
  <c r="L701" i="21"/>
  <c r="L702" i="21"/>
  <c r="L703" i="21"/>
  <c r="L704" i="21"/>
  <c r="L705" i="21"/>
  <c r="L706" i="21"/>
  <c r="L707" i="21"/>
  <c r="L708" i="21"/>
  <c r="L709" i="21"/>
  <c r="L710" i="21"/>
  <c r="L711" i="21"/>
  <c r="L712" i="21"/>
  <c r="L713" i="21"/>
  <c r="L714" i="21"/>
  <c r="L715" i="21"/>
  <c r="L716" i="21"/>
  <c r="L717" i="21"/>
  <c r="L718" i="21"/>
  <c r="L719" i="21"/>
  <c r="L720" i="21"/>
  <c r="L721" i="21"/>
  <c r="L722" i="21"/>
  <c r="L723" i="21"/>
  <c r="L724" i="21"/>
  <c r="L725" i="21"/>
  <c r="L726" i="21"/>
  <c r="L727" i="21"/>
  <c r="L728" i="21"/>
  <c r="L729" i="21"/>
  <c r="L730" i="21"/>
  <c r="L731" i="21"/>
  <c r="L732" i="21"/>
  <c r="L733" i="21"/>
  <c r="L734" i="21"/>
  <c r="L735" i="21"/>
  <c r="L736" i="21"/>
  <c r="L737" i="21"/>
  <c r="L738" i="21"/>
  <c r="L739" i="21"/>
  <c r="L740" i="21"/>
  <c r="L741" i="21"/>
  <c r="L742" i="21"/>
  <c r="L743" i="21"/>
  <c r="L744" i="21"/>
  <c r="L745" i="21"/>
  <c r="L746" i="21"/>
  <c r="L747" i="21"/>
  <c r="L748" i="21"/>
  <c r="L749" i="21"/>
  <c r="L750" i="21"/>
  <c r="L751" i="21"/>
  <c r="L752" i="21"/>
  <c r="L753" i="21"/>
  <c r="L754" i="21"/>
  <c r="L755" i="21"/>
  <c r="L756" i="21"/>
  <c r="L757" i="21"/>
  <c r="L758" i="21"/>
  <c r="L759" i="21"/>
  <c r="L760" i="21"/>
  <c r="L761" i="21"/>
  <c r="L762" i="21"/>
  <c r="L763" i="21"/>
  <c r="L764" i="21"/>
  <c r="L765" i="21"/>
  <c r="L766" i="21"/>
  <c r="L767" i="21"/>
  <c r="L768" i="21"/>
  <c r="L769" i="21"/>
  <c r="L770" i="21"/>
  <c r="L771" i="21"/>
  <c r="L772" i="21"/>
  <c r="L773" i="21"/>
  <c r="L774" i="21"/>
  <c r="L775" i="21"/>
  <c r="L776" i="21"/>
  <c r="L777" i="21"/>
  <c r="L778" i="21"/>
  <c r="L779" i="21"/>
  <c r="L780" i="21"/>
  <c r="L781" i="21"/>
  <c r="L782" i="21"/>
  <c r="L783" i="21"/>
  <c r="L784" i="21"/>
  <c r="L785" i="21"/>
  <c r="L786" i="21"/>
  <c r="L787" i="21"/>
  <c r="L788" i="21"/>
  <c r="L789" i="21"/>
  <c r="L790" i="21"/>
  <c r="L791" i="21"/>
  <c r="L792" i="21"/>
  <c r="L793" i="21"/>
  <c r="L794" i="21"/>
  <c r="L795" i="21"/>
  <c r="L796" i="21"/>
  <c r="L797" i="21"/>
  <c r="L798" i="21"/>
  <c r="L799" i="21"/>
  <c r="L800" i="21"/>
  <c r="L801" i="21"/>
  <c r="L802" i="21"/>
  <c r="L803" i="21"/>
  <c r="L804" i="21"/>
  <c r="L805" i="21"/>
  <c r="L806" i="21"/>
  <c r="L807" i="21"/>
  <c r="L808" i="21"/>
  <c r="L809" i="21"/>
  <c r="L810" i="21"/>
  <c r="L811" i="21"/>
  <c r="L812" i="21"/>
  <c r="L813" i="21"/>
  <c r="L814" i="21"/>
  <c r="L815" i="21"/>
  <c r="L816" i="21"/>
  <c r="L817" i="21"/>
  <c r="L818" i="21"/>
  <c r="L819" i="21"/>
  <c r="L820" i="21"/>
  <c r="L821" i="21"/>
  <c r="L822" i="21"/>
  <c r="L823" i="21"/>
  <c r="L824" i="21"/>
  <c r="L825" i="21"/>
  <c r="L826" i="21"/>
  <c r="L827" i="21"/>
  <c r="L828" i="21"/>
  <c r="L829" i="21"/>
  <c r="L830" i="21"/>
  <c r="L831" i="21"/>
  <c r="L832" i="21"/>
  <c r="L833" i="21"/>
  <c r="L834" i="21"/>
  <c r="L835" i="21"/>
  <c r="L836" i="21"/>
  <c r="L837" i="21"/>
  <c r="L838" i="21"/>
  <c r="L839" i="21"/>
  <c r="L840" i="21"/>
  <c r="L841" i="21"/>
  <c r="L842" i="21"/>
  <c r="L843" i="21"/>
  <c r="L844" i="21"/>
  <c r="L845" i="21"/>
  <c r="L846" i="21"/>
  <c r="L847" i="21"/>
  <c r="L848" i="21"/>
  <c r="L849" i="21"/>
  <c r="L850" i="21"/>
  <c r="L851" i="21"/>
  <c r="L852" i="21"/>
  <c r="L853" i="21"/>
  <c r="L854" i="21"/>
  <c r="L855" i="21"/>
  <c r="L856" i="21"/>
  <c r="L857" i="21"/>
  <c r="L858" i="21"/>
  <c r="L859" i="21"/>
  <c r="L860" i="21"/>
  <c r="L861" i="21"/>
  <c r="L862" i="21"/>
  <c r="L863" i="21"/>
  <c r="L864" i="21"/>
  <c r="L865" i="21"/>
  <c r="L866" i="21"/>
  <c r="L867" i="21"/>
  <c r="L868" i="21"/>
  <c r="L869" i="21"/>
  <c r="L870" i="21"/>
  <c r="L871" i="21"/>
  <c r="L872" i="21"/>
  <c r="L873" i="21"/>
  <c r="L874" i="21"/>
  <c r="L875" i="21"/>
  <c r="L876" i="21"/>
  <c r="L877" i="21"/>
  <c r="L878" i="21"/>
  <c r="L879" i="21"/>
  <c r="L880" i="21"/>
  <c r="L881" i="21"/>
  <c r="L882" i="21"/>
  <c r="L883" i="21"/>
  <c r="L884" i="21"/>
  <c r="L885" i="21"/>
  <c r="L886" i="21"/>
  <c r="L887" i="21"/>
  <c r="L888" i="21"/>
  <c r="L889" i="21"/>
  <c r="L890" i="21"/>
  <c r="L891" i="21"/>
  <c r="L892" i="21"/>
  <c r="L893" i="21"/>
  <c r="L894" i="21"/>
  <c r="L895" i="21"/>
  <c r="L896" i="21"/>
  <c r="L897" i="21"/>
  <c r="L898" i="21"/>
  <c r="L899" i="21"/>
  <c r="L900" i="21"/>
  <c r="L901" i="21"/>
  <c r="L902" i="21"/>
  <c r="L903" i="21"/>
  <c r="L904" i="21"/>
  <c r="L905" i="21"/>
  <c r="L906" i="21"/>
  <c r="L907" i="21"/>
  <c r="L908" i="21"/>
  <c r="L909" i="21"/>
  <c r="L910" i="21"/>
  <c r="L911" i="21"/>
  <c r="L912" i="21"/>
  <c r="L913" i="21"/>
  <c r="L914" i="21"/>
  <c r="L915" i="21"/>
  <c r="L916" i="21"/>
  <c r="L917" i="21"/>
  <c r="L918" i="21"/>
  <c r="L919" i="21"/>
  <c r="L920" i="21"/>
  <c r="L921" i="21"/>
  <c r="L922" i="21"/>
  <c r="L923" i="21"/>
  <c r="L924" i="21"/>
  <c r="L925" i="21"/>
  <c r="L926" i="21"/>
  <c r="L927" i="21"/>
  <c r="L928" i="21"/>
  <c r="L929" i="21"/>
  <c r="L930" i="21"/>
  <c r="L931" i="21"/>
  <c r="L932" i="21"/>
  <c r="L933" i="21"/>
  <c r="L934" i="21"/>
  <c r="L935" i="21"/>
  <c r="L936" i="21"/>
  <c r="L937" i="21"/>
  <c r="L938" i="21"/>
  <c r="L939" i="21"/>
  <c r="L940" i="21"/>
  <c r="L941" i="21"/>
  <c r="L942" i="21"/>
  <c r="L943" i="21"/>
  <c r="L944" i="21"/>
  <c r="L945" i="21"/>
  <c r="L946" i="21"/>
  <c r="L947" i="21"/>
  <c r="L948" i="21"/>
  <c r="L949" i="21"/>
  <c r="L950" i="21"/>
  <c r="L951" i="21"/>
  <c r="L952" i="21"/>
  <c r="L953" i="21"/>
  <c r="L954" i="21"/>
  <c r="L955" i="21"/>
  <c r="L956" i="21"/>
  <c r="L957" i="21"/>
  <c r="L958" i="21"/>
  <c r="L959" i="21"/>
  <c r="L960" i="21"/>
  <c r="L961" i="21"/>
  <c r="L962" i="21"/>
  <c r="L963" i="21"/>
  <c r="L964" i="21"/>
  <c r="L965" i="21"/>
  <c r="L966" i="21"/>
  <c r="L967" i="21"/>
  <c r="L968" i="21"/>
  <c r="L969" i="21"/>
  <c r="L970" i="21"/>
  <c r="L971" i="21"/>
  <c r="L972" i="21"/>
  <c r="L973" i="21"/>
  <c r="L974" i="21"/>
  <c r="L975" i="21"/>
  <c r="L976" i="21"/>
  <c r="L977" i="21"/>
  <c r="L978" i="21"/>
  <c r="L979" i="21"/>
  <c r="L980" i="21"/>
  <c r="L981" i="21"/>
  <c r="L982" i="21"/>
  <c r="L983" i="21"/>
  <c r="L984" i="21"/>
  <c r="L985" i="21"/>
  <c r="L986" i="21"/>
  <c r="L987" i="21"/>
  <c r="L988" i="21"/>
  <c r="L989" i="21"/>
  <c r="L990" i="21"/>
  <c r="L991" i="21"/>
  <c r="L992" i="21"/>
  <c r="L993" i="21"/>
  <c r="L994" i="21"/>
  <c r="L995" i="21"/>
  <c r="L996" i="21"/>
  <c r="L997" i="21"/>
  <c r="L998" i="21"/>
  <c r="L999" i="21"/>
  <c r="L1000" i="21"/>
  <c r="L1001" i="21"/>
  <c r="L1002" i="21"/>
  <c r="L1003" i="21"/>
  <c r="L1004" i="21"/>
  <c r="L1005" i="21"/>
  <c r="L1006" i="21"/>
  <c r="L9" i="21"/>
  <c r="L6" i="21"/>
  <c r="L7" i="21"/>
  <c r="L5" i="21"/>
  <c r="B29" i="21"/>
  <c r="B30" i="21"/>
  <c r="B31" i="21"/>
  <c r="B32" i="21"/>
  <c r="B33" i="21"/>
  <c r="B28" i="21"/>
  <c r="A29" i="21"/>
  <c r="A30" i="21"/>
  <c r="A31" i="21"/>
  <c r="A32" i="21"/>
  <c r="A33" i="21"/>
  <c r="A28" i="21"/>
  <c r="C12" i="21"/>
  <c r="C13" i="21"/>
  <c r="C14" i="21"/>
  <c r="C15" i="21"/>
  <c r="C16" i="21"/>
  <c r="C17" i="21"/>
  <c r="C18" i="21"/>
  <c r="C19" i="21"/>
  <c r="C20" i="21"/>
  <c r="C21" i="21"/>
  <c r="C22" i="21"/>
  <c r="C11" i="21"/>
  <c r="B12" i="21"/>
  <c r="B13" i="21"/>
  <c r="B14" i="21"/>
  <c r="B15" i="21"/>
  <c r="B16" i="21"/>
  <c r="B17" i="21"/>
  <c r="B18" i="21"/>
  <c r="B19" i="21"/>
  <c r="B20" i="21"/>
  <c r="B21" i="21"/>
  <c r="B22" i="21"/>
  <c r="B11" i="21"/>
  <c r="G3" i="21"/>
  <c r="C27" i="20"/>
  <c r="C33" i="20" s="1"/>
  <c r="P1006" i="21"/>
  <c r="P1005" i="21"/>
  <c r="P1003" i="21"/>
  <c r="P1001" i="21"/>
  <c r="P997" i="21"/>
  <c r="P994" i="21"/>
  <c r="P993" i="21"/>
  <c r="P992" i="21"/>
  <c r="P989" i="21"/>
  <c r="P988" i="21"/>
  <c r="P986" i="21"/>
  <c r="P985" i="21"/>
  <c r="P982" i="21"/>
  <c r="P981" i="21"/>
  <c r="P977" i="21"/>
  <c r="P974" i="21"/>
  <c r="P969" i="21"/>
  <c r="P967" i="21"/>
  <c r="P965" i="21"/>
  <c r="P964" i="21"/>
  <c r="P961" i="21"/>
  <c r="P957" i="21"/>
  <c r="P953" i="21"/>
  <c r="P952" i="21"/>
  <c r="P950" i="21"/>
  <c r="P949" i="21"/>
  <c r="P946" i="21"/>
  <c r="P945" i="21"/>
  <c r="P941" i="21"/>
  <c r="P940" i="21"/>
  <c r="P939" i="21"/>
  <c r="P938" i="21"/>
  <c r="P937" i="21"/>
  <c r="P933" i="21"/>
  <c r="P929" i="21"/>
  <c r="P928" i="21"/>
  <c r="P926" i="21"/>
  <c r="P925" i="21"/>
  <c r="P924" i="21"/>
  <c r="P922" i="21"/>
  <c r="P921" i="21"/>
  <c r="P919" i="21"/>
  <c r="P917" i="21"/>
  <c r="P915" i="21"/>
  <c r="P914" i="21"/>
  <c r="P910" i="21"/>
  <c r="P909" i="21"/>
  <c r="P907" i="21"/>
  <c r="P905" i="21"/>
  <c r="P904" i="21"/>
  <c r="P901" i="21"/>
  <c r="P900" i="21"/>
  <c r="P898" i="21"/>
  <c r="P897" i="21"/>
  <c r="P893" i="21"/>
  <c r="P892" i="21"/>
  <c r="P891" i="21"/>
  <c r="P890" i="21"/>
  <c r="P887" i="21"/>
  <c r="P885" i="21"/>
  <c r="P883" i="21"/>
  <c r="P882" i="21"/>
  <c r="P881" i="21"/>
  <c r="P880" i="21"/>
  <c r="P878" i="21"/>
  <c r="P877" i="21"/>
  <c r="P874" i="21"/>
  <c r="P873" i="21"/>
  <c r="P871" i="21"/>
  <c r="P870" i="21"/>
  <c r="P869" i="21"/>
  <c r="P867" i="21"/>
  <c r="P864" i="21"/>
  <c r="P862" i="21"/>
  <c r="P861" i="21"/>
  <c r="P860" i="21"/>
  <c r="P859" i="21"/>
  <c r="P857" i="21"/>
  <c r="P856" i="21"/>
  <c r="P855" i="21"/>
  <c r="P853" i="21"/>
  <c r="P852" i="21"/>
  <c r="P850" i="21"/>
  <c r="P849" i="21"/>
  <c r="P848" i="21"/>
  <c r="P846" i="21"/>
  <c r="P845" i="21"/>
  <c r="P844" i="21"/>
  <c r="P842" i="21"/>
  <c r="P841" i="21"/>
  <c r="P837" i="21"/>
  <c r="P836" i="21"/>
  <c r="P835" i="21"/>
  <c r="P833" i="21"/>
  <c r="P832" i="21"/>
  <c r="P830" i="21"/>
  <c r="P828" i="21"/>
  <c r="P827" i="21"/>
  <c r="P826" i="21"/>
  <c r="P825" i="21"/>
  <c r="P823" i="21"/>
  <c r="P821" i="21"/>
  <c r="P819" i="21"/>
  <c r="P818" i="21"/>
  <c r="P814" i="21"/>
  <c r="P813" i="21"/>
  <c r="P811" i="21"/>
  <c r="P810" i="21"/>
  <c r="P809" i="21"/>
  <c r="P808" i="21"/>
  <c r="P807" i="21"/>
  <c r="P806" i="21"/>
  <c r="P802" i="21"/>
  <c r="P801" i="21"/>
  <c r="P800" i="21"/>
  <c r="P799" i="21"/>
  <c r="P797" i="21"/>
  <c r="P794" i="21"/>
  <c r="P793" i="21"/>
  <c r="P792" i="21"/>
  <c r="P790" i="21"/>
  <c r="P789" i="21"/>
  <c r="P787" i="21"/>
  <c r="P785" i="21"/>
  <c r="P783" i="21"/>
  <c r="P782" i="21"/>
  <c r="P780" i="21"/>
  <c r="P778" i="21"/>
  <c r="P777" i="21"/>
  <c r="P775" i="21"/>
  <c r="P773" i="21"/>
  <c r="P772" i="21"/>
  <c r="P771" i="21"/>
  <c r="P770" i="21"/>
  <c r="P768" i="21"/>
  <c r="P766" i="21"/>
  <c r="P765" i="21"/>
  <c r="P764" i="21"/>
  <c r="P763" i="21"/>
  <c r="P762" i="21"/>
  <c r="P761" i="21"/>
  <c r="P760" i="21"/>
  <c r="P759" i="21"/>
  <c r="P758" i="21"/>
  <c r="P757" i="21"/>
  <c r="P755" i="21"/>
  <c r="P753" i="21"/>
  <c r="P752" i="21"/>
  <c r="P751" i="21"/>
  <c r="P749" i="21"/>
  <c r="P746" i="21"/>
  <c r="P745" i="21"/>
  <c r="P744" i="21"/>
  <c r="P742" i="21"/>
  <c r="P741" i="21"/>
  <c r="P739" i="21"/>
  <c r="P738" i="21"/>
  <c r="P737" i="21"/>
  <c r="P735" i="21"/>
  <c r="P734" i="21"/>
  <c r="P732" i="21"/>
  <c r="P730" i="21"/>
  <c r="P729" i="21"/>
  <c r="P727" i="21"/>
  <c r="P725" i="21"/>
  <c r="P724" i="21"/>
  <c r="P723" i="21"/>
  <c r="P720" i="21"/>
  <c r="P718" i="21"/>
  <c r="P717" i="21"/>
  <c r="P716" i="21"/>
  <c r="P715" i="21"/>
  <c r="P713" i="21"/>
  <c r="P712" i="21"/>
  <c r="P711" i="21"/>
  <c r="P710" i="21"/>
  <c r="P709" i="21"/>
  <c r="P708" i="21"/>
  <c r="P706" i="21"/>
  <c r="P705" i="21"/>
  <c r="P704" i="21"/>
  <c r="P703" i="21"/>
  <c r="P701" i="21"/>
  <c r="P700" i="21"/>
  <c r="P699" i="21"/>
  <c r="P698" i="21"/>
  <c r="P695" i="21"/>
  <c r="P694" i="21"/>
  <c r="P693" i="21"/>
  <c r="P692" i="21"/>
  <c r="P689" i="21"/>
  <c r="P688" i="21"/>
  <c r="P687" i="21"/>
  <c r="P685" i="21"/>
  <c r="P684" i="21"/>
  <c r="P682" i="21"/>
  <c r="P681" i="21"/>
  <c r="P680" i="21"/>
  <c r="P679" i="21"/>
  <c r="P678" i="21"/>
  <c r="P677" i="21"/>
  <c r="P676" i="21"/>
  <c r="P675" i="21"/>
  <c r="P674" i="21"/>
  <c r="P673" i="21"/>
  <c r="P672" i="21"/>
  <c r="P670" i="21"/>
  <c r="P669" i="21"/>
  <c r="P667" i="21"/>
  <c r="P666" i="21"/>
  <c r="P665" i="21"/>
  <c r="P664" i="21"/>
  <c r="P663" i="21"/>
  <c r="P660" i="21"/>
  <c r="P658" i="21"/>
  <c r="P657" i="21"/>
  <c r="P656" i="21"/>
  <c r="P655" i="21"/>
  <c r="P653" i="21"/>
  <c r="P652" i="21"/>
  <c r="P651" i="21"/>
  <c r="P650" i="21"/>
  <c r="P649" i="21"/>
  <c r="P646" i="21"/>
  <c r="P645" i="21"/>
  <c r="P644" i="21"/>
  <c r="P641" i="21"/>
  <c r="P640" i="21"/>
  <c r="P638" i="21"/>
  <c r="P637" i="21"/>
  <c r="P636" i="21"/>
  <c r="P634" i="21"/>
  <c r="P633" i="21"/>
  <c r="P631" i="21"/>
  <c r="P630" i="21"/>
  <c r="P629" i="21"/>
  <c r="P628" i="21"/>
  <c r="P627" i="21"/>
  <c r="P625" i="21"/>
  <c r="P624" i="21"/>
  <c r="P622" i="21"/>
  <c r="P621" i="21"/>
  <c r="P619" i="21"/>
  <c r="P617" i="21"/>
  <c r="P616" i="21"/>
  <c r="P615" i="21"/>
  <c r="P613" i="21"/>
  <c r="P612" i="21"/>
  <c r="P611" i="21"/>
  <c r="P610" i="21"/>
  <c r="P609" i="21"/>
  <c r="P606" i="21"/>
  <c r="P605" i="21"/>
  <c r="P604" i="21"/>
  <c r="P603" i="21"/>
  <c r="P601" i="21"/>
  <c r="P600" i="21"/>
  <c r="P599" i="21"/>
  <c r="P598" i="21"/>
  <c r="P597" i="21"/>
  <c r="P595" i="21"/>
  <c r="P593" i="21"/>
  <c r="P592" i="21"/>
  <c r="P591" i="21"/>
  <c r="P589" i="21"/>
  <c r="P588" i="21"/>
  <c r="P587" i="21"/>
  <c r="P586" i="21"/>
  <c r="P585" i="21"/>
  <c r="P582" i="21"/>
  <c r="P581" i="21"/>
  <c r="P580" i="21"/>
  <c r="P579" i="21"/>
  <c r="P577" i="21"/>
  <c r="P576" i="21"/>
  <c r="P575" i="21"/>
  <c r="P574" i="21"/>
  <c r="P573" i="21"/>
  <c r="P570" i="21"/>
  <c r="P569" i="21"/>
  <c r="P568" i="21"/>
  <c r="P567" i="21"/>
  <c r="P566" i="21"/>
  <c r="P564" i="21"/>
  <c r="P562" i="21"/>
  <c r="P561" i="21"/>
  <c r="P560" i="21"/>
  <c r="P558" i="21"/>
  <c r="P557" i="21"/>
  <c r="P556" i="21"/>
  <c r="P555" i="21"/>
  <c r="P554" i="21"/>
  <c r="P551" i="21"/>
  <c r="P550" i="21"/>
  <c r="P549" i="21"/>
  <c r="P546" i="21"/>
  <c r="P545" i="21"/>
  <c r="P544" i="21"/>
  <c r="P542" i="21"/>
  <c r="P540" i="21"/>
  <c r="P539" i="21"/>
  <c r="P538" i="21"/>
  <c r="P537" i="21"/>
  <c r="P536" i="21"/>
  <c r="P534" i="21"/>
  <c r="P533" i="21"/>
  <c r="P532" i="21"/>
  <c r="P530" i="21"/>
  <c r="P528" i="21"/>
  <c r="P527" i="21"/>
  <c r="P526" i="21"/>
  <c r="P525" i="21"/>
  <c r="P524" i="21"/>
  <c r="P522" i="21"/>
  <c r="P521" i="21"/>
  <c r="P520" i="21"/>
  <c r="P518" i="21"/>
  <c r="P516" i="21"/>
  <c r="P515" i="21"/>
  <c r="P514" i="21"/>
  <c r="P513" i="21"/>
  <c r="P512" i="21"/>
  <c r="P511" i="21"/>
  <c r="P510" i="21"/>
  <c r="P509" i="21"/>
  <c r="P508" i="21"/>
  <c r="P507" i="21"/>
  <c r="P506" i="21"/>
  <c r="P504" i="21"/>
  <c r="P503" i="21"/>
  <c r="P502" i="21"/>
  <c r="P501" i="21"/>
  <c r="P498" i="21"/>
  <c r="P497" i="21"/>
  <c r="P496" i="21"/>
  <c r="P495" i="21"/>
  <c r="P494" i="21"/>
  <c r="P493" i="21"/>
  <c r="P492" i="21"/>
  <c r="P491" i="21"/>
  <c r="P490" i="21"/>
  <c r="P489" i="21"/>
  <c r="P488" i="21"/>
  <c r="P486" i="21"/>
  <c r="P485" i="21"/>
  <c r="P484" i="21"/>
  <c r="P483" i="21"/>
  <c r="P482" i="21"/>
  <c r="P481" i="21"/>
  <c r="P480" i="21"/>
  <c r="P478" i="21"/>
  <c r="P477" i="21"/>
  <c r="P476" i="21"/>
  <c r="P474" i="21"/>
  <c r="P473" i="21"/>
  <c r="P472" i="21"/>
  <c r="P471" i="21"/>
  <c r="P470" i="21"/>
  <c r="P468" i="21"/>
  <c r="P467" i="21"/>
  <c r="P466" i="21"/>
  <c r="P465" i="21"/>
  <c r="P464" i="21"/>
  <c r="P463" i="21"/>
  <c r="P461" i="21"/>
  <c r="P460" i="21"/>
  <c r="P459" i="21"/>
  <c r="P458" i="21"/>
  <c r="P457" i="21"/>
  <c r="P456" i="21"/>
  <c r="P455" i="21"/>
  <c r="P454" i="21"/>
  <c r="P453" i="21"/>
  <c r="P452" i="21"/>
  <c r="P450" i="21"/>
  <c r="P449" i="21"/>
  <c r="P448" i="21"/>
  <c r="P447" i="21"/>
  <c r="P446" i="21"/>
  <c r="P445" i="21"/>
  <c r="P444" i="21"/>
  <c r="P443" i="21"/>
  <c r="P442" i="21"/>
  <c r="P441" i="21"/>
  <c r="P440" i="21"/>
  <c r="P438" i="21"/>
  <c r="P437" i="21"/>
  <c r="P436" i="21"/>
  <c r="P435" i="21"/>
  <c r="P434" i="21"/>
  <c r="P432" i="21"/>
  <c r="P431" i="21"/>
  <c r="P430" i="21"/>
  <c r="P429" i="21"/>
  <c r="P428" i="21"/>
  <c r="P427" i="21"/>
  <c r="P426" i="21"/>
  <c r="P425" i="21"/>
  <c r="P424" i="21"/>
  <c r="P423" i="21"/>
  <c r="P422" i="21"/>
  <c r="P421" i="21"/>
  <c r="P420" i="21"/>
  <c r="P419" i="21"/>
  <c r="P418" i="21"/>
  <c r="P417" i="21"/>
  <c r="P416" i="21"/>
  <c r="P414" i="21"/>
  <c r="P413" i="21"/>
  <c r="P412" i="21"/>
  <c r="P411" i="21"/>
  <c r="P410" i="21"/>
  <c r="P409" i="21"/>
  <c r="P408" i="21"/>
  <c r="P407" i="21"/>
  <c r="P406" i="21"/>
  <c r="P405" i="21"/>
  <c r="P404" i="21"/>
  <c r="P402" i="21"/>
  <c r="P401" i="21"/>
  <c r="P400" i="21"/>
  <c r="P399" i="21"/>
  <c r="P398" i="21"/>
  <c r="P396" i="21"/>
  <c r="P395" i="21"/>
  <c r="P394" i="21"/>
  <c r="P393" i="21"/>
  <c r="P392" i="21"/>
  <c r="P391" i="21"/>
  <c r="P390" i="21"/>
  <c r="P389" i="21"/>
  <c r="P388" i="21"/>
  <c r="P387" i="21"/>
  <c r="P386" i="21"/>
  <c r="P385" i="21"/>
  <c r="P384" i="21"/>
  <c r="P383" i="21"/>
  <c r="P382" i="21"/>
  <c r="P381" i="21"/>
  <c r="P380" i="21"/>
  <c r="P378" i="21"/>
  <c r="P377" i="21"/>
  <c r="P376" i="21"/>
  <c r="P375" i="21"/>
  <c r="P374" i="21"/>
  <c r="P373" i="21"/>
  <c r="P372" i="21"/>
  <c r="P371" i="21"/>
  <c r="P370" i="21"/>
  <c r="P369" i="21"/>
  <c r="P368" i="21"/>
  <c r="P365" i="21"/>
  <c r="P364" i="21"/>
  <c r="P363" i="21"/>
  <c r="P362" i="21"/>
  <c r="P361" i="21"/>
  <c r="P360" i="21"/>
  <c r="P359" i="21"/>
  <c r="P358" i="21"/>
  <c r="P357" i="21"/>
  <c r="P356" i="21"/>
  <c r="P355" i="21"/>
  <c r="P354" i="21"/>
  <c r="P353" i="21"/>
  <c r="P352" i="21"/>
  <c r="P351" i="21"/>
  <c r="P350" i="21"/>
  <c r="P349" i="21"/>
  <c r="P348" i="21"/>
  <c r="P347" i="21"/>
  <c r="P346" i="21"/>
  <c r="P345" i="21"/>
  <c r="P344" i="21"/>
  <c r="P342" i="21"/>
  <c r="P341" i="21"/>
  <c r="P340" i="21"/>
  <c r="P339" i="21"/>
  <c r="P338" i="21"/>
  <c r="P337" i="21"/>
  <c r="P336" i="21"/>
  <c r="P335" i="21"/>
  <c r="P334" i="21"/>
  <c r="P333" i="21"/>
  <c r="P332" i="21"/>
  <c r="P330" i="21"/>
  <c r="P329" i="21"/>
  <c r="P328" i="21"/>
  <c r="P327" i="21"/>
  <c r="P326" i="21"/>
  <c r="P325" i="21"/>
  <c r="P324" i="21"/>
  <c r="P322" i="21"/>
  <c r="P321" i="21"/>
  <c r="P320" i="21"/>
  <c r="P319" i="21"/>
  <c r="P318" i="21"/>
  <c r="P317" i="21"/>
  <c r="P316" i="21"/>
  <c r="P315" i="21"/>
  <c r="P314" i="21"/>
  <c r="P313" i="21"/>
  <c r="P312" i="21"/>
  <c r="P310" i="21"/>
  <c r="P309" i="21"/>
  <c r="P308" i="21"/>
  <c r="P306" i="21"/>
  <c r="P305" i="21"/>
  <c r="P304" i="21"/>
  <c r="P303" i="21"/>
  <c r="P302" i="21"/>
  <c r="P301" i="21"/>
  <c r="P300" i="21"/>
  <c r="P299" i="21"/>
  <c r="P298" i="21"/>
  <c r="P297" i="21"/>
  <c r="P296" i="21"/>
  <c r="P294" i="21"/>
  <c r="P293" i="21"/>
  <c r="P292" i="21"/>
  <c r="P291" i="21"/>
  <c r="P290" i="21"/>
  <c r="P289" i="21"/>
  <c r="P288" i="21"/>
  <c r="P287" i="21"/>
  <c r="P286" i="21"/>
  <c r="P285" i="21"/>
  <c r="P284" i="21"/>
  <c r="P283" i="21"/>
  <c r="P282" i="21"/>
  <c r="P281" i="21"/>
  <c r="P280" i="21"/>
  <c r="P279" i="21"/>
  <c r="P278" i="21"/>
  <c r="P277" i="21"/>
  <c r="P276" i="21"/>
  <c r="P275" i="21"/>
  <c r="P274" i="21"/>
  <c r="P273" i="21"/>
  <c r="P272" i="21"/>
  <c r="P271" i="21"/>
  <c r="P270" i="21"/>
  <c r="P269" i="21"/>
  <c r="P268" i="21"/>
  <c r="P267" i="21"/>
  <c r="P266" i="21"/>
  <c r="P265" i="21"/>
  <c r="P264" i="21"/>
  <c r="P263" i="21"/>
  <c r="P262" i="21"/>
  <c r="P261" i="21"/>
  <c r="P260" i="21"/>
  <c r="P259" i="21"/>
  <c r="P258" i="21"/>
  <c r="P257" i="21"/>
  <c r="P256" i="21"/>
  <c r="P255" i="21"/>
  <c r="P254" i="21"/>
  <c r="P253" i="21"/>
  <c r="P252" i="21"/>
  <c r="P251" i="21"/>
  <c r="P250" i="21"/>
  <c r="P249" i="21"/>
  <c r="P248" i="21"/>
  <c r="P247" i="21"/>
  <c r="P246" i="21"/>
  <c r="P245" i="21"/>
  <c r="P244" i="21"/>
  <c r="P243" i="21"/>
  <c r="P242" i="21"/>
  <c r="P241" i="21"/>
  <c r="P240" i="21"/>
  <c r="P239" i="21"/>
  <c r="P238" i="21"/>
  <c r="P237" i="21"/>
  <c r="P236" i="21"/>
  <c r="P235" i="21"/>
  <c r="P234" i="21"/>
  <c r="P233" i="21"/>
  <c r="P232" i="21"/>
  <c r="P231" i="21"/>
  <c r="P230" i="21"/>
  <c r="P229" i="21"/>
  <c r="P228" i="21"/>
  <c r="P227" i="21"/>
  <c r="P226" i="21"/>
  <c r="P225" i="21"/>
  <c r="P224" i="21"/>
  <c r="P223" i="21"/>
  <c r="P222" i="21"/>
  <c r="P221" i="21"/>
  <c r="P220" i="21"/>
  <c r="P219" i="21"/>
  <c r="P218" i="21"/>
  <c r="P217" i="21"/>
  <c r="P216" i="21"/>
  <c r="P215" i="21"/>
  <c r="P214" i="21"/>
  <c r="P213" i="21"/>
  <c r="P212" i="21"/>
  <c r="P211" i="21"/>
  <c r="P210" i="21"/>
  <c r="P209" i="21"/>
  <c r="P208" i="21"/>
  <c r="P207" i="21"/>
  <c r="P206" i="21"/>
  <c r="P205" i="21"/>
  <c r="P204" i="21"/>
  <c r="P203" i="21"/>
  <c r="P202" i="21"/>
  <c r="P201" i="21"/>
  <c r="P200" i="21"/>
  <c r="P199" i="21"/>
  <c r="P198" i="21"/>
  <c r="P197" i="21"/>
  <c r="P196" i="21"/>
  <c r="P195" i="21"/>
  <c r="P194" i="21"/>
  <c r="P193" i="21"/>
  <c r="P192" i="21"/>
  <c r="P191" i="21"/>
  <c r="P190" i="21"/>
  <c r="P189" i="21"/>
  <c r="P188" i="21"/>
  <c r="P187" i="21"/>
  <c r="P186" i="21"/>
  <c r="P185" i="21"/>
  <c r="P184" i="21"/>
  <c r="P183" i="21"/>
  <c r="P182" i="21"/>
  <c r="P181" i="21"/>
  <c r="P180" i="21"/>
  <c r="P179" i="21"/>
  <c r="P178" i="21"/>
  <c r="P177" i="21"/>
  <c r="P176" i="21"/>
  <c r="P175" i="21"/>
  <c r="P174" i="21"/>
  <c r="P173" i="2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60" i="21"/>
  <c r="P159" i="21"/>
  <c r="P158" i="21"/>
  <c r="P157" i="21"/>
  <c r="P156" i="21"/>
  <c r="P155" i="21"/>
  <c r="P154" i="21"/>
  <c r="P153" i="21"/>
  <c r="P152" i="21"/>
  <c r="P151" i="21"/>
  <c r="P150" i="21"/>
  <c r="P149" i="21"/>
  <c r="P148" i="21"/>
  <c r="P147" i="21"/>
  <c r="P146" i="21"/>
  <c r="P145" i="21"/>
  <c r="P144" i="21"/>
  <c r="P143" i="21"/>
  <c r="P142" i="21"/>
  <c r="P141" i="21"/>
  <c r="P140" i="21"/>
  <c r="P139" i="21"/>
  <c r="P138" i="21"/>
  <c r="P137" i="21"/>
  <c r="P136" i="21"/>
  <c r="P135" i="21"/>
  <c r="P134" i="21"/>
  <c r="P133" i="21"/>
  <c r="P132" i="21"/>
  <c r="P131" i="21"/>
  <c r="P130" i="21"/>
  <c r="P129" i="21"/>
  <c r="P128" i="21"/>
  <c r="P127" i="21"/>
  <c r="P126" i="21"/>
  <c r="P125" i="21"/>
  <c r="P124" i="21"/>
  <c r="P123" i="21"/>
  <c r="P122" i="21"/>
  <c r="P121" i="21"/>
  <c r="P120" i="21"/>
  <c r="P119" i="21"/>
  <c r="P118" i="21"/>
  <c r="P117" i="21"/>
  <c r="P116" i="21"/>
  <c r="P115" i="21"/>
  <c r="P114" i="21"/>
  <c r="P113" i="21"/>
  <c r="P112" i="21"/>
  <c r="P111" i="21"/>
  <c r="P110" i="21"/>
  <c r="P109" i="21"/>
  <c r="P108" i="21"/>
  <c r="P107" i="21"/>
  <c r="P106" i="21"/>
  <c r="P105" i="21"/>
  <c r="P104" i="21"/>
  <c r="P103" i="21"/>
  <c r="P102" i="21"/>
  <c r="P101" i="21"/>
  <c r="P100" i="21"/>
  <c r="P99" i="21"/>
  <c r="P98" i="21"/>
  <c r="P97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72" i="21"/>
  <c r="P71" i="21"/>
  <c r="P70" i="21"/>
  <c r="P69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P50" i="21"/>
  <c r="P49" i="21"/>
  <c r="P48" i="21"/>
  <c r="P47" i="21"/>
  <c r="P46" i="21"/>
  <c r="P45" i="21"/>
  <c r="P44" i="21"/>
  <c r="P43" i="21"/>
  <c r="P42" i="21"/>
  <c r="D42" i="21"/>
  <c r="P41" i="21"/>
  <c r="P40" i="21"/>
  <c r="P38" i="21"/>
  <c r="P36" i="21"/>
  <c r="P35" i="21"/>
  <c r="P34" i="21"/>
  <c r="P33" i="21"/>
  <c r="P32" i="21"/>
  <c r="P30" i="21"/>
  <c r="P29" i="21"/>
  <c r="P28" i="21"/>
  <c r="D28" i="21"/>
  <c r="P27" i="21"/>
  <c r="B27" i="21"/>
  <c r="A27" i="21"/>
  <c r="P26" i="21"/>
  <c r="P25" i="21"/>
  <c r="P24" i="21"/>
  <c r="P23" i="21"/>
  <c r="P22" i="21"/>
  <c r="P21" i="21"/>
  <c r="P20" i="21"/>
  <c r="P19" i="21"/>
  <c r="P18" i="21"/>
  <c r="P17" i="21"/>
  <c r="P16" i="21"/>
  <c r="P14" i="21"/>
  <c r="P13" i="21"/>
  <c r="P12" i="21"/>
  <c r="P10" i="21"/>
  <c r="C10" i="21"/>
  <c r="B10" i="21"/>
  <c r="P9" i="21"/>
  <c r="P7" i="21"/>
  <c r="P6" i="21"/>
  <c r="P5" i="21"/>
  <c r="M4" i="21"/>
  <c r="L4" i="21"/>
  <c r="D38" i="21"/>
  <c r="I1" i="20"/>
  <c r="B8" i="21"/>
  <c r="E14" i="1" l="1"/>
  <c r="C33" i="21"/>
  <c r="D33" i="21" s="1"/>
  <c r="G20" i="21" a="1"/>
  <c r="G20" i="21" s="1"/>
  <c r="G21" i="21" s="1"/>
  <c r="D39" i="21" s="1"/>
  <c r="C29" i="21"/>
  <c r="D29" i="21" s="1"/>
  <c r="C32" i="21"/>
  <c r="D32" i="21" s="1"/>
  <c r="C31" i="21"/>
  <c r="D31" i="21" s="1"/>
  <c r="C30" i="21"/>
  <c r="D30" i="21" s="1"/>
  <c r="M10" i="19"/>
  <c r="M11" i="19"/>
  <c r="M12" i="19"/>
  <c r="M13" i="19"/>
  <c r="M14" i="19"/>
  <c r="M15" i="19"/>
  <c r="P15" i="19" s="1"/>
  <c r="M16" i="19"/>
  <c r="P16" i="19" s="1"/>
  <c r="M17" i="19"/>
  <c r="M18" i="19"/>
  <c r="M19" i="19"/>
  <c r="P19" i="19" s="1"/>
  <c r="M20" i="19"/>
  <c r="M21" i="19"/>
  <c r="P21" i="19" s="1"/>
  <c r="M22" i="19"/>
  <c r="M23" i="19"/>
  <c r="M24" i="19"/>
  <c r="M25" i="19"/>
  <c r="M26" i="19"/>
  <c r="M27" i="19"/>
  <c r="M28" i="19"/>
  <c r="P28" i="19" s="1"/>
  <c r="M29" i="19"/>
  <c r="P29" i="19" s="1"/>
  <c r="M30" i="19"/>
  <c r="M31" i="19"/>
  <c r="M32" i="19"/>
  <c r="P32" i="19" s="1"/>
  <c r="M33" i="19"/>
  <c r="P33" i="19" s="1"/>
  <c r="M34" i="19"/>
  <c r="M35" i="19"/>
  <c r="M36" i="19"/>
  <c r="M37" i="19"/>
  <c r="M38" i="19"/>
  <c r="M39" i="19"/>
  <c r="M40" i="19"/>
  <c r="M41" i="19"/>
  <c r="P41" i="19" s="1"/>
  <c r="M42" i="19"/>
  <c r="M43" i="19"/>
  <c r="P43" i="19" s="1"/>
  <c r="M44" i="19"/>
  <c r="M45" i="19"/>
  <c r="P45" i="19" s="1"/>
  <c r="M46" i="19"/>
  <c r="M47" i="19"/>
  <c r="M48" i="19"/>
  <c r="M49" i="19"/>
  <c r="M50" i="19"/>
  <c r="M51" i="19"/>
  <c r="M52" i="19"/>
  <c r="P52" i="19" s="1"/>
  <c r="M53" i="19"/>
  <c r="P53" i="19" s="1"/>
  <c r="M54" i="19"/>
  <c r="M55" i="19"/>
  <c r="P55" i="19" s="1"/>
  <c r="M56" i="19"/>
  <c r="P56" i="19" s="1"/>
  <c r="M57" i="19"/>
  <c r="P57" i="19" s="1"/>
  <c r="M58" i="19"/>
  <c r="M59" i="19"/>
  <c r="M60" i="19"/>
  <c r="M61" i="19"/>
  <c r="M62" i="19"/>
  <c r="M63" i="19"/>
  <c r="P63" i="19" s="1"/>
  <c r="M64" i="19"/>
  <c r="P64" i="19" s="1"/>
  <c r="M65" i="19"/>
  <c r="P65" i="19" s="1"/>
  <c r="M66" i="19"/>
  <c r="M67" i="19"/>
  <c r="P67" i="19" s="1"/>
  <c r="M68" i="19"/>
  <c r="M69" i="19"/>
  <c r="P69" i="19" s="1"/>
  <c r="M70" i="19"/>
  <c r="M71" i="19"/>
  <c r="M72" i="19"/>
  <c r="M73" i="19"/>
  <c r="M74" i="19"/>
  <c r="M75" i="19"/>
  <c r="M76" i="19"/>
  <c r="P76" i="19" s="1"/>
  <c r="M77" i="19"/>
  <c r="P77" i="19" s="1"/>
  <c r="M78" i="19"/>
  <c r="M79" i="19"/>
  <c r="P79" i="19" s="1"/>
  <c r="M80" i="19"/>
  <c r="P80" i="19" s="1"/>
  <c r="M81" i="19"/>
  <c r="M82" i="19"/>
  <c r="M83" i="19"/>
  <c r="M84" i="19"/>
  <c r="M85" i="19"/>
  <c r="M86" i="19"/>
  <c r="M87" i="19"/>
  <c r="P87" i="19" s="1"/>
  <c r="M88" i="19"/>
  <c r="M89" i="19"/>
  <c r="P89" i="19" s="1"/>
  <c r="M90" i="19"/>
  <c r="M91" i="19"/>
  <c r="M92" i="19"/>
  <c r="P92" i="19" s="1"/>
  <c r="M93" i="19"/>
  <c r="P93" i="19" s="1"/>
  <c r="M94" i="19"/>
  <c r="M95" i="19"/>
  <c r="M96" i="19"/>
  <c r="M97" i="19"/>
  <c r="M98" i="19"/>
  <c r="M99" i="19"/>
  <c r="P99" i="19" s="1"/>
  <c r="M100" i="19"/>
  <c r="P100" i="19" s="1"/>
  <c r="M101" i="19"/>
  <c r="P101" i="19" s="1"/>
  <c r="M102" i="19"/>
  <c r="M103" i="19"/>
  <c r="M104" i="19"/>
  <c r="P104" i="19" s="1"/>
  <c r="M105" i="19"/>
  <c r="P105" i="19" s="1"/>
  <c r="M106" i="19"/>
  <c r="M107" i="19"/>
  <c r="M108" i="19"/>
  <c r="M109" i="19"/>
  <c r="M110" i="19"/>
  <c r="M111" i="19"/>
  <c r="M112" i="19"/>
  <c r="M113" i="19"/>
  <c r="P113" i="19" s="1"/>
  <c r="M114" i="19"/>
  <c r="M115" i="19"/>
  <c r="P115" i="19" s="1"/>
  <c r="M116" i="19"/>
  <c r="P116" i="19" s="1"/>
  <c r="M117" i="19"/>
  <c r="M118" i="19"/>
  <c r="M119" i="19"/>
  <c r="M120" i="19"/>
  <c r="M121" i="19"/>
  <c r="M122" i="19"/>
  <c r="M123" i="19"/>
  <c r="P123" i="19" s="1"/>
  <c r="M124" i="19"/>
  <c r="M125" i="19"/>
  <c r="P125" i="19" s="1"/>
  <c r="M126" i="19"/>
  <c r="M127" i="19"/>
  <c r="M128" i="19"/>
  <c r="P128" i="19" s="1"/>
  <c r="M129" i="19"/>
  <c r="P129" i="19" s="1"/>
  <c r="M130" i="19"/>
  <c r="M131" i="19"/>
  <c r="M132" i="19"/>
  <c r="M133" i="19"/>
  <c r="M134" i="19"/>
  <c r="M135" i="19"/>
  <c r="M136" i="19"/>
  <c r="P136" i="19" s="1"/>
  <c r="M137" i="19"/>
  <c r="P137" i="19" s="1"/>
  <c r="M138" i="19"/>
  <c r="M139" i="19"/>
  <c r="M140" i="19"/>
  <c r="M141" i="19"/>
  <c r="P141" i="19" s="1"/>
  <c r="M142" i="19"/>
  <c r="M143" i="19"/>
  <c r="M144" i="19"/>
  <c r="M145" i="19"/>
  <c r="M146" i="19"/>
  <c r="M147" i="19"/>
  <c r="M148" i="19"/>
  <c r="M149" i="19"/>
  <c r="P149" i="19" s="1"/>
  <c r="M150" i="19"/>
  <c r="M151" i="19"/>
  <c r="P151" i="19" s="1"/>
  <c r="M152" i="19"/>
  <c r="P152" i="19" s="1"/>
  <c r="M153" i="19"/>
  <c r="M154" i="19"/>
  <c r="M155" i="19"/>
  <c r="M156" i="19"/>
  <c r="M157" i="19"/>
  <c r="M158" i="19"/>
  <c r="M159" i="19"/>
  <c r="M160" i="19"/>
  <c r="M161" i="19"/>
  <c r="P161" i="19" s="1"/>
  <c r="M162" i="19"/>
  <c r="M163" i="19"/>
  <c r="M164" i="19"/>
  <c r="P164" i="19" s="1"/>
  <c r="M165" i="19"/>
  <c r="P165" i="19" s="1"/>
  <c r="M166" i="19"/>
  <c r="M167" i="19"/>
  <c r="M168" i="19"/>
  <c r="M169" i="19"/>
  <c r="M170" i="19"/>
  <c r="M171" i="19"/>
  <c r="P171" i="19" s="1"/>
  <c r="M172" i="19"/>
  <c r="P172" i="19" s="1"/>
  <c r="M173" i="19"/>
  <c r="P173" i="19" s="1"/>
  <c r="M174" i="19"/>
  <c r="M175" i="19"/>
  <c r="M176" i="19"/>
  <c r="P176" i="19" s="1"/>
  <c r="M177" i="19"/>
  <c r="P177" i="19" s="1"/>
  <c r="M178" i="19"/>
  <c r="M179" i="19"/>
  <c r="M180" i="19"/>
  <c r="M181" i="19"/>
  <c r="M182" i="19"/>
  <c r="M183" i="19"/>
  <c r="M184" i="19"/>
  <c r="P184" i="19" s="1"/>
  <c r="M185" i="19"/>
  <c r="M186" i="19"/>
  <c r="M187" i="19"/>
  <c r="P187" i="19" s="1"/>
  <c r="M188" i="19"/>
  <c r="P188" i="19" s="1"/>
  <c r="M189" i="19"/>
  <c r="P189" i="19" s="1"/>
  <c r="M190" i="19"/>
  <c r="M191" i="19"/>
  <c r="M192" i="19"/>
  <c r="M193" i="19"/>
  <c r="M194" i="19"/>
  <c r="M195" i="19"/>
  <c r="P195" i="19" s="1"/>
  <c r="M196" i="19"/>
  <c r="P196" i="19" s="1"/>
  <c r="M197" i="19"/>
  <c r="M198" i="19"/>
  <c r="M199" i="19"/>
  <c r="P199" i="19" s="1"/>
  <c r="M200" i="19"/>
  <c r="M201" i="19"/>
  <c r="P201" i="19" s="1"/>
  <c r="M202" i="19"/>
  <c r="M203" i="19"/>
  <c r="M204" i="19"/>
  <c r="M205" i="19"/>
  <c r="M206" i="19"/>
  <c r="M207" i="19"/>
  <c r="M208" i="19"/>
  <c r="P208" i="19" s="1"/>
  <c r="M209" i="19"/>
  <c r="P209" i="19" s="1"/>
  <c r="M210" i="19"/>
  <c r="M211" i="19"/>
  <c r="P211" i="19" s="1"/>
  <c r="M212" i="19"/>
  <c r="M213" i="19"/>
  <c r="P213" i="19" s="1"/>
  <c r="M214" i="19"/>
  <c r="M215" i="19"/>
  <c r="M216" i="19"/>
  <c r="M217" i="19"/>
  <c r="M218" i="19"/>
  <c r="M219" i="19"/>
  <c r="M220" i="19"/>
  <c r="P220" i="19" s="1"/>
  <c r="M221" i="19"/>
  <c r="M222" i="19"/>
  <c r="M223" i="19"/>
  <c r="P223" i="19" s="1"/>
  <c r="M224" i="19"/>
  <c r="P224" i="19" s="1"/>
  <c r="M225" i="19"/>
  <c r="P225" i="19" s="1"/>
  <c r="M226" i="19"/>
  <c r="M227" i="19"/>
  <c r="M228" i="19"/>
  <c r="M229" i="19"/>
  <c r="M230" i="19"/>
  <c r="M231" i="19"/>
  <c r="P231" i="19" s="1"/>
  <c r="M232" i="19"/>
  <c r="P232" i="19" s="1"/>
  <c r="M233" i="19"/>
  <c r="M234" i="19"/>
  <c r="M235" i="19"/>
  <c r="M236" i="19"/>
  <c r="M237" i="19"/>
  <c r="P237" i="19" s="1"/>
  <c r="M238" i="19"/>
  <c r="M239" i="19"/>
  <c r="M240" i="19"/>
  <c r="M241" i="19"/>
  <c r="M242" i="19"/>
  <c r="M243" i="19"/>
  <c r="M244" i="19"/>
  <c r="P244" i="19" s="1"/>
  <c r="M245" i="19"/>
  <c r="P245" i="19" s="1"/>
  <c r="M246" i="19"/>
  <c r="M247" i="19"/>
  <c r="P247" i="19" s="1"/>
  <c r="M248" i="19"/>
  <c r="M249" i="19"/>
  <c r="P249" i="19" s="1"/>
  <c r="M250" i="19"/>
  <c r="M251" i="19"/>
  <c r="M252" i="19"/>
  <c r="M253" i="19"/>
  <c r="M254" i="19"/>
  <c r="M255" i="19"/>
  <c r="M256" i="19"/>
  <c r="M257" i="19"/>
  <c r="P257" i="19" s="1"/>
  <c r="M258" i="19"/>
  <c r="M259" i="19"/>
  <c r="M260" i="19"/>
  <c r="P260" i="19" s="1"/>
  <c r="M261" i="19"/>
  <c r="P261" i="19" s="1"/>
  <c r="M262" i="19"/>
  <c r="M263" i="19"/>
  <c r="M264" i="19"/>
  <c r="M265" i="19"/>
  <c r="M266" i="19"/>
  <c r="M267" i="19"/>
  <c r="P267" i="19" s="1"/>
  <c r="M268" i="19"/>
  <c r="P268" i="19" s="1"/>
  <c r="M269" i="19"/>
  <c r="P269" i="19" s="1"/>
  <c r="M270" i="19"/>
  <c r="M271" i="19"/>
  <c r="M272" i="19"/>
  <c r="P272" i="19" s="1"/>
  <c r="M273" i="19"/>
  <c r="P273" i="19" s="1"/>
  <c r="M274" i="19"/>
  <c r="M275" i="19"/>
  <c r="M276" i="19"/>
  <c r="M277" i="19"/>
  <c r="M278" i="19"/>
  <c r="M279" i="19"/>
  <c r="P279" i="19" s="1"/>
  <c r="M280" i="19"/>
  <c r="M281" i="19"/>
  <c r="P281" i="19" s="1"/>
  <c r="M282" i="19"/>
  <c r="M283" i="19"/>
  <c r="P283" i="19" s="1"/>
  <c r="M284" i="19"/>
  <c r="P284" i="19" s="1"/>
  <c r="M285" i="19"/>
  <c r="P285" i="19" s="1"/>
  <c r="M286" i="19"/>
  <c r="M287" i="19"/>
  <c r="M288" i="19"/>
  <c r="M289" i="19"/>
  <c r="M290" i="19"/>
  <c r="M291" i="19"/>
  <c r="P291" i="19" s="1"/>
  <c r="M292" i="19"/>
  <c r="M293" i="19"/>
  <c r="P293" i="19" s="1"/>
  <c r="M294" i="19"/>
  <c r="M295" i="19"/>
  <c r="M296" i="19"/>
  <c r="P296" i="19" s="1"/>
  <c r="M297" i="19"/>
  <c r="P297" i="19" s="1"/>
  <c r="M298" i="19"/>
  <c r="M299" i="19"/>
  <c r="M300" i="19"/>
  <c r="M301" i="19"/>
  <c r="M302" i="19"/>
  <c r="M303" i="19"/>
  <c r="P303" i="19" s="1"/>
  <c r="M304" i="19"/>
  <c r="P304" i="19" s="1"/>
  <c r="M305" i="19"/>
  <c r="P305" i="19" s="1"/>
  <c r="M306" i="19"/>
  <c r="M307" i="19"/>
  <c r="M308" i="19"/>
  <c r="P308" i="19" s="1"/>
  <c r="M309" i="19"/>
  <c r="M310" i="19"/>
  <c r="M311" i="19"/>
  <c r="M312" i="19"/>
  <c r="M313" i="19"/>
  <c r="M314" i="19"/>
  <c r="M315" i="19"/>
  <c r="M316" i="19"/>
  <c r="M317" i="19"/>
  <c r="P317" i="19" s="1"/>
  <c r="M318" i="19"/>
  <c r="M319" i="19"/>
  <c r="P319" i="19" s="1"/>
  <c r="M320" i="19"/>
  <c r="P320" i="19" s="1"/>
  <c r="M321" i="19"/>
  <c r="P321" i="19" s="1"/>
  <c r="M322" i="19"/>
  <c r="M323" i="19"/>
  <c r="M324" i="19"/>
  <c r="M325" i="19"/>
  <c r="M326" i="19"/>
  <c r="M327" i="19"/>
  <c r="P327" i="19" s="1"/>
  <c r="M328" i="19"/>
  <c r="P328" i="19" s="1"/>
  <c r="M329" i="19"/>
  <c r="P329" i="19" s="1"/>
  <c r="M330" i="19"/>
  <c r="M331" i="19"/>
  <c r="M332" i="19"/>
  <c r="P332" i="19" s="1"/>
  <c r="M333" i="19"/>
  <c r="P333" i="19" s="1"/>
  <c r="M334" i="19"/>
  <c r="M335" i="19"/>
  <c r="M336" i="19"/>
  <c r="M337" i="19"/>
  <c r="M338" i="19"/>
  <c r="M339" i="19"/>
  <c r="M340" i="19"/>
  <c r="P340" i="19" s="1"/>
  <c r="M341" i="19"/>
  <c r="P341" i="19" s="1"/>
  <c r="M342" i="19"/>
  <c r="M343" i="19"/>
  <c r="M344" i="19"/>
  <c r="M345" i="19"/>
  <c r="P345" i="19" s="1"/>
  <c r="M346" i="19"/>
  <c r="M347" i="19"/>
  <c r="M348" i="19"/>
  <c r="M349" i="19"/>
  <c r="M350" i="19"/>
  <c r="M351" i="19"/>
  <c r="M352" i="19"/>
  <c r="P352" i="19" s="1"/>
  <c r="M353" i="19"/>
  <c r="P353" i="19" s="1"/>
  <c r="M354" i="19"/>
  <c r="M355" i="19"/>
  <c r="P355" i="19" s="1"/>
  <c r="M356" i="19"/>
  <c r="P356" i="19" s="1"/>
  <c r="M357" i="19"/>
  <c r="P357" i="19" s="1"/>
  <c r="M358" i="19"/>
  <c r="M359" i="19"/>
  <c r="M360" i="19"/>
  <c r="M361" i="19"/>
  <c r="M362" i="19"/>
  <c r="M363" i="19"/>
  <c r="P363" i="19" s="1"/>
  <c r="M364" i="19"/>
  <c r="P364" i="19" s="1"/>
  <c r="M365" i="19"/>
  <c r="M366" i="19"/>
  <c r="M367" i="19"/>
  <c r="P367" i="19" s="1"/>
  <c r="M368" i="19"/>
  <c r="M369" i="19"/>
  <c r="P369" i="19" s="1"/>
  <c r="M370" i="19"/>
  <c r="M371" i="19"/>
  <c r="M372" i="19"/>
  <c r="M373" i="19"/>
  <c r="M374" i="19"/>
  <c r="M375" i="19"/>
  <c r="M376" i="19"/>
  <c r="P376" i="19" s="1"/>
  <c r="M377" i="19"/>
  <c r="P377" i="19" s="1"/>
  <c r="M378" i="19"/>
  <c r="M379" i="19"/>
  <c r="M380" i="19"/>
  <c r="M381" i="19"/>
  <c r="P381" i="19" s="1"/>
  <c r="M382" i="19"/>
  <c r="M383" i="19"/>
  <c r="M384" i="19"/>
  <c r="M385" i="19"/>
  <c r="M386" i="19"/>
  <c r="M387" i="19"/>
  <c r="M388" i="19"/>
  <c r="P388" i="19" s="1"/>
  <c r="M389" i="19"/>
  <c r="M390" i="19"/>
  <c r="M391" i="19"/>
  <c r="P391" i="19" s="1"/>
  <c r="M392" i="19"/>
  <c r="P392" i="19" s="1"/>
  <c r="M393" i="19"/>
  <c r="P393" i="19" s="1"/>
  <c r="M394" i="19"/>
  <c r="M395" i="19"/>
  <c r="M396" i="19"/>
  <c r="M397" i="19"/>
  <c r="M398" i="19"/>
  <c r="M399" i="19"/>
  <c r="P399" i="19" s="1"/>
  <c r="M400" i="19"/>
  <c r="P400" i="19" s="1"/>
  <c r="M401" i="19"/>
  <c r="M402" i="19"/>
  <c r="M403" i="19"/>
  <c r="M404" i="19"/>
  <c r="P404" i="19" s="1"/>
  <c r="M405" i="19"/>
  <c r="P405" i="19" s="1"/>
  <c r="M406" i="19"/>
  <c r="M407" i="19"/>
  <c r="M408" i="19"/>
  <c r="M409" i="19"/>
  <c r="M410" i="19"/>
  <c r="M411" i="19"/>
  <c r="M412" i="19"/>
  <c r="P412" i="19" s="1"/>
  <c r="M413" i="19"/>
  <c r="P413" i="19" s="1"/>
  <c r="M414" i="19"/>
  <c r="M415" i="19"/>
  <c r="M416" i="19"/>
  <c r="P416" i="19" s="1"/>
  <c r="M417" i="19"/>
  <c r="P417" i="19" s="1"/>
  <c r="M418" i="19"/>
  <c r="M419" i="19"/>
  <c r="M420" i="19"/>
  <c r="M421" i="19"/>
  <c r="M422" i="19"/>
  <c r="M423" i="19"/>
  <c r="M424" i="19"/>
  <c r="P424" i="19" s="1"/>
  <c r="M425" i="19"/>
  <c r="M426" i="19"/>
  <c r="M427" i="19"/>
  <c r="P427" i="19" s="1"/>
  <c r="M428" i="19"/>
  <c r="P428" i="19" s="1"/>
  <c r="M429" i="19"/>
  <c r="P429" i="19" s="1"/>
  <c r="M430" i="19"/>
  <c r="M431" i="19"/>
  <c r="M432" i="19"/>
  <c r="M433" i="19"/>
  <c r="M434" i="19"/>
  <c r="M435" i="19"/>
  <c r="P435" i="19" s="1"/>
  <c r="M436" i="19"/>
  <c r="P436" i="19" s="1"/>
  <c r="M437" i="19"/>
  <c r="P437" i="19" s="1"/>
  <c r="M438" i="19"/>
  <c r="M439" i="19"/>
  <c r="P439" i="19" s="1"/>
  <c r="M440" i="19"/>
  <c r="M441" i="19"/>
  <c r="P441" i="19" s="1"/>
  <c r="M442" i="19"/>
  <c r="M443" i="19"/>
  <c r="M444" i="19"/>
  <c r="M445" i="19"/>
  <c r="M446" i="19"/>
  <c r="M447" i="19"/>
  <c r="M448" i="19"/>
  <c r="M449" i="19"/>
  <c r="P449" i="19" s="1"/>
  <c r="M450" i="19"/>
  <c r="M451" i="19"/>
  <c r="P451" i="19" s="1"/>
  <c r="M452" i="19"/>
  <c r="P452" i="19" s="1"/>
  <c r="M453" i="19"/>
  <c r="M454" i="19"/>
  <c r="M455" i="19"/>
  <c r="M456" i="19"/>
  <c r="M457" i="19"/>
  <c r="M458" i="19"/>
  <c r="M459" i="19"/>
  <c r="P459" i="19" s="1"/>
  <c r="M460" i="19"/>
  <c r="M461" i="19"/>
  <c r="P461" i="19" s="1"/>
  <c r="M462" i="19"/>
  <c r="M463" i="19"/>
  <c r="M464" i="19"/>
  <c r="P464" i="19" s="1"/>
  <c r="M465" i="19"/>
  <c r="P465" i="19" s="1"/>
  <c r="M466" i="19"/>
  <c r="M467" i="19"/>
  <c r="M468" i="19"/>
  <c r="M469" i="19"/>
  <c r="M470" i="19"/>
  <c r="M471" i="19"/>
  <c r="M472" i="19"/>
  <c r="P472" i="19" s="1"/>
  <c r="M473" i="19"/>
  <c r="P473" i="19" s="1"/>
  <c r="M474" i="19"/>
  <c r="M475" i="19"/>
  <c r="M476" i="19"/>
  <c r="P476" i="19" s="1"/>
  <c r="M477" i="19"/>
  <c r="P477" i="19" s="1"/>
  <c r="M478" i="19"/>
  <c r="M479" i="19"/>
  <c r="M480" i="19"/>
  <c r="M481" i="19"/>
  <c r="M482" i="19"/>
  <c r="M483" i="19"/>
  <c r="M484" i="19"/>
  <c r="M485" i="19"/>
  <c r="P485" i="19" s="1"/>
  <c r="M486" i="19"/>
  <c r="M487" i="19"/>
  <c r="P487" i="19" s="1"/>
  <c r="M488" i="19"/>
  <c r="P488" i="19" s="1"/>
  <c r="M489" i="19"/>
  <c r="P489" i="19" s="1"/>
  <c r="M490" i="19"/>
  <c r="M491" i="19"/>
  <c r="M492" i="19"/>
  <c r="M493" i="19"/>
  <c r="M494" i="19"/>
  <c r="M495" i="19"/>
  <c r="P495" i="19" s="1"/>
  <c r="M496" i="19"/>
  <c r="M497" i="19"/>
  <c r="P497" i="19" s="1"/>
  <c r="M498" i="19"/>
  <c r="M499" i="19"/>
  <c r="M500" i="19"/>
  <c r="P500" i="19" s="1"/>
  <c r="M501" i="19"/>
  <c r="P501" i="19" s="1"/>
  <c r="M502" i="19"/>
  <c r="M503" i="19"/>
  <c r="M504" i="19"/>
  <c r="M505" i="19"/>
  <c r="M506" i="19"/>
  <c r="M507" i="19"/>
  <c r="M508" i="19"/>
  <c r="P508" i="19" s="1"/>
  <c r="M509" i="19"/>
  <c r="P509" i="19" s="1"/>
  <c r="M510" i="19"/>
  <c r="M511" i="19"/>
  <c r="P511" i="19" s="1"/>
  <c r="M512" i="19"/>
  <c r="M513" i="19"/>
  <c r="P513" i="19" s="1"/>
  <c r="M514" i="19"/>
  <c r="M515" i="19"/>
  <c r="M516" i="19"/>
  <c r="M517" i="19"/>
  <c r="M518" i="19"/>
  <c r="M519" i="19"/>
  <c r="M520" i="19"/>
  <c r="M521" i="19"/>
  <c r="P521" i="19" s="1"/>
  <c r="M522" i="19"/>
  <c r="M523" i="19"/>
  <c r="P523" i="19" s="1"/>
  <c r="M524" i="19"/>
  <c r="P524" i="19" s="1"/>
  <c r="M525" i="19"/>
  <c r="P525" i="19" s="1"/>
  <c r="M526" i="19"/>
  <c r="M527" i="19"/>
  <c r="M528" i="19"/>
  <c r="M529" i="19"/>
  <c r="M530" i="19"/>
  <c r="M531" i="19"/>
  <c r="P531" i="19" s="1"/>
  <c r="M532" i="19"/>
  <c r="P532" i="19" s="1"/>
  <c r="M533" i="19"/>
  <c r="M534" i="19"/>
  <c r="M535" i="19"/>
  <c r="M536" i="19"/>
  <c r="P536" i="19" s="1"/>
  <c r="M537" i="19"/>
  <c r="P537" i="19" s="1"/>
  <c r="M538" i="19"/>
  <c r="M539" i="19"/>
  <c r="M540" i="19"/>
  <c r="M541" i="19"/>
  <c r="M542" i="19"/>
  <c r="M543" i="19"/>
  <c r="M544" i="19"/>
  <c r="P544" i="19" s="1"/>
  <c r="M545" i="19"/>
  <c r="P545" i="19" s="1"/>
  <c r="M546" i="19"/>
  <c r="M547" i="19"/>
  <c r="M548" i="19"/>
  <c r="M549" i="19"/>
  <c r="P549" i="19" s="1"/>
  <c r="M550" i="19"/>
  <c r="M551" i="19"/>
  <c r="M552" i="19"/>
  <c r="M553" i="19"/>
  <c r="M554" i="19"/>
  <c r="M555" i="19"/>
  <c r="M556" i="19"/>
  <c r="P556" i="19" s="1"/>
  <c r="M557" i="19"/>
  <c r="M558" i="19"/>
  <c r="M559" i="19"/>
  <c r="P559" i="19" s="1"/>
  <c r="M560" i="19"/>
  <c r="P560" i="19" s="1"/>
  <c r="M561" i="19"/>
  <c r="P561" i="19" s="1"/>
  <c r="M562" i="19"/>
  <c r="M563" i="19"/>
  <c r="M564" i="19"/>
  <c r="M565" i="19"/>
  <c r="M566" i="19"/>
  <c r="M567" i="19"/>
  <c r="P567" i="19" s="1"/>
  <c r="M568" i="19"/>
  <c r="P568" i="19" s="1"/>
  <c r="M569" i="19"/>
  <c r="M570" i="19"/>
  <c r="M571" i="19"/>
  <c r="P571" i="19" s="1"/>
  <c r="M572" i="19"/>
  <c r="M573" i="19"/>
  <c r="P573" i="19" s="1"/>
  <c r="M574" i="19"/>
  <c r="M575" i="19"/>
  <c r="M576" i="19"/>
  <c r="M577" i="19"/>
  <c r="M578" i="19"/>
  <c r="M579" i="19"/>
  <c r="M580" i="19"/>
  <c r="M581" i="19"/>
  <c r="P581" i="19" s="1"/>
  <c r="M582" i="19"/>
  <c r="M583" i="19"/>
  <c r="P583" i="19" s="1"/>
  <c r="M584" i="19"/>
  <c r="P584" i="19" s="1"/>
  <c r="M585" i="19"/>
  <c r="M586" i="19"/>
  <c r="M587" i="19"/>
  <c r="M588" i="19"/>
  <c r="M589" i="19"/>
  <c r="M590" i="19"/>
  <c r="M591" i="19"/>
  <c r="P591" i="19" s="1"/>
  <c r="M592" i="19"/>
  <c r="M593" i="19"/>
  <c r="P593" i="19" s="1"/>
  <c r="M594" i="19"/>
  <c r="M595" i="19"/>
  <c r="M596" i="19"/>
  <c r="P596" i="19" s="1"/>
  <c r="M597" i="19"/>
  <c r="P597" i="19" s="1"/>
  <c r="M598" i="19"/>
  <c r="M599" i="19"/>
  <c r="M600" i="19"/>
  <c r="M601" i="19"/>
  <c r="M602" i="19"/>
  <c r="M603" i="19"/>
  <c r="M604" i="19"/>
  <c r="P604" i="19" s="1"/>
  <c r="M605" i="19"/>
  <c r="P605" i="19" s="1"/>
  <c r="M606" i="19"/>
  <c r="M607" i="19"/>
  <c r="M608" i="19"/>
  <c r="P608" i="19" s="1"/>
  <c r="M609" i="19"/>
  <c r="P609" i="19" s="1"/>
  <c r="M610" i="19"/>
  <c r="M611" i="19"/>
  <c r="M612" i="19"/>
  <c r="M613" i="19"/>
  <c r="M614" i="19"/>
  <c r="M615" i="19"/>
  <c r="P615" i="19" s="1"/>
  <c r="M616" i="19"/>
  <c r="M617" i="19"/>
  <c r="P617" i="19" s="1"/>
  <c r="M618" i="19"/>
  <c r="M619" i="19"/>
  <c r="P619" i="19" s="1"/>
  <c r="M620" i="19"/>
  <c r="P620" i="19" s="1"/>
  <c r="M621" i="19"/>
  <c r="P621" i="19" s="1"/>
  <c r="M622" i="19"/>
  <c r="M623" i="19"/>
  <c r="M624" i="19"/>
  <c r="M625" i="19"/>
  <c r="M626" i="19"/>
  <c r="M627" i="19"/>
  <c r="P627" i="19" s="1"/>
  <c r="M628" i="19"/>
  <c r="P628" i="19" s="1"/>
  <c r="M629" i="19"/>
  <c r="M630" i="19"/>
  <c r="M631" i="19"/>
  <c r="M632" i="19"/>
  <c r="P632" i="19" s="1"/>
  <c r="M633" i="19"/>
  <c r="P633" i="19" s="1"/>
  <c r="M634" i="19"/>
  <c r="M635" i="19"/>
  <c r="M636" i="19"/>
  <c r="M637" i="19"/>
  <c r="M638" i="19"/>
  <c r="M639" i="19"/>
  <c r="M640" i="19"/>
  <c r="P640" i="19" s="1"/>
  <c r="M641" i="19"/>
  <c r="P641" i="19" s="1"/>
  <c r="M642" i="19"/>
  <c r="M643" i="19"/>
  <c r="M644" i="19"/>
  <c r="M645" i="19"/>
  <c r="P645" i="19" s="1"/>
  <c r="M646" i="19"/>
  <c r="M647" i="19"/>
  <c r="M648" i="19"/>
  <c r="M649" i="19"/>
  <c r="M650" i="19"/>
  <c r="M651" i="19"/>
  <c r="P651" i="19" s="1"/>
  <c r="M652" i="19"/>
  <c r="M653" i="19"/>
  <c r="P653" i="19" s="1"/>
  <c r="M654" i="19"/>
  <c r="M655" i="19"/>
  <c r="P655" i="19" s="1"/>
  <c r="M656" i="19"/>
  <c r="P656" i="19" s="1"/>
  <c r="M657" i="19"/>
  <c r="P657" i="19" s="1"/>
  <c r="M658" i="19"/>
  <c r="M659" i="19"/>
  <c r="M660" i="19"/>
  <c r="M661" i="19"/>
  <c r="M662" i="19"/>
  <c r="M663" i="19"/>
  <c r="P663" i="19" s="1"/>
  <c r="M664" i="19"/>
  <c r="P664" i="19" s="1"/>
  <c r="M665" i="19"/>
  <c r="M666" i="19"/>
  <c r="M667" i="19"/>
  <c r="P667" i="19" s="1"/>
  <c r="M668" i="19"/>
  <c r="M669" i="19"/>
  <c r="P669" i="19" s="1"/>
  <c r="M670" i="19"/>
  <c r="M671" i="19"/>
  <c r="M672" i="19"/>
  <c r="M673" i="19"/>
  <c r="M674" i="19"/>
  <c r="M675" i="19"/>
  <c r="M676" i="19"/>
  <c r="P676" i="19" s="1"/>
  <c r="M677" i="19"/>
  <c r="P677" i="19" s="1"/>
  <c r="M678" i="19"/>
  <c r="M679" i="19"/>
  <c r="P679" i="19" s="1"/>
  <c r="M680" i="19"/>
  <c r="M681" i="19"/>
  <c r="P681" i="19" s="1"/>
  <c r="M682" i="19"/>
  <c r="M683" i="19"/>
  <c r="M684" i="19"/>
  <c r="M685" i="19"/>
  <c r="M686" i="19"/>
  <c r="M687" i="19"/>
  <c r="M688" i="19"/>
  <c r="P688" i="19" s="1"/>
  <c r="M689" i="19"/>
  <c r="M690" i="19"/>
  <c r="M691" i="19"/>
  <c r="P691" i="19" s="1"/>
  <c r="M692" i="19"/>
  <c r="P692" i="19" s="1"/>
  <c r="M693" i="19"/>
  <c r="P693" i="19" s="1"/>
  <c r="M694" i="19"/>
  <c r="M695" i="19"/>
  <c r="M696" i="19"/>
  <c r="M697" i="19"/>
  <c r="M698" i="19"/>
  <c r="M699" i="19"/>
  <c r="P699" i="19" s="1"/>
  <c r="M700" i="19"/>
  <c r="M701" i="19"/>
  <c r="P701" i="19" s="1"/>
  <c r="M702" i="19"/>
  <c r="M703" i="19"/>
  <c r="M704" i="19"/>
  <c r="P704" i="19" s="1"/>
  <c r="M705" i="19"/>
  <c r="P705" i="19" s="1"/>
  <c r="M706" i="19"/>
  <c r="M707" i="19"/>
  <c r="M708" i="19"/>
  <c r="M709" i="19"/>
  <c r="M710" i="19"/>
  <c r="M711" i="19"/>
  <c r="P711" i="19" s="1"/>
  <c r="M712" i="19"/>
  <c r="P712" i="19" s="1"/>
  <c r="M713" i="19"/>
  <c r="P713" i="19" s="1"/>
  <c r="M714" i="19"/>
  <c r="M715" i="19"/>
  <c r="M716" i="19"/>
  <c r="P716" i="19" s="1"/>
  <c r="M717" i="19"/>
  <c r="P717" i="19" s="1"/>
  <c r="M718" i="19"/>
  <c r="M719" i="19"/>
  <c r="M720" i="19"/>
  <c r="M721" i="19"/>
  <c r="M722" i="19"/>
  <c r="M723" i="19"/>
  <c r="M724" i="19"/>
  <c r="M725" i="19"/>
  <c r="P725" i="19" s="1"/>
  <c r="M726" i="19"/>
  <c r="M727" i="19"/>
  <c r="P727" i="19" s="1"/>
  <c r="M728" i="19"/>
  <c r="P728" i="19" s="1"/>
  <c r="M729" i="19"/>
  <c r="P729" i="19" s="1"/>
  <c r="M730" i="19"/>
  <c r="M731" i="19"/>
  <c r="M732" i="19"/>
  <c r="M733" i="19"/>
  <c r="M734" i="19"/>
  <c r="M735" i="19"/>
  <c r="P735" i="19" s="1"/>
  <c r="M736" i="19"/>
  <c r="M737" i="19"/>
  <c r="P737" i="19" s="1"/>
  <c r="M738" i="19"/>
  <c r="M739" i="19"/>
  <c r="M740" i="19"/>
  <c r="P740" i="19" s="1"/>
  <c r="M741" i="19"/>
  <c r="P741" i="19" s="1"/>
  <c r="M742" i="19"/>
  <c r="M743" i="19"/>
  <c r="M744" i="19"/>
  <c r="M745" i="19"/>
  <c r="M746" i="19"/>
  <c r="M747" i="19"/>
  <c r="P747" i="19" s="1"/>
  <c r="M748" i="19"/>
  <c r="P748" i="19" s="1"/>
  <c r="M749" i="19"/>
  <c r="P749" i="19" s="1"/>
  <c r="M750" i="19"/>
  <c r="M751" i="19"/>
  <c r="M752" i="19"/>
  <c r="P752" i="19" s="1"/>
  <c r="M753" i="19"/>
  <c r="P753" i="19" s="1"/>
  <c r="M754" i="19"/>
  <c r="M755" i="19"/>
  <c r="M756" i="19"/>
  <c r="M757" i="19"/>
  <c r="M758" i="19"/>
  <c r="M759" i="19"/>
  <c r="M760" i="19"/>
  <c r="P760" i="19" s="1"/>
  <c r="M761" i="19"/>
  <c r="P761" i="19" s="1"/>
  <c r="M762" i="19"/>
  <c r="M763" i="19"/>
  <c r="P763" i="19" s="1"/>
  <c r="M764" i="19"/>
  <c r="P764" i="19" s="1"/>
  <c r="M765" i="19"/>
  <c r="P765" i="19" s="1"/>
  <c r="M766" i="19"/>
  <c r="M767" i="19"/>
  <c r="M768" i="19"/>
  <c r="M769" i="19"/>
  <c r="M770" i="19"/>
  <c r="M771" i="19"/>
  <c r="P771" i="19" s="1"/>
  <c r="M772" i="19"/>
  <c r="M773" i="19"/>
  <c r="P773" i="19" s="1"/>
  <c r="M774" i="19"/>
  <c r="M775" i="19"/>
  <c r="M776" i="19"/>
  <c r="P776" i="19" s="1"/>
  <c r="M777" i="19"/>
  <c r="P777" i="19" s="1"/>
  <c r="M778" i="19"/>
  <c r="M779" i="19"/>
  <c r="M780" i="19"/>
  <c r="M781" i="19"/>
  <c r="M782" i="19"/>
  <c r="M783" i="19"/>
  <c r="P783" i="19" s="1"/>
  <c r="M784" i="19"/>
  <c r="P784" i="19" s="1"/>
  <c r="M785" i="19"/>
  <c r="P785" i="19" s="1"/>
  <c r="M786" i="19"/>
  <c r="M787" i="19"/>
  <c r="M788" i="19"/>
  <c r="P788" i="19" s="1"/>
  <c r="M789" i="19"/>
  <c r="P789" i="19" s="1"/>
  <c r="M790" i="19"/>
  <c r="M791" i="19"/>
  <c r="M792" i="19"/>
  <c r="M793" i="19"/>
  <c r="M794" i="19"/>
  <c r="M795" i="19"/>
  <c r="M796" i="19"/>
  <c r="M797" i="19"/>
  <c r="P797" i="19" s="1"/>
  <c r="M798" i="19"/>
  <c r="M799" i="19"/>
  <c r="P799" i="19" s="1"/>
  <c r="M800" i="19"/>
  <c r="P800" i="19" s="1"/>
  <c r="M801" i="19"/>
  <c r="M802" i="19"/>
  <c r="M803" i="19"/>
  <c r="M804" i="19"/>
  <c r="M805" i="19"/>
  <c r="M806" i="19"/>
  <c r="M807" i="19"/>
  <c r="P807" i="19" s="1"/>
  <c r="M808" i="19"/>
  <c r="M809" i="19"/>
  <c r="P809" i="19" s="1"/>
  <c r="M810" i="19"/>
  <c r="M811" i="19"/>
  <c r="M812" i="19"/>
  <c r="P812" i="19" s="1"/>
  <c r="M813" i="19"/>
  <c r="P813" i="19" s="1"/>
  <c r="M814" i="19"/>
  <c r="M815" i="19"/>
  <c r="M816" i="19"/>
  <c r="M817" i="19"/>
  <c r="M818" i="19"/>
  <c r="M819" i="19"/>
  <c r="P819" i="19" s="1"/>
  <c r="M820" i="19"/>
  <c r="P820" i="19" s="1"/>
  <c r="M821" i="19"/>
  <c r="P821" i="19" s="1"/>
  <c r="M822" i="19"/>
  <c r="M823" i="19"/>
  <c r="M824" i="19"/>
  <c r="P824" i="19" s="1"/>
  <c r="M825" i="19"/>
  <c r="P825" i="19" s="1"/>
  <c r="M826" i="19"/>
  <c r="M827" i="19"/>
  <c r="M828" i="19"/>
  <c r="M829" i="19"/>
  <c r="M830" i="19"/>
  <c r="M831" i="19"/>
  <c r="P831" i="19" s="1"/>
  <c r="M832" i="19"/>
  <c r="M833" i="19"/>
  <c r="P833" i="19" s="1"/>
  <c r="M834" i="19"/>
  <c r="M835" i="19"/>
  <c r="P835" i="19" s="1"/>
  <c r="M836" i="19"/>
  <c r="P836" i="19" s="1"/>
  <c r="M837" i="19"/>
  <c r="P837" i="19" s="1"/>
  <c r="M838" i="19"/>
  <c r="M839" i="19"/>
  <c r="M840" i="19"/>
  <c r="M841" i="19"/>
  <c r="M842" i="19"/>
  <c r="M843" i="19"/>
  <c r="P843" i="19" s="1"/>
  <c r="M844" i="19"/>
  <c r="P844" i="19" s="1"/>
  <c r="M845" i="19"/>
  <c r="M846" i="19"/>
  <c r="M847" i="19"/>
  <c r="P847" i="19" s="1"/>
  <c r="M848" i="19"/>
  <c r="P848" i="19" s="1"/>
  <c r="M849" i="19"/>
  <c r="P849" i="19" s="1"/>
  <c r="M850" i="19"/>
  <c r="M851" i="19"/>
  <c r="M852" i="19"/>
  <c r="M853" i="19"/>
  <c r="M854" i="19"/>
  <c r="M855" i="19"/>
  <c r="M856" i="19"/>
  <c r="M857" i="19"/>
  <c r="P857" i="19" s="1"/>
  <c r="M858" i="19"/>
  <c r="M859" i="19"/>
  <c r="P859" i="19" s="1"/>
  <c r="M860" i="19"/>
  <c r="P860" i="19" s="1"/>
  <c r="M861" i="19"/>
  <c r="P861" i="19" s="1"/>
  <c r="M862" i="19"/>
  <c r="M863" i="19"/>
  <c r="M864" i="19"/>
  <c r="M865" i="19"/>
  <c r="M866" i="19"/>
  <c r="M867" i="19"/>
  <c r="P867" i="19" s="1"/>
  <c r="M868" i="19"/>
  <c r="P868" i="19" s="1"/>
  <c r="M869" i="19"/>
  <c r="M870" i="19"/>
  <c r="M871" i="19"/>
  <c r="P871" i="19" s="1"/>
  <c r="M872" i="19"/>
  <c r="P872" i="19" s="1"/>
  <c r="M873" i="19"/>
  <c r="P873" i="19" s="1"/>
  <c r="M874" i="19"/>
  <c r="M875" i="19"/>
  <c r="M876" i="19"/>
  <c r="M877" i="19"/>
  <c r="M878" i="19"/>
  <c r="M879" i="19"/>
  <c r="M880" i="19"/>
  <c r="P880" i="19" s="1"/>
  <c r="M881" i="19"/>
  <c r="P881" i="19" s="1"/>
  <c r="M882" i="19"/>
  <c r="M883" i="19"/>
  <c r="P883" i="19" s="1"/>
  <c r="M884" i="19"/>
  <c r="P884" i="19" s="1"/>
  <c r="M885" i="19"/>
  <c r="P885" i="19" s="1"/>
  <c r="M886" i="19"/>
  <c r="M887" i="19"/>
  <c r="M888" i="19"/>
  <c r="M889" i="19"/>
  <c r="M890" i="19"/>
  <c r="M891" i="19"/>
  <c r="M892" i="19"/>
  <c r="P892" i="19" s="1"/>
  <c r="M893" i="19"/>
  <c r="P893" i="19" s="1"/>
  <c r="M894" i="19"/>
  <c r="M895" i="19"/>
  <c r="P895" i="19" s="1"/>
  <c r="M896" i="19"/>
  <c r="P896" i="19" s="1"/>
  <c r="M897" i="19"/>
  <c r="P897" i="19" s="1"/>
  <c r="M898" i="19"/>
  <c r="M899" i="19"/>
  <c r="M900" i="19"/>
  <c r="M901" i="19"/>
  <c r="M902" i="19"/>
  <c r="M903" i="19"/>
  <c r="P903" i="19" s="1"/>
  <c r="M904" i="19"/>
  <c r="P904" i="19" s="1"/>
  <c r="M905" i="19"/>
  <c r="P905" i="19" s="1"/>
  <c r="M906" i="19"/>
  <c r="M907" i="19"/>
  <c r="P907" i="19" s="1"/>
  <c r="M908" i="19"/>
  <c r="M909" i="19"/>
  <c r="P909" i="19" s="1"/>
  <c r="M910" i="19"/>
  <c r="M911" i="19"/>
  <c r="M912" i="19"/>
  <c r="M913" i="19"/>
  <c r="M914" i="19"/>
  <c r="M915" i="19"/>
  <c r="M916" i="19"/>
  <c r="M917" i="19"/>
  <c r="P917" i="19" s="1"/>
  <c r="M918" i="19"/>
  <c r="M919" i="19"/>
  <c r="P919" i="19" s="1"/>
  <c r="M920" i="19"/>
  <c r="P920" i="19" s="1"/>
  <c r="M921" i="19"/>
  <c r="P921" i="19" s="1"/>
  <c r="M922" i="19"/>
  <c r="P922" i="19" s="1"/>
  <c r="M923" i="19"/>
  <c r="M924" i="19"/>
  <c r="M925" i="19"/>
  <c r="M926" i="19"/>
  <c r="M927" i="19"/>
  <c r="M928" i="19"/>
  <c r="P928" i="19" s="1"/>
  <c r="M929" i="19"/>
  <c r="P929" i="19" s="1"/>
  <c r="M930" i="19"/>
  <c r="M931" i="19"/>
  <c r="P931" i="19" s="1"/>
  <c r="M932" i="19"/>
  <c r="P932" i="19" s="1"/>
  <c r="M933" i="19"/>
  <c r="P933" i="19" s="1"/>
  <c r="M934" i="19"/>
  <c r="M935" i="19"/>
  <c r="M936" i="19"/>
  <c r="M937" i="19"/>
  <c r="M938" i="19"/>
  <c r="M939" i="19"/>
  <c r="P939" i="19" s="1"/>
  <c r="M940" i="19"/>
  <c r="P940" i="19" s="1"/>
  <c r="M941" i="19"/>
  <c r="P941" i="19" s="1"/>
  <c r="M942" i="19"/>
  <c r="M943" i="19"/>
  <c r="M944" i="19"/>
  <c r="P944" i="19" s="1"/>
  <c r="M945" i="19"/>
  <c r="P945" i="19" s="1"/>
  <c r="M946" i="19"/>
  <c r="M947" i="19"/>
  <c r="M948" i="19"/>
  <c r="M949" i="19"/>
  <c r="M950" i="19"/>
  <c r="M951" i="19"/>
  <c r="M952" i="19"/>
  <c r="P952" i="19" s="1"/>
  <c r="M953" i="19"/>
  <c r="P953" i="19" s="1"/>
  <c r="M954" i="19"/>
  <c r="M955" i="19"/>
  <c r="P955" i="19" s="1"/>
  <c r="M956" i="19"/>
  <c r="M957" i="19"/>
  <c r="P957" i="19" s="1"/>
  <c r="M958" i="19"/>
  <c r="M959" i="19"/>
  <c r="M960" i="19"/>
  <c r="M961" i="19"/>
  <c r="M962" i="19"/>
  <c r="M963" i="19"/>
  <c r="M964" i="19"/>
  <c r="P964" i="19" s="1"/>
  <c r="M965" i="19"/>
  <c r="P965" i="19" s="1"/>
  <c r="M966" i="19"/>
  <c r="M967" i="19"/>
  <c r="P967" i="19" s="1"/>
  <c r="M968" i="19"/>
  <c r="P968" i="19" s="1"/>
  <c r="M969" i="19"/>
  <c r="P969" i="19" s="1"/>
  <c r="M970" i="19"/>
  <c r="M971" i="19"/>
  <c r="M972" i="19"/>
  <c r="M973" i="19"/>
  <c r="M974" i="19"/>
  <c r="M975" i="19"/>
  <c r="P975" i="19" s="1"/>
  <c r="M976" i="19"/>
  <c r="P976" i="19" s="1"/>
  <c r="M977" i="19"/>
  <c r="P977" i="19" s="1"/>
  <c r="M978" i="19"/>
  <c r="M979" i="19"/>
  <c r="M980" i="19"/>
  <c r="P980" i="19" s="1"/>
  <c r="M981" i="19"/>
  <c r="P981" i="19" s="1"/>
  <c r="M982" i="19"/>
  <c r="P982" i="19" s="1"/>
  <c r="M983" i="19"/>
  <c r="M984" i="19"/>
  <c r="M985" i="19"/>
  <c r="M986" i="19"/>
  <c r="P986" i="19" s="1"/>
  <c r="M987" i="19"/>
  <c r="M988" i="19"/>
  <c r="M989" i="19"/>
  <c r="P989" i="19" s="1"/>
  <c r="M990" i="19"/>
  <c r="M991" i="19"/>
  <c r="P991" i="19" s="1"/>
  <c r="M992" i="19"/>
  <c r="P992" i="19" s="1"/>
  <c r="M993" i="19"/>
  <c r="M994" i="19"/>
  <c r="M995" i="19"/>
  <c r="P995" i="19" s="1"/>
  <c r="M996" i="19"/>
  <c r="M997" i="19"/>
  <c r="M998" i="19"/>
  <c r="M999" i="19"/>
  <c r="M1000" i="19"/>
  <c r="M1001" i="19"/>
  <c r="P1001" i="19" s="1"/>
  <c r="M1002" i="19"/>
  <c r="M1003" i="19"/>
  <c r="M1004" i="19"/>
  <c r="P1004" i="19" s="1"/>
  <c r="M1005" i="19"/>
  <c r="P1005" i="19" s="1"/>
  <c r="M1006" i="19"/>
  <c r="M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L146" i="19"/>
  <c r="L147" i="19"/>
  <c r="L148" i="19"/>
  <c r="L149" i="19"/>
  <c r="L150" i="19"/>
  <c r="L151" i="19"/>
  <c r="L152" i="19"/>
  <c r="L153" i="19"/>
  <c r="L154" i="19"/>
  <c r="L155" i="19"/>
  <c r="L156" i="19"/>
  <c r="L157" i="19"/>
  <c r="L158" i="19"/>
  <c r="L159" i="19"/>
  <c r="L160" i="19"/>
  <c r="L161" i="19"/>
  <c r="L162" i="19"/>
  <c r="L163" i="19"/>
  <c r="L164" i="19"/>
  <c r="L165" i="19"/>
  <c r="L166" i="19"/>
  <c r="L167" i="19"/>
  <c r="L168" i="19"/>
  <c r="L169" i="19"/>
  <c r="L170" i="19"/>
  <c r="L171" i="19"/>
  <c r="L172" i="19"/>
  <c r="L173" i="19"/>
  <c r="L174" i="19"/>
  <c r="L175" i="19"/>
  <c r="L176" i="19"/>
  <c r="L177" i="19"/>
  <c r="L178" i="19"/>
  <c r="L179" i="19"/>
  <c r="L180" i="19"/>
  <c r="L181" i="19"/>
  <c r="L182" i="19"/>
  <c r="L183" i="19"/>
  <c r="L184" i="19"/>
  <c r="L185" i="19"/>
  <c r="L186" i="19"/>
  <c r="L187" i="19"/>
  <c r="L188" i="19"/>
  <c r="L189" i="19"/>
  <c r="L190" i="19"/>
  <c r="L191" i="19"/>
  <c r="L192" i="19"/>
  <c r="L193" i="19"/>
  <c r="L194" i="19"/>
  <c r="L195" i="19"/>
  <c r="L196" i="19"/>
  <c r="L197" i="19"/>
  <c r="L198" i="19"/>
  <c r="L199" i="19"/>
  <c r="L200" i="19"/>
  <c r="L201" i="19"/>
  <c r="L202" i="19"/>
  <c r="L203" i="19"/>
  <c r="L204" i="19"/>
  <c r="L205" i="19"/>
  <c r="L206" i="19"/>
  <c r="L207" i="19"/>
  <c r="L208" i="19"/>
  <c r="L209" i="19"/>
  <c r="L210" i="19"/>
  <c r="L211" i="19"/>
  <c r="L212" i="19"/>
  <c r="L213" i="19"/>
  <c r="L214" i="19"/>
  <c r="L215" i="19"/>
  <c r="L216" i="19"/>
  <c r="L217" i="19"/>
  <c r="L218" i="19"/>
  <c r="L219" i="19"/>
  <c r="L220" i="19"/>
  <c r="L221" i="19"/>
  <c r="L222" i="19"/>
  <c r="L223" i="19"/>
  <c r="L224" i="19"/>
  <c r="L225" i="19"/>
  <c r="L226" i="19"/>
  <c r="L227" i="19"/>
  <c r="L228" i="19"/>
  <c r="L229" i="19"/>
  <c r="L230" i="19"/>
  <c r="L231" i="19"/>
  <c r="L232" i="19"/>
  <c r="L233" i="19"/>
  <c r="L234" i="19"/>
  <c r="L235" i="19"/>
  <c r="L236" i="19"/>
  <c r="L237" i="19"/>
  <c r="L238" i="19"/>
  <c r="L239" i="19"/>
  <c r="L240" i="19"/>
  <c r="L241" i="19"/>
  <c r="L242" i="19"/>
  <c r="L243" i="19"/>
  <c r="L244" i="19"/>
  <c r="L245" i="19"/>
  <c r="L246" i="19"/>
  <c r="L247" i="19"/>
  <c r="L248" i="19"/>
  <c r="L249" i="19"/>
  <c r="L250" i="19"/>
  <c r="L251" i="19"/>
  <c r="L252" i="19"/>
  <c r="L253" i="19"/>
  <c r="L254" i="19"/>
  <c r="L255" i="19"/>
  <c r="L256" i="19"/>
  <c r="L257" i="19"/>
  <c r="L258" i="19"/>
  <c r="L259" i="19"/>
  <c r="L260" i="19"/>
  <c r="L261" i="19"/>
  <c r="L262" i="19"/>
  <c r="L263" i="19"/>
  <c r="L264" i="19"/>
  <c r="L265" i="19"/>
  <c r="L266" i="19"/>
  <c r="L267" i="19"/>
  <c r="L268" i="19"/>
  <c r="L269" i="19"/>
  <c r="L270" i="19"/>
  <c r="L271" i="19"/>
  <c r="L272" i="19"/>
  <c r="L273" i="19"/>
  <c r="L274" i="19"/>
  <c r="L275" i="19"/>
  <c r="L276" i="19"/>
  <c r="L277" i="19"/>
  <c r="L278" i="19"/>
  <c r="L279" i="19"/>
  <c r="L280" i="19"/>
  <c r="L281" i="19"/>
  <c r="L282" i="19"/>
  <c r="L283" i="19"/>
  <c r="L284" i="19"/>
  <c r="L285" i="19"/>
  <c r="L286" i="19"/>
  <c r="L287" i="19"/>
  <c r="L288" i="19"/>
  <c r="L289" i="19"/>
  <c r="L290" i="19"/>
  <c r="L291" i="19"/>
  <c r="L292" i="19"/>
  <c r="L293" i="19"/>
  <c r="L294" i="19"/>
  <c r="L295" i="19"/>
  <c r="L296" i="19"/>
  <c r="L297" i="19"/>
  <c r="L298" i="19"/>
  <c r="L299" i="19"/>
  <c r="L300" i="19"/>
  <c r="L301" i="19"/>
  <c r="L302" i="19"/>
  <c r="L303" i="19"/>
  <c r="L304" i="19"/>
  <c r="L305" i="19"/>
  <c r="L306" i="19"/>
  <c r="L307" i="19"/>
  <c r="L308" i="19"/>
  <c r="L309" i="19"/>
  <c r="L310" i="19"/>
  <c r="L311" i="19"/>
  <c r="L312" i="19"/>
  <c r="L313" i="19"/>
  <c r="L314" i="19"/>
  <c r="L315" i="19"/>
  <c r="L316" i="19"/>
  <c r="L317" i="19"/>
  <c r="L318" i="19"/>
  <c r="L319" i="19"/>
  <c r="L320" i="19"/>
  <c r="L321" i="19"/>
  <c r="L322" i="19"/>
  <c r="L323" i="19"/>
  <c r="L324" i="19"/>
  <c r="L325" i="19"/>
  <c r="L326" i="19"/>
  <c r="L327" i="19"/>
  <c r="L328" i="19"/>
  <c r="L329" i="19"/>
  <c r="L330" i="19"/>
  <c r="L331" i="19"/>
  <c r="L332" i="19"/>
  <c r="L333" i="19"/>
  <c r="L334" i="19"/>
  <c r="L335" i="19"/>
  <c r="L336" i="19"/>
  <c r="L337" i="19"/>
  <c r="L338" i="19"/>
  <c r="L339" i="19"/>
  <c r="L340" i="19"/>
  <c r="L341" i="19"/>
  <c r="L342" i="19"/>
  <c r="L343" i="19"/>
  <c r="L344" i="19"/>
  <c r="L345" i="19"/>
  <c r="L346" i="19"/>
  <c r="L347" i="19"/>
  <c r="L348" i="19"/>
  <c r="L349" i="19"/>
  <c r="L350" i="19"/>
  <c r="L351" i="19"/>
  <c r="L352" i="19"/>
  <c r="L353" i="19"/>
  <c r="L354" i="19"/>
  <c r="L355" i="19"/>
  <c r="L356" i="19"/>
  <c r="L357" i="19"/>
  <c r="L358" i="19"/>
  <c r="L359" i="19"/>
  <c r="L360" i="19"/>
  <c r="L361" i="19"/>
  <c r="L362" i="19"/>
  <c r="L363" i="19"/>
  <c r="L364" i="19"/>
  <c r="L365" i="19"/>
  <c r="L366" i="19"/>
  <c r="L367" i="19"/>
  <c r="L368" i="19"/>
  <c r="L369" i="19"/>
  <c r="L370" i="19"/>
  <c r="L371" i="19"/>
  <c r="L372" i="19"/>
  <c r="L373" i="19"/>
  <c r="L374" i="19"/>
  <c r="L375" i="19"/>
  <c r="L376" i="19"/>
  <c r="L377" i="19"/>
  <c r="L378" i="19"/>
  <c r="L379" i="19"/>
  <c r="L380" i="19"/>
  <c r="L381" i="19"/>
  <c r="L382" i="19"/>
  <c r="L383" i="19"/>
  <c r="L384" i="19"/>
  <c r="L385" i="19"/>
  <c r="L386" i="19"/>
  <c r="L387" i="19"/>
  <c r="L388" i="19"/>
  <c r="L389" i="19"/>
  <c r="L390" i="19"/>
  <c r="L391" i="19"/>
  <c r="L392" i="19"/>
  <c r="L393" i="19"/>
  <c r="L394" i="19"/>
  <c r="L395" i="19"/>
  <c r="L396" i="19"/>
  <c r="L397" i="19"/>
  <c r="L398" i="19"/>
  <c r="L399" i="19"/>
  <c r="L400" i="19"/>
  <c r="L401" i="19"/>
  <c r="L402" i="19"/>
  <c r="L403" i="19"/>
  <c r="L404" i="19"/>
  <c r="L405" i="19"/>
  <c r="L406" i="19"/>
  <c r="L407" i="19"/>
  <c r="L408" i="19"/>
  <c r="L409" i="19"/>
  <c r="L410" i="19"/>
  <c r="L411" i="19"/>
  <c r="L412" i="19"/>
  <c r="L413" i="19"/>
  <c r="L414" i="19"/>
  <c r="L415" i="19"/>
  <c r="L416" i="19"/>
  <c r="L417" i="19"/>
  <c r="L418" i="19"/>
  <c r="L419" i="19"/>
  <c r="L420" i="19"/>
  <c r="L421" i="19"/>
  <c r="L422" i="19"/>
  <c r="L423" i="19"/>
  <c r="L424" i="19"/>
  <c r="L425" i="19"/>
  <c r="L426" i="19"/>
  <c r="L427" i="19"/>
  <c r="L428" i="19"/>
  <c r="L429" i="19"/>
  <c r="L430" i="19"/>
  <c r="L431" i="19"/>
  <c r="L432" i="19"/>
  <c r="L433" i="19"/>
  <c r="L434" i="19"/>
  <c r="L435" i="19"/>
  <c r="L436" i="19"/>
  <c r="L437" i="19"/>
  <c r="L438" i="19"/>
  <c r="L439" i="19"/>
  <c r="L440" i="19"/>
  <c r="L441" i="19"/>
  <c r="L442" i="19"/>
  <c r="L443" i="19"/>
  <c r="L444" i="19"/>
  <c r="L445" i="19"/>
  <c r="L446" i="19"/>
  <c r="L447" i="19"/>
  <c r="L448" i="19"/>
  <c r="L449" i="19"/>
  <c r="L450" i="19"/>
  <c r="L451" i="19"/>
  <c r="L452" i="19"/>
  <c r="L453" i="19"/>
  <c r="L454" i="19"/>
  <c r="L455" i="19"/>
  <c r="L456" i="19"/>
  <c r="L457" i="19"/>
  <c r="L458" i="19"/>
  <c r="L459" i="19"/>
  <c r="L460" i="19"/>
  <c r="L461" i="19"/>
  <c r="L462" i="19"/>
  <c r="L463" i="19"/>
  <c r="L464" i="19"/>
  <c r="L465" i="19"/>
  <c r="L466" i="19"/>
  <c r="L467" i="19"/>
  <c r="L468" i="19"/>
  <c r="L469" i="19"/>
  <c r="L470" i="19"/>
  <c r="L471" i="19"/>
  <c r="L472" i="19"/>
  <c r="L473" i="19"/>
  <c r="L474" i="19"/>
  <c r="L475" i="19"/>
  <c r="L476" i="19"/>
  <c r="L477" i="19"/>
  <c r="L478" i="19"/>
  <c r="L479" i="19"/>
  <c r="L480" i="19"/>
  <c r="L481" i="19"/>
  <c r="L482" i="19"/>
  <c r="L483" i="19"/>
  <c r="L484" i="19"/>
  <c r="L485" i="19"/>
  <c r="L486" i="19"/>
  <c r="L487" i="19"/>
  <c r="L488" i="19"/>
  <c r="L489" i="19"/>
  <c r="L490" i="19"/>
  <c r="L491" i="19"/>
  <c r="L492" i="19"/>
  <c r="L493" i="19"/>
  <c r="L494" i="19"/>
  <c r="L495" i="19"/>
  <c r="L496" i="19"/>
  <c r="L497" i="19"/>
  <c r="L498" i="19"/>
  <c r="L499" i="19"/>
  <c r="L500" i="19"/>
  <c r="L501" i="19"/>
  <c r="L502" i="19"/>
  <c r="L503" i="19"/>
  <c r="L504" i="19"/>
  <c r="L505" i="19"/>
  <c r="L506" i="19"/>
  <c r="L507" i="19"/>
  <c r="L508" i="19"/>
  <c r="L509" i="19"/>
  <c r="L510" i="19"/>
  <c r="L511" i="19"/>
  <c r="L512" i="19"/>
  <c r="L513" i="19"/>
  <c r="L514" i="19"/>
  <c r="L515" i="19"/>
  <c r="L516" i="19"/>
  <c r="L517" i="19"/>
  <c r="L518" i="19"/>
  <c r="L519" i="19"/>
  <c r="L520" i="19"/>
  <c r="L521" i="19"/>
  <c r="L522" i="19"/>
  <c r="L523" i="19"/>
  <c r="L524" i="19"/>
  <c r="L525" i="19"/>
  <c r="L526" i="19"/>
  <c r="L527" i="19"/>
  <c r="L528" i="19"/>
  <c r="L529" i="19"/>
  <c r="L530" i="19"/>
  <c r="L531" i="19"/>
  <c r="L532" i="19"/>
  <c r="L533" i="19"/>
  <c r="L534" i="19"/>
  <c r="L535" i="19"/>
  <c r="L536" i="19"/>
  <c r="L537" i="19"/>
  <c r="L538" i="19"/>
  <c r="L539" i="19"/>
  <c r="L540" i="19"/>
  <c r="L541" i="19"/>
  <c r="L542" i="19"/>
  <c r="L543" i="19"/>
  <c r="L544" i="19"/>
  <c r="L545" i="19"/>
  <c r="L546" i="19"/>
  <c r="L547" i="19"/>
  <c r="L548" i="19"/>
  <c r="L549" i="19"/>
  <c r="L550" i="19"/>
  <c r="L551" i="19"/>
  <c r="L552" i="19"/>
  <c r="L553" i="19"/>
  <c r="L554" i="19"/>
  <c r="L555" i="19"/>
  <c r="L556" i="19"/>
  <c r="L557" i="19"/>
  <c r="L558" i="19"/>
  <c r="L559" i="19"/>
  <c r="L560" i="19"/>
  <c r="L561" i="19"/>
  <c r="L562" i="19"/>
  <c r="L563" i="19"/>
  <c r="L564" i="19"/>
  <c r="L565" i="19"/>
  <c r="L566" i="19"/>
  <c r="L567" i="19"/>
  <c r="L568" i="19"/>
  <c r="L569" i="19"/>
  <c r="L570" i="19"/>
  <c r="L571" i="19"/>
  <c r="L572" i="19"/>
  <c r="L573" i="19"/>
  <c r="L574" i="19"/>
  <c r="L575" i="19"/>
  <c r="L576" i="19"/>
  <c r="L577" i="19"/>
  <c r="L578" i="19"/>
  <c r="L579" i="19"/>
  <c r="L580" i="19"/>
  <c r="L581" i="19"/>
  <c r="L582" i="19"/>
  <c r="L583" i="19"/>
  <c r="L584" i="19"/>
  <c r="L585" i="19"/>
  <c r="L586" i="19"/>
  <c r="L587" i="19"/>
  <c r="L588" i="19"/>
  <c r="L589" i="19"/>
  <c r="L590" i="19"/>
  <c r="L591" i="19"/>
  <c r="L592" i="19"/>
  <c r="L593" i="19"/>
  <c r="L594" i="19"/>
  <c r="L595" i="19"/>
  <c r="L596" i="19"/>
  <c r="L597" i="19"/>
  <c r="L598" i="19"/>
  <c r="L599" i="19"/>
  <c r="L600" i="19"/>
  <c r="L601" i="19"/>
  <c r="L602" i="19"/>
  <c r="L603" i="19"/>
  <c r="L604" i="19"/>
  <c r="L605" i="19"/>
  <c r="L606" i="19"/>
  <c r="L607" i="19"/>
  <c r="L608" i="19"/>
  <c r="L609" i="19"/>
  <c r="L610" i="19"/>
  <c r="L611" i="19"/>
  <c r="L612" i="19"/>
  <c r="L613" i="19"/>
  <c r="L614" i="19"/>
  <c r="L615" i="19"/>
  <c r="L616" i="19"/>
  <c r="L617" i="19"/>
  <c r="L618" i="19"/>
  <c r="L619" i="19"/>
  <c r="L620" i="19"/>
  <c r="L621" i="19"/>
  <c r="L622" i="19"/>
  <c r="L623" i="19"/>
  <c r="L624" i="19"/>
  <c r="L625" i="19"/>
  <c r="L626" i="19"/>
  <c r="L627" i="19"/>
  <c r="L628" i="19"/>
  <c r="L629" i="19"/>
  <c r="L630" i="19"/>
  <c r="L631" i="19"/>
  <c r="L632" i="19"/>
  <c r="L633" i="19"/>
  <c r="L634" i="19"/>
  <c r="L635" i="19"/>
  <c r="L636" i="19"/>
  <c r="L637" i="19"/>
  <c r="L638" i="19"/>
  <c r="L639" i="19"/>
  <c r="L640" i="19"/>
  <c r="L641" i="19"/>
  <c r="L642" i="19"/>
  <c r="L643" i="19"/>
  <c r="L644" i="19"/>
  <c r="L645" i="19"/>
  <c r="L646" i="19"/>
  <c r="L647" i="19"/>
  <c r="L648" i="19"/>
  <c r="L649" i="19"/>
  <c r="L650" i="19"/>
  <c r="L651" i="19"/>
  <c r="L652" i="19"/>
  <c r="L653" i="19"/>
  <c r="L654" i="19"/>
  <c r="L655" i="19"/>
  <c r="L656" i="19"/>
  <c r="L657" i="19"/>
  <c r="L658" i="19"/>
  <c r="L659" i="19"/>
  <c r="L660" i="19"/>
  <c r="L661" i="19"/>
  <c r="L662" i="19"/>
  <c r="L663" i="19"/>
  <c r="L664" i="19"/>
  <c r="L665" i="19"/>
  <c r="L666" i="19"/>
  <c r="L667" i="19"/>
  <c r="L668" i="19"/>
  <c r="L669" i="19"/>
  <c r="L670" i="19"/>
  <c r="L671" i="19"/>
  <c r="L672" i="19"/>
  <c r="L673" i="19"/>
  <c r="L674" i="19"/>
  <c r="L675" i="19"/>
  <c r="L676" i="19"/>
  <c r="L677" i="19"/>
  <c r="L678" i="19"/>
  <c r="L679" i="19"/>
  <c r="L680" i="19"/>
  <c r="L681" i="19"/>
  <c r="L682" i="19"/>
  <c r="L683" i="19"/>
  <c r="L684" i="19"/>
  <c r="L685" i="19"/>
  <c r="L686" i="19"/>
  <c r="L687" i="19"/>
  <c r="L688" i="19"/>
  <c r="L689" i="19"/>
  <c r="L690" i="19"/>
  <c r="L691" i="19"/>
  <c r="L692" i="19"/>
  <c r="L693" i="19"/>
  <c r="L694" i="19"/>
  <c r="L695" i="19"/>
  <c r="L696" i="19"/>
  <c r="L697" i="19"/>
  <c r="L698" i="19"/>
  <c r="L699" i="19"/>
  <c r="L700" i="19"/>
  <c r="L701" i="19"/>
  <c r="L702" i="19"/>
  <c r="L703" i="19"/>
  <c r="L704" i="19"/>
  <c r="L705" i="19"/>
  <c r="L706" i="19"/>
  <c r="L707" i="19"/>
  <c r="L708" i="19"/>
  <c r="L709" i="19"/>
  <c r="L710" i="19"/>
  <c r="L711" i="19"/>
  <c r="L712" i="19"/>
  <c r="L713" i="19"/>
  <c r="L714" i="19"/>
  <c r="L715" i="19"/>
  <c r="L716" i="19"/>
  <c r="L717" i="19"/>
  <c r="L718" i="19"/>
  <c r="L719" i="19"/>
  <c r="L720" i="19"/>
  <c r="L721" i="19"/>
  <c r="L722" i="19"/>
  <c r="L723" i="19"/>
  <c r="L724" i="19"/>
  <c r="L725" i="19"/>
  <c r="L726" i="19"/>
  <c r="L727" i="19"/>
  <c r="L728" i="19"/>
  <c r="L729" i="19"/>
  <c r="L730" i="19"/>
  <c r="L731" i="19"/>
  <c r="L732" i="19"/>
  <c r="L733" i="19"/>
  <c r="L734" i="19"/>
  <c r="L735" i="19"/>
  <c r="L736" i="19"/>
  <c r="L737" i="19"/>
  <c r="L738" i="19"/>
  <c r="L739" i="19"/>
  <c r="L740" i="19"/>
  <c r="L741" i="19"/>
  <c r="L742" i="19"/>
  <c r="L743" i="19"/>
  <c r="L744" i="19"/>
  <c r="L745" i="19"/>
  <c r="L746" i="19"/>
  <c r="L747" i="19"/>
  <c r="L748" i="19"/>
  <c r="L749" i="19"/>
  <c r="L750" i="19"/>
  <c r="L751" i="19"/>
  <c r="L752" i="19"/>
  <c r="L753" i="19"/>
  <c r="L754" i="19"/>
  <c r="L755" i="19"/>
  <c r="L756" i="19"/>
  <c r="L757" i="19"/>
  <c r="L758" i="19"/>
  <c r="L759" i="19"/>
  <c r="L760" i="19"/>
  <c r="L761" i="19"/>
  <c r="L762" i="19"/>
  <c r="L763" i="19"/>
  <c r="L764" i="19"/>
  <c r="L765" i="19"/>
  <c r="L766" i="19"/>
  <c r="L767" i="19"/>
  <c r="L768" i="19"/>
  <c r="L769" i="19"/>
  <c r="L770" i="19"/>
  <c r="L771" i="19"/>
  <c r="L772" i="19"/>
  <c r="L773" i="19"/>
  <c r="L774" i="19"/>
  <c r="L775" i="19"/>
  <c r="L776" i="19"/>
  <c r="L777" i="19"/>
  <c r="L778" i="19"/>
  <c r="L779" i="19"/>
  <c r="L780" i="19"/>
  <c r="L781" i="19"/>
  <c r="L782" i="19"/>
  <c r="L783" i="19"/>
  <c r="L784" i="19"/>
  <c r="L785" i="19"/>
  <c r="L786" i="19"/>
  <c r="L787" i="19"/>
  <c r="L788" i="19"/>
  <c r="L789" i="19"/>
  <c r="L790" i="19"/>
  <c r="L791" i="19"/>
  <c r="L792" i="19"/>
  <c r="L793" i="19"/>
  <c r="L794" i="19"/>
  <c r="L795" i="19"/>
  <c r="L796" i="19"/>
  <c r="L797" i="19"/>
  <c r="L798" i="19"/>
  <c r="L799" i="19"/>
  <c r="L800" i="19"/>
  <c r="L801" i="19"/>
  <c r="L802" i="19"/>
  <c r="L803" i="19"/>
  <c r="L804" i="19"/>
  <c r="L805" i="19"/>
  <c r="L806" i="19"/>
  <c r="L807" i="19"/>
  <c r="L808" i="19"/>
  <c r="L809" i="19"/>
  <c r="L810" i="19"/>
  <c r="L811" i="19"/>
  <c r="L812" i="19"/>
  <c r="L813" i="19"/>
  <c r="L814" i="19"/>
  <c r="L815" i="19"/>
  <c r="L816" i="19"/>
  <c r="L817" i="19"/>
  <c r="L818" i="19"/>
  <c r="L819" i="19"/>
  <c r="L820" i="19"/>
  <c r="L821" i="19"/>
  <c r="L822" i="19"/>
  <c r="L823" i="19"/>
  <c r="L824" i="19"/>
  <c r="L825" i="19"/>
  <c r="L826" i="19"/>
  <c r="L827" i="19"/>
  <c r="L828" i="19"/>
  <c r="L829" i="19"/>
  <c r="L830" i="19"/>
  <c r="L831" i="19"/>
  <c r="L832" i="19"/>
  <c r="L833" i="19"/>
  <c r="L834" i="19"/>
  <c r="L835" i="19"/>
  <c r="L836" i="19"/>
  <c r="L837" i="19"/>
  <c r="L838" i="19"/>
  <c r="L839" i="19"/>
  <c r="L840" i="19"/>
  <c r="L841" i="19"/>
  <c r="L842" i="19"/>
  <c r="L843" i="19"/>
  <c r="L844" i="19"/>
  <c r="L845" i="19"/>
  <c r="L846" i="19"/>
  <c r="L847" i="19"/>
  <c r="L848" i="19"/>
  <c r="L849" i="19"/>
  <c r="L850" i="19"/>
  <c r="L851" i="19"/>
  <c r="L852" i="19"/>
  <c r="L853" i="19"/>
  <c r="L854" i="19"/>
  <c r="L855" i="19"/>
  <c r="L856" i="19"/>
  <c r="L857" i="19"/>
  <c r="L858" i="19"/>
  <c r="L859" i="19"/>
  <c r="L860" i="19"/>
  <c r="L861" i="19"/>
  <c r="L862" i="19"/>
  <c r="L863" i="19"/>
  <c r="L864" i="19"/>
  <c r="L865" i="19"/>
  <c r="L866" i="19"/>
  <c r="L867" i="19"/>
  <c r="L868" i="19"/>
  <c r="L869" i="19"/>
  <c r="L870" i="19"/>
  <c r="L871" i="19"/>
  <c r="L872" i="19"/>
  <c r="L873" i="19"/>
  <c r="L874" i="19"/>
  <c r="L875" i="19"/>
  <c r="L876" i="19"/>
  <c r="L877" i="19"/>
  <c r="L878" i="19"/>
  <c r="L879" i="19"/>
  <c r="L880" i="19"/>
  <c r="L881" i="19"/>
  <c r="L882" i="19"/>
  <c r="L883" i="19"/>
  <c r="L884" i="19"/>
  <c r="L885" i="19"/>
  <c r="L886" i="19"/>
  <c r="L887" i="19"/>
  <c r="L888" i="19"/>
  <c r="L889" i="19"/>
  <c r="L890" i="19"/>
  <c r="L891" i="19"/>
  <c r="L892" i="19"/>
  <c r="L893" i="19"/>
  <c r="L894" i="19"/>
  <c r="L895" i="19"/>
  <c r="L896" i="19"/>
  <c r="L897" i="19"/>
  <c r="L898" i="19"/>
  <c r="L899" i="19"/>
  <c r="L900" i="19"/>
  <c r="L901" i="19"/>
  <c r="L902" i="19"/>
  <c r="L903" i="19"/>
  <c r="L904" i="19"/>
  <c r="L905" i="19"/>
  <c r="L906" i="19"/>
  <c r="L907" i="19"/>
  <c r="L908" i="19"/>
  <c r="L909" i="19"/>
  <c r="L910" i="19"/>
  <c r="L911" i="19"/>
  <c r="L912" i="19"/>
  <c r="L913" i="19"/>
  <c r="L914" i="19"/>
  <c r="L915" i="19"/>
  <c r="L916" i="19"/>
  <c r="L917" i="19"/>
  <c r="L918" i="19"/>
  <c r="L919" i="19"/>
  <c r="L920" i="19"/>
  <c r="L921" i="19"/>
  <c r="L922" i="19"/>
  <c r="L923" i="19"/>
  <c r="L924" i="19"/>
  <c r="L925" i="19"/>
  <c r="L926" i="19"/>
  <c r="L927" i="19"/>
  <c r="L928" i="19"/>
  <c r="L929" i="19"/>
  <c r="L930" i="19"/>
  <c r="L931" i="19"/>
  <c r="L932" i="19"/>
  <c r="L933" i="19"/>
  <c r="L934" i="19"/>
  <c r="L935" i="19"/>
  <c r="L936" i="19"/>
  <c r="L937" i="19"/>
  <c r="L938" i="19"/>
  <c r="L939" i="19"/>
  <c r="L940" i="19"/>
  <c r="L941" i="19"/>
  <c r="L942" i="19"/>
  <c r="L943" i="19"/>
  <c r="L944" i="19"/>
  <c r="L945" i="19"/>
  <c r="L946" i="19"/>
  <c r="L947" i="19"/>
  <c r="L948" i="19"/>
  <c r="L949" i="19"/>
  <c r="L950" i="19"/>
  <c r="L951" i="19"/>
  <c r="L952" i="19"/>
  <c r="L953" i="19"/>
  <c r="L954" i="19"/>
  <c r="L955" i="19"/>
  <c r="L956" i="19"/>
  <c r="L957" i="19"/>
  <c r="L958" i="19"/>
  <c r="L959" i="19"/>
  <c r="L960" i="19"/>
  <c r="L961" i="19"/>
  <c r="L962" i="19"/>
  <c r="L963" i="19"/>
  <c r="L964" i="19"/>
  <c r="L965" i="19"/>
  <c r="L966" i="19"/>
  <c r="L967" i="19"/>
  <c r="L968" i="19"/>
  <c r="L969" i="19"/>
  <c r="L970" i="19"/>
  <c r="L971" i="19"/>
  <c r="L972" i="19"/>
  <c r="L973" i="19"/>
  <c r="L974" i="19"/>
  <c r="L975" i="19"/>
  <c r="L976" i="19"/>
  <c r="L977" i="19"/>
  <c r="L978" i="19"/>
  <c r="L979" i="19"/>
  <c r="L980" i="19"/>
  <c r="L981" i="19"/>
  <c r="L982" i="19"/>
  <c r="L983" i="19"/>
  <c r="L984" i="19"/>
  <c r="L985" i="19"/>
  <c r="L986" i="19"/>
  <c r="L987" i="19"/>
  <c r="L988" i="19"/>
  <c r="L989" i="19"/>
  <c r="L990" i="19"/>
  <c r="L991" i="19"/>
  <c r="L992" i="19"/>
  <c r="L993" i="19"/>
  <c r="L994" i="19"/>
  <c r="L995" i="19"/>
  <c r="L996" i="19"/>
  <c r="L997" i="19"/>
  <c r="L998" i="19"/>
  <c r="L999" i="19"/>
  <c r="L1000" i="19"/>
  <c r="L1001" i="19"/>
  <c r="L1002" i="19"/>
  <c r="L1003" i="19"/>
  <c r="L1004" i="19"/>
  <c r="L1005" i="19"/>
  <c r="L1006" i="19"/>
  <c r="L9" i="19"/>
  <c r="M6" i="19"/>
  <c r="M7" i="19"/>
  <c r="M5" i="19"/>
  <c r="L6" i="19"/>
  <c r="L7" i="19"/>
  <c r="L5" i="19"/>
  <c r="B29" i="19"/>
  <c r="B30" i="19"/>
  <c r="B31" i="19"/>
  <c r="B32" i="19"/>
  <c r="B33" i="19"/>
  <c r="B28" i="19"/>
  <c r="A29" i="19"/>
  <c r="A30" i="19"/>
  <c r="A31" i="19"/>
  <c r="A32" i="19"/>
  <c r="A33" i="19"/>
  <c r="A28" i="19"/>
  <c r="C12" i="19"/>
  <c r="C13" i="19"/>
  <c r="C14" i="19"/>
  <c r="C15" i="19"/>
  <c r="C16" i="19"/>
  <c r="C17" i="19"/>
  <c r="C18" i="19"/>
  <c r="C19" i="19"/>
  <c r="C20" i="19"/>
  <c r="C21" i="19"/>
  <c r="C22" i="19"/>
  <c r="C11" i="19"/>
  <c r="B12" i="19"/>
  <c r="B13" i="19"/>
  <c r="B14" i="19"/>
  <c r="B15" i="19"/>
  <c r="B16" i="19"/>
  <c r="B17" i="19"/>
  <c r="B18" i="19"/>
  <c r="B19" i="19"/>
  <c r="B20" i="19"/>
  <c r="B21" i="19"/>
  <c r="B22" i="19"/>
  <c r="B11" i="19"/>
  <c r="G3" i="19"/>
  <c r="D38" i="19" s="1"/>
  <c r="C33" i="18"/>
  <c r="E18" i="1" s="1"/>
  <c r="P1006" i="19"/>
  <c r="P1003" i="19"/>
  <c r="P1002" i="19"/>
  <c r="P1000" i="19"/>
  <c r="P999" i="19"/>
  <c r="P998" i="19"/>
  <c r="P997" i="19"/>
  <c r="P996" i="19"/>
  <c r="P994" i="19"/>
  <c r="P993" i="19"/>
  <c r="P990" i="19"/>
  <c r="P988" i="19"/>
  <c r="P987" i="19"/>
  <c r="P985" i="19"/>
  <c r="P984" i="19"/>
  <c r="P983" i="19"/>
  <c r="P979" i="19"/>
  <c r="P978" i="19"/>
  <c r="P974" i="19"/>
  <c r="P973" i="19"/>
  <c r="P972" i="19"/>
  <c r="P971" i="19"/>
  <c r="P970" i="19"/>
  <c r="P966" i="19"/>
  <c r="P963" i="19"/>
  <c r="P962" i="19"/>
  <c r="P961" i="19"/>
  <c r="P960" i="19"/>
  <c r="P959" i="19"/>
  <c r="P958" i="19"/>
  <c r="P956" i="19"/>
  <c r="P954" i="19"/>
  <c r="P951" i="19"/>
  <c r="P950" i="19"/>
  <c r="P949" i="19"/>
  <c r="P948" i="19"/>
  <c r="P947" i="19"/>
  <c r="P946" i="19"/>
  <c r="P943" i="19"/>
  <c r="P942" i="19"/>
  <c r="P938" i="19"/>
  <c r="P937" i="19"/>
  <c r="P936" i="19"/>
  <c r="P935" i="19"/>
  <c r="P934" i="19"/>
  <c r="P930" i="19"/>
  <c r="P927" i="19"/>
  <c r="P926" i="19"/>
  <c r="P925" i="19"/>
  <c r="P924" i="19"/>
  <c r="P923" i="19"/>
  <c r="P918" i="19"/>
  <c r="P916" i="19"/>
  <c r="P915" i="19"/>
  <c r="P914" i="19"/>
  <c r="P913" i="19"/>
  <c r="P912" i="19"/>
  <c r="P911" i="19"/>
  <c r="P910" i="19"/>
  <c r="P908" i="19"/>
  <c r="P906" i="19"/>
  <c r="P902" i="19"/>
  <c r="P901" i="19"/>
  <c r="P900" i="19"/>
  <c r="P899" i="19"/>
  <c r="P898" i="19"/>
  <c r="P894" i="19"/>
  <c r="P891" i="19"/>
  <c r="P890" i="19"/>
  <c r="P889" i="19"/>
  <c r="P888" i="19"/>
  <c r="P887" i="19"/>
  <c r="P886" i="19"/>
  <c r="P882" i="19"/>
  <c r="P879" i="19"/>
  <c r="P878" i="19"/>
  <c r="P877" i="19"/>
  <c r="P876" i="19"/>
  <c r="P875" i="19"/>
  <c r="P874" i="19"/>
  <c r="P870" i="19"/>
  <c r="P869" i="19"/>
  <c r="P866" i="19"/>
  <c r="P865" i="19"/>
  <c r="P864" i="19"/>
  <c r="P863" i="19"/>
  <c r="P862" i="19"/>
  <c r="P858" i="19"/>
  <c r="P856" i="19"/>
  <c r="P855" i="19"/>
  <c r="P854" i="19"/>
  <c r="P853" i="19"/>
  <c r="P852" i="19"/>
  <c r="P851" i="19"/>
  <c r="P850" i="19"/>
  <c r="P846" i="19"/>
  <c r="P845" i="19"/>
  <c r="P842" i="19"/>
  <c r="P841" i="19"/>
  <c r="P840" i="19"/>
  <c r="P839" i="19"/>
  <c r="P838" i="19"/>
  <c r="P834" i="19"/>
  <c r="P832" i="19"/>
  <c r="P830" i="19"/>
  <c r="P829" i="19"/>
  <c r="P828" i="19"/>
  <c r="P827" i="19"/>
  <c r="P826" i="19"/>
  <c r="P823" i="19"/>
  <c r="P822" i="19"/>
  <c r="P818" i="19"/>
  <c r="P817" i="19"/>
  <c r="P816" i="19"/>
  <c r="P815" i="19"/>
  <c r="P814" i="19"/>
  <c r="P811" i="19"/>
  <c r="P810" i="19"/>
  <c r="P808" i="19"/>
  <c r="P806" i="19"/>
  <c r="P805" i="19"/>
  <c r="P804" i="19"/>
  <c r="P803" i="19"/>
  <c r="P802" i="19"/>
  <c r="P801" i="19"/>
  <c r="P798" i="19"/>
  <c r="P796" i="19"/>
  <c r="P795" i="19"/>
  <c r="P794" i="19"/>
  <c r="P793" i="19"/>
  <c r="P792" i="19"/>
  <c r="P791" i="19"/>
  <c r="P790" i="19"/>
  <c r="P787" i="19"/>
  <c r="P786" i="19"/>
  <c r="P782" i="19"/>
  <c r="P781" i="19"/>
  <c r="P780" i="19"/>
  <c r="P779" i="19"/>
  <c r="P778" i="19"/>
  <c r="P775" i="19"/>
  <c r="P774" i="19"/>
  <c r="P772" i="19"/>
  <c r="P770" i="19"/>
  <c r="P769" i="19"/>
  <c r="P768" i="19"/>
  <c r="P767" i="19"/>
  <c r="P766" i="19"/>
  <c r="P762" i="19"/>
  <c r="P759" i="19"/>
  <c r="P758" i="19"/>
  <c r="P757" i="19"/>
  <c r="P756" i="19"/>
  <c r="P755" i="19"/>
  <c r="P754" i="19"/>
  <c r="P751" i="19"/>
  <c r="P750" i="19"/>
  <c r="P746" i="19"/>
  <c r="P745" i="19"/>
  <c r="P744" i="19"/>
  <c r="P743" i="19"/>
  <c r="P742" i="19"/>
  <c r="P739" i="19"/>
  <c r="P738" i="19"/>
  <c r="P736" i="19"/>
  <c r="P734" i="19"/>
  <c r="P733" i="19"/>
  <c r="P732" i="19"/>
  <c r="P731" i="19"/>
  <c r="P730" i="19"/>
  <c r="P726" i="19"/>
  <c r="P724" i="19"/>
  <c r="P723" i="19"/>
  <c r="P722" i="19"/>
  <c r="P721" i="19"/>
  <c r="P720" i="19"/>
  <c r="P719" i="19"/>
  <c r="P718" i="19"/>
  <c r="P715" i="19"/>
  <c r="P714" i="19"/>
  <c r="P710" i="19"/>
  <c r="P709" i="19"/>
  <c r="P708" i="19"/>
  <c r="P707" i="19"/>
  <c r="P706" i="19"/>
  <c r="P703" i="19"/>
  <c r="P702" i="19"/>
  <c r="P700" i="19"/>
  <c r="P698" i="19"/>
  <c r="P697" i="19"/>
  <c r="P696" i="19"/>
  <c r="P695" i="19"/>
  <c r="P694" i="19"/>
  <c r="P690" i="19"/>
  <c r="P689" i="19"/>
  <c r="P687" i="19"/>
  <c r="P686" i="19"/>
  <c r="P685" i="19"/>
  <c r="P684" i="19"/>
  <c r="P683" i="19"/>
  <c r="P682" i="19"/>
  <c r="P680" i="19"/>
  <c r="P678" i="19"/>
  <c r="P675" i="19"/>
  <c r="P674" i="19"/>
  <c r="P673" i="19"/>
  <c r="P672" i="19"/>
  <c r="P671" i="19"/>
  <c r="P670" i="19"/>
  <c r="P668" i="19"/>
  <c r="P666" i="19"/>
  <c r="P665" i="19"/>
  <c r="P662" i="19"/>
  <c r="P661" i="19"/>
  <c r="P660" i="19"/>
  <c r="P659" i="19"/>
  <c r="P658" i="19"/>
  <c r="P654" i="19"/>
  <c r="P652" i="19"/>
  <c r="P650" i="19"/>
  <c r="P649" i="19"/>
  <c r="P648" i="19"/>
  <c r="P647" i="19"/>
  <c r="P646" i="19"/>
  <c r="P644" i="19"/>
  <c r="P643" i="19"/>
  <c r="P642" i="19"/>
  <c r="P639" i="19"/>
  <c r="P638" i="19"/>
  <c r="P637" i="19"/>
  <c r="P636" i="19"/>
  <c r="P635" i="19"/>
  <c r="P634" i="19"/>
  <c r="P631" i="19"/>
  <c r="P630" i="19"/>
  <c r="P629" i="19"/>
  <c r="P626" i="19"/>
  <c r="P625" i="19"/>
  <c r="P624" i="19"/>
  <c r="P623" i="19"/>
  <c r="P622" i="19"/>
  <c r="P618" i="19"/>
  <c r="P616" i="19"/>
  <c r="P614" i="19"/>
  <c r="P613" i="19"/>
  <c r="P612" i="19"/>
  <c r="P611" i="19"/>
  <c r="P610" i="19"/>
  <c r="P607" i="19"/>
  <c r="P606" i="19"/>
  <c r="P603" i="19"/>
  <c r="P602" i="19"/>
  <c r="P601" i="19"/>
  <c r="P600" i="19"/>
  <c r="P599" i="19"/>
  <c r="P598" i="19"/>
  <c r="P595" i="19"/>
  <c r="P594" i="19"/>
  <c r="P592" i="19"/>
  <c r="P590" i="19"/>
  <c r="P589" i="19"/>
  <c r="P588" i="19"/>
  <c r="P587" i="19"/>
  <c r="P586" i="19"/>
  <c r="P585" i="19"/>
  <c r="P582" i="19"/>
  <c r="P580" i="19"/>
  <c r="P579" i="19"/>
  <c r="P578" i="19"/>
  <c r="P577" i="19"/>
  <c r="P576" i="19"/>
  <c r="P575" i="19"/>
  <c r="P574" i="19"/>
  <c r="P572" i="19"/>
  <c r="P570" i="19"/>
  <c r="P569" i="19"/>
  <c r="P566" i="19"/>
  <c r="P565" i="19"/>
  <c r="P564" i="19"/>
  <c r="P563" i="19"/>
  <c r="P562" i="19"/>
  <c r="P558" i="19"/>
  <c r="P557" i="19"/>
  <c r="P555" i="19"/>
  <c r="P554" i="19"/>
  <c r="P553" i="19"/>
  <c r="P552" i="19"/>
  <c r="P551" i="19"/>
  <c r="P550" i="19"/>
  <c r="P548" i="19"/>
  <c r="P547" i="19"/>
  <c r="P546" i="19"/>
  <c r="P543" i="19"/>
  <c r="P542" i="19"/>
  <c r="P541" i="19"/>
  <c r="P540" i="19"/>
  <c r="P539" i="19"/>
  <c r="P538" i="19"/>
  <c r="P535" i="19"/>
  <c r="P534" i="19"/>
  <c r="P533" i="19"/>
  <c r="P530" i="19"/>
  <c r="P529" i="19"/>
  <c r="P528" i="19"/>
  <c r="P527" i="19"/>
  <c r="P526" i="19"/>
  <c r="P522" i="19"/>
  <c r="P520" i="19"/>
  <c r="P519" i="19"/>
  <c r="P518" i="19"/>
  <c r="P517" i="19"/>
  <c r="P516" i="19"/>
  <c r="P515" i="19"/>
  <c r="P514" i="19"/>
  <c r="P512" i="19"/>
  <c r="P510" i="19"/>
  <c r="P507" i="19"/>
  <c r="P506" i="19"/>
  <c r="P505" i="19"/>
  <c r="P504" i="19"/>
  <c r="P503" i="19"/>
  <c r="P502" i="19"/>
  <c r="P499" i="19"/>
  <c r="P498" i="19"/>
  <c r="P496" i="19"/>
  <c r="P494" i="19"/>
  <c r="P493" i="19"/>
  <c r="P492" i="19"/>
  <c r="P491" i="19"/>
  <c r="P490" i="19"/>
  <c r="P486" i="19"/>
  <c r="P484" i="19"/>
  <c r="P483" i="19"/>
  <c r="P482" i="19"/>
  <c r="P481" i="19"/>
  <c r="P480" i="19"/>
  <c r="P479" i="19"/>
  <c r="P478" i="19"/>
  <c r="P475" i="19"/>
  <c r="P474" i="19"/>
  <c r="P471" i="19"/>
  <c r="P470" i="19"/>
  <c r="P469" i="19"/>
  <c r="P468" i="19"/>
  <c r="P467" i="19"/>
  <c r="P466" i="19"/>
  <c r="P463" i="19"/>
  <c r="P462" i="19"/>
  <c r="P460" i="19"/>
  <c r="P458" i="19"/>
  <c r="P457" i="19"/>
  <c r="P456" i="19"/>
  <c r="P455" i="19"/>
  <c r="P454" i="19"/>
  <c r="P453" i="19"/>
  <c r="P450" i="19"/>
  <c r="P448" i="19"/>
  <c r="P447" i="19"/>
  <c r="P446" i="19"/>
  <c r="P445" i="19"/>
  <c r="P444" i="19"/>
  <c r="P443" i="19"/>
  <c r="P442" i="19"/>
  <c r="P440" i="19"/>
  <c r="P438" i="19"/>
  <c r="P434" i="19"/>
  <c r="P433" i="19"/>
  <c r="P432" i="19"/>
  <c r="P431" i="19"/>
  <c r="P430" i="19"/>
  <c r="P426" i="19"/>
  <c r="P425" i="19"/>
  <c r="P423" i="19"/>
  <c r="P422" i="19"/>
  <c r="P421" i="19"/>
  <c r="P420" i="19"/>
  <c r="P419" i="19"/>
  <c r="P418" i="19"/>
  <c r="P415" i="19"/>
  <c r="P414" i="19"/>
  <c r="P411" i="19"/>
  <c r="P410" i="19"/>
  <c r="P409" i="19"/>
  <c r="P408" i="19"/>
  <c r="P407" i="19"/>
  <c r="P406" i="19"/>
  <c r="P403" i="19"/>
  <c r="P402" i="19"/>
  <c r="P401" i="19"/>
  <c r="P398" i="19"/>
  <c r="P397" i="19"/>
  <c r="P396" i="19"/>
  <c r="P395" i="19"/>
  <c r="P394" i="19"/>
  <c r="P390" i="19"/>
  <c r="P389" i="19"/>
  <c r="P387" i="19"/>
  <c r="P386" i="19"/>
  <c r="P385" i="19"/>
  <c r="P384" i="19"/>
  <c r="P383" i="19"/>
  <c r="P382" i="19"/>
  <c r="P380" i="19"/>
  <c r="P379" i="19"/>
  <c r="P378" i="19"/>
  <c r="P375" i="19"/>
  <c r="P374" i="19"/>
  <c r="P373" i="19"/>
  <c r="P372" i="19"/>
  <c r="P371" i="19"/>
  <c r="P370" i="19"/>
  <c r="P368" i="19"/>
  <c r="P366" i="19"/>
  <c r="P365" i="19"/>
  <c r="P362" i="19"/>
  <c r="P361" i="19"/>
  <c r="P360" i="19"/>
  <c r="P359" i="19"/>
  <c r="P358" i="19"/>
  <c r="P354" i="19"/>
  <c r="P351" i="19"/>
  <c r="P350" i="19"/>
  <c r="P349" i="19"/>
  <c r="P348" i="19"/>
  <c r="P347" i="19"/>
  <c r="P346" i="19"/>
  <c r="P344" i="19"/>
  <c r="P343" i="19"/>
  <c r="P342" i="19"/>
  <c r="P339" i="19"/>
  <c r="P338" i="19"/>
  <c r="P337" i="19"/>
  <c r="P336" i="19"/>
  <c r="P335" i="19"/>
  <c r="P334" i="19"/>
  <c r="P331" i="19"/>
  <c r="P330" i="19"/>
  <c r="P326" i="19"/>
  <c r="P325" i="19"/>
  <c r="P324" i="19"/>
  <c r="P323" i="19"/>
  <c r="P322" i="19"/>
  <c r="P318" i="19"/>
  <c r="P316" i="19"/>
  <c r="P315" i="19"/>
  <c r="P314" i="19"/>
  <c r="P313" i="19"/>
  <c r="P312" i="19"/>
  <c r="P311" i="19"/>
  <c r="P310" i="19"/>
  <c r="P309" i="19"/>
  <c r="P307" i="19"/>
  <c r="P306" i="19"/>
  <c r="P302" i="19"/>
  <c r="P301" i="19"/>
  <c r="P300" i="19"/>
  <c r="P299" i="19"/>
  <c r="P298" i="19"/>
  <c r="P295" i="19"/>
  <c r="P294" i="19"/>
  <c r="P292" i="19"/>
  <c r="P290" i="19"/>
  <c r="P289" i="19"/>
  <c r="P288" i="19"/>
  <c r="P287" i="19"/>
  <c r="P286" i="19"/>
  <c r="P282" i="19"/>
  <c r="P280" i="19"/>
  <c r="P278" i="19"/>
  <c r="P277" i="19"/>
  <c r="P276" i="19"/>
  <c r="P275" i="19"/>
  <c r="P274" i="19"/>
  <c r="P271" i="19"/>
  <c r="P270" i="19"/>
  <c r="P266" i="19"/>
  <c r="P265" i="19"/>
  <c r="P264" i="19"/>
  <c r="P263" i="19"/>
  <c r="P262" i="19"/>
  <c r="P259" i="19"/>
  <c r="P258" i="19"/>
  <c r="P256" i="19"/>
  <c r="P255" i="19"/>
  <c r="P254" i="19"/>
  <c r="P253" i="19"/>
  <c r="P252" i="19"/>
  <c r="P251" i="19"/>
  <c r="P250" i="19"/>
  <c r="P248" i="19"/>
  <c r="P246" i="19"/>
  <c r="P243" i="19"/>
  <c r="P242" i="19"/>
  <c r="P241" i="19"/>
  <c r="P240" i="19"/>
  <c r="P239" i="19"/>
  <c r="P238" i="19"/>
  <c r="P236" i="19"/>
  <c r="P235" i="19"/>
  <c r="P234" i="19"/>
  <c r="P233" i="19"/>
  <c r="P230" i="19"/>
  <c r="P229" i="19"/>
  <c r="P228" i="19"/>
  <c r="P227" i="19"/>
  <c r="P226" i="19"/>
  <c r="P222" i="19"/>
  <c r="P221" i="19"/>
  <c r="P219" i="19"/>
  <c r="P218" i="19"/>
  <c r="P217" i="19"/>
  <c r="P216" i="19"/>
  <c r="P215" i="19"/>
  <c r="P214" i="19"/>
  <c r="P212" i="19"/>
  <c r="P210" i="19"/>
  <c r="P207" i="19"/>
  <c r="P206" i="19"/>
  <c r="P205" i="19"/>
  <c r="P204" i="19"/>
  <c r="P203" i="19"/>
  <c r="P202" i="19"/>
  <c r="P200" i="19"/>
  <c r="P198" i="19"/>
  <c r="P197" i="19"/>
  <c r="P194" i="19"/>
  <c r="P193" i="19"/>
  <c r="P192" i="19"/>
  <c r="P191" i="19"/>
  <c r="P190" i="19"/>
  <c r="P186" i="19"/>
  <c r="P185" i="19"/>
  <c r="P183" i="19"/>
  <c r="P182" i="19"/>
  <c r="P181" i="19"/>
  <c r="P180" i="19"/>
  <c r="P179" i="19"/>
  <c r="P178" i="19"/>
  <c r="P175" i="19"/>
  <c r="P174" i="19"/>
  <c r="P170" i="19"/>
  <c r="P169" i="19"/>
  <c r="P168" i="19"/>
  <c r="P167" i="19"/>
  <c r="P166" i="19"/>
  <c r="P163" i="19"/>
  <c r="P162" i="19"/>
  <c r="P160" i="19"/>
  <c r="P159" i="19"/>
  <c r="P158" i="19"/>
  <c r="P157" i="19"/>
  <c r="P156" i="19"/>
  <c r="P155" i="19"/>
  <c r="P154" i="19"/>
  <c r="P153" i="19"/>
  <c r="P150" i="19"/>
  <c r="P148" i="19"/>
  <c r="P147" i="19"/>
  <c r="P146" i="19"/>
  <c r="P145" i="19"/>
  <c r="P144" i="19"/>
  <c r="P143" i="19"/>
  <c r="P142" i="19"/>
  <c r="P140" i="19"/>
  <c r="P139" i="19"/>
  <c r="P138" i="19"/>
  <c r="P135" i="19"/>
  <c r="P134" i="19"/>
  <c r="P133" i="19"/>
  <c r="P132" i="19"/>
  <c r="P131" i="19"/>
  <c r="P130" i="19"/>
  <c r="P127" i="19"/>
  <c r="P126" i="19"/>
  <c r="P124" i="19"/>
  <c r="P122" i="19"/>
  <c r="P121" i="19"/>
  <c r="P120" i="19"/>
  <c r="P119" i="19"/>
  <c r="P118" i="19"/>
  <c r="P117" i="19"/>
  <c r="P114" i="19"/>
  <c r="P112" i="19"/>
  <c r="P111" i="19"/>
  <c r="P110" i="19"/>
  <c r="P109" i="19"/>
  <c r="P108" i="19"/>
  <c r="P107" i="19"/>
  <c r="P106" i="19"/>
  <c r="P103" i="19"/>
  <c r="P102" i="19"/>
  <c r="P98" i="19"/>
  <c r="P97" i="19"/>
  <c r="P96" i="19"/>
  <c r="P95" i="19"/>
  <c r="P94" i="19"/>
  <c r="P91" i="19"/>
  <c r="P90" i="19"/>
  <c r="P88" i="19"/>
  <c r="P86" i="19"/>
  <c r="P85" i="19"/>
  <c r="P84" i="19"/>
  <c r="P83" i="19"/>
  <c r="P82" i="19"/>
  <c r="P81" i="19"/>
  <c r="P78" i="19"/>
  <c r="P75" i="19"/>
  <c r="P74" i="19"/>
  <c r="P73" i="19"/>
  <c r="P72" i="19"/>
  <c r="P71" i="19"/>
  <c r="P70" i="19"/>
  <c r="P68" i="19"/>
  <c r="P66" i="19"/>
  <c r="P62" i="19"/>
  <c r="P61" i="19"/>
  <c r="P60" i="19"/>
  <c r="P59" i="19"/>
  <c r="P58" i="19"/>
  <c r="P54" i="19"/>
  <c r="P51" i="19"/>
  <c r="P50" i="19"/>
  <c r="P49" i="19"/>
  <c r="P48" i="19"/>
  <c r="P47" i="19"/>
  <c r="P46" i="19"/>
  <c r="P44" i="19"/>
  <c r="P42" i="19"/>
  <c r="D42" i="19"/>
  <c r="P40" i="19"/>
  <c r="P39" i="19"/>
  <c r="P38" i="19"/>
  <c r="P37" i="19"/>
  <c r="P36" i="19"/>
  <c r="P35" i="19"/>
  <c r="P34" i="19"/>
  <c r="P31" i="19"/>
  <c r="P30" i="19"/>
  <c r="D28" i="19"/>
  <c r="P27" i="19"/>
  <c r="B27" i="19"/>
  <c r="A27" i="19"/>
  <c r="P26" i="19"/>
  <c r="P25" i="19"/>
  <c r="P24" i="19"/>
  <c r="P23" i="19"/>
  <c r="P22" i="19"/>
  <c r="P20" i="19"/>
  <c r="P18" i="19"/>
  <c r="P17" i="19"/>
  <c r="P14" i="19"/>
  <c r="P13" i="19"/>
  <c r="P12" i="19"/>
  <c r="P11" i="19"/>
  <c r="P10" i="19"/>
  <c r="C10" i="19"/>
  <c r="B10" i="19"/>
  <c r="P9" i="19"/>
  <c r="P7" i="19"/>
  <c r="P6" i="19"/>
  <c r="P5" i="19"/>
  <c r="M4" i="19"/>
  <c r="L4" i="19"/>
  <c r="C33" i="16"/>
  <c r="M10" i="17"/>
  <c r="M11" i="17"/>
  <c r="M12" i="17"/>
  <c r="M13" i="17"/>
  <c r="M14" i="17"/>
  <c r="M15" i="17"/>
  <c r="M16" i="17"/>
  <c r="P16" i="17" s="1"/>
  <c r="M17" i="17"/>
  <c r="M18" i="17"/>
  <c r="M19" i="17"/>
  <c r="P19" i="17" s="1"/>
  <c r="M20" i="17"/>
  <c r="P20" i="17" s="1"/>
  <c r="M21" i="17"/>
  <c r="P21" i="17" s="1"/>
  <c r="M22" i="17"/>
  <c r="M23" i="17"/>
  <c r="M24" i="17"/>
  <c r="M25" i="17"/>
  <c r="M26" i="17"/>
  <c r="M27" i="17"/>
  <c r="P27" i="17" s="1"/>
  <c r="M28" i="17"/>
  <c r="P28" i="17" s="1"/>
  <c r="M29" i="17"/>
  <c r="P29" i="17" s="1"/>
  <c r="M30" i="17"/>
  <c r="M31" i="17"/>
  <c r="P31" i="17" s="1"/>
  <c r="M32" i="17"/>
  <c r="P32" i="17" s="1"/>
  <c r="M33" i="17"/>
  <c r="P33" i="17" s="1"/>
  <c r="M34" i="17"/>
  <c r="M35" i="17"/>
  <c r="M36" i="17"/>
  <c r="M37" i="17"/>
  <c r="M38" i="17"/>
  <c r="M39" i="17"/>
  <c r="M40" i="17"/>
  <c r="P40" i="17" s="1"/>
  <c r="M41" i="17"/>
  <c r="P41" i="17" s="1"/>
  <c r="M42" i="17"/>
  <c r="M43" i="17"/>
  <c r="M44" i="17"/>
  <c r="P44" i="17" s="1"/>
  <c r="M45" i="17"/>
  <c r="P45" i="17" s="1"/>
  <c r="M46" i="17"/>
  <c r="M47" i="17"/>
  <c r="M48" i="17"/>
  <c r="M49" i="17"/>
  <c r="M50" i="17"/>
  <c r="M51" i="17"/>
  <c r="M52" i="17"/>
  <c r="P52" i="17" s="1"/>
  <c r="M53" i="17"/>
  <c r="P53" i="17" s="1"/>
  <c r="M54" i="17"/>
  <c r="M55" i="17"/>
  <c r="P55" i="17" s="1"/>
  <c r="M56" i="17"/>
  <c r="P56" i="17" s="1"/>
  <c r="M57" i="17"/>
  <c r="P57" i="17" s="1"/>
  <c r="M58" i="17"/>
  <c r="M59" i="17"/>
  <c r="M60" i="17"/>
  <c r="M61" i="17"/>
  <c r="M62" i="17"/>
  <c r="M63" i="17"/>
  <c r="P63" i="17" s="1"/>
  <c r="M64" i="17"/>
  <c r="P64" i="17" s="1"/>
  <c r="M65" i="17"/>
  <c r="P65" i="17" s="1"/>
  <c r="M66" i="17"/>
  <c r="M67" i="17"/>
  <c r="P67" i="17" s="1"/>
  <c r="M68" i="17"/>
  <c r="M69" i="17"/>
  <c r="P69" i="17" s="1"/>
  <c r="M70" i="17"/>
  <c r="M71" i="17"/>
  <c r="M72" i="17"/>
  <c r="M73" i="17"/>
  <c r="M74" i="17"/>
  <c r="M75" i="17"/>
  <c r="M76" i="17"/>
  <c r="P76" i="17" s="1"/>
  <c r="M77" i="17"/>
  <c r="P77" i="17" s="1"/>
  <c r="M78" i="17"/>
  <c r="M79" i="17"/>
  <c r="P79" i="17" s="1"/>
  <c r="M80" i="17"/>
  <c r="M81" i="17"/>
  <c r="P81" i="17" s="1"/>
  <c r="M82" i="17"/>
  <c r="M83" i="17"/>
  <c r="M84" i="17"/>
  <c r="M85" i="17"/>
  <c r="M86" i="17"/>
  <c r="M87" i="17"/>
  <c r="M88" i="17"/>
  <c r="P88" i="17" s="1"/>
  <c r="M89" i="17"/>
  <c r="P89" i="17" s="1"/>
  <c r="M90" i="17"/>
  <c r="M91" i="17"/>
  <c r="P91" i="17" s="1"/>
  <c r="M92" i="17"/>
  <c r="P92" i="17" s="1"/>
  <c r="M93" i="17"/>
  <c r="P93" i="17" s="1"/>
  <c r="M94" i="17"/>
  <c r="M95" i="17"/>
  <c r="M96" i="17"/>
  <c r="M97" i="17"/>
  <c r="M98" i="17"/>
  <c r="M99" i="17"/>
  <c r="P99" i="17" s="1"/>
  <c r="M100" i="17"/>
  <c r="P100" i="17" s="1"/>
  <c r="M101" i="17"/>
  <c r="P101" i="17" s="1"/>
  <c r="M102" i="17"/>
  <c r="M103" i="17"/>
  <c r="P103" i="17" s="1"/>
  <c r="M104" i="17"/>
  <c r="M105" i="17"/>
  <c r="P105" i="17" s="1"/>
  <c r="M106" i="17"/>
  <c r="M107" i="17"/>
  <c r="M108" i="17"/>
  <c r="M109" i="17"/>
  <c r="M110" i="17"/>
  <c r="M111" i="17"/>
  <c r="M112" i="17"/>
  <c r="P112" i="17" s="1"/>
  <c r="M113" i="17"/>
  <c r="P113" i="17" s="1"/>
  <c r="M114" i="17"/>
  <c r="M115" i="17"/>
  <c r="P115" i="17" s="1"/>
  <c r="M116" i="17"/>
  <c r="M117" i="17"/>
  <c r="P117" i="17" s="1"/>
  <c r="M118" i="17"/>
  <c r="M119" i="17"/>
  <c r="M120" i="17"/>
  <c r="M121" i="17"/>
  <c r="M122" i="17"/>
  <c r="M123" i="17"/>
  <c r="M124" i="17"/>
  <c r="P124" i="17" s="1"/>
  <c r="M125" i="17"/>
  <c r="P125" i="17" s="1"/>
  <c r="M126" i="17"/>
  <c r="M127" i="17"/>
  <c r="P127" i="17" s="1"/>
  <c r="M128" i="17"/>
  <c r="P128" i="17" s="1"/>
  <c r="M129" i="17"/>
  <c r="P129" i="17" s="1"/>
  <c r="M130" i="17"/>
  <c r="M131" i="17"/>
  <c r="M132" i="17"/>
  <c r="M133" i="17"/>
  <c r="M134" i="17"/>
  <c r="M135" i="17"/>
  <c r="P135" i="17" s="1"/>
  <c r="M136" i="17"/>
  <c r="P136" i="17" s="1"/>
  <c r="M137" i="17"/>
  <c r="P137" i="17" s="1"/>
  <c r="M138" i="17"/>
  <c r="M139" i="17"/>
  <c r="P139" i="17" s="1"/>
  <c r="M140" i="17"/>
  <c r="M141" i="17"/>
  <c r="P141" i="17" s="1"/>
  <c r="M142" i="17"/>
  <c r="M143" i="17"/>
  <c r="M144" i="17"/>
  <c r="M145" i="17"/>
  <c r="M146" i="17"/>
  <c r="M147" i="17"/>
  <c r="M148" i="17"/>
  <c r="P148" i="17" s="1"/>
  <c r="M149" i="17"/>
  <c r="P149" i="17" s="1"/>
  <c r="M150" i="17"/>
  <c r="M151" i="17"/>
  <c r="P151" i="17" s="1"/>
  <c r="M152" i="17"/>
  <c r="M153" i="17"/>
  <c r="P153" i="17" s="1"/>
  <c r="M154" i="17"/>
  <c r="M155" i="17"/>
  <c r="M156" i="17"/>
  <c r="M157" i="17"/>
  <c r="M158" i="17"/>
  <c r="M159" i="17"/>
  <c r="M160" i="17"/>
  <c r="M161" i="17"/>
  <c r="P161" i="17" s="1"/>
  <c r="M162" i="17"/>
  <c r="M163" i="17"/>
  <c r="M164" i="17"/>
  <c r="P164" i="17" s="1"/>
  <c r="M165" i="17"/>
  <c r="P165" i="17" s="1"/>
  <c r="M166" i="17"/>
  <c r="M167" i="17"/>
  <c r="M168" i="17"/>
  <c r="M169" i="17"/>
  <c r="M170" i="17"/>
  <c r="M171" i="17"/>
  <c r="P171" i="17" s="1"/>
  <c r="M172" i="17"/>
  <c r="P172" i="17" s="1"/>
  <c r="M173" i="17"/>
  <c r="P173" i="17" s="1"/>
  <c r="M174" i="17"/>
  <c r="M175" i="17"/>
  <c r="M176" i="17"/>
  <c r="M177" i="17"/>
  <c r="P177" i="17" s="1"/>
  <c r="M178" i="17"/>
  <c r="M179" i="17"/>
  <c r="M180" i="17"/>
  <c r="M181" i="17"/>
  <c r="M182" i="17"/>
  <c r="M183" i="17"/>
  <c r="M184" i="17"/>
  <c r="P184" i="17" s="1"/>
  <c r="M185" i="17"/>
  <c r="P185" i="17" s="1"/>
  <c r="M186" i="17"/>
  <c r="M187" i="17"/>
  <c r="P187" i="17" s="1"/>
  <c r="M188" i="17"/>
  <c r="P188" i="17" s="1"/>
  <c r="M189" i="17"/>
  <c r="P189" i="17" s="1"/>
  <c r="M190" i="17"/>
  <c r="M191" i="17"/>
  <c r="M192" i="17"/>
  <c r="M193" i="17"/>
  <c r="M194" i="17"/>
  <c r="M195" i="17"/>
  <c r="P195" i="17" s="1"/>
  <c r="M196" i="17"/>
  <c r="P196" i="17" s="1"/>
  <c r="M197" i="17"/>
  <c r="P197" i="17" s="1"/>
  <c r="M198" i="17"/>
  <c r="M199" i="17"/>
  <c r="P199" i="17" s="1"/>
  <c r="M200" i="17"/>
  <c r="M201" i="17"/>
  <c r="P201" i="17" s="1"/>
  <c r="M202" i="17"/>
  <c r="M203" i="17"/>
  <c r="M204" i="17"/>
  <c r="M205" i="17"/>
  <c r="M206" i="17"/>
  <c r="M207" i="17"/>
  <c r="M208" i="17"/>
  <c r="P208" i="17" s="1"/>
  <c r="M209" i="17"/>
  <c r="P209" i="17" s="1"/>
  <c r="M210" i="17"/>
  <c r="M211" i="17"/>
  <c r="P211" i="17" s="1"/>
  <c r="M212" i="17"/>
  <c r="M213" i="17"/>
  <c r="P213" i="17" s="1"/>
  <c r="M214" i="17"/>
  <c r="M215" i="17"/>
  <c r="M216" i="17"/>
  <c r="M217" i="17"/>
  <c r="M218" i="17"/>
  <c r="M219" i="17"/>
  <c r="M220" i="17"/>
  <c r="P220" i="17" s="1"/>
  <c r="M221" i="17"/>
  <c r="P221" i="17" s="1"/>
  <c r="M222" i="17"/>
  <c r="M223" i="17"/>
  <c r="P223" i="17" s="1"/>
  <c r="M224" i="17"/>
  <c r="P224" i="17" s="1"/>
  <c r="M225" i="17"/>
  <c r="P225" i="17" s="1"/>
  <c r="M226" i="17"/>
  <c r="M227" i="17"/>
  <c r="M228" i="17"/>
  <c r="M229" i="17"/>
  <c r="M230" i="17"/>
  <c r="M231" i="17"/>
  <c r="P231" i="17" s="1"/>
  <c r="M232" i="17"/>
  <c r="P232" i="17" s="1"/>
  <c r="M233" i="17"/>
  <c r="M234" i="17"/>
  <c r="M235" i="17"/>
  <c r="P235" i="17" s="1"/>
  <c r="M236" i="17"/>
  <c r="M237" i="17"/>
  <c r="P237" i="17" s="1"/>
  <c r="M238" i="17"/>
  <c r="M239" i="17"/>
  <c r="M240" i="17"/>
  <c r="M241" i="17"/>
  <c r="M242" i="17"/>
  <c r="M243" i="17"/>
  <c r="M244" i="17"/>
  <c r="M245" i="17"/>
  <c r="P245" i="17" s="1"/>
  <c r="M246" i="17"/>
  <c r="M247" i="17"/>
  <c r="P247" i="17" s="1"/>
  <c r="M248" i="17"/>
  <c r="P248" i="17" s="1"/>
  <c r="M249" i="17"/>
  <c r="P249" i="17" s="1"/>
  <c r="M250" i="17"/>
  <c r="M251" i="17"/>
  <c r="M252" i="17"/>
  <c r="M253" i="17"/>
  <c r="M254" i="17"/>
  <c r="M255" i="17"/>
  <c r="P255" i="17" s="1"/>
  <c r="M256" i="17"/>
  <c r="M257" i="17"/>
  <c r="P257" i="17" s="1"/>
  <c r="M258" i="17"/>
  <c r="M259" i="17"/>
  <c r="M260" i="17"/>
  <c r="P260" i="17" s="1"/>
  <c r="M261" i="17"/>
  <c r="P261" i="17" s="1"/>
  <c r="M262" i="17"/>
  <c r="M263" i="17"/>
  <c r="M264" i="17"/>
  <c r="M265" i="17"/>
  <c r="M266" i="17"/>
  <c r="M267" i="17"/>
  <c r="P267" i="17" s="1"/>
  <c r="M268" i="17"/>
  <c r="P268" i="17" s="1"/>
  <c r="M269" i="17"/>
  <c r="P269" i="17" s="1"/>
  <c r="M270" i="17"/>
  <c r="M271" i="17"/>
  <c r="M272" i="17"/>
  <c r="P272" i="17" s="1"/>
  <c r="M273" i="17"/>
  <c r="P273" i="17" s="1"/>
  <c r="M274" i="17"/>
  <c r="M275" i="17"/>
  <c r="M276" i="17"/>
  <c r="M277" i="17"/>
  <c r="M278" i="17"/>
  <c r="M279" i="17"/>
  <c r="M280" i="17"/>
  <c r="P280" i="17" s="1"/>
  <c r="M281" i="17"/>
  <c r="M282" i="17"/>
  <c r="M283" i="17"/>
  <c r="P283" i="17" s="1"/>
  <c r="M284" i="17"/>
  <c r="P284" i="17" s="1"/>
  <c r="M285" i="17"/>
  <c r="P285" i="17" s="1"/>
  <c r="M286" i="17"/>
  <c r="M287" i="17"/>
  <c r="M288" i="17"/>
  <c r="M289" i="17"/>
  <c r="M290" i="17"/>
  <c r="M291" i="17"/>
  <c r="P291" i="17" s="1"/>
  <c r="M292" i="17"/>
  <c r="P292" i="17" s="1"/>
  <c r="M293" i="17"/>
  <c r="P293" i="17" s="1"/>
  <c r="M294" i="17"/>
  <c r="M295" i="17"/>
  <c r="M296" i="17"/>
  <c r="M297" i="17"/>
  <c r="P297" i="17" s="1"/>
  <c r="M298" i="17"/>
  <c r="M299" i="17"/>
  <c r="M300" i="17"/>
  <c r="M301" i="17"/>
  <c r="M302" i="17"/>
  <c r="M303" i="17"/>
  <c r="M304" i="17"/>
  <c r="P304" i="17" s="1"/>
  <c r="M305" i="17"/>
  <c r="P305" i="17" s="1"/>
  <c r="M306" i="17"/>
  <c r="M307" i="17"/>
  <c r="P307" i="17" s="1"/>
  <c r="M308" i="17"/>
  <c r="M309" i="17"/>
  <c r="P309" i="17" s="1"/>
  <c r="M310" i="17"/>
  <c r="M311" i="17"/>
  <c r="M312" i="17"/>
  <c r="M313" i="17"/>
  <c r="M314" i="17"/>
  <c r="M315" i="17"/>
  <c r="M316" i="17"/>
  <c r="M317" i="17"/>
  <c r="P317" i="17" s="1"/>
  <c r="M318" i="17"/>
  <c r="M319" i="17"/>
  <c r="M320" i="17"/>
  <c r="P320" i="17" s="1"/>
  <c r="M321" i="17"/>
  <c r="P321" i="17" s="1"/>
  <c r="M322" i="17"/>
  <c r="M323" i="17"/>
  <c r="M324" i="17"/>
  <c r="M325" i="17"/>
  <c r="M326" i="17"/>
  <c r="M327" i="17"/>
  <c r="P327" i="17" s="1"/>
  <c r="M328" i="17"/>
  <c r="P328" i="17" s="1"/>
  <c r="M329" i="17"/>
  <c r="P329" i="17" s="1"/>
  <c r="M330" i="17"/>
  <c r="M331" i="17"/>
  <c r="M332" i="17"/>
  <c r="P332" i="17" s="1"/>
  <c r="M333" i="17"/>
  <c r="P333" i="17" s="1"/>
  <c r="M334" i="17"/>
  <c r="M335" i="17"/>
  <c r="M336" i="17"/>
  <c r="M337" i="17"/>
  <c r="M338" i="17"/>
  <c r="M339" i="17"/>
  <c r="P339" i="17" s="1"/>
  <c r="M340" i="17"/>
  <c r="M341" i="17"/>
  <c r="P341" i="17" s="1"/>
  <c r="M342" i="17"/>
  <c r="M343" i="17"/>
  <c r="P343" i="17" s="1"/>
  <c r="M344" i="17"/>
  <c r="P344" i="17" s="1"/>
  <c r="M345" i="17"/>
  <c r="P345" i="17" s="1"/>
  <c r="M346" i="17"/>
  <c r="M347" i="17"/>
  <c r="M348" i="17"/>
  <c r="M349" i="17"/>
  <c r="M350" i="17"/>
  <c r="M351" i="17"/>
  <c r="M352" i="17"/>
  <c r="P352" i="17" s="1"/>
  <c r="M353" i="17"/>
  <c r="P353" i="17" s="1"/>
  <c r="M354" i="17"/>
  <c r="M355" i="17"/>
  <c r="M356" i="17"/>
  <c r="P356" i="17" s="1"/>
  <c r="M357" i="17"/>
  <c r="P357" i="17" s="1"/>
  <c r="M358" i="17"/>
  <c r="M359" i="17"/>
  <c r="M360" i="17"/>
  <c r="M361" i="17"/>
  <c r="M362" i="17"/>
  <c r="M363" i="17"/>
  <c r="P363" i="17" s="1"/>
  <c r="M364" i="17"/>
  <c r="P364" i="17" s="1"/>
  <c r="M365" i="17"/>
  <c r="P365" i="17" s="1"/>
  <c r="M366" i="17"/>
  <c r="M367" i="17"/>
  <c r="P367" i="17" s="1"/>
  <c r="M368" i="17"/>
  <c r="M369" i="17"/>
  <c r="P369" i="17" s="1"/>
  <c r="M370" i="17"/>
  <c r="M371" i="17"/>
  <c r="M372" i="17"/>
  <c r="M373" i="17"/>
  <c r="M374" i="17"/>
  <c r="M375" i="17"/>
  <c r="M376" i="17"/>
  <c r="P376" i="17" s="1"/>
  <c r="M377" i="17"/>
  <c r="P377" i="17" s="1"/>
  <c r="M378" i="17"/>
  <c r="M379" i="17"/>
  <c r="P379" i="17" s="1"/>
  <c r="M380" i="17"/>
  <c r="P380" i="17" s="1"/>
  <c r="M381" i="17"/>
  <c r="P381" i="17" s="1"/>
  <c r="M382" i="17"/>
  <c r="M383" i="17"/>
  <c r="M384" i="17"/>
  <c r="M385" i="17"/>
  <c r="M386" i="17"/>
  <c r="M387" i="17"/>
  <c r="M388" i="17"/>
  <c r="M389" i="17"/>
  <c r="P389" i="17" s="1"/>
  <c r="M390" i="17"/>
  <c r="M391" i="17"/>
  <c r="M392" i="17"/>
  <c r="P392" i="17" s="1"/>
  <c r="M393" i="17"/>
  <c r="P393" i="17" s="1"/>
  <c r="M394" i="17"/>
  <c r="M395" i="17"/>
  <c r="M396" i="17"/>
  <c r="M397" i="17"/>
  <c r="M398" i="17"/>
  <c r="M399" i="17"/>
  <c r="P399" i="17" s="1"/>
  <c r="M400" i="17"/>
  <c r="P400" i="17" s="1"/>
  <c r="M401" i="17"/>
  <c r="P401" i="17" s="1"/>
  <c r="M402" i="17"/>
  <c r="M403" i="17"/>
  <c r="M404" i="17"/>
  <c r="P404" i="17" s="1"/>
  <c r="M405" i="17"/>
  <c r="P405" i="17" s="1"/>
  <c r="M406" i="17"/>
  <c r="M407" i="17"/>
  <c r="M408" i="17"/>
  <c r="M409" i="17"/>
  <c r="M410" i="17"/>
  <c r="M411" i="17"/>
  <c r="P411" i="17" s="1"/>
  <c r="M412" i="17"/>
  <c r="M413" i="17"/>
  <c r="P413" i="17" s="1"/>
  <c r="M414" i="17"/>
  <c r="M415" i="17"/>
  <c r="P415" i="17" s="1"/>
  <c r="M416" i="17"/>
  <c r="P416" i="17" s="1"/>
  <c r="M417" i="17"/>
  <c r="P417" i="17" s="1"/>
  <c r="M418" i="17"/>
  <c r="M419" i="17"/>
  <c r="M420" i="17"/>
  <c r="M421" i="17"/>
  <c r="M422" i="17"/>
  <c r="M423" i="17"/>
  <c r="P423" i="17" s="1"/>
  <c r="M424" i="17"/>
  <c r="M425" i="17"/>
  <c r="P425" i="17" s="1"/>
  <c r="M426" i="17"/>
  <c r="M427" i="17"/>
  <c r="M428" i="17"/>
  <c r="P428" i="17" s="1"/>
  <c r="M429" i="17"/>
  <c r="P429" i="17" s="1"/>
  <c r="M430" i="17"/>
  <c r="M431" i="17"/>
  <c r="M432" i="17"/>
  <c r="M433" i="17"/>
  <c r="M434" i="17"/>
  <c r="M435" i="17"/>
  <c r="P435" i="17" s="1"/>
  <c r="M436" i="17"/>
  <c r="P436" i="17" s="1"/>
  <c r="M437" i="17"/>
  <c r="P437" i="17" s="1"/>
  <c r="M438" i="17"/>
  <c r="M439" i="17"/>
  <c r="M440" i="17"/>
  <c r="P440" i="17" s="1"/>
  <c r="M441" i="17"/>
  <c r="P441" i="17" s="1"/>
  <c r="M442" i="17"/>
  <c r="M443" i="17"/>
  <c r="M444" i="17"/>
  <c r="M445" i="17"/>
  <c r="M446" i="17"/>
  <c r="M447" i="17"/>
  <c r="P447" i="17" s="1"/>
  <c r="M448" i="17"/>
  <c r="M449" i="17"/>
  <c r="P449" i="17" s="1"/>
  <c r="M450" i="17"/>
  <c r="M451" i="17"/>
  <c r="P451" i="17" s="1"/>
  <c r="M452" i="17"/>
  <c r="P452" i="17" s="1"/>
  <c r="M453" i="17"/>
  <c r="P453" i="17" s="1"/>
  <c r="M454" i="17"/>
  <c r="M455" i="17"/>
  <c r="M456" i="17"/>
  <c r="M457" i="17"/>
  <c r="M458" i="17"/>
  <c r="M459" i="17"/>
  <c r="P459" i="17" s="1"/>
  <c r="M460" i="17"/>
  <c r="M461" i="17"/>
  <c r="P461" i="17" s="1"/>
  <c r="M462" i="17"/>
  <c r="M463" i="17"/>
  <c r="M464" i="17"/>
  <c r="P464" i="17" s="1"/>
  <c r="M465" i="17"/>
  <c r="P465" i="17" s="1"/>
  <c r="M466" i="17"/>
  <c r="M467" i="17"/>
  <c r="M468" i="17"/>
  <c r="M469" i="17"/>
  <c r="M470" i="17"/>
  <c r="M471" i="17"/>
  <c r="M472" i="17"/>
  <c r="P472" i="17" s="1"/>
  <c r="M473" i="17"/>
  <c r="P473" i="17" s="1"/>
  <c r="M474" i="17"/>
  <c r="M475" i="17"/>
  <c r="M476" i="17"/>
  <c r="P476" i="17" s="1"/>
  <c r="M477" i="17"/>
  <c r="P477" i="17" s="1"/>
  <c r="M478" i="17"/>
  <c r="M479" i="17"/>
  <c r="M480" i="17"/>
  <c r="M481" i="17"/>
  <c r="M482" i="17"/>
  <c r="M483" i="17"/>
  <c r="M484" i="17"/>
  <c r="P484" i="17" s="1"/>
  <c r="M485" i="17"/>
  <c r="P485" i="17" s="1"/>
  <c r="M486" i="17"/>
  <c r="M487" i="17"/>
  <c r="P487" i="17" s="1"/>
  <c r="M488" i="17"/>
  <c r="P488" i="17" s="1"/>
  <c r="M489" i="17"/>
  <c r="P489" i="17" s="1"/>
  <c r="M490" i="17"/>
  <c r="M491" i="17"/>
  <c r="M492" i="17"/>
  <c r="M493" i="17"/>
  <c r="M494" i="17"/>
  <c r="M495" i="17"/>
  <c r="P495" i="17" s="1"/>
  <c r="M496" i="17"/>
  <c r="P496" i="17" s="1"/>
  <c r="M497" i="17"/>
  <c r="P497" i="17" s="1"/>
  <c r="M498" i="17"/>
  <c r="M499" i="17"/>
  <c r="M500" i="17"/>
  <c r="M501" i="17"/>
  <c r="P501" i="17" s="1"/>
  <c r="M502" i="17"/>
  <c r="M503" i="17"/>
  <c r="M504" i="17"/>
  <c r="M505" i="17"/>
  <c r="M506" i="17"/>
  <c r="M507" i="17"/>
  <c r="M508" i="17"/>
  <c r="P508" i="17" s="1"/>
  <c r="M509" i="17"/>
  <c r="P509" i="17" s="1"/>
  <c r="M510" i="17"/>
  <c r="M511" i="17"/>
  <c r="M512" i="17"/>
  <c r="M513" i="17"/>
  <c r="P513" i="17" s="1"/>
  <c r="M514" i="17"/>
  <c r="M515" i="17"/>
  <c r="M516" i="17"/>
  <c r="M517" i="17"/>
  <c r="M518" i="17"/>
  <c r="M519" i="17"/>
  <c r="M520" i="17"/>
  <c r="P520" i="17" s="1"/>
  <c r="M521" i="17"/>
  <c r="P521" i="17" s="1"/>
  <c r="M522" i="17"/>
  <c r="M523" i="17"/>
  <c r="P523" i="17" s="1"/>
  <c r="M524" i="17"/>
  <c r="P524" i="17" s="1"/>
  <c r="M525" i="17"/>
  <c r="P525" i="17" s="1"/>
  <c r="M526" i="17"/>
  <c r="M527" i="17"/>
  <c r="M528" i="17"/>
  <c r="M529" i="17"/>
  <c r="M530" i="17"/>
  <c r="M531" i="17"/>
  <c r="P531" i="17" s="1"/>
  <c r="M532" i="17"/>
  <c r="M533" i="17"/>
  <c r="P533" i="17" s="1"/>
  <c r="M534" i="17"/>
  <c r="M535" i="17"/>
  <c r="M536" i="17"/>
  <c r="P536" i="17" s="1"/>
  <c r="M537" i="17"/>
  <c r="P537" i="17" s="1"/>
  <c r="M538" i="17"/>
  <c r="M539" i="17"/>
  <c r="M540" i="17"/>
  <c r="M541" i="17"/>
  <c r="M542" i="17"/>
  <c r="M543" i="17"/>
  <c r="M544" i="17"/>
  <c r="P544" i="17" s="1"/>
  <c r="M545" i="17"/>
  <c r="P545" i="17" s="1"/>
  <c r="M546" i="17"/>
  <c r="M547" i="17"/>
  <c r="M548" i="17"/>
  <c r="M549" i="17"/>
  <c r="P549" i="17" s="1"/>
  <c r="M550" i="17"/>
  <c r="M551" i="17"/>
  <c r="M552" i="17"/>
  <c r="M553" i="17"/>
  <c r="M554" i="17"/>
  <c r="M555" i="17"/>
  <c r="M556" i="17"/>
  <c r="M557" i="17"/>
  <c r="P557" i="17" s="1"/>
  <c r="M558" i="17"/>
  <c r="M559" i="17"/>
  <c r="P559" i="17" s="1"/>
  <c r="M560" i="17"/>
  <c r="P560" i="17" s="1"/>
  <c r="M561" i="17"/>
  <c r="P561" i="17" s="1"/>
  <c r="M562" i="17"/>
  <c r="M563" i="17"/>
  <c r="M564" i="17"/>
  <c r="M565" i="17"/>
  <c r="M566" i="17"/>
  <c r="M567" i="17"/>
  <c r="P567" i="17" s="1"/>
  <c r="M568" i="17"/>
  <c r="M569" i="17"/>
  <c r="P569" i="17" s="1"/>
  <c r="M570" i="17"/>
  <c r="M571" i="17"/>
  <c r="M572" i="17"/>
  <c r="P572" i="17" s="1"/>
  <c r="M573" i="17"/>
  <c r="P573" i="17" s="1"/>
  <c r="M574" i="17"/>
  <c r="M575" i="17"/>
  <c r="M576" i="17"/>
  <c r="M577" i="17"/>
  <c r="M578" i="17"/>
  <c r="M579" i="17"/>
  <c r="P579" i="17" s="1"/>
  <c r="M580" i="17"/>
  <c r="P580" i="17" s="1"/>
  <c r="M581" i="17"/>
  <c r="P581" i="17" s="1"/>
  <c r="M582" i="17"/>
  <c r="M583" i="17"/>
  <c r="M584" i="17"/>
  <c r="P584" i="17" s="1"/>
  <c r="M585" i="17"/>
  <c r="P585" i="17" s="1"/>
  <c r="M586" i="17"/>
  <c r="M587" i="17"/>
  <c r="M588" i="17"/>
  <c r="M589" i="17"/>
  <c r="M590" i="17"/>
  <c r="M591" i="17"/>
  <c r="M592" i="17"/>
  <c r="M593" i="17"/>
  <c r="P593" i="17" s="1"/>
  <c r="M594" i="17"/>
  <c r="M595" i="17"/>
  <c r="P595" i="17" s="1"/>
  <c r="M596" i="17"/>
  <c r="P596" i="17" s="1"/>
  <c r="M597" i="17"/>
  <c r="P597" i="17" s="1"/>
  <c r="M598" i="17"/>
  <c r="M599" i="17"/>
  <c r="M600" i="17"/>
  <c r="M601" i="17"/>
  <c r="M602" i="17"/>
  <c r="M603" i="17"/>
  <c r="P603" i="17" s="1"/>
  <c r="M604" i="17"/>
  <c r="M605" i="17"/>
  <c r="P605" i="17" s="1"/>
  <c r="M606" i="17"/>
  <c r="M607" i="17"/>
  <c r="M608" i="17"/>
  <c r="P608" i="17" s="1"/>
  <c r="M609" i="17"/>
  <c r="P609" i="17" s="1"/>
  <c r="M610" i="17"/>
  <c r="M611" i="17"/>
  <c r="M612" i="17"/>
  <c r="M613" i="17"/>
  <c r="M614" i="17"/>
  <c r="M615" i="17"/>
  <c r="P615" i="17" s="1"/>
  <c r="M616" i="17"/>
  <c r="P616" i="17" s="1"/>
  <c r="M617" i="17"/>
  <c r="P617" i="17" s="1"/>
  <c r="M618" i="17"/>
  <c r="M619" i="17"/>
  <c r="P619" i="17" s="1"/>
  <c r="M620" i="17"/>
  <c r="M621" i="17"/>
  <c r="P621" i="17" s="1"/>
  <c r="M622" i="17"/>
  <c r="M623" i="17"/>
  <c r="M624" i="17"/>
  <c r="M625" i="17"/>
  <c r="M626" i="17"/>
  <c r="M627" i="17"/>
  <c r="M628" i="17"/>
  <c r="M629" i="17"/>
  <c r="P629" i="17" s="1"/>
  <c r="M630" i="17"/>
  <c r="M631" i="17"/>
  <c r="P631" i="17" s="1"/>
  <c r="M632" i="17"/>
  <c r="P632" i="17" s="1"/>
  <c r="M633" i="17"/>
  <c r="P633" i="17" s="1"/>
  <c r="M634" i="17"/>
  <c r="M635" i="17"/>
  <c r="M636" i="17"/>
  <c r="M637" i="17"/>
  <c r="M638" i="17"/>
  <c r="M639" i="17"/>
  <c r="P639" i="17" s="1"/>
  <c r="M640" i="17"/>
  <c r="M641" i="17"/>
  <c r="P641" i="17" s="1"/>
  <c r="M642" i="17"/>
  <c r="M643" i="17"/>
  <c r="M644" i="17"/>
  <c r="M645" i="17"/>
  <c r="P645" i="17" s="1"/>
  <c r="M646" i="17"/>
  <c r="M647" i="17"/>
  <c r="M648" i="17"/>
  <c r="M649" i="17"/>
  <c r="M650" i="17"/>
  <c r="M651" i="17"/>
  <c r="M652" i="17"/>
  <c r="P652" i="17" s="1"/>
  <c r="M653" i="17"/>
  <c r="P653" i="17" s="1"/>
  <c r="M654" i="17"/>
  <c r="M655" i="17"/>
  <c r="P655" i="17" s="1"/>
  <c r="M656" i="17"/>
  <c r="M657" i="17"/>
  <c r="P657" i="17" s="1"/>
  <c r="M658" i="17"/>
  <c r="M659" i="17"/>
  <c r="M660" i="17"/>
  <c r="M661" i="17"/>
  <c r="M662" i="17"/>
  <c r="M663" i="17"/>
  <c r="M664" i="17"/>
  <c r="P664" i="17" s="1"/>
  <c r="M665" i="17"/>
  <c r="P665" i="17" s="1"/>
  <c r="M666" i="17"/>
  <c r="M667" i="17"/>
  <c r="P667" i="17" s="1"/>
  <c r="M668" i="17"/>
  <c r="P668" i="17" s="1"/>
  <c r="M669" i="17"/>
  <c r="P669" i="17" s="1"/>
  <c r="M670" i="17"/>
  <c r="M671" i="17"/>
  <c r="M672" i="17"/>
  <c r="M673" i="17"/>
  <c r="M674" i="17"/>
  <c r="M675" i="17"/>
  <c r="P675" i="17" s="1"/>
  <c r="M676" i="17"/>
  <c r="P676" i="17" s="1"/>
  <c r="M677" i="17"/>
  <c r="P677" i="17" s="1"/>
  <c r="M678" i="17"/>
  <c r="M679" i="17"/>
  <c r="P679" i="17" s="1"/>
  <c r="M680" i="17"/>
  <c r="M681" i="17"/>
  <c r="P681" i="17" s="1"/>
  <c r="M682" i="17"/>
  <c r="M683" i="17"/>
  <c r="M684" i="17"/>
  <c r="M685" i="17"/>
  <c r="M686" i="17"/>
  <c r="M687" i="17"/>
  <c r="P687" i="17" s="1"/>
  <c r="M688" i="17"/>
  <c r="M689" i="17"/>
  <c r="P689" i="17" s="1"/>
  <c r="M690" i="17"/>
  <c r="M691" i="17"/>
  <c r="P691" i="17" s="1"/>
  <c r="M692" i="17"/>
  <c r="P692" i="17" s="1"/>
  <c r="M693" i="17"/>
  <c r="P693" i="17" s="1"/>
  <c r="M694" i="17"/>
  <c r="M695" i="17"/>
  <c r="M696" i="17"/>
  <c r="M697" i="17"/>
  <c r="M698" i="17"/>
  <c r="M699" i="17"/>
  <c r="P699" i="17" s="1"/>
  <c r="M700" i="17"/>
  <c r="M701" i="17"/>
  <c r="P701" i="17" s="1"/>
  <c r="M702" i="17"/>
  <c r="M703" i="17"/>
  <c r="M704" i="17"/>
  <c r="P704" i="17" s="1"/>
  <c r="M705" i="17"/>
  <c r="P705" i="17" s="1"/>
  <c r="M706" i="17"/>
  <c r="M707" i="17"/>
  <c r="M708" i="17"/>
  <c r="M709" i="17"/>
  <c r="M710" i="17"/>
  <c r="M711" i="17"/>
  <c r="P711" i="17" s="1"/>
  <c r="M712" i="17"/>
  <c r="P712" i="17" s="1"/>
  <c r="M713" i="17"/>
  <c r="P713" i="17" s="1"/>
  <c r="M714" i="17"/>
  <c r="M715" i="17"/>
  <c r="M716" i="17"/>
  <c r="P716" i="17" s="1"/>
  <c r="M717" i="17"/>
  <c r="P717" i="17" s="1"/>
  <c r="M718" i="17"/>
  <c r="M719" i="17"/>
  <c r="M720" i="17"/>
  <c r="M721" i="17"/>
  <c r="M722" i="17"/>
  <c r="M723" i="17"/>
  <c r="M724" i="17"/>
  <c r="P724" i="17" s="1"/>
  <c r="M725" i="17"/>
  <c r="P725" i="17" s="1"/>
  <c r="M726" i="17"/>
  <c r="M727" i="17"/>
  <c r="P727" i="17" s="1"/>
  <c r="M728" i="17"/>
  <c r="P728" i="17" s="1"/>
  <c r="M729" i="17"/>
  <c r="P729" i="17" s="1"/>
  <c r="M730" i="17"/>
  <c r="M731" i="17"/>
  <c r="M732" i="17"/>
  <c r="M733" i="17"/>
  <c r="M734" i="17"/>
  <c r="M735" i="17"/>
  <c r="P735" i="17" s="1"/>
  <c r="M736" i="17"/>
  <c r="M737" i="17"/>
  <c r="P737" i="17" s="1"/>
  <c r="M738" i="17"/>
  <c r="M739" i="17"/>
  <c r="M740" i="17"/>
  <c r="P740" i="17" s="1"/>
  <c r="M741" i="17"/>
  <c r="P741" i="17" s="1"/>
  <c r="M742" i="17"/>
  <c r="M743" i="17"/>
  <c r="M744" i="17"/>
  <c r="M745" i="17"/>
  <c r="M746" i="17"/>
  <c r="M747" i="17"/>
  <c r="P747" i="17" s="1"/>
  <c r="M748" i="17"/>
  <c r="P748" i="17" s="1"/>
  <c r="M749" i="17"/>
  <c r="P749" i="17" s="1"/>
  <c r="M750" i="17"/>
  <c r="M751" i="17"/>
  <c r="M752" i="17"/>
  <c r="M753" i="17"/>
  <c r="P753" i="17" s="1"/>
  <c r="M754" i="17"/>
  <c r="M755" i="17"/>
  <c r="M756" i="17"/>
  <c r="M757" i="17"/>
  <c r="M758" i="17"/>
  <c r="M759" i="17"/>
  <c r="M760" i="17"/>
  <c r="P760" i="17" s="1"/>
  <c r="M761" i="17"/>
  <c r="P761" i="17" s="1"/>
  <c r="M762" i="17"/>
  <c r="M763" i="17"/>
  <c r="P763" i="17" s="1"/>
  <c r="M764" i="17"/>
  <c r="P764" i="17" s="1"/>
  <c r="M765" i="17"/>
  <c r="P765" i="17" s="1"/>
  <c r="M766" i="17"/>
  <c r="M767" i="17"/>
  <c r="M768" i="17"/>
  <c r="M769" i="17"/>
  <c r="M770" i="17"/>
  <c r="M771" i="17"/>
  <c r="P771" i="17" s="1"/>
  <c r="M772" i="17"/>
  <c r="M773" i="17"/>
  <c r="P773" i="17" s="1"/>
  <c r="M774" i="17"/>
  <c r="M775" i="17"/>
  <c r="M776" i="17"/>
  <c r="P776" i="17" s="1"/>
  <c r="M777" i="17"/>
  <c r="P777" i="17" s="1"/>
  <c r="M778" i="17"/>
  <c r="M779" i="17"/>
  <c r="M780" i="17"/>
  <c r="M781" i="17"/>
  <c r="M782" i="17"/>
  <c r="M783" i="17"/>
  <c r="P783" i="17" s="1"/>
  <c r="M784" i="17"/>
  <c r="P784" i="17" s="1"/>
  <c r="M785" i="17"/>
  <c r="P785" i="17" s="1"/>
  <c r="M786" i="17"/>
  <c r="M787" i="17"/>
  <c r="M788" i="17"/>
  <c r="P788" i="17" s="1"/>
  <c r="M789" i="17"/>
  <c r="P789" i="17" s="1"/>
  <c r="M790" i="17"/>
  <c r="M791" i="17"/>
  <c r="M792" i="17"/>
  <c r="M793" i="17"/>
  <c r="M794" i="17"/>
  <c r="M795" i="17"/>
  <c r="P795" i="17" s="1"/>
  <c r="M796" i="17"/>
  <c r="M797" i="17"/>
  <c r="P797" i="17" s="1"/>
  <c r="M798" i="17"/>
  <c r="M799" i="17"/>
  <c r="P799" i="17" s="1"/>
  <c r="M800" i="17"/>
  <c r="P800" i="17" s="1"/>
  <c r="M801" i="17"/>
  <c r="P801" i="17" s="1"/>
  <c r="M802" i="17"/>
  <c r="M803" i="17"/>
  <c r="M804" i="17"/>
  <c r="M805" i="17"/>
  <c r="M806" i="17"/>
  <c r="M807" i="17"/>
  <c r="P807" i="17" s="1"/>
  <c r="M808" i="17"/>
  <c r="P808" i="17" s="1"/>
  <c r="M809" i="17"/>
  <c r="M810" i="17"/>
  <c r="M811" i="17"/>
  <c r="M812" i="17"/>
  <c r="M813" i="17"/>
  <c r="P813" i="17" s="1"/>
  <c r="M814" i="17"/>
  <c r="M815" i="17"/>
  <c r="M816" i="17"/>
  <c r="M817" i="17"/>
  <c r="M818" i="17"/>
  <c r="M819" i="17"/>
  <c r="M820" i="17"/>
  <c r="P820" i="17" s="1"/>
  <c r="M821" i="17"/>
  <c r="P821" i="17" s="1"/>
  <c r="M822" i="17"/>
  <c r="M823" i="17"/>
  <c r="M824" i="17"/>
  <c r="M825" i="17"/>
  <c r="P825" i="17" s="1"/>
  <c r="M826" i="17"/>
  <c r="M827" i="17"/>
  <c r="M828" i="17"/>
  <c r="M829" i="17"/>
  <c r="M830" i="17"/>
  <c r="M831" i="17"/>
  <c r="M832" i="17"/>
  <c r="P832" i="17" s="1"/>
  <c r="M833" i="17"/>
  <c r="P833" i="17" s="1"/>
  <c r="M834" i="17"/>
  <c r="M835" i="17"/>
  <c r="P835" i="17" s="1"/>
  <c r="M836" i="17"/>
  <c r="P836" i="17" s="1"/>
  <c r="M837" i="17"/>
  <c r="P837" i="17" s="1"/>
  <c r="M838" i="17"/>
  <c r="M839" i="17"/>
  <c r="M840" i="17"/>
  <c r="M841" i="17"/>
  <c r="M842" i="17"/>
  <c r="M843" i="17"/>
  <c r="P843" i="17" s="1"/>
  <c r="M844" i="17"/>
  <c r="P844" i="17" s="1"/>
  <c r="M845" i="17"/>
  <c r="P845" i="17" s="1"/>
  <c r="M846" i="17"/>
  <c r="M847" i="17"/>
  <c r="P847" i="17" s="1"/>
  <c r="M848" i="17"/>
  <c r="M849" i="17"/>
  <c r="P849" i="17" s="1"/>
  <c r="M850" i="17"/>
  <c r="M851" i="17"/>
  <c r="M852" i="17"/>
  <c r="M853" i="17"/>
  <c r="M854" i="17"/>
  <c r="M855" i="17"/>
  <c r="M856" i="17"/>
  <c r="P856" i="17" s="1"/>
  <c r="M857" i="17"/>
  <c r="P857" i="17" s="1"/>
  <c r="M858" i="17"/>
  <c r="M859" i="17"/>
  <c r="M860" i="17"/>
  <c r="P860" i="17" s="1"/>
  <c r="M861" i="17"/>
  <c r="P861" i="17" s="1"/>
  <c r="M862" i="17"/>
  <c r="M863" i="17"/>
  <c r="M864" i="17"/>
  <c r="M865" i="17"/>
  <c r="M866" i="17"/>
  <c r="M867" i="17"/>
  <c r="M868" i="17"/>
  <c r="P868" i="17" s="1"/>
  <c r="M869" i="17"/>
  <c r="P869" i="17" s="1"/>
  <c r="M870" i="17"/>
  <c r="M871" i="17"/>
  <c r="P871" i="17" s="1"/>
  <c r="M872" i="17"/>
  <c r="P872" i="17" s="1"/>
  <c r="M873" i="17"/>
  <c r="P873" i="17" s="1"/>
  <c r="M874" i="17"/>
  <c r="M875" i="17"/>
  <c r="M876" i="17"/>
  <c r="M877" i="17"/>
  <c r="M878" i="17"/>
  <c r="M879" i="17"/>
  <c r="P879" i="17" s="1"/>
  <c r="M880" i="17"/>
  <c r="P880" i="17" s="1"/>
  <c r="M881" i="17"/>
  <c r="P881" i="17" s="1"/>
  <c r="M882" i="17"/>
  <c r="M883" i="17"/>
  <c r="M884" i="17"/>
  <c r="M885" i="17"/>
  <c r="P885" i="17" s="1"/>
  <c r="M886" i="17"/>
  <c r="M887" i="17"/>
  <c r="M888" i="17"/>
  <c r="M889" i="17"/>
  <c r="M890" i="17"/>
  <c r="M891" i="17"/>
  <c r="M892" i="17"/>
  <c r="P892" i="17" s="1"/>
  <c r="M893" i="17"/>
  <c r="P893" i="17" s="1"/>
  <c r="M894" i="17"/>
  <c r="M895" i="17"/>
  <c r="P895" i="17" s="1"/>
  <c r="M896" i="17"/>
  <c r="M897" i="17"/>
  <c r="P897" i="17" s="1"/>
  <c r="M898" i="17"/>
  <c r="M899" i="17"/>
  <c r="M900" i="17"/>
  <c r="M901" i="17"/>
  <c r="M902" i="17"/>
  <c r="M903" i="17"/>
  <c r="M904" i="17"/>
  <c r="P904" i="17" s="1"/>
  <c r="M905" i="17"/>
  <c r="P905" i="17" s="1"/>
  <c r="M906" i="17"/>
  <c r="M907" i="17"/>
  <c r="M908" i="17"/>
  <c r="P908" i="17" s="1"/>
  <c r="M909" i="17"/>
  <c r="P909" i="17" s="1"/>
  <c r="M910" i="17"/>
  <c r="M911" i="17"/>
  <c r="M912" i="17"/>
  <c r="M913" i="17"/>
  <c r="M914" i="17"/>
  <c r="M915" i="17"/>
  <c r="P915" i="17" s="1"/>
  <c r="M916" i="17"/>
  <c r="P916" i="17" s="1"/>
  <c r="M917" i="17"/>
  <c r="P917" i="17" s="1"/>
  <c r="M918" i="17"/>
  <c r="M919" i="17"/>
  <c r="M920" i="17"/>
  <c r="P920" i="17" s="1"/>
  <c r="M921" i="17"/>
  <c r="P921" i="17" s="1"/>
  <c r="M922" i="17"/>
  <c r="M923" i="17"/>
  <c r="M924" i="17"/>
  <c r="M925" i="17"/>
  <c r="M926" i="17"/>
  <c r="P926" i="17" s="1"/>
  <c r="M927" i="17"/>
  <c r="P927" i="17" s="1"/>
  <c r="M928" i="17"/>
  <c r="P928" i="17" s="1"/>
  <c r="M929" i="17"/>
  <c r="P929" i="17" s="1"/>
  <c r="M930" i="17"/>
  <c r="M931" i="17"/>
  <c r="P931" i="17" s="1"/>
  <c r="M932" i="17"/>
  <c r="P932" i="17" s="1"/>
  <c r="M933" i="17"/>
  <c r="P933" i="17" s="1"/>
  <c r="M934" i="17"/>
  <c r="M935" i="17"/>
  <c r="M936" i="17"/>
  <c r="M937" i="17"/>
  <c r="M938" i="17"/>
  <c r="M939" i="17"/>
  <c r="P939" i="17" s="1"/>
  <c r="M940" i="17"/>
  <c r="P940" i="17" s="1"/>
  <c r="M941" i="17"/>
  <c r="P941" i="17" s="1"/>
  <c r="M942" i="17"/>
  <c r="M943" i="17"/>
  <c r="M944" i="17"/>
  <c r="P944" i="17" s="1"/>
  <c r="M945" i="17"/>
  <c r="P945" i="17" s="1"/>
  <c r="M946" i="17"/>
  <c r="M947" i="17"/>
  <c r="P947" i="17" s="1"/>
  <c r="M948" i="17"/>
  <c r="M949" i="17"/>
  <c r="M950" i="17"/>
  <c r="M951" i="17"/>
  <c r="P951" i="17" s="1"/>
  <c r="M952" i="17"/>
  <c r="P952" i="17" s="1"/>
  <c r="M953" i="17"/>
  <c r="P953" i="17" s="1"/>
  <c r="M954" i="17"/>
  <c r="M955" i="17"/>
  <c r="M956" i="17"/>
  <c r="M957" i="17"/>
  <c r="P957" i="17" s="1"/>
  <c r="M958" i="17"/>
  <c r="M959" i="17"/>
  <c r="M960" i="17"/>
  <c r="M961" i="17"/>
  <c r="M962" i="17"/>
  <c r="P962" i="17" s="1"/>
  <c r="M963" i="17"/>
  <c r="P963" i="17" s="1"/>
  <c r="M964" i="17"/>
  <c r="P964" i="17" s="1"/>
  <c r="M965" i="17"/>
  <c r="P965" i="17" s="1"/>
  <c r="M966" i="17"/>
  <c r="M967" i="17"/>
  <c r="P967" i="17" s="1"/>
  <c r="M968" i="17"/>
  <c r="P968" i="17" s="1"/>
  <c r="M969" i="17"/>
  <c r="P969" i="17" s="1"/>
  <c r="M970" i="17"/>
  <c r="M971" i="17"/>
  <c r="M972" i="17"/>
  <c r="M973" i="17"/>
  <c r="M974" i="17"/>
  <c r="M975" i="17"/>
  <c r="P975" i="17" s="1"/>
  <c r="M976" i="17"/>
  <c r="P976" i="17" s="1"/>
  <c r="M977" i="17"/>
  <c r="P977" i="17" s="1"/>
  <c r="M978" i="17"/>
  <c r="M979" i="17"/>
  <c r="P979" i="17" s="1"/>
  <c r="M980" i="17"/>
  <c r="P980" i="17" s="1"/>
  <c r="M981" i="17"/>
  <c r="P981" i="17" s="1"/>
  <c r="M982" i="17"/>
  <c r="M983" i="17"/>
  <c r="P983" i="17" s="1"/>
  <c r="M984" i="17"/>
  <c r="M985" i="17"/>
  <c r="M986" i="17"/>
  <c r="P986" i="17" s="1"/>
  <c r="M987" i="17"/>
  <c r="P987" i="17" s="1"/>
  <c r="M988" i="17"/>
  <c r="P988" i="17" s="1"/>
  <c r="M989" i="17"/>
  <c r="P989" i="17" s="1"/>
  <c r="M990" i="17"/>
  <c r="M991" i="17"/>
  <c r="P991" i="17" s="1"/>
  <c r="M992" i="17"/>
  <c r="P992" i="17" s="1"/>
  <c r="M993" i="17"/>
  <c r="P993" i="17" s="1"/>
  <c r="M994" i="17"/>
  <c r="M995" i="17"/>
  <c r="M996" i="17"/>
  <c r="M997" i="17"/>
  <c r="P997" i="17" s="1"/>
  <c r="M998" i="17"/>
  <c r="M999" i="17"/>
  <c r="P999" i="17" s="1"/>
  <c r="M1000" i="17"/>
  <c r="P1000" i="17" s="1"/>
  <c r="M1001" i="17"/>
  <c r="P1001" i="17" s="1"/>
  <c r="M1002" i="17"/>
  <c r="M1003" i="17"/>
  <c r="M1004" i="17"/>
  <c r="P1004" i="17" s="1"/>
  <c r="M1005" i="17"/>
  <c r="P1005" i="17" s="1"/>
  <c r="M1006" i="17"/>
  <c r="M9" i="17"/>
  <c r="M6" i="17"/>
  <c r="M7" i="17"/>
  <c r="M5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236" i="17"/>
  <c r="L237" i="17"/>
  <c r="L238" i="17"/>
  <c r="L239" i="17"/>
  <c r="L240" i="17"/>
  <c r="L241" i="17"/>
  <c r="L242" i="17"/>
  <c r="L243" i="17"/>
  <c r="L244" i="17"/>
  <c r="L245" i="17"/>
  <c r="L246" i="17"/>
  <c r="L247" i="17"/>
  <c r="L248" i="17"/>
  <c r="L249" i="17"/>
  <c r="L250" i="17"/>
  <c r="L251" i="17"/>
  <c r="L252" i="17"/>
  <c r="L253" i="17"/>
  <c r="L254" i="17"/>
  <c r="L255" i="17"/>
  <c r="L256" i="17"/>
  <c r="L257" i="17"/>
  <c r="L258" i="17"/>
  <c r="L259" i="17"/>
  <c r="L260" i="17"/>
  <c r="L261" i="17"/>
  <c r="L262" i="17"/>
  <c r="L263" i="17"/>
  <c r="L264" i="17"/>
  <c r="L265" i="17"/>
  <c r="L266" i="17"/>
  <c r="L267" i="17"/>
  <c r="L268" i="17"/>
  <c r="L269" i="17"/>
  <c r="L270" i="17"/>
  <c r="L271" i="17"/>
  <c r="L272" i="17"/>
  <c r="L273" i="17"/>
  <c r="L274" i="17"/>
  <c r="L275" i="17"/>
  <c r="L276" i="17"/>
  <c r="L277" i="17"/>
  <c r="L278" i="17"/>
  <c r="L279" i="17"/>
  <c r="L280" i="17"/>
  <c r="L281" i="17"/>
  <c r="L282" i="17"/>
  <c r="L283" i="17"/>
  <c r="L284" i="17"/>
  <c r="L285" i="17"/>
  <c r="L286" i="17"/>
  <c r="L287" i="17"/>
  <c r="L288" i="17"/>
  <c r="L289" i="17"/>
  <c r="L290" i="17"/>
  <c r="L291" i="17"/>
  <c r="L292" i="17"/>
  <c r="L293" i="17"/>
  <c r="L294" i="17"/>
  <c r="L295" i="17"/>
  <c r="L296" i="17"/>
  <c r="L297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6" i="17"/>
  <c r="L317" i="17"/>
  <c r="L318" i="17"/>
  <c r="L319" i="17"/>
  <c r="L320" i="17"/>
  <c r="L321" i="17"/>
  <c r="L322" i="17"/>
  <c r="L323" i="17"/>
  <c r="L324" i="17"/>
  <c r="L325" i="17"/>
  <c r="L326" i="17"/>
  <c r="L327" i="17"/>
  <c r="L328" i="17"/>
  <c r="L329" i="17"/>
  <c r="L330" i="17"/>
  <c r="L331" i="17"/>
  <c r="L332" i="17"/>
  <c r="L333" i="17"/>
  <c r="L334" i="17"/>
  <c r="L335" i="17"/>
  <c r="L336" i="17"/>
  <c r="L337" i="17"/>
  <c r="L338" i="17"/>
  <c r="L339" i="17"/>
  <c r="L340" i="17"/>
  <c r="L341" i="17"/>
  <c r="L342" i="17"/>
  <c r="L343" i="17"/>
  <c r="L344" i="17"/>
  <c r="L345" i="17"/>
  <c r="L346" i="17"/>
  <c r="L347" i="17"/>
  <c r="L348" i="17"/>
  <c r="L349" i="17"/>
  <c r="L350" i="17"/>
  <c r="L351" i="17"/>
  <c r="L352" i="17"/>
  <c r="L353" i="17"/>
  <c r="L354" i="17"/>
  <c r="L355" i="17"/>
  <c r="L356" i="17"/>
  <c r="L357" i="17"/>
  <c r="L358" i="17"/>
  <c r="L359" i="17"/>
  <c r="L360" i="17"/>
  <c r="L361" i="17"/>
  <c r="L362" i="17"/>
  <c r="L363" i="17"/>
  <c r="L364" i="17"/>
  <c r="L365" i="17"/>
  <c r="L366" i="17"/>
  <c r="L367" i="17"/>
  <c r="L368" i="17"/>
  <c r="L369" i="17"/>
  <c r="L370" i="17"/>
  <c r="L371" i="17"/>
  <c r="L372" i="17"/>
  <c r="L373" i="17"/>
  <c r="L374" i="17"/>
  <c r="L375" i="17"/>
  <c r="L376" i="17"/>
  <c r="L377" i="17"/>
  <c r="L378" i="17"/>
  <c r="L379" i="17"/>
  <c r="L380" i="17"/>
  <c r="L381" i="17"/>
  <c r="L382" i="17"/>
  <c r="L383" i="17"/>
  <c r="L384" i="17"/>
  <c r="L385" i="17"/>
  <c r="L386" i="17"/>
  <c r="L387" i="17"/>
  <c r="L388" i="17"/>
  <c r="L389" i="17"/>
  <c r="L390" i="17"/>
  <c r="L391" i="17"/>
  <c r="L392" i="17"/>
  <c r="L393" i="17"/>
  <c r="L394" i="17"/>
  <c r="L395" i="17"/>
  <c r="L396" i="17"/>
  <c r="L397" i="17"/>
  <c r="L398" i="17"/>
  <c r="L399" i="17"/>
  <c r="L400" i="17"/>
  <c r="L401" i="17"/>
  <c r="L402" i="17"/>
  <c r="L403" i="17"/>
  <c r="L404" i="17"/>
  <c r="L405" i="17"/>
  <c r="L406" i="17"/>
  <c r="L407" i="17"/>
  <c r="L408" i="17"/>
  <c r="L409" i="17"/>
  <c r="L410" i="17"/>
  <c r="L411" i="17"/>
  <c r="L412" i="17"/>
  <c r="L413" i="17"/>
  <c r="L414" i="17"/>
  <c r="L415" i="17"/>
  <c r="L416" i="17"/>
  <c r="L417" i="17"/>
  <c r="L418" i="17"/>
  <c r="L419" i="17"/>
  <c r="L420" i="17"/>
  <c r="L421" i="17"/>
  <c r="L422" i="17"/>
  <c r="L423" i="17"/>
  <c r="L424" i="17"/>
  <c r="L425" i="17"/>
  <c r="L426" i="17"/>
  <c r="L427" i="17"/>
  <c r="L428" i="17"/>
  <c r="L429" i="17"/>
  <c r="L430" i="17"/>
  <c r="L431" i="17"/>
  <c r="L432" i="17"/>
  <c r="L433" i="17"/>
  <c r="L434" i="17"/>
  <c r="L435" i="17"/>
  <c r="L436" i="17"/>
  <c r="L437" i="17"/>
  <c r="L438" i="17"/>
  <c r="L439" i="17"/>
  <c r="L440" i="17"/>
  <c r="L441" i="17"/>
  <c r="L442" i="17"/>
  <c r="L443" i="17"/>
  <c r="L444" i="17"/>
  <c r="L445" i="17"/>
  <c r="L446" i="17"/>
  <c r="L447" i="17"/>
  <c r="L448" i="17"/>
  <c r="L449" i="17"/>
  <c r="L450" i="17"/>
  <c r="L451" i="17"/>
  <c r="L452" i="17"/>
  <c r="L453" i="17"/>
  <c r="L454" i="17"/>
  <c r="L455" i="17"/>
  <c r="L456" i="17"/>
  <c r="L457" i="17"/>
  <c r="L458" i="17"/>
  <c r="L459" i="17"/>
  <c r="L460" i="17"/>
  <c r="L461" i="17"/>
  <c r="L462" i="17"/>
  <c r="L463" i="17"/>
  <c r="L464" i="17"/>
  <c r="L465" i="17"/>
  <c r="L466" i="17"/>
  <c r="L467" i="17"/>
  <c r="L468" i="17"/>
  <c r="L469" i="17"/>
  <c r="L470" i="17"/>
  <c r="L471" i="17"/>
  <c r="L472" i="17"/>
  <c r="L473" i="17"/>
  <c r="L474" i="17"/>
  <c r="L475" i="17"/>
  <c r="L476" i="17"/>
  <c r="L477" i="17"/>
  <c r="L478" i="17"/>
  <c r="L479" i="17"/>
  <c r="L480" i="17"/>
  <c r="L481" i="17"/>
  <c r="L482" i="17"/>
  <c r="L483" i="17"/>
  <c r="L484" i="17"/>
  <c r="L485" i="17"/>
  <c r="L486" i="17"/>
  <c r="L487" i="17"/>
  <c r="L488" i="17"/>
  <c r="L489" i="17"/>
  <c r="L490" i="17"/>
  <c r="L491" i="17"/>
  <c r="L492" i="17"/>
  <c r="L493" i="17"/>
  <c r="L494" i="17"/>
  <c r="L495" i="17"/>
  <c r="L496" i="17"/>
  <c r="L497" i="17"/>
  <c r="L498" i="17"/>
  <c r="L499" i="17"/>
  <c r="L500" i="17"/>
  <c r="L501" i="17"/>
  <c r="L502" i="17"/>
  <c r="L503" i="17"/>
  <c r="L504" i="17"/>
  <c r="L505" i="17"/>
  <c r="L506" i="17"/>
  <c r="L507" i="17"/>
  <c r="L508" i="17"/>
  <c r="L509" i="17"/>
  <c r="L510" i="17"/>
  <c r="L511" i="17"/>
  <c r="L512" i="17"/>
  <c r="L513" i="17"/>
  <c r="L514" i="17"/>
  <c r="L515" i="17"/>
  <c r="L516" i="17"/>
  <c r="L517" i="17"/>
  <c r="L518" i="17"/>
  <c r="L519" i="17"/>
  <c r="L520" i="17"/>
  <c r="L521" i="17"/>
  <c r="L522" i="17"/>
  <c r="L523" i="17"/>
  <c r="L524" i="17"/>
  <c r="L525" i="17"/>
  <c r="L526" i="17"/>
  <c r="L527" i="17"/>
  <c r="L528" i="17"/>
  <c r="L529" i="17"/>
  <c r="L530" i="17"/>
  <c r="L531" i="17"/>
  <c r="L532" i="17"/>
  <c r="L533" i="17"/>
  <c r="L534" i="17"/>
  <c r="L535" i="17"/>
  <c r="L536" i="17"/>
  <c r="L537" i="17"/>
  <c r="L538" i="17"/>
  <c r="L539" i="17"/>
  <c r="L540" i="17"/>
  <c r="L541" i="17"/>
  <c r="L542" i="17"/>
  <c r="L543" i="17"/>
  <c r="L544" i="17"/>
  <c r="L545" i="17"/>
  <c r="L546" i="17"/>
  <c r="L547" i="17"/>
  <c r="L548" i="17"/>
  <c r="L549" i="17"/>
  <c r="L550" i="17"/>
  <c r="L551" i="17"/>
  <c r="L552" i="17"/>
  <c r="L553" i="17"/>
  <c r="L554" i="17"/>
  <c r="L555" i="17"/>
  <c r="L556" i="17"/>
  <c r="L557" i="17"/>
  <c r="L558" i="17"/>
  <c r="L559" i="17"/>
  <c r="L560" i="17"/>
  <c r="L561" i="17"/>
  <c r="L562" i="17"/>
  <c r="L563" i="17"/>
  <c r="L564" i="17"/>
  <c r="L565" i="17"/>
  <c r="L566" i="17"/>
  <c r="L567" i="17"/>
  <c r="L568" i="17"/>
  <c r="L569" i="17"/>
  <c r="L570" i="17"/>
  <c r="L571" i="17"/>
  <c r="L572" i="17"/>
  <c r="L573" i="17"/>
  <c r="L574" i="17"/>
  <c r="L575" i="17"/>
  <c r="L576" i="17"/>
  <c r="L577" i="17"/>
  <c r="L578" i="17"/>
  <c r="L579" i="17"/>
  <c r="L580" i="17"/>
  <c r="L581" i="17"/>
  <c r="L582" i="17"/>
  <c r="L583" i="17"/>
  <c r="L584" i="17"/>
  <c r="L585" i="17"/>
  <c r="L586" i="17"/>
  <c r="L587" i="17"/>
  <c r="L588" i="17"/>
  <c r="L589" i="17"/>
  <c r="L590" i="17"/>
  <c r="L591" i="17"/>
  <c r="L592" i="17"/>
  <c r="L593" i="17"/>
  <c r="L594" i="17"/>
  <c r="L595" i="17"/>
  <c r="L596" i="17"/>
  <c r="L597" i="17"/>
  <c r="L598" i="17"/>
  <c r="L599" i="17"/>
  <c r="L600" i="17"/>
  <c r="L601" i="17"/>
  <c r="L602" i="17"/>
  <c r="L603" i="17"/>
  <c r="L604" i="17"/>
  <c r="L605" i="17"/>
  <c r="L606" i="17"/>
  <c r="L607" i="17"/>
  <c r="L608" i="17"/>
  <c r="L609" i="17"/>
  <c r="L610" i="17"/>
  <c r="L611" i="17"/>
  <c r="L612" i="17"/>
  <c r="L613" i="17"/>
  <c r="L614" i="17"/>
  <c r="L615" i="17"/>
  <c r="L616" i="17"/>
  <c r="L617" i="17"/>
  <c r="L618" i="17"/>
  <c r="L619" i="17"/>
  <c r="L620" i="17"/>
  <c r="L621" i="17"/>
  <c r="L622" i="17"/>
  <c r="L623" i="17"/>
  <c r="L624" i="17"/>
  <c r="L625" i="17"/>
  <c r="L626" i="17"/>
  <c r="L627" i="17"/>
  <c r="L628" i="17"/>
  <c r="L629" i="17"/>
  <c r="L630" i="17"/>
  <c r="L631" i="17"/>
  <c r="L632" i="17"/>
  <c r="L633" i="17"/>
  <c r="L634" i="17"/>
  <c r="L635" i="17"/>
  <c r="L636" i="17"/>
  <c r="L637" i="17"/>
  <c r="L638" i="17"/>
  <c r="L639" i="17"/>
  <c r="L640" i="17"/>
  <c r="L641" i="17"/>
  <c r="L642" i="17"/>
  <c r="L643" i="17"/>
  <c r="L644" i="17"/>
  <c r="L645" i="17"/>
  <c r="L646" i="17"/>
  <c r="L647" i="17"/>
  <c r="L648" i="17"/>
  <c r="L649" i="17"/>
  <c r="L650" i="17"/>
  <c r="L651" i="17"/>
  <c r="L652" i="17"/>
  <c r="L653" i="17"/>
  <c r="L654" i="17"/>
  <c r="L655" i="17"/>
  <c r="L656" i="17"/>
  <c r="L657" i="17"/>
  <c r="L658" i="17"/>
  <c r="L659" i="17"/>
  <c r="L660" i="17"/>
  <c r="L661" i="17"/>
  <c r="L662" i="17"/>
  <c r="L663" i="17"/>
  <c r="L664" i="17"/>
  <c r="L665" i="17"/>
  <c r="L666" i="17"/>
  <c r="L667" i="17"/>
  <c r="L668" i="17"/>
  <c r="L669" i="17"/>
  <c r="L670" i="17"/>
  <c r="L671" i="17"/>
  <c r="L672" i="17"/>
  <c r="L673" i="17"/>
  <c r="L674" i="17"/>
  <c r="L675" i="17"/>
  <c r="L676" i="17"/>
  <c r="L677" i="17"/>
  <c r="L678" i="17"/>
  <c r="L679" i="17"/>
  <c r="L680" i="17"/>
  <c r="L681" i="17"/>
  <c r="L682" i="17"/>
  <c r="L683" i="17"/>
  <c r="L684" i="17"/>
  <c r="L685" i="17"/>
  <c r="L686" i="17"/>
  <c r="L687" i="17"/>
  <c r="L688" i="17"/>
  <c r="L689" i="17"/>
  <c r="L690" i="17"/>
  <c r="L691" i="17"/>
  <c r="L692" i="17"/>
  <c r="L693" i="17"/>
  <c r="L694" i="17"/>
  <c r="L695" i="17"/>
  <c r="L696" i="17"/>
  <c r="L697" i="17"/>
  <c r="L698" i="17"/>
  <c r="L699" i="17"/>
  <c r="L700" i="17"/>
  <c r="L701" i="17"/>
  <c r="L702" i="17"/>
  <c r="L703" i="17"/>
  <c r="L704" i="17"/>
  <c r="L705" i="17"/>
  <c r="L706" i="17"/>
  <c r="L707" i="17"/>
  <c r="L708" i="17"/>
  <c r="L709" i="17"/>
  <c r="L710" i="17"/>
  <c r="L711" i="17"/>
  <c r="L712" i="17"/>
  <c r="L713" i="17"/>
  <c r="L714" i="17"/>
  <c r="L715" i="17"/>
  <c r="L716" i="17"/>
  <c r="L717" i="17"/>
  <c r="L718" i="17"/>
  <c r="L719" i="17"/>
  <c r="L720" i="17"/>
  <c r="L721" i="17"/>
  <c r="L722" i="17"/>
  <c r="L723" i="17"/>
  <c r="L724" i="17"/>
  <c r="L725" i="17"/>
  <c r="L726" i="17"/>
  <c r="L727" i="17"/>
  <c r="L728" i="17"/>
  <c r="L729" i="17"/>
  <c r="L730" i="17"/>
  <c r="L731" i="17"/>
  <c r="L732" i="17"/>
  <c r="L733" i="17"/>
  <c r="L734" i="17"/>
  <c r="L735" i="17"/>
  <c r="L736" i="17"/>
  <c r="L737" i="17"/>
  <c r="L738" i="17"/>
  <c r="L739" i="17"/>
  <c r="L740" i="17"/>
  <c r="L741" i="17"/>
  <c r="L742" i="17"/>
  <c r="L743" i="17"/>
  <c r="L744" i="17"/>
  <c r="L745" i="17"/>
  <c r="L746" i="17"/>
  <c r="L747" i="17"/>
  <c r="L748" i="17"/>
  <c r="L749" i="17"/>
  <c r="L750" i="17"/>
  <c r="L751" i="17"/>
  <c r="L752" i="17"/>
  <c r="L753" i="17"/>
  <c r="L754" i="17"/>
  <c r="L755" i="17"/>
  <c r="L756" i="17"/>
  <c r="L757" i="17"/>
  <c r="L758" i="17"/>
  <c r="L759" i="17"/>
  <c r="L760" i="17"/>
  <c r="L761" i="17"/>
  <c r="L762" i="17"/>
  <c r="L763" i="17"/>
  <c r="L764" i="17"/>
  <c r="L765" i="17"/>
  <c r="L766" i="17"/>
  <c r="L767" i="17"/>
  <c r="L768" i="17"/>
  <c r="L769" i="17"/>
  <c r="L770" i="17"/>
  <c r="L771" i="17"/>
  <c r="L772" i="17"/>
  <c r="L773" i="17"/>
  <c r="L774" i="17"/>
  <c r="L775" i="17"/>
  <c r="L776" i="17"/>
  <c r="L777" i="17"/>
  <c r="L778" i="17"/>
  <c r="L779" i="17"/>
  <c r="L780" i="17"/>
  <c r="L781" i="17"/>
  <c r="L782" i="17"/>
  <c r="L783" i="17"/>
  <c r="L784" i="17"/>
  <c r="L785" i="17"/>
  <c r="L786" i="17"/>
  <c r="L787" i="17"/>
  <c r="L788" i="17"/>
  <c r="L789" i="17"/>
  <c r="L790" i="17"/>
  <c r="L791" i="17"/>
  <c r="L792" i="17"/>
  <c r="L793" i="17"/>
  <c r="L794" i="17"/>
  <c r="L795" i="17"/>
  <c r="L796" i="17"/>
  <c r="L797" i="17"/>
  <c r="L798" i="17"/>
  <c r="L799" i="17"/>
  <c r="L800" i="17"/>
  <c r="L801" i="17"/>
  <c r="L802" i="17"/>
  <c r="L803" i="17"/>
  <c r="L804" i="17"/>
  <c r="L805" i="17"/>
  <c r="L806" i="17"/>
  <c r="L807" i="17"/>
  <c r="L808" i="17"/>
  <c r="L809" i="17"/>
  <c r="L810" i="17"/>
  <c r="L811" i="17"/>
  <c r="L812" i="17"/>
  <c r="L813" i="17"/>
  <c r="L814" i="17"/>
  <c r="L815" i="17"/>
  <c r="L816" i="17"/>
  <c r="L817" i="17"/>
  <c r="L818" i="17"/>
  <c r="L819" i="17"/>
  <c r="L820" i="17"/>
  <c r="L821" i="17"/>
  <c r="L822" i="17"/>
  <c r="L823" i="17"/>
  <c r="L824" i="17"/>
  <c r="L825" i="17"/>
  <c r="L826" i="17"/>
  <c r="L827" i="17"/>
  <c r="L828" i="17"/>
  <c r="L829" i="17"/>
  <c r="L830" i="17"/>
  <c r="L831" i="17"/>
  <c r="L832" i="17"/>
  <c r="L833" i="17"/>
  <c r="L834" i="17"/>
  <c r="L835" i="17"/>
  <c r="L836" i="17"/>
  <c r="L837" i="17"/>
  <c r="L838" i="17"/>
  <c r="L839" i="17"/>
  <c r="L840" i="17"/>
  <c r="L841" i="17"/>
  <c r="L842" i="17"/>
  <c r="L843" i="17"/>
  <c r="L844" i="17"/>
  <c r="L845" i="17"/>
  <c r="L846" i="17"/>
  <c r="L847" i="17"/>
  <c r="L848" i="17"/>
  <c r="L849" i="17"/>
  <c r="L850" i="17"/>
  <c r="L851" i="17"/>
  <c r="L852" i="17"/>
  <c r="L853" i="17"/>
  <c r="L854" i="17"/>
  <c r="L855" i="17"/>
  <c r="L856" i="17"/>
  <c r="L857" i="17"/>
  <c r="L858" i="17"/>
  <c r="L859" i="17"/>
  <c r="L860" i="17"/>
  <c r="L861" i="17"/>
  <c r="L862" i="17"/>
  <c r="L863" i="17"/>
  <c r="L864" i="17"/>
  <c r="L865" i="17"/>
  <c r="L866" i="17"/>
  <c r="L867" i="17"/>
  <c r="L868" i="17"/>
  <c r="L869" i="17"/>
  <c r="L870" i="17"/>
  <c r="L871" i="17"/>
  <c r="L872" i="17"/>
  <c r="L873" i="17"/>
  <c r="L874" i="17"/>
  <c r="L875" i="17"/>
  <c r="L876" i="17"/>
  <c r="L877" i="17"/>
  <c r="L878" i="17"/>
  <c r="L879" i="17"/>
  <c r="L880" i="17"/>
  <c r="L881" i="17"/>
  <c r="L882" i="17"/>
  <c r="L883" i="17"/>
  <c r="L884" i="17"/>
  <c r="L885" i="17"/>
  <c r="L886" i="17"/>
  <c r="L887" i="17"/>
  <c r="L888" i="17"/>
  <c r="L889" i="17"/>
  <c r="L890" i="17"/>
  <c r="L891" i="17"/>
  <c r="L892" i="17"/>
  <c r="L893" i="17"/>
  <c r="L894" i="17"/>
  <c r="L895" i="17"/>
  <c r="L896" i="17"/>
  <c r="L897" i="17"/>
  <c r="L898" i="17"/>
  <c r="L899" i="17"/>
  <c r="L900" i="17"/>
  <c r="L901" i="17"/>
  <c r="L902" i="17"/>
  <c r="L903" i="17"/>
  <c r="L904" i="17"/>
  <c r="L905" i="17"/>
  <c r="L906" i="17"/>
  <c r="L907" i="17"/>
  <c r="L908" i="17"/>
  <c r="L909" i="17"/>
  <c r="L910" i="17"/>
  <c r="L911" i="17"/>
  <c r="L912" i="17"/>
  <c r="L913" i="17"/>
  <c r="L914" i="17"/>
  <c r="L915" i="17"/>
  <c r="L916" i="17"/>
  <c r="L917" i="17"/>
  <c r="L918" i="17"/>
  <c r="L919" i="17"/>
  <c r="L920" i="17"/>
  <c r="L921" i="17"/>
  <c r="L922" i="17"/>
  <c r="L923" i="17"/>
  <c r="L924" i="17"/>
  <c r="L925" i="17"/>
  <c r="L926" i="17"/>
  <c r="L927" i="17"/>
  <c r="L928" i="17"/>
  <c r="L929" i="17"/>
  <c r="L930" i="17"/>
  <c r="L931" i="17"/>
  <c r="L932" i="17"/>
  <c r="L933" i="17"/>
  <c r="L934" i="17"/>
  <c r="L935" i="17"/>
  <c r="L936" i="17"/>
  <c r="L937" i="17"/>
  <c r="L938" i="17"/>
  <c r="L939" i="17"/>
  <c r="L940" i="17"/>
  <c r="L941" i="17"/>
  <c r="L942" i="17"/>
  <c r="L943" i="17"/>
  <c r="L944" i="17"/>
  <c r="L945" i="17"/>
  <c r="L946" i="17"/>
  <c r="L947" i="17"/>
  <c r="L948" i="17"/>
  <c r="L949" i="17"/>
  <c r="L950" i="17"/>
  <c r="L951" i="17"/>
  <c r="L952" i="17"/>
  <c r="L953" i="17"/>
  <c r="L954" i="17"/>
  <c r="L955" i="17"/>
  <c r="L956" i="17"/>
  <c r="L957" i="17"/>
  <c r="L958" i="17"/>
  <c r="L959" i="17"/>
  <c r="L960" i="17"/>
  <c r="L961" i="17"/>
  <c r="L962" i="17"/>
  <c r="L963" i="17"/>
  <c r="L964" i="17"/>
  <c r="L965" i="17"/>
  <c r="L966" i="17"/>
  <c r="L967" i="17"/>
  <c r="L968" i="17"/>
  <c r="L969" i="17"/>
  <c r="L970" i="17"/>
  <c r="L971" i="17"/>
  <c r="L972" i="17"/>
  <c r="L973" i="17"/>
  <c r="L974" i="17"/>
  <c r="L975" i="17"/>
  <c r="L976" i="17"/>
  <c r="L977" i="17"/>
  <c r="L978" i="17"/>
  <c r="L979" i="17"/>
  <c r="L980" i="17"/>
  <c r="L981" i="17"/>
  <c r="L982" i="17"/>
  <c r="L983" i="17"/>
  <c r="L984" i="17"/>
  <c r="L985" i="17"/>
  <c r="L986" i="17"/>
  <c r="L987" i="17"/>
  <c r="L988" i="17"/>
  <c r="L989" i="17"/>
  <c r="L990" i="17"/>
  <c r="L991" i="17"/>
  <c r="L992" i="17"/>
  <c r="L993" i="17"/>
  <c r="L994" i="17"/>
  <c r="L995" i="17"/>
  <c r="L996" i="17"/>
  <c r="L997" i="17"/>
  <c r="L998" i="17"/>
  <c r="L999" i="17"/>
  <c r="L1000" i="17"/>
  <c r="L1001" i="17"/>
  <c r="L1002" i="17"/>
  <c r="L1003" i="17"/>
  <c r="L1004" i="17"/>
  <c r="L1005" i="17"/>
  <c r="L1006" i="17"/>
  <c r="L9" i="17"/>
  <c r="L6" i="17"/>
  <c r="L7" i="17"/>
  <c r="L5" i="17"/>
  <c r="B29" i="17"/>
  <c r="B30" i="17"/>
  <c r="B31" i="17"/>
  <c r="B32" i="17"/>
  <c r="B33" i="17"/>
  <c r="B28" i="17"/>
  <c r="A29" i="17"/>
  <c r="A30" i="17"/>
  <c r="A31" i="17"/>
  <c r="A32" i="17"/>
  <c r="A33" i="17"/>
  <c r="A28" i="17"/>
  <c r="C12" i="17"/>
  <c r="C13" i="17"/>
  <c r="C14" i="17"/>
  <c r="C15" i="17"/>
  <c r="C16" i="17"/>
  <c r="C17" i="17"/>
  <c r="C18" i="17"/>
  <c r="C19" i="17"/>
  <c r="C20" i="17"/>
  <c r="C21" i="17"/>
  <c r="C22" i="17"/>
  <c r="C11" i="17"/>
  <c r="B12" i="17"/>
  <c r="B13" i="17"/>
  <c r="B14" i="17"/>
  <c r="B15" i="17"/>
  <c r="B16" i="17"/>
  <c r="B17" i="17"/>
  <c r="B18" i="17"/>
  <c r="B19" i="17"/>
  <c r="B20" i="17"/>
  <c r="B21" i="17"/>
  <c r="B22" i="17"/>
  <c r="B11" i="17"/>
  <c r="G3" i="17"/>
  <c r="D38" i="17" s="1"/>
  <c r="P1006" i="17"/>
  <c r="P1003" i="17"/>
  <c r="P1002" i="17"/>
  <c r="P998" i="17"/>
  <c r="P996" i="17"/>
  <c r="P995" i="17"/>
  <c r="P994" i="17"/>
  <c r="P990" i="17"/>
  <c r="P985" i="17"/>
  <c r="P984" i="17"/>
  <c r="P982" i="17"/>
  <c r="P978" i="17"/>
  <c r="P974" i="17"/>
  <c r="P973" i="17"/>
  <c r="P972" i="17"/>
  <c r="P971" i="17"/>
  <c r="P970" i="17"/>
  <c r="P966" i="17"/>
  <c r="P961" i="17"/>
  <c r="P960" i="17"/>
  <c r="P959" i="17"/>
  <c r="P958" i="17"/>
  <c r="P956" i="17"/>
  <c r="P955" i="17"/>
  <c r="P954" i="17"/>
  <c r="P950" i="17"/>
  <c r="P949" i="17"/>
  <c r="P948" i="17"/>
  <c r="P946" i="17"/>
  <c r="P943" i="17"/>
  <c r="P942" i="17"/>
  <c r="P938" i="17"/>
  <c r="P937" i="17"/>
  <c r="P936" i="17"/>
  <c r="P935" i="17"/>
  <c r="P934" i="17"/>
  <c r="P930" i="17"/>
  <c r="P925" i="17"/>
  <c r="P924" i="17"/>
  <c r="P923" i="17"/>
  <c r="P922" i="17"/>
  <c r="P919" i="17"/>
  <c r="P918" i="17"/>
  <c r="P914" i="17"/>
  <c r="P913" i="17"/>
  <c r="P912" i="17"/>
  <c r="P911" i="17"/>
  <c r="P910" i="17"/>
  <c r="P907" i="17"/>
  <c r="P906" i="17"/>
  <c r="P903" i="17"/>
  <c r="P902" i="17"/>
  <c r="P901" i="17"/>
  <c r="P900" i="17"/>
  <c r="P899" i="17"/>
  <c r="P898" i="17"/>
  <c r="P896" i="17"/>
  <c r="P894" i="17"/>
  <c r="P891" i="17"/>
  <c r="P890" i="17"/>
  <c r="P889" i="17"/>
  <c r="P888" i="17"/>
  <c r="P887" i="17"/>
  <c r="P886" i="17"/>
  <c r="P884" i="17"/>
  <c r="P883" i="17"/>
  <c r="P882" i="17"/>
  <c r="P878" i="17"/>
  <c r="P877" i="17"/>
  <c r="P876" i="17"/>
  <c r="P875" i="17"/>
  <c r="P874" i="17"/>
  <c r="P870" i="17"/>
  <c r="P867" i="17"/>
  <c r="P866" i="17"/>
  <c r="P865" i="17"/>
  <c r="P864" i="17"/>
  <c r="P863" i="17"/>
  <c r="P862" i="17"/>
  <c r="P859" i="17"/>
  <c r="P858" i="17"/>
  <c r="P855" i="17"/>
  <c r="P854" i="17"/>
  <c r="P853" i="17"/>
  <c r="P852" i="17"/>
  <c r="P851" i="17"/>
  <c r="P850" i="17"/>
  <c r="P848" i="17"/>
  <c r="P846" i="17"/>
  <c r="P842" i="17"/>
  <c r="P841" i="17"/>
  <c r="P840" i="17"/>
  <c r="P839" i="17"/>
  <c r="P838" i="17"/>
  <c r="P834" i="17"/>
  <c r="P831" i="17"/>
  <c r="P830" i="17"/>
  <c r="P829" i="17"/>
  <c r="P828" i="17"/>
  <c r="P827" i="17"/>
  <c r="P826" i="17"/>
  <c r="P824" i="17"/>
  <c r="P823" i="17"/>
  <c r="P822" i="17"/>
  <c r="P819" i="17"/>
  <c r="P818" i="17"/>
  <c r="P817" i="17"/>
  <c r="P816" i="17"/>
  <c r="P815" i="17"/>
  <c r="P814" i="17"/>
  <c r="P812" i="17"/>
  <c r="P811" i="17"/>
  <c r="P810" i="17"/>
  <c r="P809" i="17"/>
  <c r="P806" i="17"/>
  <c r="P805" i="17"/>
  <c r="P804" i="17"/>
  <c r="P803" i="17"/>
  <c r="P802" i="17"/>
  <c r="P798" i="17"/>
  <c r="P796" i="17"/>
  <c r="P794" i="17"/>
  <c r="P793" i="17"/>
  <c r="P792" i="17"/>
  <c r="P791" i="17"/>
  <c r="P790" i="17"/>
  <c r="P787" i="17"/>
  <c r="P786" i="17"/>
  <c r="P782" i="17"/>
  <c r="P781" i="17"/>
  <c r="P780" i="17"/>
  <c r="P779" i="17"/>
  <c r="P778" i="17"/>
  <c r="P775" i="17"/>
  <c r="P774" i="17"/>
  <c r="P772" i="17"/>
  <c r="P770" i="17"/>
  <c r="P769" i="17"/>
  <c r="P768" i="17"/>
  <c r="P767" i="17"/>
  <c r="P766" i="17"/>
  <c r="P762" i="17"/>
  <c r="P759" i="17"/>
  <c r="P758" i="17"/>
  <c r="P757" i="17"/>
  <c r="P756" i="17"/>
  <c r="P755" i="17"/>
  <c r="P754" i="17"/>
  <c r="P752" i="17"/>
  <c r="P751" i="17"/>
  <c r="P750" i="17"/>
  <c r="P746" i="17"/>
  <c r="P745" i="17"/>
  <c r="P744" i="17"/>
  <c r="P743" i="17"/>
  <c r="P742" i="17"/>
  <c r="P739" i="17"/>
  <c r="P738" i="17"/>
  <c r="P736" i="17"/>
  <c r="P734" i="17"/>
  <c r="P733" i="17"/>
  <c r="P732" i="17"/>
  <c r="P731" i="17"/>
  <c r="P730" i="17"/>
  <c r="P726" i="17"/>
  <c r="P723" i="17"/>
  <c r="P722" i="17"/>
  <c r="P721" i="17"/>
  <c r="P720" i="17"/>
  <c r="P719" i="17"/>
  <c r="P718" i="17"/>
  <c r="P715" i="17"/>
  <c r="P714" i="17"/>
  <c r="P710" i="17"/>
  <c r="P709" i="17"/>
  <c r="P708" i="17"/>
  <c r="P707" i="17"/>
  <c r="P706" i="17"/>
  <c r="P703" i="17"/>
  <c r="P702" i="17"/>
  <c r="P700" i="17"/>
  <c r="P698" i="17"/>
  <c r="P697" i="17"/>
  <c r="P696" i="17"/>
  <c r="P695" i="17"/>
  <c r="P694" i="17"/>
  <c r="P690" i="17"/>
  <c r="P688" i="17"/>
  <c r="P686" i="17"/>
  <c r="P685" i="17"/>
  <c r="P684" i="17"/>
  <c r="P683" i="17"/>
  <c r="P682" i="17"/>
  <c r="P680" i="17"/>
  <c r="P678" i="17"/>
  <c r="P674" i="17"/>
  <c r="P673" i="17"/>
  <c r="P672" i="17"/>
  <c r="P671" i="17"/>
  <c r="P670" i="17"/>
  <c r="P666" i="17"/>
  <c r="P663" i="17"/>
  <c r="P662" i="17"/>
  <c r="P661" i="17"/>
  <c r="P660" i="17"/>
  <c r="P659" i="17"/>
  <c r="P658" i="17"/>
  <c r="P656" i="17"/>
  <c r="P654" i="17"/>
  <c r="P651" i="17"/>
  <c r="P650" i="17"/>
  <c r="P649" i="17"/>
  <c r="P648" i="17"/>
  <c r="P647" i="17"/>
  <c r="P646" i="17"/>
  <c r="P644" i="17"/>
  <c r="P643" i="17"/>
  <c r="P642" i="17"/>
  <c r="P640" i="17"/>
  <c r="P638" i="17"/>
  <c r="P637" i="17"/>
  <c r="P636" i="17"/>
  <c r="P635" i="17"/>
  <c r="P634" i="17"/>
  <c r="P630" i="17"/>
  <c r="P628" i="17"/>
  <c r="P627" i="17"/>
  <c r="P626" i="17"/>
  <c r="P625" i="17"/>
  <c r="P624" i="17"/>
  <c r="P623" i="17"/>
  <c r="P622" i="17"/>
  <c r="P620" i="17"/>
  <c r="P618" i="17"/>
  <c r="P614" i="17"/>
  <c r="P613" i="17"/>
  <c r="P612" i="17"/>
  <c r="P611" i="17"/>
  <c r="P610" i="17"/>
  <c r="P607" i="17"/>
  <c r="P606" i="17"/>
  <c r="P604" i="17"/>
  <c r="P602" i="17"/>
  <c r="P601" i="17"/>
  <c r="P600" i="17"/>
  <c r="P599" i="17"/>
  <c r="P598" i="17"/>
  <c r="P594" i="17"/>
  <c r="P592" i="17"/>
  <c r="P591" i="17"/>
  <c r="P590" i="17"/>
  <c r="P589" i="17"/>
  <c r="P588" i="17"/>
  <c r="P587" i="17"/>
  <c r="P586" i="17"/>
  <c r="P583" i="17"/>
  <c r="P582" i="17"/>
  <c r="P578" i="17"/>
  <c r="P577" i="17"/>
  <c r="P576" i="17"/>
  <c r="P575" i="17"/>
  <c r="P574" i="17"/>
  <c r="P571" i="17"/>
  <c r="P570" i="17"/>
  <c r="P568" i="17"/>
  <c r="P566" i="17"/>
  <c r="P565" i="17"/>
  <c r="P564" i="17"/>
  <c r="P563" i="17"/>
  <c r="P562" i="17"/>
  <c r="P558" i="17"/>
  <c r="P556" i="17"/>
  <c r="P555" i="17"/>
  <c r="P554" i="17"/>
  <c r="P553" i="17"/>
  <c r="P552" i="17"/>
  <c r="P551" i="17"/>
  <c r="P550" i="17"/>
  <c r="P548" i="17"/>
  <c r="P547" i="17"/>
  <c r="P546" i="17"/>
  <c r="P543" i="17"/>
  <c r="P542" i="17"/>
  <c r="P541" i="17"/>
  <c r="P540" i="17"/>
  <c r="P539" i="17"/>
  <c r="P538" i="17"/>
  <c r="P535" i="17"/>
  <c r="P534" i="17"/>
  <c r="P532" i="17"/>
  <c r="P530" i="17"/>
  <c r="P529" i="17"/>
  <c r="P528" i="17"/>
  <c r="P527" i="17"/>
  <c r="P526" i="17"/>
  <c r="P522" i="17"/>
  <c r="P519" i="17"/>
  <c r="P518" i="17"/>
  <c r="P517" i="17"/>
  <c r="P516" i="17"/>
  <c r="P515" i="17"/>
  <c r="P514" i="17"/>
  <c r="P512" i="17"/>
  <c r="P511" i="17"/>
  <c r="P510" i="17"/>
  <c r="P507" i="17"/>
  <c r="P506" i="17"/>
  <c r="P505" i="17"/>
  <c r="P504" i="17"/>
  <c r="P503" i="17"/>
  <c r="P502" i="17"/>
  <c r="P500" i="17"/>
  <c r="P499" i="17"/>
  <c r="P498" i="17"/>
  <c r="P494" i="17"/>
  <c r="P493" i="17"/>
  <c r="P492" i="17"/>
  <c r="P491" i="17"/>
  <c r="P490" i="17"/>
  <c r="P486" i="17"/>
  <c r="P483" i="17"/>
  <c r="P482" i="17"/>
  <c r="P481" i="17"/>
  <c r="P480" i="17"/>
  <c r="P479" i="17"/>
  <c r="P478" i="17"/>
  <c r="P475" i="17"/>
  <c r="P474" i="17"/>
  <c r="P471" i="17"/>
  <c r="P470" i="17"/>
  <c r="P469" i="17"/>
  <c r="P468" i="17"/>
  <c r="P467" i="17"/>
  <c r="P466" i="17"/>
  <c r="P463" i="17"/>
  <c r="P462" i="17"/>
  <c r="P460" i="17"/>
  <c r="P458" i="17"/>
  <c r="P457" i="17"/>
  <c r="P456" i="17"/>
  <c r="P455" i="17"/>
  <c r="P454" i="17"/>
  <c r="P450" i="17"/>
  <c r="P448" i="17"/>
  <c r="P446" i="17"/>
  <c r="P445" i="17"/>
  <c r="P444" i="17"/>
  <c r="P443" i="17"/>
  <c r="P442" i="17"/>
  <c r="P439" i="17"/>
  <c r="P438" i="17"/>
  <c r="P434" i="17"/>
  <c r="P433" i="17"/>
  <c r="P432" i="17"/>
  <c r="P431" i="17"/>
  <c r="P430" i="17"/>
  <c r="P427" i="17"/>
  <c r="P426" i="17"/>
  <c r="P424" i="17"/>
  <c r="P422" i="17"/>
  <c r="P421" i="17"/>
  <c r="P420" i="17"/>
  <c r="P419" i="17"/>
  <c r="P418" i="17"/>
  <c r="P414" i="17"/>
  <c r="P412" i="17"/>
  <c r="P410" i="17"/>
  <c r="P409" i="17"/>
  <c r="P408" i="17"/>
  <c r="P407" i="17"/>
  <c r="P406" i="17"/>
  <c r="P403" i="17"/>
  <c r="P402" i="17"/>
  <c r="P398" i="17"/>
  <c r="P397" i="17"/>
  <c r="P396" i="17"/>
  <c r="P395" i="17"/>
  <c r="P394" i="17"/>
  <c r="P391" i="17"/>
  <c r="P390" i="17"/>
  <c r="P388" i="17"/>
  <c r="P387" i="17"/>
  <c r="P386" i="17"/>
  <c r="P385" i="17"/>
  <c r="P384" i="17"/>
  <c r="P383" i="17"/>
  <c r="P382" i="17"/>
  <c r="P378" i="17"/>
  <c r="P375" i="17"/>
  <c r="P374" i="17"/>
  <c r="P373" i="17"/>
  <c r="P372" i="17"/>
  <c r="P371" i="17"/>
  <c r="P370" i="17"/>
  <c r="P368" i="17"/>
  <c r="P366" i="17"/>
  <c r="P362" i="17"/>
  <c r="P361" i="17"/>
  <c r="P360" i="17"/>
  <c r="P359" i="17"/>
  <c r="P358" i="17"/>
  <c r="P355" i="17"/>
  <c r="P354" i="17"/>
  <c r="P351" i="17"/>
  <c r="P350" i="17"/>
  <c r="P349" i="17"/>
  <c r="P348" i="17"/>
  <c r="P347" i="17"/>
  <c r="P346" i="17"/>
  <c r="P342" i="17"/>
  <c r="P340" i="17"/>
  <c r="P338" i="17"/>
  <c r="P337" i="17"/>
  <c r="P336" i="17"/>
  <c r="P335" i="17"/>
  <c r="P334" i="17"/>
  <c r="P331" i="17"/>
  <c r="P330" i="17"/>
  <c r="P326" i="17"/>
  <c r="P325" i="17"/>
  <c r="P324" i="17"/>
  <c r="P323" i="17"/>
  <c r="P322" i="17"/>
  <c r="P319" i="17"/>
  <c r="P318" i="17"/>
  <c r="P316" i="17"/>
  <c r="P315" i="17"/>
  <c r="P314" i="17"/>
  <c r="P313" i="17"/>
  <c r="P312" i="17"/>
  <c r="P311" i="17"/>
  <c r="P310" i="17"/>
  <c r="P308" i="17"/>
  <c r="P306" i="17"/>
  <c r="P303" i="17"/>
  <c r="P302" i="17"/>
  <c r="P301" i="17"/>
  <c r="P300" i="17"/>
  <c r="P299" i="17"/>
  <c r="P298" i="17"/>
  <c r="P296" i="17"/>
  <c r="P295" i="17"/>
  <c r="P294" i="17"/>
  <c r="P290" i="17"/>
  <c r="P289" i="17"/>
  <c r="P288" i="17"/>
  <c r="P287" i="17"/>
  <c r="P286" i="17"/>
  <c r="P282" i="17"/>
  <c r="P281" i="17"/>
  <c r="P279" i="17"/>
  <c r="P278" i="17"/>
  <c r="P277" i="17"/>
  <c r="P276" i="17"/>
  <c r="P275" i="17"/>
  <c r="P274" i="17"/>
  <c r="P271" i="17"/>
  <c r="P270" i="17"/>
  <c r="P266" i="17"/>
  <c r="P265" i="17"/>
  <c r="P264" i="17"/>
  <c r="P263" i="17"/>
  <c r="P262" i="17"/>
  <c r="P259" i="17"/>
  <c r="P258" i="17"/>
  <c r="P256" i="17"/>
  <c r="P254" i="17"/>
  <c r="P253" i="17"/>
  <c r="P252" i="17"/>
  <c r="P251" i="17"/>
  <c r="P250" i="17"/>
  <c r="P246" i="17"/>
  <c r="P244" i="17"/>
  <c r="P243" i="17"/>
  <c r="P242" i="17"/>
  <c r="P241" i="17"/>
  <c r="P240" i="17"/>
  <c r="P239" i="17"/>
  <c r="P238" i="17"/>
  <c r="P236" i="17"/>
  <c r="P234" i="17"/>
  <c r="P233" i="17"/>
  <c r="P230" i="17"/>
  <c r="P229" i="17"/>
  <c r="P228" i="17"/>
  <c r="P227" i="17"/>
  <c r="P226" i="17"/>
  <c r="P222" i="17"/>
  <c r="P219" i="17"/>
  <c r="P218" i="17"/>
  <c r="P217" i="17"/>
  <c r="P216" i="17"/>
  <c r="P215" i="17"/>
  <c r="P214" i="17"/>
  <c r="P212" i="17"/>
  <c r="P210" i="17"/>
  <c r="P207" i="17"/>
  <c r="P206" i="17"/>
  <c r="P205" i="17"/>
  <c r="P204" i="17"/>
  <c r="P203" i="17"/>
  <c r="P202" i="17"/>
  <c r="P200" i="17"/>
  <c r="P198" i="17"/>
  <c r="P194" i="17"/>
  <c r="P193" i="17"/>
  <c r="P192" i="17"/>
  <c r="P191" i="17"/>
  <c r="P190" i="17"/>
  <c r="P186" i="17"/>
  <c r="P183" i="17"/>
  <c r="P182" i="17"/>
  <c r="P181" i="17"/>
  <c r="P180" i="17"/>
  <c r="P179" i="17"/>
  <c r="P178" i="17"/>
  <c r="P176" i="17"/>
  <c r="P175" i="17"/>
  <c r="P174" i="17"/>
  <c r="P170" i="17"/>
  <c r="P169" i="17"/>
  <c r="P168" i="17"/>
  <c r="P167" i="17"/>
  <c r="P166" i="17"/>
  <c r="P163" i="17"/>
  <c r="P162" i="17"/>
  <c r="P160" i="17"/>
  <c r="P159" i="17"/>
  <c r="P158" i="17"/>
  <c r="P157" i="17"/>
  <c r="P156" i="17"/>
  <c r="P155" i="17"/>
  <c r="P154" i="17"/>
  <c r="P152" i="17"/>
  <c r="P150" i="17"/>
  <c r="P147" i="17"/>
  <c r="P146" i="17"/>
  <c r="P145" i="17"/>
  <c r="P144" i="17"/>
  <c r="P143" i="17"/>
  <c r="P142" i="17"/>
  <c r="P140" i="17"/>
  <c r="P138" i="17"/>
  <c r="P134" i="17"/>
  <c r="P133" i="17"/>
  <c r="P132" i="17"/>
  <c r="P131" i="17"/>
  <c r="P130" i="17"/>
  <c r="P126" i="17"/>
  <c r="P123" i="17"/>
  <c r="P122" i="17"/>
  <c r="P121" i="17"/>
  <c r="P120" i="17"/>
  <c r="P119" i="17"/>
  <c r="P118" i="17"/>
  <c r="P116" i="17"/>
  <c r="P114" i="17"/>
  <c r="P111" i="17"/>
  <c r="P110" i="17"/>
  <c r="P109" i="17"/>
  <c r="P108" i="17"/>
  <c r="P107" i="17"/>
  <c r="P106" i="17"/>
  <c r="P104" i="17"/>
  <c r="P102" i="17"/>
  <c r="P98" i="17"/>
  <c r="P97" i="17"/>
  <c r="P96" i="17"/>
  <c r="P95" i="17"/>
  <c r="P94" i="17"/>
  <c r="P90" i="17"/>
  <c r="P87" i="17"/>
  <c r="P86" i="17"/>
  <c r="P85" i="17"/>
  <c r="P84" i="17"/>
  <c r="P83" i="17"/>
  <c r="P82" i="17"/>
  <c r="P80" i="17"/>
  <c r="P78" i="17"/>
  <c r="P75" i="17"/>
  <c r="P74" i="17"/>
  <c r="P73" i="17"/>
  <c r="P72" i="17"/>
  <c r="P71" i="17"/>
  <c r="P70" i="17"/>
  <c r="P68" i="17"/>
  <c r="P66" i="17"/>
  <c r="P62" i="17"/>
  <c r="P61" i="17"/>
  <c r="P60" i="17"/>
  <c r="P59" i="17"/>
  <c r="P58" i="17"/>
  <c r="P54" i="17"/>
  <c r="P51" i="17"/>
  <c r="P50" i="17"/>
  <c r="P49" i="17"/>
  <c r="P48" i="17"/>
  <c r="P47" i="17"/>
  <c r="P46" i="17"/>
  <c r="P43" i="17"/>
  <c r="P42" i="17"/>
  <c r="D42" i="17"/>
  <c r="P39" i="17"/>
  <c r="P38" i="17"/>
  <c r="P37" i="17"/>
  <c r="P36" i="17"/>
  <c r="P35" i="17"/>
  <c r="P34" i="17"/>
  <c r="P30" i="17"/>
  <c r="D28" i="17"/>
  <c r="B27" i="17"/>
  <c r="A27" i="17"/>
  <c r="P26" i="17"/>
  <c r="P25" i="17"/>
  <c r="P24" i="17"/>
  <c r="P23" i="17"/>
  <c r="P22" i="17"/>
  <c r="P18" i="17"/>
  <c r="P17" i="17"/>
  <c r="P15" i="17"/>
  <c r="P14" i="17"/>
  <c r="P13" i="17"/>
  <c r="P12" i="17"/>
  <c r="P11" i="17"/>
  <c r="P10" i="17"/>
  <c r="C10" i="17"/>
  <c r="B10" i="17"/>
  <c r="P9" i="17"/>
  <c r="P7" i="17"/>
  <c r="P6" i="17"/>
  <c r="P5" i="17"/>
  <c r="M4" i="17"/>
  <c r="L4" i="17"/>
  <c r="M10" i="15"/>
  <c r="M11" i="15"/>
  <c r="M12" i="15"/>
  <c r="M13" i="15"/>
  <c r="M14" i="15"/>
  <c r="M15" i="15"/>
  <c r="M16" i="15"/>
  <c r="P16" i="15" s="1"/>
  <c r="M17" i="15"/>
  <c r="P17" i="15" s="1"/>
  <c r="M18" i="15"/>
  <c r="M19" i="15"/>
  <c r="P19" i="15" s="1"/>
  <c r="M20" i="15"/>
  <c r="P20" i="15" s="1"/>
  <c r="M21" i="15"/>
  <c r="P21" i="15" s="1"/>
  <c r="M22" i="15"/>
  <c r="M23" i="15"/>
  <c r="M24" i="15"/>
  <c r="M25" i="15"/>
  <c r="M26" i="15"/>
  <c r="M27" i="15"/>
  <c r="M28" i="15"/>
  <c r="M29" i="15"/>
  <c r="P29" i="15" s="1"/>
  <c r="M30" i="15"/>
  <c r="P30" i="15" s="1"/>
  <c r="M31" i="15"/>
  <c r="P31" i="15" s="1"/>
  <c r="M32" i="15"/>
  <c r="M33" i="15"/>
  <c r="P33" i="15" s="1"/>
  <c r="M34" i="15"/>
  <c r="M35" i="15"/>
  <c r="M36" i="15"/>
  <c r="M37" i="15"/>
  <c r="M38" i="15"/>
  <c r="M39" i="15"/>
  <c r="M40" i="15"/>
  <c r="M41" i="15"/>
  <c r="P41" i="15" s="1"/>
  <c r="M42" i="15"/>
  <c r="P42" i="15" s="1"/>
  <c r="M43" i="15"/>
  <c r="P43" i="15" s="1"/>
  <c r="M44" i="15"/>
  <c r="P44" i="15" s="1"/>
  <c r="M45" i="15"/>
  <c r="M46" i="15"/>
  <c r="M47" i="15"/>
  <c r="M48" i="15"/>
  <c r="M49" i="15"/>
  <c r="M50" i="15"/>
  <c r="M51" i="15"/>
  <c r="M52" i="15"/>
  <c r="M53" i="15"/>
  <c r="M54" i="15"/>
  <c r="P54" i="15" s="1"/>
  <c r="M55" i="15"/>
  <c r="P55" i="15" s="1"/>
  <c r="M56" i="15"/>
  <c r="P56" i="15" s="1"/>
  <c r="M57" i="15"/>
  <c r="P57" i="15" s="1"/>
  <c r="M58" i="15"/>
  <c r="M59" i="15"/>
  <c r="M60" i="15"/>
  <c r="M61" i="15"/>
  <c r="M62" i="15"/>
  <c r="M63" i="15"/>
  <c r="M64" i="15"/>
  <c r="P64" i="15" s="1"/>
  <c r="M65" i="15"/>
  <c r="M66" i="15"/>
  <c r="M67" i="15"/>
  <c r="M68" i="15"/>
  <c r="P68" i="15" s="1"/>
  <c r="M69" i="15"/>
  <c r="P69" i="15" s="1"/>
  <c r="M70" i="15"/>
  <c r="M71" i="15"/>
  <c r="M72" i="15"/>
  <c r="M73" i="15"/>
  <c r="M74" i="15"/>
  <c r="M75" i="15"/>
  <c r="M76" i="15"/>
  <c r="P76" i="15" s="1"/>
  <c r="M77" i="15"/>
  <c r="P77" i="15" s="1"/>
  <c r="M78" i="15"/>
  <c r="P78" i="15" s="1"/>
  <c r="M79" i="15"/>
  <c r="P79" i="15" s="1"/>
  <c r="M80" i="15"/>
  <c r="P80" i="15" s="1"/>
  <c r="M81" i="15"/>
  <c r="P81" i="15" s="1"/>
  <c r="M82" i="15"/>
  <c r="M83" i="15"/>
  <c r="M84" i="15"/>
  <c r="M85" i="15"/>
  <c r="M86" i="15"/>
  <c r="M87" i="15"/>
  <c r="M88" i="15"/>
  <c r="M89" i="15"/>
  <c r="M90" i="15"/>
  <c r="M91" i="15"/>
  <c r="P91" i="15" s="1"/>
  <c r="M92" i="15"/>
  <c r="P92" i="15" s="1"/>
  <c r="M93" i="15"/>
  <c r="P93" i="15" s="1"/>
  <c r="M94" i="15"/>
  <c r="M95" i="15"/>
  <c r="M96" i="15"/>
  <c r="M97" i="15"/>
  <c r="M98" i="15"/>
  <c r="M99" i="15"/>
  <c r="M100" i="15"/>
  <c r="P100" i="15" s="1"/>
  <c r="M101" i="15"/>
  <c r="P101" i="15" s="1"/>
  <c r="M102" i="15"/>
  <c r="P102" i="15" s="1"/>
  <c r="M103" i="15"/>
  <c r="P103" i="15" s="1"/>
  <c r="M104" i="15"/>
  <c r="M105" i="15"/>
  <c r="P105" i="15" s="1"/>
  <c r="M106" i="15"/>
  <c r="M107" i="15"/>
  <c r="M108" i="15"/>
  <c r="M109" i="15"/>
  <c r="M110" i="15"/>
  <c r="M111" i="15"/>
  <c r="M112" i="15"/>
  <c r="M113" i="15"/>
  <c r="M114" i="15"/>
  <c r="P114" i="15" s="1"/>
  <c r="M115" i="15"/>
  <c r="P115" i="15" s="1"/>
  <c r="M116" i="15"/>
  <c r="P116" i="15" s="1"/>
  <c r="M117" i="15"/>
  <c r="P117" i="15" s="1"/>
  <c r="M118" i="15"/>
  <c r="M119" i="15"/>
  <c r="M120" i="15"/>
  <c r="M121" i="15"/>
  <c r="M122" i="15"/>
  <c r="M123" i="15"/>
  <c r="M124" i="15"/>
  <c r="P124" i="15" s="1"/>
  <c r="M125" i="15"/>
  <c r="P125" i="15" s="1"/>
  <c r="M126" i="15"/>
  <c r="P126" i="15" s="1"/>
  <c r="M127" i="15"/>
  <c r="M128" i="15"/>
  <c r="M129" i="15"/>
  <c r="P129" i="15" s="1"/>
  <c r="M130" i="15"/>
  <c r="M131" i="15"/>
  <c r="M132" i="15"/>
  <c r="M133" i="15"/>
  <c r="M134" i="15"/>
  <c r="M135" i="15"/>
  <c r="M136" i="15"/>
  <c r="M137" i="15"/>
  <c r="P137" i="15" s="1"/>
  <c r="M138" i="15"/>
  <c r="P138" i="15" s="1"/>
  <c r="M139" i="15"/>
  <c r="P139" i="15" s="1"/>
  <c r="M140" i="15"/>
  <c r="P140" i="15" s="1"/>
  <c r="M141" i="15"/>
  <c r="P141" i="15" s="1"/>
  <c r="M142" i="15"/>
  <c r="M143" i="15"/>
  <c r="M144" i="15"/>
  <c r="M145" i="15"/>
  <c r="M146" i="15"/>
  <c r="M147" i="15"/>
  <c r="M148" i="15"/>
  <c r="P148" i="15" s="1"/>
  <c r="M149" i="15"/>
  <c r="P149" i="15" s="1"/>
  <c r="M150" i="15"/>
  <c r="M151" i="15"/>
  <c r="M152" i="15"/>
  <c r="P152" i="15" s="1"/>
  <c r="M153" i="15"/>
  <c r="P153" i="15" s="1"/>
  <c r="M154" i="15"/>
  <c r="M155" i="15"/>
  <c r="M156" i="15"/>
  <c r="M157" i="15"/>
  <c r="M158" i="15"/>
  <c r="M159" i="15"/>
  <c r="M160" i="15"/>
  <c r="M161" i="15"/>
  <c r="P161" i="15" s="1"/>
  <c r="M162" i="15"/>
  <c r="P162" i="15" s="1"/>
  <c r="M163" i="15"/>
  <c r="P163" i="15" s="1"/>
  <c r="M164" i="15"/>
  <c r="P164" i="15" s="1"/>
  <c r="M165" i="15"/>
  <c r="P165" i="15" s="1"/>
  <c r="M166" i="15"/>
  <c r="M167" i="15"/>
  <c r="M168" i="15"/>
  <c r="M169" i="15"/>
  <c r="M170" i="15"/>
  <c r="M171" i="15"/>
  <c r="M172" i="15"/>
  <c r="M173" i="15"/>
  <c r="M174" i="15"/>
  <c r="M175" i="15"/>
  <c r="P175" i="15" s="1"/>
  <c r="M176" i="15"/>
  <c r="P176" i="15" s="1"/>
  <c r="M177" i="15"/>
  <c r="P177" i="15" s="1"/>
  <c r="M178" i="15"/>
  <c r="M179" i="15"/>
  <c r="M180" i="15"/>
  <c r="M181" i="15"/>
  <c r="M182" i="15"/>
  <c r="M183" i="15"/>
  <c r="M184" i="15"/>
  <c r="P184" i="15" s="1"/>
  <c r="M185" i="15"/>
  <c r="P185" i="15" s="1"/>
  <c r="M186" i="15"/>
  <c r="P186" i="15" s="1"/>
  <c r="M187" i="15"/>
  <c r="P187" i="15" s="1"/>
  <c r="M188" i="15"/>
  <c r="P188" i="15" s="1"/>
  <c r="M189" i="15"/>
  <c r="M190" i="15"/>
  <c r="M191" i="15"/>
  <c r="M192" i="15"/>
  <c r="M193" i="15"/>
  <c r="M194" i="15"/>
  <c r="M195" i="15"/>
  <c r="M196" i="15"/>
  <c r="M197" i="15"/>
  <c r="M198" i="15"/>
  <c r="P198" i="15" s="1"/>
  <c r="M199" i="15"/>
  <c r="P199" i="15" s="1"/>
  <c r="M200" i="15"/>
  <c r="P200" i="15" s="1"/>
  <c r="M201" i="15"/>
  <c r="P201" i="15" s="1"/>
  <c r="M202" i="15"/>
  <c r="M203" i="15"/>
  <c r="M204" i="15"/>
  <c r="M205" i="15"/>
  <c r="M206" i="15"/>
  <c r="M207" i="15"/>
  <c r="M208" i="15"/>
  <c r="P208" i="15" s="1"/>
  <c r="M209" i="15"/>
  <c r="P209" i="15" s="1"/>
  <c r="M210" i="15"/>
  <c r="P210" i="15" s="1"/>
  <c r="M211" i="15"/>
  <c r="M212" i="15"/>
  <c r="P212" i="15" s="1"/>
  <c r="M213" i="15"/>
  <c r="P213" i="15" s="1"/>
  <c r="M214" i="15"/>
  <c r="M215" i="15"/>
  <c r="M216" i="15"/>
  <c r="M217" i="15"/>
  <c r="M218" i="15"/>
  <c r="M219" i="15"/>
  <c r="M220" i="15"/>
  <c r="M221" i="15"/>
  <c r="M222" i="15"/>
  <c r="P222" i="15" s="1"/>
  <c r="M223" i="15"/>
  <c r="P223" i="15" s="1"/>
  <c r="M224" i="15"/>
  <c r="P224" i="15" s="1"/>
  <c r="M225" i="15"/>
  <c r="P225" i="15" s="1"/>
  <c r="M226" i="15"/>
  <c r="M227" i="15"/>
  <c r="M228" i="15"/>
  <c r="M229" i="15"/>
  <c r="M230" i="15"/>
  <c r="M231" i="15"/>
  <c r="M232" i="15"/>
  <c r="P232" i="15" s="1"/>
  <c r="M233" i="15"/>
  <c r="P233" i="15" s="1"/>
  <c r="M234" i="15"/>
  <c r="M235" i="15"/>
  <c r="M236" i="15"/>
  <c r="P236" i="15" s="1"/>
  <c r="M237" i="15"/>
  <c r="P237" i="15" s="1"/>
  <c r="M238" i="15"/>
  <c r="M239" i="15"/>
  <c r="M240" i="15"/>
  <c r="M241" i="15"/>
  <c r="M242" i="15"/>
  <c r="M243" i="15"/>
  <c r="M244" i="15"/>
  <c r="P244" i="15" s="1"/>
  <c r="M245" i="15"/>
  <c r="P245" i="15" s="1"/>
  <c r="M246" i="15"/>
  <c r="P246" i="15" s="1"/>
  <c r="M247" i="15"/>
  <c r="P247" i="15" s="1"/>
  <c r="M248" i="15"/>
  <c r="P248" i="15" s="1"/>
  <c r="M249" i="15"/>
  <c r="P249" i="15" s="1"/>
  <c r="M250" i="15"/>
  <c r="M251" i="15"/>
  <c r="M252" i="15"/>
  <c r="M253" i="15"/>
  <c r="M254" i="15"/>
  <c r="M255" i="15"/>
  <c r="M256" i="15"/>
  <c r="P256" i="15" s="1"/>
  <c r="M257" i="15"/>
  <c r="M258" i="15"/>
  <c r="M259" i="15"/>
  <c r="P259" i="15" s="1"/>
  <c r="M260" i="15"/>
  <c r="P260" i="15" s="1"/>
  <c r="M261" i="15"/>
  <c r="P261" i="15" s="1"/>
  <c r="M262" i="15"/>
  <c r="M263" i="15"/>
  <c r="M264" i="15"/>
  <c r="M265" i="15"/>
  <c r="M266" i="15"/>
  <c r="M267" i="15"/>
  <c r="M268" i="15"/>
  <c r="P268" i="15" s="1"/>
  <c r="M269" i="15"/>
  <c r="P269" i="15" s="1"/>
  <c r="M270" i="15"/>
  <c r="P270" i="15" s="1"/>
  <c r="M271" i="15"/>
  <c r="P271" i="15" s="1"/>
  <c r="M272" i="15"/>
  <c r="M273" i="15"/>
  <c r="P273" i="15" s="1"/>
  <c r="M274" i="15"/>
  <c r="M275" i="15"/>
  <c r="M276" i="15"/>
  <c r="M277" i="15"/>
  <c r="M278" i="15"/>
  <c r="M279" i="15"/>
  <c r="M280" i="15"/>
  <c r="M281" i="15"/>
  <c r="M282" i="15"/>
  <c r="P282" i="15" s="1"/>
  <c r="M283" i="15"/>
  <c r="P283" i="15" s="1"/>
  <c r="M284" i="15"/>
  <c r="P284" i="15" s="1"/>
  <c r="M285" i="15"/>
  <c r="P285" i="15" s="1"/>
  <c r="M286" i="15"/>
  <c r="M287" i="15"/>
  <c r="M288" i="15"/>
  <c r="M289" i="15"/>
  <c r="M290" i="15"/>
  <c r="M291" i="15"/>
  <c r="M292" i="15"/>
  <c r="P292" i="15" s="1"/>
  <c r="M293" i="15"/>
  <c r="P293" i="15" s="1"/>
  <c r="M294" i="15"/>
  <c r="P294" i="15" s="1"/>
  <c r="M295" i="15"/>
  <c r="M296" i="15"/>
  <c r="M297" i="15"/>
  <c r="P297" i="15" s="1"/>
  <c r="M298" i="15"/>
  <c r="M299" i="15"/>
  <c r="M300" i="15"/>
  <c r="M301" i="15"/>
  <c r="M302" i="15"/>
  <c r="M303" i="15"/>
  <c r="M304" i="15"/>
  <c r="M305" i="15"/>
  <c r="M306" i="15"/>
  <c r="P306" i="15" s="1"/>
  <c r="M307" i="15"/>
  <c r="P307" i="15" s="1"/>
  <c r="M308" i="15"/>
  <c r="P308" i="15" s="1"/>
  <c r="M309" i="15"/>
  <c r="P309" i="15" s="1"/>
  <c r="M310" i="15"/>
  <c r="M311" i="15"/>
  <c r="M312" i="15"/>
  <c r="M313" i="15"/>
  <c r="M314" i="15"/>
  <c r="M315" i="15"/>
  <c r="M316" i="15"/>
  <c r="P316" i="15" s="1"/>
  <c r="M317" i="15"/>
  <c r="P317" i="15" s="1"/>
  <c r="M318" i="15"/>
  <c r="M319" i="15"/>
  <c r="M320" i="15"/>
  <c r="P320" i="15" s="1"/>
  <c r="M321" i="15"/>
  <c r="P321" i="15" s="1"/>
  <c r="M322" i="15"/>
  <c r="M323" i="15"/>
  <c r="M324" i="15"/>
  <c r="M325" i="15"/>
  <c r="M326" i="15"/>
  <c r="M327" i="15"/>
  <c r="M328" i="15"/>
  <c r="M329" i="15"/>
  <c r="P329" i="15" s="1"/>
  <c r="M330" i="15"/>
  <c r="P330" i="15" s="1"/>
  <c r="M331" i="15"/>
  <c r="P331" i="15" s="1"/>
  <c r="M332" i="15"/>
  <c r="P332" i="15" s="1"/>
  <c r="M333" i="15"/>
  <c r="P333" i="15" s="1"/>
  <c r="M334" i="15"/>
  <c r="M335" i="15"/>
  <c r="M336" i="15"/>
  <c r="M337" i="15"/>
  <c r="M338" i="15"/>
  <c r="M339" i="15"/>
  <c r="M340" i="15"/>
  <c r="P340" i="15" s="1"/>
  <c r="M341" i="15"/>
  <c r="M342" i="15"/>
  <c r="M343" i="15"/>
  <c r="P343" i="15" s="1"/>
  <c r="M344" i="15"/>
  <c r="P344" i="15" s="1"/>
  <c r="M345" i="15"/>
  <c r="P345" i="15" s="1"/>
  <c r="M346" i="15"/>
  <c r="M347" i="15"/>
  <c r="M348" i="15"/>
  <c r="M349" i="15"/>
  <c r="M350" i="15"/>
  <c r="M351" i="15"/>
  <c r="M352" i="15"/>
  <c r="P352" i="15" s="1"/>
  <c r="M353" i="15"/>
  <c r="P353" i="15" s="1"/>
  <c r="M354" i="15"/>
  <c r="P354" i="15" s="1"/>
  <c r="M355" i="15"/>
  <c r="P355" i="15" s="1"/>
  <c r="M356" i="15"/>
  <c r="P356" i="15" s="1"/>
  <c r="M357" i="15"/>
  <c r="P357" i="15" s="1"/>
  <c r="M358" i="15"/>
  <c r="M359" i="15"/>
  <c r="M360" i="15"/>
  <c r="M361" i="15"/>
  <c r="M362" i="15"/>
  <c r="M363" i="15"/>
  <c r="M364" i="15"/>
  <c r="P364" i="15" s="1"/>
  <c r="M365" i="15"/>
  <c r="M366" i="15"/>
  <c r="M367" i="15"/>
  <c r="P367" i="15" s="1"/>
  <c r="M368" i="15"/>
  <c r="P368" i="15" s="1"/>
  <c r="M369" i="15"/>
  <c r="P369" i="15" s="1"/>
  <c r="M370" i="15"/>
  <c r="M371" i="15"/>
  <c r="M372" i="15"/>
  <c r="M373" i="15"/>
  <c r="M374" i="15"/>
  <c r="M375" i="15"/>
  <c r="M376" i="15"/>
  <c r="P376" i="15" s="1"/>
  <c r="M377" i="15"/>
  <c r="P377" i="15" s="1"/>
  <c r="M378" i="15"/>
  <c r="P378" i="15" s="1"/>
  <c r="M379" i="15"/>
  <c r="M380" i="15"/>
  <c r="M381" i="15"/>
  <c r="P381" i="15" s="1"/>
  <c r="M382" i="15"/>
  <c r="M383" i="15"/>
  <c r="M384" i="15"/>
  <c r="M385" i="15"/>
  <c r="M386" i="15"/>
  <c r="M387" i="15"/>
  <c r="M388" i="15"/>
  <c r="M389" i="15"/>
  <c r="M390" i="15"/>
  <c r="P390" i="15" s="1"/>
  <c r="M391" i="15"/>
  <c r="P391" i="15" s="1"/>
  <c r="M392" i="15"/>
  <c r="P392" i="15" s="1"/>
  <c r="M393" i="15"/>
  <c r="P393" i="15" s="1"/>
  <c r="M394" i="15"/>
  <c r="M395" i="15"/>
  <c r="M396" i="15"/>
  <c r="M397" i="15"/>
  <c r="M398" i="15"/>
  <c r="M399" i="15"/>
  <c r="M400" i="15"/>
  <c r="P400" i="15" s="1"/>
  <c r="M401" i="15"/>
  <c r="P401" i="15" s="1"/>
  <c r="M402" i="15"/>
  <c r="P402" i="15" s="1"/>
  <c r="M403" i="15"/>
  <c r="M404" i="15"/>
  <c r="P404" i="15" s="1"/>
  <c r="M405" i="15"/>
  <c r="P405" i="15" s="1"/>
  <c r="M406" i="15"/>
  <c r="M407" i="15"/>
  <c r="M408" i="15"/>
  <c r="M409" i="15"/>
  <c r="M410" i="15"/>
  <c r="M411" i="15"/>
  <c r="M412" i="15"/>
  <c r="M413" i="15"/>
  <c r="P413" i="15" s="1"/>
  <c r="M414" i="15"/>
  <c r="P414" i="15" s="1"/>
  <c r="M415" i="15"/>
  <c r="P415" i="15" s="1"/>
  <c r="M416" i="15"/>
  <c r="P416" i="15" s="1"/>
  <c r="M417" i="15"/>
  <c r="P417" i="15" s="1"/>
  <c r="M418" i="15"/>
  <c r="M419" i="15"/>
  <c r="M420" i="15"/>
  <c r="M421" i="15"/>
  <c r="M422" i="15"/>
  <c r="M423" i="15"/>
  <c r="M424" i="15"/>
  <c r="M425" i="15"/>
  <c r="M426" i="15"/>
  <c r="M427" i="15"/>
  <c r="P427" i="15" s="1"/>
  <c r="M428" i="15"/>
  <c r="P428" i="15" s="1"/>
  <c r="M429" i="15"/>
  <c r="P429" i="15" s="1"/>
  <c r="M430" i="15"/>
  <c r="M431" i="15"/>
  <c r="M432" i="15"/>
  <c r="M433" i="15"/>
  <c r="M434" i="15"/>
  <c r="M435" i="15"/>
  <c r="M436" i="15"/>
  <c r="M437" i="15"/>
  <c r="P437" i="15" s="1"/>
  <c r="M438" i="15"/>
  <c r="P438" i="15" s="1"/>
  <c r="M439" i="15"/>
  <c r="P439" i="15" s="1"/>
  <c r="M440" i="15"/>
  <c r="P440" i="15" s="1"/>
  <c r="M441" i="15"/>
  <c r="P441" i="15" s="1"/>
  <c r="M442" i="15"/>
  <c r="M443" i="15"/>
  <c r="M444" i="15"/>
  <c r="M445" i="15"/>
  <c r="M446" i="15"/>
  <c r="M447" i="15"/>
  <c r="M448" i="15"/>
  <c r="M449" i="15"/>
  <c r="M450" i="15"/>
  <c r="M451" i="15"/>
  <c r="P451" i="15" s="1"/>
  <c r="M452" i="15"/>
  <c r="P452" i="15" s="1"/>
  <c r="M453" i="15"/>
  <c r="P453" i="15" s="1"/>
  <c r="M454" i="15"/>
  <c r="M455" i="15"/>
  <c r="M456" i="15"/>
  <c r="M457" i="15"/>
  <c r="M458" i="15"/>
  <c r="M459" i="15"/>
  <c r="M460" i="15"/>
  <c r="P460" i="15" s="1"/>
  <c r="M461" i="15"/>
  <c r="P461" i="15" s="1"/>
  <c r="M462" i="15"/>
  <c r="P462" i="15" s="1"/>
  <c r="M463" i="15"/>
  <c r="P463" i="15" s="1"/>
  <c r="M464" i="15"/>
  <c r="P464" i="15" s="1"/>
  <c r="M465" i="15"/>
  <c r="M466" i="15"/>
  <c r="M467" i="15"/>
  <c r="M468" i="15"/>
  <c r="M469" i="15"/>
  <c r="M470" i="15"/>
  <c r="M471" i="15"/>
  <c r="M472" i="15"/>
  <c r="M473" i="15"/>
  <c r="M474" i="15"/>
  <c r="M475" i="15"/>
  <c r="P475" i="15" s="1"/>
  <c r="M476" i="15"/>
  <c r="P476" i="15" s="1"/>
  <c r="M477" i="15"/>
  <c r="P477" i="15" s="1"/>
  <c r="M478" i="15"/>
  <c r="M479" i="15"/>
  <c r="M480" i="15"/>
  <c r="M481" i="15"/>
  <c r="M482" i="15"/>
  <c r="M483" i="15"/>
  <c r="M484" i="15"/>
  <c r="P484" i="15" s="1"/>
  <c r="M485" i="15"/>
  <c r="P485" i="15" s="1"/>
  <c r="M486" i="15"/>
  <c r="P486" i="15" s="1"/>
  <c r="M487" i="15"/>
  <c r="M488" i="15"/>
  <c r="M489" i="15"/>
  <c r="P489" i="15" s="1"/>
  <c r="M490" i="15"/>
  <c r="M491" i="15"/>
  <c r="M492" i="15"/>
  <c r="M493" i="15"/>
  <c r="M494" i="15"/>
  <c r="M495" i="15"/>
  <c r="M496" i="15"/>
  <c r="M497" i="15"/>
  <c r="P497" i="15" s="1"/>
  <c r="M498" i="15"/>
  <c r="P498" i="15" s="1"/>
  <c r="M499" i="15"/>
  <c r="P499" i="15" s="1"/>
  <c r="M500" i="15"/>
  <c r="P500" i="15" s="1"/>
  <c r="M501" i="15"/>
  <c r="P501" i="15" s="1"/>
  <c r="M502" i="15"/>
  <c r="M503" i="15"/>
  <c r="M504" i="15"/>
  <c r="M505" i="15"/>
  <c r="M506" i="15"/>
  <c r="M507" i="15"/>
  <c r="M508" i="15"/>
  <c r="P508" i="15" s="1"/>
  <c r="M509" i="15"/>
  <c r="P509" i="15" s="1"/>
  <c r="M510" i="15"/>
  <c r="M511" i="15"/>
  <c r="M512" i="15"/>
  <c r="P512" i="15" s="1"/>
  <c r="M513" i="15"/>
  <c r="P513" i="15" s="1"/>
  <c r="M514" i="15"/>
  <c r="M515" i="15"/>
  <c r="M516" i="15"/>
  <c r="M517" i="15"/>
  <c r="M518" i="15"/>
  <c r="M519" i="15"/>
  <c r="M520" i="15"/>
  <c r="M521" i="15"/>
  <c r="P521" i="15" s="1"/>
  <c r="M522" i="15"/>
  <c r="P522" i="15" s="1"/>
  <c r="M523" i="15"/>
  <c r="P523" i="15" s="1"/>
  <c r="M524" i="15"/>
  <c r="P524" i="15" s="1"/>
  <c r="M525" i="15"/>
  <c r="P525" i="15" s="1"/>
  <c r="M526" i="15"/>
  <c r="M527" i="15"/>
  <c r="M528" i="15"/>
  <c r="M529" i="15"/>
  <c r="M530" i="15"/>
  <c r="M531" i="15"/>
  <c r="M532" i="15"/>
  <c r="P532" i="15" s="1"/>
  <c r="M533" i="15"/>
  <c r="M534" i="15"/>
  <c r="M535" i="15"/>
  <c r="P535" i="15" s="1"/>
  <c r="M536" i="15"/>
  <c r="P536" i="15" s="1"/>
  <c r="M537" i="15"/>
  <c r="P537" i="15" s="1"/>
  <c r="M538" i="15"/>
  <c r="M539" i="15"/>
  <c r="M540" i="15"/>
  <c r="M541" i="15"/>
  <c r="M542" i="15"/>
  <c r="M543" i="15"/>
  <c r="M544" i="15"/>
  <c r="P544" i="15" s="1"/>
  <c r="M545" i="15"/>
  <c r="P545" i="15" s="1"/>
  <c r="M546" i="15"/>
  <c r="P546" i="15" s="1"/>
  <c r="M547" i="15"/>
  <c r="P547" i="15" s="1"/>
  <c r="M548" i="15"/>
  <c r="M549" i="15"/>
  <c r="P549" i="15" s="1"/>
  <c r="M550" i="15"/>
  <c r="M551" i="15"/>
  <c r="M552" i="15"/>
  <c r="M553" i="15"/>
  <c r="M554" i="15"/>
  <c r="M555" i="15"/>
  <c r="M556" i="15"/>
  <c r="M557" i="15"/>
  <c r="M558" i="15"/>
  <c r="P558" i="15" s="1"/>
  <c r="M559" i="15"/>
  <c r="P559" i="15" s="1"/>
  <c r="M560" i="15"/>
  <c r="P560" i="15" s="1"/>
  <c r="M561" i="15"/>
  <c r="P561" i="15" s="1"/>
  <c r="M562" i="15"/>
  <c r="M563" i="15"/>
  <c r="M564" i="15"/>
  <c r="M565" i="15"/>
  <c r="M566" i="15"/>
  <c r="M567" i="15"/>
  <c r="M568" i="15"/>
  <c r="P568" i="15" s="1"/>
  <c r="M569" i="15"/>
  <c r="P569" i="15" s="1"/>
  <c r="M570" i="15"/>
  <c r="P570" i="15" s="1"/>
  <c r="M571" i="15"/>
  <c r="M572" i="15"/>
  <c r="M573" i="15"/>
  <c r="P573" i="15" s="1"/>
  <c r="M574" i="15"/>
  <c r="M575" i="15"/>
  <c r="M576" i="15"/>
  <c r="M577" i="15"/>
  <c r="M578" i="15"/>
  <c r="M579" i="15"/>
  <c r="M580" i="15"/>
  <c r="M581" i="15"/>
  <c r="M582" i="15"/>
  <c r="P582" i="15" s="1"/>
  <c r="M583" i="15"/>
  <c r="P583" i="15" s="1"/>
  <c r="M584" i="15"/>
  <c r="P584" i="15" s="1"/>
  <c r="M585" i="15"/>
  <c r="P585" i="15" s="1"/>
  <c r="M586" i="15"/>
  <c r="M587" i="15"/>
  <c r="M588" i="15"/>
  <c r="M589" i="15"/>
  <c r="M590" i="15"/>
  <c r="M591" i="15"/>
  <c r="M592" i="15"/>
  <c r="P592" i="15" s="1"/>
  <c r="M593" i="15"/>
  <c r="P593" i="15" s="1"/>
  <c r="M594" i="15"/>
  <c r="M595" i="15"/>
  <c r="M596" i="15"/>
  <c r="P596" i="15" s="1"/>
  <c r="M597" i="15"/>
  <c r="P597" i="15" s="1"/>
  <c r="M598" i="15"/>
  <c r="M599" i="15"/>
  <c r="M600" i="15"/>
  <c r="M601" i="15"/>
  <c r="M602" i="15"/>
  <c r="M603" i="15"/>
  <c r="M604" i="15"/>
  <c r="M605" i="15"/>
  <c r="P605" i="15" s="1"/>
  <c r="M606" i="15"/>
  <c r="P606" i="15" s="1"/>
  <c r="M607" i="15"/>
  <c r="P607" i="15" s="1"/>
  <c r="M608" i="15"/>
  <c r="P608" i="15" s="1"/>
  <c r="M609" i="15"/>
  <c r="M610" i="15"/>
  <c r="M611" i="15"/>
  <c r="M612" i="15"/>
  <c r="M613" i="15"/>
  <c r="M614" i="15"/>
  <c r="M615" i="15"/>
  <c r="M616" i="15"/>
  <c r="M617" i="15"/>
  <c r="M618" i="15"/>
  <c r="P618" i="15" s="1"/>
  <c r="M619" i="15"/>
  <c r="P619" i="15" s="1"/>
  <c r="M620" i="15"/>
  <c r="P620" i="15" s="1"/>
  <c r="M621" i="15"/>
  <c r="P621" i="15" s="1"/>
  <c r="M622" i="15"/>
  <c r="M623" i="15"/>
  <c r="M624" i="15"/>
  <c r="M625" i="15"/>
  <c r="M626" i="15"/>
  <c r="M627" i="15"/>
  <c r="M628" i="15"/>
  <c r="P628" i="15" s="1"/>
  <c r="M629" i="15"/>
  <c r="P629" i="15" s="1"/>
  <c r="M630" i="15"/>
  <c r="M631" i="15"/>
  <c r="M632" i="15"/>
  <c r="P632" i="15" s="1"/>
  <c r="M633" i="15"/>
  <c r="P633" i="15" s="1"/>
  <c r="M634" i="15"/>
  <c r="M635" i="15"/>
  <c r="M636" i="15"/>
  <c r="M637" i="15"/>
  <c r="M638" i="15"/>
  <c r="M639" i="15"/>
  <c r="M640" i="15"/>
  <c r="M641" i="15"/>
  <c r="P641" i="15" s="1"/>
  <c r="M642" i="15"/>
  <c r="P642" i="15" s="1"/>
  <c r="M643" i="15"/>
  <c r="P643" i="15" s="1"/>
  <c r="M644" i="15"/>
  <c r="P644" i="15" s="1"/>
  <c r="M645" i="15"/>
  <c r="P645" i="15" s="1"/>
  <c r="M646" i="15"/>
  <c r="M647" i="15"/>
  <c r="M648" i="15"/>
  <c r="M649" i="15"/>
  <c r="M650" i="15"/>
  <c r="M651" i="15"/>
  <c r="M652" i="15"/>
  <c r="P652" i="15" s="1"/>
  <c r="M653" i="15"/>
  <c r="P653" i="15" s="1"/>
  <c r="M654" i="15"/>
  <c r="M655" i="15"/>
  <c r="M656" i="15"/>
  <c r="P656" i="15" s="1"/>
  <c r="M657" i="15"/>
  <c r="P657" i="15" s="1"/>
  <c r="M658" i="15"/>
  <c r="M659" i="15"/>
  <c r="M660" i="15"/>
  <c r="M661" i="15"/>
  <c r="M662" i="15"/>
  <c r="M663" i="15"/>
  <c r="M664" i="15"/>
  <c r="M665" i="15"/>
  <c r="P665" i="15" s="1"/>
  <c r="M666" i="15"/>
  <c r="P666" i="15" s="1"/>
  <c r="M667" i="15"/>
  <c r="P667" i="15" s="1"/>
  <c r="M668" i="15"/>
  <c r="P668" i="15" s="1"/>
  <c r="M669" i="15"/>
  <c r="P669" i="15" s="1"/>
  <c r="M670" i="15"/>
  <c r="M671" i="15"/>
  <c r="M672" i="15"/>
  <c r="M673" i="15"/>
  <c r="M674" i="15"/>
  <c r="M675" i="15"/>
  <c r="M676" i="15"/>
  <c r="P676" i="15" s="1"/>
  <c r="M677" i="15"/>
  <c r="M678" i="15"/>
  <c r="M679" i="15"/>
  <c r="P679" i="15" s="1"/>
  <c r="M680" i="15"/>
  <c r="P680" i="15" s="1"/>
  <c r="M681" i="15"/>
  <c r="P681" i="15" s="1"/>
  <c r="M682" i="15"/>
  <c r="M683" i="15"/>
  <c r="M684" i="15"/>
  <c r="M685" i="15"/>
  <c r="M686" i="15"/>
  <c r="M687" i="15"/>
  <c r="M688" i="15"/>
  <c r="P688" i="15" s="1"/>
  <c r="M689" i="15"/>
  <c r="P689" i="15" s="1"/>
  <c r="M690" i="15"/>
  <c r="P690" i="15" s="1"/>
  <c r="M691" i="15"/>
  <c r="P691" i="15" s="1"/>
  <c r="M692" i="15"/>
  <c r="M693" i="15"/>
  <c r="P693" i="15" s="1"/>
  <c r="M694" i="15"/>
  <c r="M695" i="15"/>
  <c r="M696" i="15"/>
  <c r="M697" i="15"/>
  <c r="M698" i="15"/>
  <c r="M699" i="15"/>
  <c r="M700" i="15"/>
  <c r="M701" i="15"/>
  <c r="P701" i="15" s="1"/>
  <c r="M702" i="15"/>
  <c r="P702" i="15" s="1"/>
  <c r="M703" i="15"/>
  <c r="P703" i="15" s="1"/>
  <c r="M704" i="15"/>
  <c r="P704" i="15" s="1"/>
  <c r="M705" i="15"/>
  <c r="P705" i="15" s="1"/>
  <c r="M706" i="15"/>
  <c r="M707" i="15"/>
  <c r="M708" i="15"/>
  <c r="M709" i="15"/>
  <c r="M710" i="15"/>
  <c r="M711" i="15"/>
  <c r="M712" i="15"/>
  <c r="P712" i="15" s="1"/>
  <c r="M713" i="15"/>
  <c r="P713" i="15" s="1"/>
  <c r="M714" i="15"/>
  <c r="M715" i="15"/>
  <c r="M716" i="15"/>
  <c r="P716" i="15" s="1"/>
  <c r="M717" i="15"/>
  <c r="P717" i="15" s="1"/>
  <c r="M718" i="15"/>
  <c r="M719" i="15"/>
  <c r="M720" i="15"/>
  <c r="M721" i="15"/>
  <c r="M722" i="15"/>
  <c r="M723" i="15"/>
  <c r="M724" i="15"/>
  <c r="M725" i="15"/>
  <c r="P725" i="15" s="1"/>
  <c r="M726" i="15"/>
  <c r="P726" i="15" s="1"/>
  <c r="M727" i="15"/>
  <c r="P727" i="15" s="1"/>
  <c r="M728" i="15"/>
  <c r="P728" i="15" s="1"/>
  <c r="M729" i="15"/>
  <c r="P729" i="15" s="1"/>
  <c r="M730" i="15"/>
  <c r="M731" i="15"/>
  <c r="M732" i="15"/>
  <c r="M733" i="15"/>
  <c r="M734" i="15"/>
  <c r="M735" i="15"/>
  <c r="M736" i="15"/>
  <c r="P736" i="15" s="1"/>
  <c r="M737" i="15"/>
  <c r="M738" i="15"/>
  <c r="M739" i="15"/>
  <c r="P739" i="15" s="1"/>
  <c r="M740" i="15"/>
  <c r="P740" i="15" s="1"/>
  <c r="M741" i="15"/>
  <c r="P741" i="15" s="1"/>
  <c r="M742" i="15"/>
  <c r="M743" i="15"/>
  <c r="M744" i="15"/>
  <c r="M745" i="15"/>
  <c r="M746" i="15"/>
  <c r="M747" i="15"/>
  <c r="M748" i="15"/>
  <c r="P748" i="15" s="1"/>
  <c r="M749" i="15"/>
  <c r="P749" i="15" s="1"/>
  <c r="M750" i="15"/>
  <c r="P750" i="15" s="1"/>
  <c r="M751" i="15"/>
  <c r="P751" i="15" s="1"/>
  <c r="M752" i="15"/>
  <c r="P752" i="15" s="1"/>
  <c r="M753" i="15"/>
  <c r="M754" i="15"/>
  <c r="M755" i="15"/>
  <c r="M756" i="15"/>
  <c r="M757" i="15"/>
  <c r="M758" i="15"/>
  <c r="M759" i="15"/>
  <c r="M760" i="15"/>
  <c r="M761" i="15"/>
  <c r="M762" i="15"/>
  <c r="M763" i="15"/>
  <c r="P763" i="15" s="1"/>
  <c r="M764" i="15"/>
  <c r="P764" i="15" s="1"/>
  <c r="M765" i="15"/>
  <c r="P765" i="15" s="1"/>
  <c r="M766" i="15"/>
  <c r="M767" i="15"/>
  <c r="M768" i="15"/>
  <c r="M769" i="15"/>
  <c r="M770" i="15"/>
  <c r="M771" i="15"/>
  <c r="M772" i="15"/>
  <c r="P772" i="15" s="1"/>
  <c r="M773" i="15"/>
  <c r="P773" i="15" s="1"/>
  <c r="M774" i="15"/>
  <c r="P774" i="15" s="1"/>
  <c r="M775" i="15"/>
  <c r="M776" i="15"/>
  <c r="P776" i="15" s="1"/>
  <c r="M777" i="15"/>
  <c r="P777" i="15" s="1"/>
  <c r="M778" i="15"/>
  <c r="M779" i="15"/>
  <c r="M780" i="15"/>
  <c r="M781" i="15"/>
  <c r="M782" i="15"/>
  <c r="M783" i="15"/>
  <c r="M784" i="15"/>
  <c r="M785" i="15"/>
  <c r="M786" i="15"/>
  <c r="P786" i="15" s="1"/>
  <c r="M787" i="15"/>
  <c r="P787" i="15" s="1"/>
  <c r="M788" i="15"/>
  <c r="P788" i="15" s="1"/>
  <c r="M789" i="15"/>
  <c r="P789" i="15" s="1"/>
  <c r="M790" i="15"/>
  <c r="M791" i="15"/>
  <c r="M792" i="15"/>
  <c r="M793" i="15"/>
  <c r="M794" i="15"/>
  <c r="M795" i="15"/>
  <c r="M796" i="15"/>
  <c r="P796" i="15" s="1"/>
  <c r="M797" i="15"/>
  <c r="M798" i="15"/>
  <c r="M799" i="15"/>
  <c r="P799" i="15" s="1"/>
  <c r="M800" i="15"/>
  <c r="P800" i="15" s="1"/>
  <c r="M801" i="15"/>
  <c r="P801" i="15" s="1"/>
  <c r="M802" i="15"/>
  <c r="M803" i="15"/>
  <c r="M804" i="15"/>
  <c r="M805" i="15"/>
  <c r="M806" i="15"/>
  <c r="M807" i="15"/>
  <c r="M808" i="15"/>
  <c r="P808" i="15" s="1"/>
  <c r="M809" i="15"/>
  <c r="P809" i="15" s="1"/>
  <c r="M810" i="15"/>
  <c r="P810" i="15" s="1"/>
  <c r="M811" i="15"/>
  <c r="P811" i="15" s="1"/>
  <c r="M812" i="15"/>
  <c r="P812" i="15" s="1"/>
  <c r="M813" i="15"/>
  <c r="P813" i="15" s="1"/>
  <c r="M814" i="15"/>
  <c r="M815" i="15"/>
  <c r="M816" i="15"/>
  <c r="M817" i="15"/>
  <c r="M818" i="15"/>
  <c r="M819" i="15"/>
  <c r="M820" i="15"/>
  <c r="M821" i="15"/>
  <c r="M822" i="15"/>
  <c r="M823" i="15"/>
  <c r="P823" i="15" s="1"/>
  <c r="M824" i="15"/>
  <c r="P824" i="15" s="1"/>
  <c r="M825" i="15"/>
  <c r="P825" i="15" s="1"/>
  <c r="M826" i="15"/>
  <c r="M827" i="15"/>
  <c r="M828" i="15"/>
  <c r="M829" i="15"/>
  <c r="M830" i="15"/>
  <c r="M831" i="15"/>
  <c r="M832" i="15"/>
  <c r="P832" i="15" s="1"/>
  <c r="M833" i="15"/>
  <c r="P833" i="15" s="1"/>
  <c r="M834" i="15"/>
  <c r="P834" i="15" s="1"/>
  <c r="M835" i="15"/>
  <c r="M836" i="15"/>
  <c r="P836" i="15" s="1"/>
  <c r="M837" i="15"/>
  <c r="P837" i="15" s="1"/>
  <c r="M838" i="15"/>
  <c r="M839" i="15"/>
  <c r="M840" i="15"/>
  <c r="M841" i="15"/>
  <c r="M842" i="15"/>
  <c r="M843" i="15"/>
  <c r="M844" i="15"/>
  <c r="M845" i="15"/>
  <c r="M846" i="15"/>
  <c r="P846" i="15" s="1"/>
  <c r="M847" i="15"/>
  <c r="P847" i="15" s="1"/>
  <c r="M848" i="15"/>
  <c r="P848" i="15" s="1"/>
  <c r="M849" i="15"/>
  <c r="P849" i="15" s="1"/>
  <c r="M850" i="15"/>
  <c r="M851" i="15"/>
  <c r="M852" i="15"/>
  <c r="M853" i="15"/>
  <c r="M854" i="15"/>
  <c r="M855" i="15"/>
  <c r="M856" i="15"/>
  <c r="P856" i="15" s="1"/>
  <c r="M857" i="15"/>
  <c r="P857" i="15" s="1"/>
  <c r="M858" i="15"/>
  <c r="M859" i="15"/>
  <c r="M860" i="15"/>
  <c r="P860" i="15" s="1"/>
  <c r="M861" i="15"/>
  <c r="P861" i="15" s="1"/>
  <c r="M862" i="15"/>
  <c r="M863" i="15"/>
  <c r="M864" i="15"/>
  <c r="M865" i="15"/>
  <c r="M866" i="15"/>
  <c r="M867" i="15"/>
  <c r="M868" i="15"/>
  <c r="M869" i="15"/>
  <c r="P869" i="15" s="1"/>
  <c r="M870" i="15"/>
  <c r="P870" i="15" s="1"/>
  <c r="M871" i="15"/>
  <c r="P871" i="15" s="1"/>
  <c r="M872" i="15"/>
  <c r="P872" i="15" s="1"/>
  <c r="M873" i="15"/>
  <c r="P873" i="15" s="1"/>
  <c r="M874" i="15"/>
  <c r="M875" i="15"/>
  <c r="M876" i="15"/>
  <c r="M877" i="15"/>
  <c r="M878" i="15"/>
  <c r="M879" i="15"/>
  <c r="M880" i="15"/>
  <c r="P880" i="15" s="1"/>
  <c r="M881" i="15"/>
  <c r="M882" i="15"/>
  <c r="M883" i="15"/>
  <c r="M884" i="15"/>
  <c r="P884" i="15" s="1"/>
  <c r="M885" i="15"/>
  <c r="P885" i="15" s="1"/>
  <c r="M886" i="15"/>
  <c r="M887" i="15"/>
  <c r="M888" i="15"/>
  <c r="M889" i="15"/>
  <c r="M890" i="15"/>
  <c r="M891" i="15"/>
  <c r="M892" i="15"/>
  <c r="P892" i="15" s="1"/>
  <c r="M893" i="15"/>
  <c r="P893" i="15" s="1"/>
  <c r="M894" i="15"/>
  <c r="P894" i="15" s="1"/>
  <c r="M895" i="15"/>
  <c r="P895" i="15" s="1"/>
  <c r="M896" i="15"/>
  <c r="P896" i="15" s="1"/>
  <c r="M897" i="15"/>
  <c r="M898" i="15"/>
  <c r="M899" i="15"/>
  <c r="M900" i="15"/>
  <c r="M901" i="15"/>
  <c r="M902" i="15"/>
  <c r="M903" i="15"/>
  <c r="M904" i="15"/>
  <c r="M905" i="15"/>
  <c r="M906" i="15"/>
  <c r="P906" i="15" s="1"/>
  <c r="M907" i="15"/>
  <c r="P907" i="15" s="1"/>
  <c r="M908" i="15"/>
  <c r="P908" i="15" s="1"/>
  <c r="M909" i="15"/>
  <c r="P909" i="15" s="1"/>
  <c r="M910" i="15"/>
  <c r="M911" i="15"/>
  <c r="M912" i="15"/>
  <c r="M913" i="15"/>
  <c r="M914" i="15"/>
  <c r="M915" i="15"/>
  <c r="M916" i="15"/>
  <c r="P916" i="15" s="1"/>
  <c r="M917" i="15"/>
  <c r="P917" i="15" s="1"/>
  <c r="M918" i="15"/>
  <c r="P918" i="15" s="1"/>
  <c r="M919" i="15"/>
  <c r="M920" i="15"/>
  <c r="M921" i="15"/>
  <c r="P921" i="15" s="1"/>
  <c r="M922" i="15"/>
  <c r="M923" i="15"/>
  <c r="M924" i="15"/>
  <c r="M925" i="15"/>
  <c r="M926" i="15"/>
  <c r="M927" i="15"/>
  <c r="M928" i="15"/>
  <c r="M929" i="15"/>
  <c r="M930" i="15"/>
  <c r="P930" i="15" s="1"/>
  <c r="M931" i="15"/>
  <c r="P931" i="15" s="1"/>
  <c r="M932" i="15"/>
  <c r="P932" i="15" s="1"/>
  <c r="M933" i="15"/>
  <c r="P933" i="15" s="1"/>
  <c r="M934" i="15"/>
  <c r="M935" i="15"/>
  <c r="M936" i="15"/>
  <c r="M937" i="15"/>
  <c r="M938" i="15"/>
  <c r="M939" i="15"/>
  <c r="M940" i="15"/>
  <c r="P940" i="15" s="1"/>
  <c r="M941" i="15"/>
  <c r="P941" i="15" s="1"/>
  <c r="M942" i="15"/>
  <c r="P942" i="15" s="1"/>
  <c r="M943" i="15"/>
  <c r="M944" i="15"/>
  <c r="P944" i="15" s="1"/>
  <c r="M945" i="15"/>
  <c r="P945" i="15" s="1"/>
  <c r="M946" i="15"/>
  <c r="M947" i="15"/>
  <c r="M948" i="15"/>
  <c r="M949" i="15"/>
  <c r="M950" i="15"/>
  <c r="M951" i="15"/>
  <c r="M952" i="15"/>
  <c r="M953" i="15"/>
  <c r="P953" i="15" s="1"/>
  <c r="M954" i="15"/>
  <c r="P954" i="15" s="1"/>
  <c r="M955" i="15"/>
  <c r="P955" i="15" s="1"/>
  <c r="M956" i="15"/>
  <c r="P956" i="15" s="1"/>
  <c r="M957" i="15"/>
  <c r="P957" i="15" s="1"/>
  <c r="M958" i="15"/>
  <c r="M959" i="15"/>
  <c r="M960" i="15"/>
  <c r="M961" i="15"/>
  <c r="M962" i="15"/>
  <c r="M963" i="15"/>
  <c r="M964" i="15"/>
  <c r="P964" i="15" s="1"/>
  <c r="M965" i="15"/>
  <c r="P965" i="15" s="1"/>
  <c r="M966" i="15"/>
  <c r="M967" i="15"/>
  <c r="M968" i="15"/>
  <c r="P968" i="15" s="1"/>
  <c r="M969" i="15"/>
  <c r="P969" i="15" s="1"/>
  <c r="M970" i="15"/>
  <c r="M971" i="15"/>
  <c r="M972" i="15"/>
  <c r="M973" i="15"/>
  <c r="M974" i="15"/>
  <c r="M975" i="15"/>
  <c r="M976" i="15"/>
  <c r="M977" i="15"/>
  <c r="M978" i="15"/>
  <c r="P978" i="15" s="1"/>
  <c r="M979" i="15"/>
  <c r="P979" i="15" s="1"/>
  <c r="M980" i="15"/>
  <c r="P980" i="15" s="1"/>
  <c r="M981" i="15"/>
  <c r="P981" i="15" s="1"/>
  <c r="M982" i="15"/>
  <c r="M983" i="15"/>
  <c r="M984" i="15"/>
  <c r="M985" i="15"/>
  <c r="M986" i="15"/>
  <c r="M987" i="15"/>
  <c r="M988" i="15"/>
  <c r="P988" i="15" s="1"/>
  <c r="M989" i="15"/>
  <c r="P989" i="15" s="1"/>
  <c r="M990" i="15"/>
  <c r="P990" i="15" s="1"/>
  <c r="M991" i="15"/>
  <c r="M992" i="15"/>
  <c r="M993" i="15"/>
  <c r="P993" i="15" s="1"/>
  <c r="M994" i="15"/>
  <c r="M995" i="15"/>
  <c r="M996" i="15"/>
  <c r="M997" i="15"/>
  <c r="M998" i="15"/>
  <c r="M999" i="15"/>
  <c r="M1000" i="15"/>
  <c r="M1001" i="15"/>
  <c r="M1002" i="15"/>
  <c r="P1002" i="15" s="1"/>
  <c r="M1003" i="15"/>
  <c r="P1003" i="15" s="1"/>
  <c r="M1004" i="15"/>
  <c r="P1004" i="15" s="1"/>
  <c r="M1005" i="15"/>
  <c r="P1005" i="15" s="1"/>
  <c r="M1006" i="15"/>
  <c r="M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703" i="15"/>
  <c r="L704" i="15"/>
  <c r="L705" i="15"/>
  <c r="L706" i="15"/>
  <c r="L707" i="15"/>
  <c r="L708" i="15"/>
  <c r="L709" i="15"/>
  <c r="L710" i="15"/>
  <c r="L711" i="15"/>
  <c r="L712" i="15"/>
  <c r="L713" i="15"/>
  <c r="L714" i="15"/>
  <c r="L715" i="15"/>
  <c r="L716" i="15"/>
  <c r="L717" i="15"/>
  <c r="L718" i="15"/>
  <c r="L719" i="15"/>
  <c r="L720" i="15"/>
  <c r="L721" i="15"/>
  <c r="L722" i="15"/>
  <c r="L723" i="15"/>
  <c r="L724" i="15"/>
  <c r="L725" i="15"/>
  <c r="L726" i="15"/>
  <c r="L727" i="15"/>
  <c r="L728" i="15"/>
  <c r="L729" i="15"/>
  <c r="L730" i="15"/>
  <c r="L731" i="15"/>
  <c r="L732" i="15"/>
  <c r="L733" i="15"/>
  <c r="L734" i="15"/>
  <c r="L735" i="15"/>
  <c r="L736" i="15"/>
  <c r="L737" i="15"/>
  <c r="L738" i="15"/>
  <c r="L739" i="15"/>
  <c r="L740" i="15"/>
  <c r="L741" i="15"/>
  <c r="L742" i="15"/>
  <c r="L743" i="15"/>
  <c r="L744" i="15"/>
  <c r="L745" i="15"/>
  <c r="L746" i="15"/>
  <c r="L747" i="15"/>
  <c r="L748" i="15"/>
  <c r="L749" i="15"/>
  <c r="L750" i="15"/>
  <c r="L751" i="15"/>
  <c r="L752" i="15"/>
  <c r="L753" i="15"/>
  <c r="L754" i="15"/>
  <c r="L755" i="15"/>
  <c r="L756" i="15"/>
  <c r="L757" i="15"/>
  <c r="L758" i="15"/>
  <c r="L759" i="15"/>
  <c r="L760" i="15"/>
  <c r="L761" i="15"/>
  <c r="L762" i="15"/>
  <c r="L763" i="15"/>
  <c r="L764" i="15"/>
  <c r="L765" i="15"/>
  <c r="L766" i="15"/>
  <c r="L767" i="15"/>
  <c r="L768" i="15"/>
  <c r="L769" i="15"/>
  <c r="L770" i="15"/>
  <c r="L771" i="15"/>
  <c r="L772" i="15"/>
  <c r="L773" i="15"/>
  <c r="L774" i="15"/>
  <c r="L775" i="15"/>
  <c r="L776" i="15"/>
  <c r="L777" i="15"/>
  <c r="L778" i="15"/>
  <c r="L779" i="15"/>
  <c r="L780" i="15"/>
  <c r="L781" i="15"/>
  <c r="L782" i="15"/>
  <c r="L783" i="15"/>
  <c r="L784" i="15"/>
  <c r="L785" i="15"/>
  <c r="L786" i="15"/>
  <c r="L787" i="15"/>
  <c r="L788" i="15"/>
  <c r="L789" i="15"/>
  <c r="L790" i="15"/>
  <c r="L791" i="15"/>
  <c r="L792" i="15"/>
  <c r="L793" i="15"/>
  <c r="L794" i="15"/>
  <c r="L795" i="15"/>
  <c r="L796" i="15"/>
  <c r="L797" i="15"/>
  <c r="L798" i="15"/>
  <c r="L799" i="15"/>
  <c r="L800" i="15"/>
  <c r="L801" i="15"/>
  <c r="L802" i="15"/>
  <c r="L803" i="15"/>
  <c r="L804" i="15"/>
  <c r="L805" i="15"/>
  <c r="L806" i="15"/>
  <c r="L807" i="15"/>
  <c r="L808" i="15"/>
  <c r="L809" i="15"/>
  <c r="L810" i="15"/>
  <c r="L811" i="15"/>
  <c r="L812" i="15"/>
  <c r="L813" i="15"/>
  <c r="L814" i="15"/>
  <c r="L815" i="15"/>
  <c r="L816" i="15"/>
  <c r="L817" i="15"/>
  <c r="L818" i="15"/>
  <c r="L819" i="15"/>
  <c r="L820" i="15"/>
  <c r="L821" i="15"/>
  <c r="L822" i="15"/>
  <c r="L823" i="15"/>
  <c r="L824" i="15"/>
  <c r="L825" i="15"/>
  <c r="L826" i="15"/>
  <c r="L827" i="15"/>
  <c r="L828" i="15"/>
  <c r="L829" i="15"/>
  <c r="L830" i="15"/>
  <c r="L831" i="15"/>
  <c r="L832" i="15"/>
  <c r="L833" i="15"/>
  <c r="L834" i="15"/>
  <c r="L835" i="15"/>
  <c r="L836" i="15"/>
  <c r="L837" i="15"/>
  <c r="L838" i="15"/>
  <c r="L839" i="15"/>
  <c r="L840" i="15"/>
  <c r="L841" i="15"/>
  <c r="L842" i="15"/>
  <c r="L843" i="15"/>
  <c r="L844" i="15"/>
  <c r="L845" i="15"/>
  <c r="L846" i="15"/>
  <c r="L847" i="15"/>
  <c r="L848" i="15"/>
  <c r="L849" i="15"/>
  <c r="L850" i="15"/>
  <c r="L851" i="15"/>
  <c r="L852" i="15"/>
  <c r="L853" i="15"/>
  <c r="L854" i="15"/>
  <c r="L855" i="15"/>
  <c r="L856" i="15"/>
  <c r="L857" i="15"/>
  <c r="L858" i="15"/>
  <c r="L859" i="15"/>
  <c r="L860" i="15"/>
  <c r="L861" i="15"/>
  <c r="L862" i="15"/>
  <c r="L863" i="15"/>
  <c r="L864" i="15"/>
  <c r="L865" i="15"/>
  <c r="L866" i="15"/>
  <c r="L867" i="15"/>
  <c r="L868" i="15"/>
  <c r="L869" i="15"/>
  <c r="L870" i="15"/>
  <c r="L871" i="15"/>
  <c r="L872" i="15"/>
  <c r="L873" i="15"/>
  <c r="L874" i="15"/>
  <c r="L875" i="15"/>
  <c r="L876" i="15"/>
  <c r="L877" i="15"/>
  <c r="L878" i="15"/>
  <c r="L879" i="15"/>
  <c r="L880" i="15"/>
  <c r="L881" i="15"/>
  <c r="L882" i="15"/>
  <c r="L883" i="15"/>
  <c r="L884" i="15"/>
  <c r="L885" i="15"/>
  <c r="L886" i="15"/>
  <c r="L887" i="15"/>
  <c r="L888" i="15"/>
  <c r="L889" i="15"/>
  <c r="L890" i="15"/>
  <c r="L891" i="15"/>
  <c r="L892" i="15"/>
  <c r="L893" i="15"/>
  <c r="L894" i="15"/>
  <c r="L895" i="15"/>
  <c r="L896" i="15"/>
  <c r="L897" i="15"/>
  <c r="L898" i="15"/>
  <c r="L899" i="15"/>
  <c r="L900" i="15"/>
  <c r="L901" i="15"/>
  <c r="L902" i="15"/>
  <c r="L903" i="15"/>
  <c r="L904" i="15"/>
  <c r="L905" i="15"/>
  <c r="L906" i="15"/>
  <c r="L907" i="15"/>
  <c r="L908" i="15"/>
  <c r="L909" i="15"/>
  <c r="L910" i="15"/>
  <c r="L911" i="15"/>
  <c r="L912" i="15"/>
  <c r="L913" i="15"/>
  <c r="L914" i="15"/>
  <c r="L915" i="15"/>
  <c r="L916" i="15"/>
  <c r="L917" i="15"/>
  <c r="L918" i="15"/>
  <c r="L919" i="15"/>
  <c r="L920" i="15"/>
  <c r="L921" i="15"/>
  <c r="L922" i="15"/>
  <c r="L923" i="15"/>
  <c r="L924" i="15"/>
  <c r="L925" i="15"/>
  <c r="L926" i="15"/>
  <c r="L927" i="15"/>
  <c r="L928" i="15"/>
  <c r="L929" i="15"/>
  <c r="L930" i="15"/>
  <c r="L931" i="15"/>
  <c r="L932" i="15"/>
  <c r="L933" i="15"/>
  <c r="L934" i="15"/>
  <c r="L935" i="15"/>
  <c r="L936" i="15"/>
  <c r="L937" i="15"/>
  <c r="L938" i="15"/>
  <c r="L939" i="15"/>
  <c r="L940" i="15"/>
  <c r="L941" i="15"/>
  <c r="L942" i="15"/>
  <c r="L943" i="15"/>
  <c r="L944" i="15"/>
  <c r="L945" i="15"/>
  <c r="L946" i="15"/>
  <c r="L947" i="15"/>
  <c r="L948" i="15"/>
  <c r="L949" i="15"/>
  <c r="L950" i="15"/>
  <c r="L951" i="15"/>
  <c r="L952" i="15"/>
  <c r="L953" i="15"/>
  <c r="L954" i="15"/>
  <c r="L955" i="15"/>
  <c r="L956" i="15"/>
  <c r="L957" i="15"/>
  <c r="L958" i="15"/>
  <c r="L959" i="15"/>
  <c r="L960" i="15"/>
  <c r="L961" i="15"/>
  <c r="L962" i="15"/>
  <c r="L963" i="15"/>
  <c r="L964" i="15"/>
  <c r="L965" i="15"/>
  <c r="L966" i="15"/>
  <c r="L967" i="15"/>
  <c r="L968" i="15"/>
  <c r="L969" i="15"/>
  <c r="L970" i="15"/>
  <c r="L971" i="15"/>
  <c r="L972" i="15"/>
  <c r="L973" i="15"/>
  <c r="L974" i="15"/>
  <c r="L975" i="15"/>
  <c r="L976" i="15"/>
  <c r="L977" i="15"/>
  <c r="L978" i="15"/>
  <c r="L979" i="15"/>
  <c r="L980" i="15"/>
  <c r="L981" i="15"/>
  <c r="L982" i="15"/>
  <c r="L983" i="15"/>
  <c r="L984" i="15"/>
  <c r="L985" i="15"/>
  <c r="L986" i="15"/>
  <c r="L987" i="15"/>
  <c r="L988" i="15"/>
  <c r="L989" i="15"/>
  <c r="L990" i="15"/>
  <c r="L991" i="15"/>
  <c r="L992" i="15"/>
  <c r="L993" i="15"/>
  <c r="L994" i="15"/>
  <c r="L995" i="15"/>
  <c r="L996" i="15"/>
  <c r="L997" i="15"/>
  <c r="L998" i="15"/>
  <c r="L999" i="15"/>
  <c r="L1000" i="15"/>
  <c r="L1001" i="15"/>
  <c r="L1002" i="15"/>
  <c r="L1003" i="15"/>
  <c r="L1004" i="15"/>
  <c r="L1005" i="15"/>
  <c r="L1006" i="15"/>
  <c r="L9" i="15"/>
  <c r="M6" i="15"/>
  <c r="M7" i="15"/>
  <c r="M5" i="15"/>
  <c r="P5" i="15" s="1"/>
  <c r="L6" i="15"/>
  <c r="L7" i="15"/>
  <c r="L5" i="15"/>
  <c r="B29" i="15"/>
  <c r="B30" i="15"/>
  <c r="B31" i="15"/>
  <c r="B32" i="15"/>
  <c r="B33" i="15"/>
  <c r="B28" i="15"/>
  <c r="A29" i="15"/>
  <c r="A30" i="15"/>
  <c r="A31" i="15"/>
  <c r="A32" i="15"/>
  <c r="A33" i="15"/>
  <c r="A28" i="15"/>
  <c r="G3" i="15"/>
  <c r="D17" i="1"/>
  <c r="P1006" i="15"/>
  <c r="P1001" i="15"/>
  <c r="P1000" i="15"/>
  <c r="P999" i="15"/>
  <c r="P998" i="15"/>
  <c r="P997" i="15"/>
  <c r="P996" i="15"/>
  <c r="P995" i="15"/>
  <c r="P994" i="15"/>
  <c r="P992" i="15"/>
  <c r="P991" i="15"/>
  <c r="P987" i="15"/>
  <c r="P986" i="15"/>
  <c r="P985" i="15"/>
  <c r="P984" i="15"/>
  <c r="P983" i="15"/>
  <c r="P982" i="15"/>
  <c r="P977" i="15"/>
  <c r="P976" i="15"/>
  <c r="P975" i="15"/>
  <c r="P974" i="15"/>
  <c r="P973" i="15"/>
  <c r="P972" i="15"/>
  <c r="P971" i="15"/>
  <c r="P970" i="15"/>
  <c r="P967" i="15"/>
  <c r="P966" i="15"/>
  <c r="P963" i="15"/>
  <c r="P962" i="15"/>
  <c r="P961" i="15"/>
  <c r="P960" i="15"/>
  <c r="P959" i="15"/>
  <c r="P958" i="15"/>
  <c r="P952" i="15"/>
  <c r="P951" i="15"/>
  <c r="P950" i="15"/>
  <c r="P949" i="15"/>
  <c r="P948" i="15"/>
  <c r="P947" i="15"/>
  <c r="P946" i="15"/>
  <c r="P943" i="15"/>
  <c r="P939" i="15"/>
  <c r="P938" i="15"/>
  <c r="P937" i="15"/>
  <c r="P936" i="15"/>
  <c r="P935" i="15"/>
  <c r="P934" i="15"/>
  <c r="P929" i="15"/>
  <c r="P928" i="15"/>
  <c r="P927" i="15"/>
  <c r="P926" i="15"/>
  <c r="P925" i="15"/>
  <c r="P924" i="15"/>
  <c r="P923" i="15"/>
  <c r="P922" i="15"/>
  <c r="P920" i="15"/>
  <c r="P919" i="15"/>
  <c r="P915" i="15"/>
  <c r="P914" i="15"/>
  <c r="P913" i="15"/>
  <c r="P912" i="15"/>
  <c r="P911" i="15"/>
  <c r="P910" i="15"/>
  <c r="P905" i="15"/>
  <c r="P904" i="15"/>
  <c r="P903" i="15"/>
  <c r="P902" i="15"/>
  <c r="P901" i="15"/>
  <c r="P900" i="15"/>
  <c r="P899" i="15"/>
  <c r="P898" i="15"/>
  <c r="P897" i="15"/>
  <c r="P891" i="15"/>
  <c r="P890" i="15"/>
  <c r="P889" i="15"/>
  <c r="P888" i="15"/>
  <c r="P887" i="15"/>
  <c r="P886" i="15"/>
  <c r="P883" i="15"/>
  <c r="P882" i="15"/>
  <c r="P881" i="15"/>
  <c r="P879" i="15"/>
  <c r="P878" i="15"/>
  <c r="P877" i="15"/>
  <c r="P876" i="15"/>
  <c r="P875" i="15"/>
  <c r="P874" i="15"/>
  <c r="P868" i="15"/>
  <c r="P867" i="15"/>
  <c r="P866" i="15"/>
  <c r="P865" i="15"/>
  <c r="P864" i="15"/>
  <c r="P863" i="15"/>
  <c r="P862" i="15"/>
  <c r="P859" i="15"/>
  <c r="P858" i="15"/>
  <c r="P855" i="15"/>
  <c r="P854" i="15"/>
  <c r="P853" i="15"/>
  <c r="P852" i="15"/>
  <c r="P851" i="15"/>
  <c r="P850" i="15"/>
  <c r="P845" i="15"/>
  <c r="P844" i="15"/>
  <c r="P843" i="15"/>
  <c r="P842" i="15"/>
  <c r="P841" i="15"/>
  <c r="P840" i="15"/>
  <c r="P839" i="15"/>
  <c r="P838" i="15"/>
  <c r="P835" i="15"/>
  <c r="P831" i="15"/>
  <c r="P830" i="15"/>
  <c r="P829" i="15"/>
  <c r="P828" i="15"/>
  <c r="P827" i="15"/>
  <c r="P826" i="15"/>
  <c r="P822" i="15"/>
  <c r="P821" i="15"/>
  <c r="P820" i="15"/>
  <c r="P819" i="15"/>
  <c r="P818" i="15"/>
  <c r="P817" i="15"/>
  <c r="P816" i="15"/>
  <c r="P815" i="15"/>
  <c r="P814" i="15"/>
  <c r="P807" i="15"/>
  <c r="P806" i="15"/>
  <c r="P805" i="15"/>
  <c r="P804" i="15"/>
  <c r="P803" i="15"/>
  <c r="P802" i="15"/>
  <c r="P798" i="15"/>
  <c r="P797" i="15"/>
  <c r="P795" i="15"/>
  <c r="P794" i="15"/>
  <c r="P793" i="15"/>
  <c r="P792" i="15"/>
  <c r="P791" i="15"/>
  <c r="P790" i="15"/>
  <c r="P785" i="15"/>
  <c r="P784" i="15"/>
  <c r="P783" i="15"/>
  <c r="P782" i="15"/>
  <c r="P781" i="15"/>
  <c r="P780" i="15"/>
  <c r="P779" i="15"/>
  <c r="P778" i="15"/>
  <c r="P775" i="15"/>
  <c r="P771" i="15"/>
  <c r="P770" i="15"/>
  <c r="P769" i="15"/>
  <c r="P768" i="15"/>
  <c r="P767" i="15"/>
  <c r="P766" i="15"/>
  <c r="P762" i="15"/>
  <c r="P761" i="15"/>
  <c r="P760" i="15"/>
  <c r="P759" i="15"/>
  <c r="P758" i="15"/>
  <c r="P757" i="15"/>
  <c r="P756" i="15"/>
  <c r="P755" i="15"/>
  <c r="P754" i="15"/>
  <c r="P753" i="15"/>
  <c r="P747" i="15"/>
  <c r="P746" i="15"/>
  <c r="P745" i="15"/>
  <c r="P744" i="15"/>
  <c r="P743" i="15"/>
  <c r="P742" i="15"/>
  <c r="P738" i="15"/>
  <c r="P737" i="15"/>
  <c r="P735" i="15"/>
  <c r="P734" i="15"/>
  <c r="P733" i="15"/>
  <c r="P732" i="15"/>
  <c r="P731" i="15"/>
  <c r="P730" i="15"/>
  <c r="P724" i="15"/>
  <c r="P723" i="15"/>
  <c r="P722" i="15"/>
  <c r="P721" i="15"/>
  <c r="P720" i="15"/>
  <c r="P719" i="15"/>
  <c r="P718" i="15"/>
  <c r="P715" i="15"/>
  <c r="P714" i="15"/>
  <c r="P711" i="15"/>
  <c r="P710" i="15"/>
  <c r="P709" i="15"/>
  <c r="P708" i="15"/>
  <c r="P707" i="15"/>
  <c r="P706" i="15"/>
  <c r="P700" i="15"/>
  <c r="P699" i="15"/>
  <c r="P698" i="15"/>
  <c r="P697" i="15"/>
  <c r="P696" i="15"/>
  <c r="P695" i="15"/>
  <c r="P694" i="15"/>
  <c r="P692" i="15"/>
  <c r="P687" i="15"/>
  <c r="P686" i="15"/>
  <c r="P685" i="15"/>
  <c r="P684" i="15"/>
  <c r="P683" i="15"/>
  <c r="P682" i="15"/>
  <c r="P678" i="15"/>
  <c r="P677" i="15"/>
  <c r="P675" i="15"/>
  <c r="P674" i="15"/>
  <c r="P673" i="15"/>
  <c r="P672" i="15"/>
  <c r="P671" i="15"/>
  <c r="P670" i="15"/>
  <c r="P664" i="15"/>
  <c r="P663" i="15"/>
  <c r="P662" i="15"/>
  <c r="P661" i="15"/>
  <c r="P660" i="15"/>
  <c r="P659" i="15"/>
  <c r="P658" i="15"/>
  <c r="P655" i="15"/>
  <c r="P654" i="15"/>
  <c r="P651" i="15"/>
  <c r="P650" i="15"/>
  <c r="P649" i="15"/>
  <c r="P648" i="15"/>
  <c r="P647" i="15"/>
  <c r="P646" i="15"/>
  <c r="P640" i="15"/>
  <c r="P639" i="15"/>
  <c r="P638" i="15"/>
  <c r="P637" i="15"/>
  <c r="P636" i="15"/>
  <c r="P635" i="15"/>
  <c r="P634" i="15"/>
  <c r="P631" i="15"/>
  <c r="P630" i="15"/>
  <c r="P627" i="15"/>
  <c r="P626" i="15"/>
  <c r="P625" i="15"/>
  <c r="P624" i="15"/>
  <c r="P623" i="15"/>
  <c r="P622" i="15"/>
  <c r="P617" i="15"/>
  <c r="P616" i="15"/>
  <c r="P615" i="15"/>
  <c r="P614" i="15"/>
  <c r="P613" i="15"/>
  <c r="P612" i="15"/>
  <c r="P611" i="15"/>
  <c r="P610" i="15"/>
  <c r="P609" i="15"/>
  <c r="P604" i="15"/>
  <c r="P603" i="15"/>
  <c r="P602" i="15"/>
  <c r="P601" i="15"/>
  <c r="P600" i="15"/>
  <c r="P599" i="15"/>
  <c r="P598" i="15"/>
  <c r="P595" i="15"/>
  <c r="P594" i="15"/>
  <c r="P591" i="15"/>
  <c r="P590" i="15"/>
  <c r="P589" i="15"/>
  <c r="P588" i="15"/>
  <c r="P587" i="15"/>
  <c r="P586" i="15"/>
  <c r="P581" i="15"/>
  <c r="P580" i="15"/>
  <c r="P579" i="15"/>
  <c r="P578" i="15"/>
  <c r="P577" i="15"/>
  <c r="P576" i="15"/>
  <c r="P575" i="15"/>
  <c r="P574" i="15"/>
  <c r="P572" i="15"/>
  <c r="P571" i="15"/>
  <c r="P567" i="15"/>
  <c r="P566" i="15"/>
  <c r="P565" i="15"/>
  <c r="P564" i="15"/>
  <c r="P563" i="15"/>
  <c r="P562" i="15"/>
  <c r="P557" i="15"/>
  <c r="P556" i="15"/>
  <c r="P555" i="15"/>
  <c r="P554" i="15"/>
  <c r="P553" i="15"/>
  <c r="P552" i="15"/>
  <c r="P551" i="15"/>
  <c r="P550" i="15"/>
  <c r="P548" i="15"/>
  <c r="P543" i="15"/>
  <c r="P542" i="15"/>
  <c r="P541" i="15"/>
  <c r="P540" i="15"/>
  <c r="P539" i="15"/>
  <c r="P538" i="15"/>
  <c r="P534" i="15"/>
  <c r="P533" i="15"/>
  <c r="P531" i="15"/>
  <c r="P530" i="15"/>
  <c r="P529" i="15"/>
  <c r="P528" i="15"/>
  <c r="P527" i="15"/>
  <c r="P526" i="15"/>
  <c r="P520" i="15"/>
  <c r="P519" i="15"/>
  <c r="P518" i="15"/>
  <c r="P517" i="15"/>
  <c r="P516" i="15"/>
  <c r="P515" i="15"/>
  <c r="P514" i="15"/>
  <c r="P511" i="15"/>
  <c r="P510" i="15"/>
  <c r="P507" i="15"/>
  <c r="P506" i="15"/>
  <c r="P505" i="15"/>
  <c r="P504" i="15"/>
  <c r="P503" i="15"/>
  <c r="P502" i="15"/>
  <c r="P496" i="15"/>
  <c r="P495" i="15"/>
  <c r="P494" i="15"/>
  <c r="P493" i="15"/>
  <c r="P492" i="15"/>
  <c r="P491" i="15"/>
  <c r="P490" i="15"/>
  <c r="P488" i="15"/>
  <c r="P487" i="15"/>
  <c r="P483" i="15"/>
  <c r="P482" i="15"/>
  <c r="P481" i="15"/>
  <c r="P480" i="15"/>
  <c r="P479" i="15"/>
  <c r="P478" i="15"/>
  <c r="P474" i="15"/>
  <c r="P473" i="15"/>
  <c r="P472" i="15"/>
  <c r="P471" i="15"/>
  <c r="P470" i="15"/>
  <c r="P469" i="15"/>
  <c r="P468" i="15"/>
  <c r="P467" i="15"/>
  <c r="P466" i="15"/>
  <c r="P465" i="15"/>
  <c r="P459" i="15"/>
  <c r="P458" i="15"/>
  <c r="P457" i="15"/>
  <c r="P456" i="15"/>
  <c r="P455" i="15"/>
  <c r="P454" i="15"/>
  <c r="P450" i="15"/>
  <c r="P449" i="15"/>
  <c r="P448" i="15"/>
  <c r="P447" i="15"/>
  <c r="P446" i="15"/>
  <c r="P445" i="15"/>
  <c r="P444" i="15"/>
  <c r="P443" i="15"/>
  <c r="P442" i="15"/>
  <c r="P436" i="15"/>
  <c r="P435" i="15"/>
  <c r="P434" i="15"/>
  <c r="P433" i="15"/>
  <c r="P432" i="15"/>
  <c r="P431" i="15"/>
  <c r="P430" i="15"/>
  <c r="P426" i="15"/>
  <c r="P425" i="15"/>
  <c r="P424" i="15"/>
  <c r="P423" i="15"/>
  <c r="P422" i="15"/>
  <c r="P421" i="15"/>
  <c r="P420" i="15"/>
  <c r="P419" i="15"/>
  <c r="P418" i="15"/>
  <c r="P412" i="15"/>
  <c r="P411" i="15"/>
  <c r="P410" i="15"/>
  <c r="P409" i="15"/>
  <c r="P408" i="15"/>
  <c r="P407" i="15"/>
  <c r="P406" i="15"/>
  <c r="P403" i="15"/>
  <c r="P399" i="15"/>
  <c r="P398" i="15"/>
  <c r="P397" i="15"/>
  <c r="P396" i="15"/>
  <c r="P395" i="15"/>
  <c r="P394" i="15"/>
  <c r="P389" i="15"/>
  <c r="P388" i="15"/>
  <c r="P387" i="15"/>
  <c r="P386" i="15"/>
  <c r="P385" i="15"/>
  <c r="P384" i="15"/>
  <c r="P383" i="15"/>
  <c r="P382" i="15"/>
  <c r="P380" i="15"/>
  <c r="P379" i="15"/>
  <c r="P375" i="15"/>
  <c r="P374" i="15"/>
  <c r="P373" i="15"/>
  <c r="P372" i="15"/>
  <c r="P371" i="15"/>
  <c r="P370" i="15"/>
  <c r="P366" i="15"/>
  <c r="P365" i="15"/>
  <c r="P363" i="15"/>
  <c r="P362" i="15"/>
  <c r="P361" i="15"/>
  <c r="P360" i="15"/>
  <c r="P359" i="15"/>
  <c r="P358" i="15"/>
  <c r="P351" i="15"/>
  <c r="P350" i="15"/>
  <c r="P349" i="15"/>
  <c r="P348" i="15"/>
  <c r="P347" i="15"/>
  <c r="P346" i="15"/>
  <c r="P342" i="15"/>
  <c r="P341" i="15"/>
  <c r="P339" i="15"/>
  <c r="P338" i="15"/>
  <c r="P337" i="15"/>
  <c r="P336" i="15"/>
  <c r="P335" i="15"/>
  <c r="P334" i="15"/>
  <c r="P328" i="15"/>
  <c r="P327" i="15"/>
  <c r="P326" i="15"/>
  <c r="P325" i="15"/>
  <c r="P324" i="15"/>
  <c r="P323" i="15"/>
  <c r="P322" i="15"/>
  <c r="P319" i="15"/>
  <c r="P318" i="15"/>
  <c r="P315" i="15"/>
  <c r="P314" i="15"/>
  <c r="P313" i="15"/>
  <c r="P312" i="15"/>
  <c r="P311" i="15"/>
  <c r="P310" i="15"/>
  <c r="P305" i="15"/>
  <c r="P304" i="15"/>
  <c r="P303" i="15"/>
  <c r="P302" i="15"/>
  <c r="P301" i="15"/>
  <c r="P300" i="15"/>
  <c r="P299" i="15"/>
  <c r="P298" i="15"/>
  <c r="P296" i="15"/>
  <c r="P295" i="15"/>
  <c r="P291" i="15"/>
  <c r="P290" i="15"/>
  <c r="P289" i="15"/>
  <c r="P288" i="15"/>
  <c r="P287" i="15"/>
  <c r="P286" i="15"/>
  <c r="P281" i="15"/>
  <c r="P280" i="15"/>
  <c r="P279" i="15"/>
  <c r="P278" i="15"/>
  <c r="P277" i="15"/>
  <c r="P276" i="15"/>
  <c r="P275" i="15"/>
  <c r="P274" i="15"/>
  <c r="P272" i="15"/>
  <c r="P267" i="15"/>
  <c r="P266" i="15"/>
  <c r="P265" i="15"/>
  <c r="P264" i="15"/>
  <c r="P263" i="15"/>
  <c r="P262" i="15"/>
  <c r="P258" i="15"/>
  <c r="P257" i="15"/>
  <c r="P255" i="15"/>
  <c r="P254" i="15"/>
  <c r="P253" i="15"/>
  <c r="P252" i="15"/>
  <c r="P251" i="15"/>
  <c r="P250" i="15"/>
  <c r="P243" i="15"/>
  <c r="P242" i="15"/>
  <c r="P241" i="15"/>
  <c r="P240" i="15"/>
  <c r="P239" i="15"/>
  <c r="P238" i="15"/>
  <c r="P235" i="15"/>
  <c r="P234" i="15"/>
  <c r="P231" i="15"/>
  <c r="P230" i="15"/>
  <c r="P229" i="15"/>
  <c r="P228" i="15"/>
  <c r="P227" i="15"/>
  <c r="P226" i="15"/>
  <c r="P221" i="15"/>
  <c r="P220" i="15"/>
  <c r="P219" i="15"/>
  <c r="P218" i="15"/>
  <c r="P217" i="15"/>
  <c r="P216" i="15"/>
  <c r="P215" i="15"/>
  <c r="P214" i="15"/>
  <c r="P211" i="15"/>
  <c r="P207" i="15"/>
  <c r="P206" i="15"/>
  <c r="P205" i="15"/>
  <c r="P204" i="15"/>
  <c r="P203" i="15"/>
  <c r="P202" i="15"/>
  <c r="P197" i="15"/>
  <c r="P196" i="15"/>
  <c r="P195" i="15"/>
  <c r="P194" i="15"/>
  <c r="P193" i="15"/>
  <c r="P192" i="15"/>
  <c r="P191" i="15"/>
  <c r="P190" i="15"/>
  <c r="P189" i="15"/>
  <c r="P183" i="15"/>
  <c r="P182" i="15"/>
  <c r="P181" i="15"/>
  <c r="P180" i="15"/>
  <c r="P179" i="15"/>
  <c r="P178" i="15"/>
  <c r="P174" i="15"/>
  <c r="P173" i="15"/>
  <c r="P172" i="15"/>
  <c r="P171" i="15"/>
  <c r="P170" i="15"/>
  <c r="P169" i="15"/>
  <c r="P168" i="15"/>
  <c r="P167" i="15"/>
  <c r="P166" i="15"/>
  <c r="P160" i="15"/>
  <c r="P159" i="15"/>
  <c r="P158" i="15"/>
  <c r="P157" i="15"/>
  <c r="P156" i="15"/>
  <c r="P155" i="15"/>
  <c r="P154" i="15"/>
  <c r="P151" i="15"/>
  <c r="P150" i="15"/>
  <c r="P147" i="15"/>
  <c r="P146" i="15"/>
  <c r="P145" i="15"/>
  <c r="P144" i="15"/>
  <c r="P143" i="15"/>
  <c r="P142" i="15"/>
  <c r="P136" i="15"/>
  <c r="P135" i="15"/>
  <c r="P134" i="15"/>
  <c r="P133" i="15"/>
  <c r="P132" i="15"/>
  <c r="P131" i="15"/>
  <c r="P130" i="15"/>
  <c r="P128" i="15"/>
  <c r="P127" i="15"/>
  <c r="P123" i="15"/>
  <c r="P122" i="15"/>
  <c r="P121" i="15"/>
  <c r="P120" i="15"/>
  <c r="P119" i="15"/>
  <c r="P118" i="15"/>
  <c r="P113" i="15"/>
  <c r="P112" i="15"/>
  <c r="P111" i="15"/>
  <c r="P110" i="15"/>
  <c r="P109" i="15"/>
  <c r="P108" i="15"/>
  <c r="P107" i="15"/>
  <c r="P106" i="15"/>
  <c r="P104" i="15"/>
  <c r="P99" i="15"/>
  <c r="P98" i="15"/>
  <c r="P97" i="15"/>
  <c r="P96" i="15"/>
  <c r="P95" i="15"/>
  <c r="P94" i="15"/>
  <c r="P90" i="15"/>
  <c r="P89" i="15"/>
  <c r="P88" i="15"/>
  <c r="P87" i="15"/>
  <c r="P86" i="15"/>
  <c r="P85" i="15"/>
  <c r="P84" i="15"/>
  <c r="P83" i="15"/>
  <c r="P82" i="15"/>
  <c r="P75" i="15"/>
  <c r="P74" i="15"/>
  <c r="P73" i="15"/>
  <c r="P72" i="15"/>
  <c r="P71" i="15"/>
  <c r="P70" i="15"/>
  <c r="P67" i="15"/>
  <c r="P66" i="15"/>
  <c r="P65" i="15"/>
  <c r="P63" i="15"/>
  <c r="P62" i="15"/>
  <c r="P61" i="15"/>
  <c r="P60" i="15"/>
  <c r="P59" i="15"/>
  <c r="P58" i="15"/>
  <c r="P53" i="15"/>
  <c r="P52" i="15"/>
  <c r="P51" i="15"/>
  <c r="P50" i="15"/>
  <c r="P49" i="15"/>
  <c r="P48" i="15"/>
  <c r="P47" i="15"/>
  <c r="P46" i="15"/>
  <c r="P45" i="15"/>
  <c r="D42" i="15"/>
  <c r="P40" i="15"/>
  <c r="P39" i="15"/>
  <c r="P38" i="15"/>
  <c r="D38" i="15"/>
  <c r="P37" i="15"/>
  <c r="P36" i="15"/>
  <c r="P35" i="15"/>
  <c r="P34" i="15"/>
  <c r="P32" i="15"/>
  <c r="P28" i="15"/>
  <c r="D28" i="15"/>
  <c r="P27" i="15"/>
  <c r="B27" i="15"/>
  <c r="A27" i="15"/>
  <c r="P26" i="15"/>
  <c r="P25" i="15"/>
  <c r="P24" i="15"/>
  <c r="P23" i="15"/>
  <c r="P22" i="15"/>
  <c r="P18" i="15"/>
  <c r="P15" i="15"/>
  <c r="P14" i="15"/>
  <c r="P13" i="15"/>
  <c r="P12" i="15"/>
  <c r="P11" i="15"/>
  <c r="P10" i="15"/>
  <c r="C10" i="15"/>
  <c r="B10" i="15"/>
  <c r="P9" i="15"/>
  <c r="P7" i="15"/>
  <c r="P6" i="15"/>
  <c r="M4" i="15"/>
  <c r="L4" i="15"/>
  <c r="A29" i="6"/>
  <c r="A30" i="6"/>
  <c r="A31" i="6"/>
  <c r="A32" i="6"/>
  <c r="A33" i="6"/>
  <c r="A28" i="6"/>
  <c r="A29" i="11"/>
  <c r="A30" i="11"/>
  <c r="A31" i="11"/>
  <c r="A32" i="11"/>
  <c r="A33" i="11"/>
  <c r="A28" i="11"/>
  <c r="M10" i="13"/>
  <c r="P10" i="13" s="1"/>
  <c r="M11" i="13"/>
  <c r="M12" i="13"/>
  <c r="M13" i="13"/>
  <c r="P13" i="13" s="1"/>
  <c r="M14" i="13"/>
  <c r="P14" i="13" s="1"/>
  <c r="M15" i="13"/>
  <c r="P15" i="13" s="1"/>
  <c r="M16" i="13"/>
  <c r="P16" i="13" s="1"/>
  <c r="M17" i="13"/>
  <c r="P17" i="13" s="1"/>
  <c r="M18" i="13"/>
  <c r="P18" i="13" s="1"/>
  <c r="M19" i="13"/>
  <c r="P19" i="13" s="1"/>
  <c r="M20" i="13"/>
  <c r="P20" i="13" s="1"/>
  <c r="M21" i="13"/>
  <c r="P21" i="13" s="1"/>
  <c r="M22" i="13"/>
  <c r="P22" i="13" s="1"/>
  <c r="M23" i="13"/>
  <c r="P23" i="13" s="1"/>
  <c r="M24" i="13"/>
  <c r="M25" i="13"/>
  <c r="M26" i="13"/>
  <c r="P26" i="13" s="1"/>
  <c r="M27" i="13"/>
  <c r="M28" i="13"/>
  <c r="M29" i="13"/>
  <c r="P29" i="13" s="1"/>
  <c r="M30" i="13"/>
  <c r="P30" i="13" s="1"/>
  <c r="M31" i="13"/>
  <c r="P31" i="13" s="1"/>
  <c r="M32" i="13"/>
  <c r="P32" i="13" s="1"/>
  <c r="M33" i="13"/>
  <c r="P33" i="13" s="1"/>
  <c r="M34" i="13"/>
  <c r="P34" i="13" s="1"/>
  <c r="M35" i="13"/>
  <c r="M36" i="13"/>
  <c r="P36" i="13" s="1"/>
  <c r="M37" i="13"/>
  <c r="P37" i="13" s="1"/>
  <c r="M38" i="13"/>
  <c r="P38" i="13" s="1"/>
  <c r="M39" i="13"/>
  <c r="P39" i="13" s="1"/>
  <c r="M40" i="13"/>
  <c r="M41" i="13"/>
  <c r="P41" i="13" s="1"/>
  <c r="M42" i="13"/>
  <c r="M43" i="13"/>
  <c r="P43" i="13" s="1"/>
  <c r="M44" i="13"/>
  <c r="P44" i="13" s="1"/>
  <c r="M45" i="13"/>
  <c r="P45" i="13" s="1"/>
  <c r="M46" i="13"/>
  <c r="P46" i="13" s="1"/>
  <c r="M47" i="13"/>
  <c r="M48" i="13"/>
  <c r="P48" i="13" s="1"/>
  <c r="M49" i="13"/>
  <c r="P49" i="13" s="1"/>
  <c r="M50" i="13"/>
  <c r="M51" i="13"/>
  <c r="P51" i="13" s="1"/>
  <c r="M52" i="13"/>
  <c r="M53" i="13"/>
  <c r="M54" i="13"/>
  <c r="M55" i="13"/>
  <c r="P55" i="13" s="1"/>
  <c r="M56" i="13"/>
  <c r="P56" i="13" s="1"/>
  <c r="M57" i="13"/>
  <c r="P57" i="13" s="1"/>
  <c r="M58" i="13"/>
  <c r="M59" i="13"/>
  <c r="P59" i="13" s="1"/>
  <c r="M60" i="13"/>
  <c r="P60" i="13" s="1"/>
  <c r="M61" i="13"/>
  <c r="P61" i="13" s="1"/>
  <c r="M62" i="13"/>
  <c r="P62" i="13" s="1"/>
  <c r="M63" i="13"/>
  <c r="P63" i="13" s="1"/>
  <c r="M64" i="13"/>
  <c r="M65" i="13"/>
  <c r="P65" i="13" s="1"/>
  <c r="M66" i="13"/>
  <c r="M67" i="13"/>
  <c r="P67" i="13" s="1"/>
  <c r="M68" i="13"/>
  <c r="P68" i="13" s="1"/>
  <c r="M69" i="13"/>
  <c r="P69" i="13" s="1"/>
  <c r="M70" i="13"/>
  <c r="M71" i="13"/>
  <c r="M72" i="13"/>
  <c r="M73" i="13"/>
  <c r="M74" i="13"/>
  <c r="P74" i="13" s="1"/>
  <c r="M75" i="13"/>
  <c r="P75" i="13" s="1"/>
  <c r="M76" i="13"/>
  <c r="P76" i="13" s="1"/>
  <c r="M77" i="13"/>
  <c r="P77" i="13" s="1"/>
  <c r="M78" i="13"/>
  <c r="M79" i="13"/>
  <c r="P79" i="13" s="1"/>
  <c r="M80" i="13"/>
  <c r="P80" i="13" s="1"/>
  <c r="M81" i="13"/>
  <c r="P81" i="13" s="1"/>
  <c r="M82" i="13"/>
  <c r="M83" i="13"/>
  <c r="P83" i="13" s="1"/>
  <c r="M84" i="13"/>
  <c r="P84" i="13" s="1"/>
  <c r="M85" i="13"/>
  <c r="P85" i="13" s="1"/>
  <c r="M86" i="13"/>
  <c r="P86" i="13" s="1"/>
  <c r="M87" i="13"/>
  <c r="P87" i="13" s="1"/>
  <c r="M88" i="13"/>
  <c r="M89" i="13"/>
  <c r="M90" i="13"/>
  <c r="M91" i="13"/>
  <c r="P91" i="13" s="1"/>
  <c r="M92" i="13"/>
  <c r="P92" i="13" s="1"/>
  <c r="M93" i="13"/>
  <c r="P93" i="13" s="1"/>
  <c r="M94" i="13"/>
  <c r="M95" i="13"/>
  <c r="M96" i="13"/>
  <c r="M97" i="13"/>
  <c r="M98" i="13"/>
  <c r="M99" i="13"/>
  <c r="P99" i="13" s="1"/>
  <c r="M100" i="13"/>
  <c r="M101" i="13"/>
  <c r="M102" i="13"/>
  <c r="M103" i="13"/>
  <c r="P103" i="13" s="1"/>
  <c r="M104" i="13"/>
  <c r="P104" i="13" s="1"/>
  <c r="M105" i="13"/>
  <c r="P105" i="13" s="1"/>
  <c r="M106" i="13"/>
  <c r="P106" i="13" s="1"/>
  <c r="M107" i="13"/>
  <c r="P107" i="13" s="1"/>
  <c r="M108" i="13"/>
  <c r="P108" i="13" s="1"/>
  <c r="M109" i="13"/>
  <c r="P109" i="13" s="1"/>
  <c r="M110" i="13"/>
  <c r="M111" i="13"/>
  <c r="M112" i="13"/>
  <c r="M113" i="13"/>
  <c r="P113" i="13" s="1"/>
  <c r="M114" i="13"/>
  <c r="M115" i="13"/>
  <c r="P115" i="13" s="1"/>
  <c r="M116" i="13"/>
  <c r="P116" i="13" s="1"/>
  <c r="M117" i="13"/>
  <c r="P117" i="13" s="1"/>
  <c r="M118" i="13"/>
  <c r="P118" i="13" s="1"/>
  <c r="M119" i="13"/>
  <c r="P119" i="13" s="1"/>
  <c r="M120" i="13"/>
  <c r="M121" i="13"/>
  <c r="M122" i="13"/>
  <c r="P122" i="13" s="1"/>
  <c r="M123" i="13"/>
  <c r="P123" i="13" s="1"/>
  <c r="M124" i="13"/>
  <c r="M125" i="13"/>
  <c r="P125" i="13" s="1"/>
  <c r="M126" i="13"/>
  <c r="M127" i="13"/>
  <c r="P127" i="13" s="1"/>
  <c r="M128" i="13"/>
  <c r="P128" i="13" s="1"/>
  <c r="M129" i="13"/>
  <c r="P129" i="13" s="1"/>
  <c r="M130" i="13"/>
  <c r="M131" i="13"/>
  <c r="P131" i="13" s="1"/>
  <c r="M132" i="13"/>
  <c r="P132" i="13" s="1"/>
  <c r="M133" i="13"/>
  <c r="P133" i="13" s="1"/>
  <c r="M134" i="13"/>
  <c r="P134" i="13" s="1"/>
  <c r="M135" i="13"/>
  <c r="P135" i="13" s="1"/>
  <c r="M136" i="13"/>
  <c r="M137" i="13"/>
  <c r="M138" i="13"/>
  <c r="M139" i="13"/>
  <c r="P139" i="13" s="1"/>
  <c r="M140" i="13"/>
  <c r="P140" i="13" s="1"/>
  <c r="M141" i="13"/>
  <c r="P141" i="13" s="1"/>
  <c r="M142" i="13"/>
  <c r="M143" i="13"/>
  <c r="P143" i="13" s="1"/>
  <c r="M144" i="13"/>
  <c r="P144" i="13" s="1"/>
  <c r="M145" i="13"/>
  <c r="P145" i="13" s="1"/>
  <c r="M146" i="13"/>
  <c r="M147" i="13"/>
  <c r="P147" i="13" s="1"/>
  <c r="M148" i="13"/>
  <c r="M149" i="13"/>
  <c r="M150" i="13"/>
  <c r="P150" i="13" s="1"/>
  <c r="M151" i="13"/>
  <c r="P151" i="13" s="1"/>
  <c r="M152" i="13"/>
  <c r="P152" i="13" s="1"/>
  <c r="M153" i="13"/>
  <c r="P153" i="13" s="1"/>
  <c r="M154" i="13"/>
  <c r="M155" i="13"/>
  <c r="P155" i="13" s="1"/>
  <c r="M156" i="13"/>
  <c r="P156" i="13" s="1"/>
  <c r="M157" i="13"/>
  <c r="P157" i="13" s="1"/>
  <c r="M158" i="13"/>
  <c r="M159" i="13"/>
  <c r="P159" i="13" s="1"/>
  <c r="M160" i="13"/>
  <c r="M161" i="13"/>
  <c r="P161" i="13" s="1"/>
  <c r="M162" i="13"/>
  <c r="M163" i="13"/>
  <c r="P163" i="13" s="1"/>
  <c r="M164" i="13"/>
  <c r="P164" i="13" s="1"/>
  <c r="M165" i="13"/>
  <c r="P165" i="13" s="1"/>
  <c r="M166" i="13"/>
  <c r="M167" i="13"/>
  <c r="M168" i="13"/>
  <c r="P168" i="13" s="1"/>
  <c r="M169" i="13"/>
  <c r="P169" i="13" s="1"/>
  <c r="M170" i="13"/>
  <c r="M171" i="13"/>
  <c r="P171" i="13" s="1"/>
  <c r="M172" i="13"/>
  <c r="M173" i="13"/>
  <c r="P173" i="13" s="1"/>
  <c r="M174" i="13"/>
  <c r="M175" i="13"/>
  <c r="P175" i="13" s="1"/>
  <c r="M176" i="13"/>
  <c r="P176" i="13" s="1"/>
  <c r="M177" i="13"/>
  <c r="P177" i="13" s="1"/>
  <c r="M178" i="13"/>
  <c r="M179" i="13"/>
  <c r="P179" i="13" s="1"/>
  <c r="M180" i="13"/>
  <c r="P180" i="13" s="1"/>
  <c r="M181" i="13"/>
  <c r="P181" i="13" s="1"/>
  <c r="M182" i="13"/>
  <c r="P182" i="13" s="1"/>
  <c r="M183" i="13"/>
  <c r="P183" i="13" s="1"/>
  <c r="M184" i="13"/>
  <c r="M185" i="13"/>
  <c r="M186" i="13"/>
  <c r="M187" i="13"/>
  <c r="P187" i="13" s="1"/>
  <c r="M188" i="13"/>
  <c r="P188" i="13" s="1"/>
  <c r="M189" i="13"/>
  <c r="P189" i="13" s="1"/>
  <c r="M190" i="13"/>
  <c r="M191" i="13"/>
  <c r="M192" i="13"/>
  <c r="M193" i="13"/>
  <c r="M194" i="13"/>
  <c r="P194" i="13" s="1"/>
  <c r="M195" i="13"/>
  <c r="P195" i="13" s="1"/>
  <c r="M196" i="13"/>
  <c r="M197" i="13"/>
  <c r="M198" i="13"/>
  <c r="M199" i="13"/>
  <c r="P199" i="13" s="1"/>
  <c r="M200" i="13"/>
  <c r="P200" i="13" s="1"/>
  <c r="M201" i="13"/>
  <c r="P201" i="13" s="1"/>
  <c r="M202" i="13"/>
  <c r="P202" i="13" s="1"/>
  <c r="M203" i="13"/>
  <c r="P203" i="13" s="1"/>
  <c r="M204" i="13"/>
  <c r="M205" i="13"/>
  <c r="M206" i="13"/>
  <c r="M207" i="13"/>
  <c r="M208" i="13"/>
  <c r="M209" i="13"/>
  <c r="P209" i="13" s="1"/>
  <c r="M210" i="13"/>
  <c r="M211" i="13"/>
  <c r="P211" i="13" s="1"/>
  <c r="M212" i="13"/>
  <c r="P212" i="13" s="1"/>
  <c r="M213" i="13"/>
  <c r="P213" i="13" s="1"/>
  <c r="M214" i="13"/>
  <c r="M215" i="13"/>
  <c r="M216" i="13"/>
  <c r="P216" i="13" s="1"/>
  <c r="M217" i="13"/>
  <c r="P217" i="13" s="1"/>
  <c r="M218" i="13"/>
  <c r="P218" i="13" s="1"/>
  <c r="M219" i="13"/>
  <c r="P219" i="13" s="1"/>
  <c r="M220" i="13"/>
  <c r="M221" i="13"/>
  <c r="P221" i="13" s="1"/>
  <c r="M222" i="13"/>
  <c r="M223" i="13"/>
  <c r="P223" i="13" s="1"/>
  <c r="M224" i="13"/>
  <c r="P224" i="13" s="1"/>
  <c r="M225" i="13"/>
  <c r="P225" i="13" s="1"/>
  <c r="M226" i="13"/>
  <c r="P226" i="13" s="1"/>
  <c r="M227" i="13"/>
  <c r="M228" i="13"/>
  <c r="M229" i="13"/>
  <c r="M230" i="13"/>
  <c r="M231" i="13"/>
  <c r="M232" i="13"/>
  <c r="M233" i="13"/>
  <c r="M234" i="13"/>
  <c r="P234" i="13" s="1"/>
  <c r="M235" i="13"/>
  <c r="P235" i="13" s="1"/>
  <c r="M236" i="13"/>
  <c r="P236" i="13" s="1"/>
  <c r="M237" i="13"/>
  <c r="P237" i="13" s="1"/>
  <c r="M238" i="13"/>
  <c r="P238" i="13" s="1"/>
  <c r="M239" i="13"/>
  <c r="M240" i="13"/>
  <c r="P240" i="13" s="1"/>
  <c r="M241" i="13"/>
  <c r="P241" i="13" s="1"/>
  <c r="M242" i="13"/>
  <c r="P242" i="13" s="1"/>
  <c r="M243" i="13"/>
  <c r="P243" i="13" s="1"/>
  <c r="M244" i="13"/>
  <c r="M245" i="13"/>
  <c r="M246" i="13"/>
  <c r="M247" i="13"/>
  <c r="P247" i="13" s="1"/>
  <c r="M248" i="13"/>
  <c r="P248" i="13" s="1"/>
  <c r="M249" i="13"/>
  <c r="P249" i="13" s="1"/>
  <c r="M250" i="13"/>
  <c r="M251" i="13"/>
  <c r="M252" i="13"/>
  <c r="P252" i="13" s="1"/>
  <c r="M253" i="13"/>
  <c r="P253" i="13" s="1"/>
  <c r="M254" i="13"/>
  <c r="M255" i="13"/>
  <c r="M256" i="13"/>
  <c r="M257" i="13"/>
  <c r="P257" i="13" s="1"/>
  <c r="M258" i="13"/>
  <c r="M259" i="13"/>
  <c r="P259" i="13" s="1"/>
  <c r="M260" i="13"/>
  <c r="P260" i="13" s="1"/>
  <c r="M261" i="13"/>
  <c r="P261" i="13" s="1"/>
  <c r="M262" i="13"/>
  <c r="P262" i="13" s="1"/>
  <c r="M263" i="13"/>
  <c r="P263" i="13" s="1"/>
  <c r="M264" i="13"/>
  <c r="M265" i="13"/>
  <c r="P265" i="13" s="1"/>
  <c r="M266" i="13"/>
  <c r="P266" i="13" s="1"/>
  <c r="M267" i="13"/>
  <c r="P267" i="13" s="1"/>
  <c r="M268" i="13"/>
  <c r="M269" i="13"/>
  <c r="P269" i="13" s="1"/>
  <c r="M270" i="13"/>
  <c r="P270" i="13" s="1"/>
  <c r="M271" i="13"/>
  <c r="P271" i="13" s="1"/>
  <c r="M272" i="13"/>
  <c r="P272" i="13" s="1"/>
  <c r="M273" i="13"/>
  <c r="P273" i="13" s="1"/>
  <c r="M274" i="13"/>
  <c r="P274" i="13" s="1"/>
  <c r="M275" i="13"/>
  <c r="P275" i="13" s="1"/>
  <c r="M276" i="13"/>
  <c r="M277" i="13"/>
  <c r="M278" i="13"/>
  <c r="M279" i="13"/>
  <c r="P279" i="13" s="1"/>
  <c r="M280" i="13"/>
  <c r="M281" i="13"/>
  <c r="M282" i="13"/>
  <c r="M283" i="13"/>
  <c r="P283" i="13" s="1"/>
  <c r="M284" i="13"/>
  <c r="P284" i="13" s="1"/>
  <c r="M285" i="13"/>
  <c r="P285" i="13" s="1"/>
  <c r="M286" i="13"/>
  <c r="M287" i="13"/>
  <c r="M288" i="13"/>
  <c r="P288" i="13" s="1"/>
  <c r="M289" i="13"/>
  <c r="P289" i="13" s="1"/>
  <c r="M290" i="13"/>
  <c r="P290" i="13" s="1"/>
  <c r="M291" i="13"/>
  <c r="P291" i="13" s="1"/>
  <c r="M292" i="13"/>
  <c r="M293" i="13"/>
  <c r="M294" i="13"/>
  <c r="M295" i="13"/>
  <c r="P295" i="13" s="1"/>
  <c r="M296" i="13"/>
  <c r="P296" i="13" s="1"/>
  <c r="M297" i="13"/>
  <c r="P297" i="13" s="1"/>
  <c r="M298" i="13"/>
  <c r="M299" i="13"/>
  <c r="P299" i="13" s="1"/>
  <c r="M300" i="13"/>
  <c r="P300" i="13" s="1"/>
  <c r="M301" i="13"/>
  <c r="P301" i="13" s="1"/>
  <c r="M302" i="13"/>
  <c r="M303" i="13"/>
  <c r="P303" i="13" s="1"/>
  <c r="M304" i="13"/>
  <c r="M305" i="13"/>
  <c r="P305" i="13" s="1"/>
  <c r="M306" i="13"/>
  <c r="P306" i="13" s="1"/>
  <c r="M307" i="13"/>
  <c r="P307" i="13" s="1"/>
  <c r="M308" i="13"/>
  <c r="P308" i="13" s="1"/>
  <c r="M309" i="13"/>
  <c r="P309" i="13" s="1"/>
  <c r="M310" i="13"/>
  <c r="M311" i="13"/>
  <c r="M312" i="13"/>
  <c r="M313" i="13"/>
  <c r="P313" i="13" s="1"/>
  <c r="M314" i="13"/>
  <c r="P314" i="13" s="1"/>
  <c r="M315" i="13"/>
  <c r="P315" i="13" s="1"/>
  <c r="M316" i="13"/>
  <c r="M317" i="13"/>
  <c r="P317" i="13" s="1"/>
  <c r="M318" i="13"/>
  <c r="P318" i="13" s="1"/>
  <c r="M319" i="13"/>
  <c r="P319" i="13" s="1"/>
  <c r="M320" i="13"/>
  <c r="P320" i="13" s="1"/>
  <c r="M321" i="13"/>
  <c r="P321" i="13" s="1"/>
  <c r="M322" i="13"/>
  <c r="P322" i="13" s="1"/>
  <c r="M323" i="13"/>
  <c r="P323" i="13" s="1"/>
  <c r="M324" i="13"/>
  <c r="P324" i="13" s="1"/>
  <c r="M325" i="13"/>
  <c r="P325" i="13" s="1"/>
  <c r="M326" i="13"/>
  <c r="P326" i="13" s="1"/>
  <c r="M327" i="13"/>
  <c r="P327" i="13" s="1"/>
  <c r="M328" i="13"/>
  <c r="M329" i="13"/>
  <c r="M330" i="13"/>
  <c r="M331" i="13"/>
  <c r="P331" i="13" s="1"/>
  <c r="M332" i="13"/>
  <c r="P332" i="13" s="1"/>
  <c r="M333" i="13"/>
  <c r="P333" i="13" s="1"/>
  <c r="M334" i="13"/>
  <c r="M335" i="13"/>
  <c r="M336" i="13"/>
  <c r="M337" i="13"/>
  <c r="M338" i="13"/>
  <c r="P338" i="13" s="1"/>
  <c r="M339" i="13"/>
  <c r="P339" i="13" s="1"/>
  <c r="M340" i="13"/>
  <c r="M341" i="13"/>
  <c r="M342" i="13"/>
  <c r="M343" i="13"/>
  <c r="P343" i="13" s="1"/>
  <c r="M344" i="13"/>
  <c r="P344" i="13" s="1"/>
  <c r="M345" i="13"/>
  <c r="P345" i="13" s="1"/>
  <c r="M346" i="13"/>
  <c r="P346" i="13" s="1"/>
  <c r="M347" i="13"/>
  <c r="M348" i="13"/>
  <c r="M349" i="13"/>
  <c r="M350" i="13"/>
  <c r="M351" i="13"/>
  <c r="M352" i="13"/>
  <c r="M353" i="13"/>
  <c r="P353" i="13" s="1"/>
  <c r="M354" i="13"/>
  <c r="P354" i="13" s="1"/>
  <c r="M355" i="13"/>
  <c r="P355" i="13" s="1"/>
  <c r="M356" i="13"/>
  <c r="P356" i="13" s="1"/>
  <c r="M357" i="13"/>
  <c r="P357" i="13" s="1"/>
  <c r="M358" i="13"/>
  <c r="M359" i="13"/>
  <c r="P359" i="13" s="1"/>
  <c r="M360" i="13"/>
  <c r="P360" i="13" s="1"/>
  <c r="M361" i="13"/>
  <c r="P361" i="13" s="1"/>
  <c r="M362" i="13"/>
  <c r="P362" i="13" s="1"/>
  <c r="M363" i="13"/>
  <c r="P363" i="13" s="1"/>
  <c r="M364" i="13"/>
  <c r="M365" i="13"/>
  <c r="P365" i="13" s="1"/>
  <c r="M366" i="13"/>
  <c r="P366" i="13" s="1"/>
  <c r="M367" i="13"/>
  <c r="P367" i="13" s="1"/>
  <c r="M368" i="13"/>
  <c r="P368" i="13" s="1"/>
  <c r="M369" i="13"/>
  <c r="P369" i="13" s="1"/>
  <c r="M370" i="13"/>
  <c r="M371" i="13"/>
  <c r="P371" i="13" s="1"/>
  <c r="M372" i="13"/>
  <c r="P372" i="13" s="1"/>
  <c r="M373" i="13"/>
  <c r="P373" i="13" s="1"/>
  <c r="M374" i="13"/>
  <c r="M375" i="13"/>
  <c r="M376" i="13"/>
  <c r="M377" i="13"/>
  <c r="M378" i="13"/>
  <c r="P378" i="13" s="1"/>
  <c r="M379" i="13"/>
  <c r="P379" i="13" s="1"/>
  <c r="M380" i="13"/>
  <c r="P380" i="13" s="1"/>
  <c r="M381" i="13"/>
  <c r="P381" i="13" s="1"/>
  <c r="M382" i="13"/>
  <c r="P382" i="13" s="1"/>
  <c r="M383" i="13"/>
  <c r="P383" i="13" s="1"/>
  <c r="M384" i="13"/>
  <c r="P384" i="13" s="1"/>
  <c r="M385" i="13"/>
  <c r="M386" i="13"/>
  <c r="M387" i="13"/>
  <c r="P387" i="13" s="1"/>
  <c r="M388" i="13"/>
  <c r="M389" i="13"/>
  <c r="M390" i="13"/>
  <c r="M391" i="13"/>
  <c r="P391" i="13" s="1"/>
  <c r="M392" i="13"/>
  <c r="P392" i="13" s="1"/>
  <c r="M393" i="13"/>
  <c r="P393" i="13" s="1"/>
  <c r="M394" i="13"/>
  <c r="P394" i="13" s="1"/>
  <c r="M395" i="13"/>
  <c r="P395" i="13" s="1"/>
  <c r="M396" i="13"/>
  <c r="P396" i="13" s="1"/>
  <c r="M397" i="13"/>
  <c r="P397" i="13" s="1"/>
  <c r="M398" i="13"/>
  <c r="M399" i="13"/>
  <c r="P399" i="13" s="1"/>
  <c r="M400" i="13"/>
  <c r="M401" i="13"/>
  <c r="P401" i="13" s="1"/>
  <c r="M402" i="13"/>
  <c r="P402" i="13" s="1"/>
  <c r="M403" i="13"/>
  <c r="P403" i="13" s="1"/>
  <c r="M404" i="13"/>
  <c r="P404" i="13" s="1"/>
  <c r="M405" i="13"/>
  <c r="P405" i="13" s="1"/>
  <c r="M406" i="13"/>
  <c r="P406" i="13" s="1"/>
  <c r="M407" i="13"/>
  <c r="M408" i="13"/>
  <c r="M409" i="13"/>
  <c r="M410" i="13"/>
  <c r="M411" i="13"/>
  <c r="P411" i="13" s="1"/>
  <c r="M412" i="13"/>
  <c r="M413" i="13"/>
  <c r="P413" i="13" s="1"/>
  <c r="M414" i="13"/>
  <c r="P414" i="13" s="1"/>
  <c r="M415" i="13"/>
  <c r="P415" i="13" s="1"/>
  <c r="M416" i="13"/>
  <c r="P416" i="13" s="1"/>
  <c r="M417" i="13"/>
  <c r="P417" i="13" s="1"/>
  <c r="M418" i="13"/>
  <c r="P418" i="13" s="1"/>
  <c r="M419" i="13"/>
  <c r="M420" i="13"/>
  <c r="P420" i="13" s="1"/>
  <c r="M421" i="13"/>
  <c r="P421" i="13" s="1"/>
  <c r="M422" i="13"/>
  <c r="P422" i="13" s="1"/>
  <c r="M423" i="13"/>
  <c r="P423" i="13" s="1"/>
  <c r="M424" i="13"/>
  <c r="M425" i="13"/>
  <c r="M426" i="13"/>
  <c r="M427" i="13"/>
  <c r="P427" i="13" s="1"/>
  <c r="M428" i="13"/>
  <c r="P428" i="13" s="1"/>
  <c r="M429" i="13"/>
  <c r="P429" i="13" s="1"/>
  <c r="M430" i="13"/>
  <c r="M431" i="13"/>
  <c r="M432" i="13"/>
  <c r="P432" i="13" s="1"/>
  <c r="M433" i="13"/>
  <c r="P433" i="13" s="1"/>
  <c r="M434" i="13"/>
  <c r="M435" i="13"/>
  <c r="P435" i="13" s="1"/>
  <c r="M436" i="13"/>
  <c r="M437" i="13"/>
  <c r="M438" i="13"/>
  <c r="M439" i="13"/>
  <c r="P439" i="13" s="1"/>
  <c r="M440" i="13"/>
  <c r="P440" i="13" s="1"/>
  <c r="M441" i="13"/>
  <c r="P441" i="13" s="1"/>
  <c r="M442" i="13"/>
  <c r="P442" i="13" s="1"/>
  <c r="M443" i="13"/>
  <c r="P443" i="13" s="1"/>
  <c r="M444" i="13"/>
  <c r="P444" i="13" s="1"/>
  <c r="M445" i="13"/>
  <c r="P445" i="13" s="1"/>
  <c r="M446" i="13"/>
  <c r="P446" i="13" s="1"/>
  <c r="M447" i="13"/>
  <c r="P447" i="13" s="1"/>
  <c r="M448" i="13"/>
  <c r="M449" i="13"/>
  <c r="P449" i="13" s="1"/>
  <c r="M450" i="13"/>
  <c r="P450" i="13" s="1"/>
  <c r="M451" i="13"/>
  <c r="P451" i="13" s="1"/>
  <c r="M452" i="13"/>
  <c r="P452" i="13" s="1"/>
  <c r="M453" i="13"/>
  <c r="P453" i="13" s="1"/>
  <c r="M454" i="13"/>
  <c r="M455" i="13"/>
  <c r="M456" i="13"/>
  <c r="M457" i="13"/>
  <c r="M458" i="13"/>
  <c r="M459" i="13"/>
  <c r="P459" i="13" s="1"/>
  <c r="M460" i="13"/>
  <c r="M461" i="13"/>
  <c r="P461" i="13" s="1"/>
  <c r="M462" i="13"/>
  <c r="P462" i="13" s="1"/>
  <c r="M463" i="13"/>
  <c r="P463" i="13" s="1"/>
  <c r="M464" i="13"/>
  <c r="P464" i="13" s="1"/>
  <c r="M465" i="13"/>
  <c r="P465" i="13" s="1"/>
  <c r="M466" i="13"/>
  <c r="P466" i="13" s="1"/>
  <c r="M467" i="13"/>
  <c r="P467" i="13" s="1"/>
  <c r="M468" i="13"/>
  <c r="M469" i="13"/>
  <c r="P469" i="13" s="1"/>
  <c r="M470" i="13"/>
  <c r="P470" i="13" s="1"/>
  <c r="M471" i="13"/>
  <c r="P471" i="13" s="1"/>
  <c r="M472" i="13"/>
  <c r="M473" i="13"/>
  <c r="M474" i="13"/>
  <c r="M475" i="13"/>
  <c r="P475" i="13" s="1"/>
  <c r="M476" i="13"/>
  <c r="P476" i="13" s="1"/>
  <c r="M477" i="13"/>
  <c r="P477" i="13" s="1"/>
  <c r="M478" i="13"/>
  <c r="M479" i="13"/>
  <c r="M480" i="13"/>
  <c r="M481" i="13"/>
  <c r="M482" i="13"/>
  <c r="P482" i="13" s="1"/>
  <c r="M483" i="13"/>
  <c r="P483" i="13" s="1"/>
  <c r="M484" i="13"/>
  <c r="M485" i="13"/>
  <c r="M486" i="13"/>
  <c r="M487" i="13"/>
  <c r="P487" i="13" s="1"/>
  <c r="M488" i="13"/>
  <c r="P488" i="13" s="1"/>
  <c r="M489" i="13"/>
  <c r="P489" i="13" s="1"/>
  <c r="M490" i="13"/>
  <c r="M491" i="13"/>
  <c r="M492" i="13"/>
  <c r="P492" i="13" s="1"/>
  <c r="M493" i="13"/>
  <c r="P493" i="13" s="1"/>
  <c r="M494" i="13"/>
  <c r="P494" i="13" s="1"/>
  <c r="M495" i="13"/>
  <c r="M496" i="13"/>
  <c r="M497" i="13"/>
  <c r="P497" i="13" s="1"/>
  <c r="M498" i="13"/>
  <c r="P498" i="13" s="1"/>
  <c r="M499" i="13"/>
  <c r="P499" i="13" s="1"/>
  <c r="M500" i="13"/>
  <c r="P500" i="13" s="1"/>
  <c r="M501" i="13"/>
  <c r="P501" i="13" s="1"/>
  <c r="M502" i="13"/>
  <c r="P502" i="13" s="1"/>
  <c r="M503" i="13"/>
  <c r="P503" i="13" s="1"/>
  <c r="M504" i="13"/>
  <c r="P504" i="13" s="1"/>
  <c r="M505" i="13"/>
  <c r="P505" i="13" s="1"/>
  <c r="M506" i="13"/>
  <c r="P506" i="13" s="1"/>
  <c r="M507" i="13"/>
  <c r="M508" i="13"/>
  <c r="M509" i="13"/>
  <c r="P509" i="13" s="1"/>
  <c r="M510" i="13"/>
  <c r="P510" i="13" s="1"/>
  <c r="M511" i="13"/>
  <c r="P511" i="13" s="1"/>
  <c r="M512" i="13"/>
  <c r="P512" i="13" s="1"/>
  <c r="M513" i="13"/>
  <c r="P513" i="13" s="1"/>
  <c r="M514" i="13"/>
  <c r="M515" i="13"/>
  <c r="M516" i="13"/>
  <c r="M517" i="13"/>
  <c r="P517" i="13" s="1"/>
  <c r="M518" i="13"/>
  <c r="P518" i="13" s="1"/>
  <c r="M519" i="13"/>
  <c r="P519" i="13" s="1"/>
  <c r="M520" i="13"/>
  <c r="M521" i="13"/>
  <c r="M522" i="13"/>
  <c r="P522" i="13" s="1"/>
  <c r="M523" i="13"/>
  <c r="P523" i="13" s="1"/>
  <c r="M524" i="13"/>
  <c r="P524" i="13" s="1"/>
  <c r="M525" i="13"/>
  <c r="P525" i="13" s="1"/>
  <c r="M526" i="13"/>
  <c r="P526" i="13" s="1"/>
  <c r="M527" i="13"/>
  <c r="P527" i="13" s="1"/>
  <c r="M528" i="13"/>
  <c r="M529" i="13"/>
  <c r="M530" i="13"/>
  <c r="M531" i="13"/>
  <c r="M532" i="13"/>
  <c r="M533" i="13"/>
  <c r="M534" i="13"/>
  <c r="M535" i="13"/>
  <c r="P535" i="13" s="1"/>
  <c r="M536" i="13"/>
  <c r="P536" i="13" s="1"/>
  <c r="M537" i="13"/>
  <c r="P537" i="13" s="1"/>
  <c r="M538" i="13"/>
  <c r="M539" i="13"/>
  <c r="P539" i="13" s="1"/>
  <c r="M540" i="13"/>
  <c r="P540" i="13" s="1"/>
  <c r="M541" i="13"/>
  <c r="P541" i="13" s="1"/>
  <c r="M542" i="13"/>
  <c r="P542" i="13" s="1"/>
  <c r="M543" i="13"/>
  <c r="P543" i="13" s="1"/>
  <c r="M544" i="13"/>
  <c r="M545" i="13"/>
  <c r="P545" i="13" s="1"/>
  <c r="M546" i="13"/>
  <c r="P546" i="13" s="1"/>
  <c r="M547" i="13"/>
  <c r="P547" i="13" s="1"/>
  <c r="M548" i="13"/>
  <c r="P548" i="13" s="1"/>
  <c r="M549" i="13"/>
  <c r="P549" i="13" s="1"/>
  <c r="M550" i="13"/>
  <c r="P550" i="13" s="1"/>
  <c r="M551" i="13"/>
  <c r="P551" i="13" s="1"/>
  <c r="M552" i="13"/>
  <c r="M553" i="13"/>
  <c r="M554" i="13"/>
  <c r="M555" i="13"/>
  <c r="M556" i="13"/>
  <c r="M557" i="13"/>
  <c r="P557" i="13" s="1"/>
  <c r="M558" i="13"/>
  <c r="P558" i="13" s="1"/>
  <c r="M559" i="13"/>
  <c r="P559" i="13" s="1"/>
  <c r="M560" i="13"/>
  <c r="P560" i="13" s="1"/>
  <c r="M561" i="13"/>
  <c r="P561" i="13" s="1"/>
  <c r="M562" i="13"/>
  <c r="P562" i="13" s="1"/>
  <c r="M563" i="13"/>
  <c r="M564" i="13"/>
  <c r="M565" i="13"/>
  <c r="P565" i="13" s="1"/>
  <c r="M566" i="13"/>
  <c r="P566" i="13" s="1"/>
  <c r="M567" i="13"/>
  <c r="P567" i="13" s="1"/>
  <c r="M568" i="13"/>
  <c r="M569" i="13"/>
  <c r="M570" i="13"/>
  <c r="M571" i="13"/>
  <c r="P571" i="13" s="1"/>
  <c r="M572" i="13"/>
  <c r="P572" i="13" s="1"/>
  <c r="M573" i="13"/>
  <c r="P573" i="13" s="1"/>
  <c r="M574" i="13"/>
  <c r="P574" i="13" s="1"/>
  <c r="M575" i="13"/>
  <c r="P575" i="13" s="1"/>
  <c r="M576" i="13"/>
  <c r="P576" i="13" s="1"/>
  <c r="M577" i="13"/>
  <c r="P577" i="13" s="1"/>
  <c r="M578" i="13"/>
  <c r="M579" i="13"/>
  <c r="M580" i="13"/>
  <c r="M581" i="13"/>
  <c r="M582" i="13"/>
  <c r="M583" i="13"/>
  <c r="P583" i="13" s="1"/>
  <c r="M584" i="13"/>
  <c r="P584" i="13" s="1"/>
  <c r="M585" i="13"/>
  <c r="P585" i="13" s="1"/>
  <c r="M586" i="13"/>
  <c r="P586" i="13" s="1"/>
  <c r="M587" i="13"/>
  <c r="P587" i="13" s="1"/>
  <c r="M588" i="13"/>
  <c r="M589" i="13"/>
  <c r="M590" i="13"/>
  <c r="P590" i="13" s="1"/>
  <c r="M591" i="13"/>
  <c r="P591" i="13" s="1"/>
  <c r="M592" i="13"/>
  <c r="M593" i="13"/>
  <c r="P593" i="13" s="1"/>
  <c r="M594" i="13"/>
  <c r="P594" i="13" s="1"/>
  <c r="M595" i="13"/>
  <c r="P595" i="13" s="1"/>
  <c r="M596" i="13"/>
  <c r="P596" i="13" s="1"/>
  <c r="M597" i="13"/>
  <c r="P597" i="13" s="1"/>
  <c r="M598" i="13"/>
  <c r="M599" i="13"/>
  <c r="P599" i="13" s="1"/>
  <c r="M600" i="13"/>
  <c r="P600" i="13" s="1"/>
  <c r="M601" i="13"/>
  <c r="M602" i="13"/>
  <c r="M603" i="13"/>
  <c r="P603" i="13" s="1"/>
  <c r="M604" i="13"/>
  <c r="M605" i="13"/>
  <c r="P605" i="13" s="1"/>
  <c r="M606" i="13"/>
  <c r="P606" i="13" s="1"/>
  <c r="M607" i="13"/>
  <c r="P607" i="13" s="1"/>
  <c r="M608" i="13"/>
  <c r="P608" i="13" s="1"/>
  <c r="M609" i="13"/>
  <c r="P609" i="13" s="1"/>
  <c r="M610" i="13"/>
  <c r="P610" i="13" s="1"/>
  <c r="M611" i="13"/>
  <c r="M612" i="13"/>
  <c r="M613" i="13"/>
  <c r="P613" i="13" s="1"/>
  <c r="M614" i="13"/>
  <c r="P614" i="13" s="1"/>
  <c r="M615" i="13"/>
  <c r="P615" i="13" s="1"/>
  <c r="M616" i="13"/>
  <c r="M617" i="13"/>
  <c r="M618" i="13"/>
  <c r="M619" i="13"/>
  <c r="P619" i="13" s="1"/>
  <c r="M620" i="13"/>
  <c r="P620" i="13" s="1"/>
  <c r="M621" i="13"/>
  <c r="P621" i="13" s="1"/>
  <c r="M622" i="13"/>
  <c r="M623" i="13"/>
  <c r="P623" i="13" s="1"/>
  <c r="M624" i="13"/>
  <c r="P624" i="13" s="1"/>
  <c r="M625" i="13"/>
  <c r="P625" i="13" s="1"/>
  <c r="M626" i="13"/>
  <c r="P626" i="13" s="1"/>
  <c r="M627" i="13"/>
  <c r="P627" i="13" s="1"/>
  <c r="M628" i="13"/>
  <c r="M629" i="13"/>
  <c r="M630" i="13"/>
  <c r="M631" i="13"/>
  <c r="P631" i="13" s="1"/>
  <c r="M632" i="13"/>
  <c r="P632" i="13" s="1"/>
  <c r="M633" i="13"/>
  <c r="P633" i="13" s="1"/>
  <c r="M634" i="13"/>
  <c r="M635" i="13"/>
  <c r="M636" i="13"/>
  <c r="M637" i="13"/>
  <c r="M638" i="13"/>
  <c r="P638" i="13" s="1"/>
  <c r="M639" i="13"/>
  <c r="P639" i="13" s="1"/>
  <c r="M640" i="13"/>
  <c r="M641" i="13"/>
  <c r="P641" i="13" s="1"/>
  <c r="M642" i="13"/>
  <c r="P642" i="13" s="1"/>
  <c r="M643" i="13"/>
  <c r="P643" i="13" s="1"/>
  <c r="M644" i="13"/>
  <c r="P644" i="13" s="1"/>
  <c r="M645" i="13"/>
  <c r="P645" i="13" s="1"/>
  <c r="M646" i="13"/>
  <c r="P646" i="13" s="1"/>
  <c r="M647" i="13"/>
  <c r="P647" i="13" s="1"/>
  <c r="M648" i="13"/>
  <c r="P648" i="13" s="1"/>
  <c r="M649" i="13"/>
  <c r="P649" i="13" s="1"/>
  <c r="M650" i="13"/>
  <c r="P650" i="13" s="1"/>
  <c r="M651" i="13"/>
  <c r="P651" i="13" s="1"/>
  <c r="M652" i="13"/>
  <c r="M653" i="13"/>
  <c r="P653" i="13" s="1"/>
  <c r="M654" i="13"/>
  <c r="P654" i="13" s="1"/>
  <c r="M655" i="13"/>
  <c r="P655" i="13" s="1"/>
  <c r="M656" i="13"/>
  <c r="P656" i="13" s="1"/>
  <c r="M657" i="13"/>
  <c r="P657" i="13" s="1"/>
  <c r="M658" i="13"/>
  <c r="M659" i="13"/>
  <c r="M660" i="13"/>
  <c r="M661" i="13"/>
  <c r="M662" i="13"/>
  <c r="M663" i="13"/>
  <c r="P663" i="13" s="1"/>
  <c r="M664" i="13"/>
  <c r="M665" i="13"/>
  <c r="M666" i="13"/>
  <c r="P666" i="13" s="1"/>
  <c r="M667" i="13"/>
  <c r="P667" i="13" s="1"/>
  <c r="M668" i="13"/>
  <c r="P668" i="13" s="1"/>
  <c r="M669" i="13"/>
  <c r="P669" i="13" s="1"/>
  <c r="M670" i="13"/>
  <c r="P670" i="13" s="1"/>
  <c r="M671" i="13"/>
  <c r="P671" i="13" s="1"/>
  <c r="M672" i="13"/>
  <c r="P672" i="13" s="1"/>
  <c r="M673" i="13"/>
  <c r="P673" i="13" s="1"/>
  <c r="M674" i="13"/>
  <c r="M675" i="13"/>
  <c r="M676" i="13"/>
  <c r="M677" i="13"/>
  <c r="M678" i="13"/>
  <c r="M679" i="13"/>
  <c r="P679" i="13" s="1"/>
  <c r="M680" i="13"/>
  <c r="P680" i="13" s="1"/>
  <c r="M681" i="13"/>
  <c r="P681" i="13" s="1"/>
  <c r="M682" i="13"/>
  <c r="M683" i="13"/>
  <c r="P683" i="13" s="1"/>
  <c r="M684" i="13"/>
  <c r="P684" i="13" s="1"/>
  <c r="M685" i="13"/>
  <c r="P685" i="13" s="1"/>
  <c r="M686" i="13"/>
  <c r="P686" i="13" s="1"/>
  <c r="M687" i="13"/>
  <c r="P687" i="13" s="1"/>
  <c r="M688" i="13"/>
  <c r="M689" i="13"/>
  <c r="P689" i="13" s="1"/>
  <c r="M690" i="13"/>
  <c r="P690" i="13" s="1"/>
  <c r="M691" i="13"/>
  <c r="P691" i="13" s="1"/>
  <c r="M692" i="13"/>
  <c r="P692" i="13" s="1"/>
  <c r="M693" i="13"/>
  <c r="P693" i="13" s="1"/>
  <c r="M694" i="13"/>
  <c r="M695" i="13"/>
  <c r="M696" i="13"/>
  <c r="P696" i="13" s="1"/>
  <c r="M697" i="13"/>
  <c r="P697" i="13" s="1"/>
  <c r="M698" i="13"/>
  <c r="P698" i="13" s="1"/>
  <c r="M699" i="13"/>
  <c r="M700" i="13"/>
  <c r="M701" i="13"/>
  <c r="P701" i="13" s="1"/>
  <c r="M702" i="13"/>
  <c r="P702" i="13" s="1"/>
  <c r="M703" i="13"/>
  <c r="P703" i="13" s="1"/>
  <c r="M704" i="13"/>
  <c r="P704" i="13" s="1"/>
  <c r="M705" i="13"/>
  <c r="P705" i="13" s="1"/>
  <c r="M706" i="13"/>
  <c r="P706" i="13" s="1"/>
  <c r="M707" i="13"/>
  <c r="M708" i="13"/>
  <c r="P708" i="13" s="1"/>
  <c r="M709" i="13"/>
  <c r="P709" i="13" s="1"/>
  <c r="M710" i="13"/>
  <c r="P710" i="13" s="1"/>
  <c r="M711" i="13"/>
  <c r="M712" i="13"/>
  <c r="M713" i="13"/>
  <c r="M714" i="13"/>
  <c r="M715" i="13"/>
  <c r="P715" i="13" s="1"/>
  <c r="M716" i="13"/>
  <c r="P716" i="13" s="1"/>
  <c r="M717" i="13"/>
  <c r="P717" i="13" s="1"/>
  <c r="M718" i="13"/>
  <c r="M719" i="13"/>
  <c r="M720" i="13"/>
  <c r="P720" i="13" s="1"/>
  <c r="M721" i="13"/>
  <c r="P721" i="13" s="1"/>
  <c r="M722" i="13"/>
  <c r="P722" i="13" s="1"/>
  <c r="M723" i="13"/>
  <c r="P723" i="13" s="1"/>
  <c r="M724" i="13"/>
  <c r="M725" i="13"/>
  <c r="M726" i="13"/>
  <c r="M727" i="13"/>
  <c r="P727" i="13" s="1"/>
  <c r="M728" i="13"/>
  <c r="P728" i="13" s="1"/>
  <c r="M729" i="13"/>
  <c r="P729" i="13" s="1"/>
  <c r="M730" i="13"/>
  <c r="P730" i="13" s="1"/>
  <c r="M731" i="13"/>
  <c r="M732" i="13"/>
  <c r="M733" i="13"/>
  <c r="M734" i="13"/>
  <c r="M735" i="13"/>
  <c r="P735" i="13" s="1"/>
  <c r="M736" i="13"/>
  <c r="M737" i="13"/>
  <c r="P737" i="13" s="1"/>
  <c r="M738" i="13"/>
  <c r="P738" i="13" s="1"/>
  <c r="M739" i="13"/>
  <c r="P739" i="13" s="1"/>
  <c r="M740" i="13"/>
  <c r="P740" i="13" s="1"/>
  <c r="M741" i="13"/>
  <c r="P741" i="13" s="1"/>
  <c r="M742" i="13"/>
  <c r="M743" i="13"/>
  <c r="M744" i="13"/>
  <c r="P744" i="13" s="1"/>
  <c r="M745" i="13"/>
  <c r="P745" i="13" s="1"/>
  <c r="M746" i="13"/>
  <c r="P746" i="13" s="1"/>
  <c r="M747" i="13"/>
  <c r="P747" i="13" s="1"/>
  <c r="M748" i="13"/>
  <c r="M749" i="13"/>
  <c r="P749" i="13" s="1"/>
  <c r="M750" i="13"/>
  <c r="P750" i="13" s="1"/>
  <c r="M751" i="13"/>
  <c r="P751" i="13" s="1"/>
  <c r="M752" i="13"/>
  <c r="P752" i="13" s="1"/>
  <c r="M753" i="13"/>
  <c r="P753" i="13" s="1"/>
  <c r="M754" i="13"/>
  <c r="M755" i="13"/>
  <c r="M756" i="13"/>
  <c r="M757" i="13"/>
  <c r="P757" i="13" s="1"/>
  <c r="M758" i="13"/>
  <c r="P758" i="13" s="1"/>
  <c r="M759" i="13"/>
  <c r="M760" i="13"/>
  <c r="M761" i="13"/>
  <c r="M762" i="13"/>
  <c r="M763" i="13"/>
  <c r="P763" i="13" s="1"/>
  <c r="M764" i="13"/>
  <c r="P764" i="13" s="1"/>
  <c r="M765" i="13"/>
  <c r="P765" i="13" s="1"/>
  <c r="M766" i="13"/>
  <c r="M767" i="13"/>
  <c r="M768" i="13"/>
  <c r="P768" i="13" s="1"/>
  <c r="M769" i="13"/>
  <c r="P769" i="13" s="1"/>
  <c r="M770" i="13"/>
  <c r="P770" i="13" s="1"/>
  <c r="M771" i="13"/>
  <c r="P771" i="13" s="1"/>
  <c r="M772" i="13"/>
  <c r="M773" i="13"/>
  <c r="M774" i="13"/>
  <c r="M775" i="13"/>
  <c r="P775" i="13" s="1"/>
  <c r="M776" i="13"/>
  <c r="P776" i="13" s="1"/>
  <c r="M777" i="13"/>
  <c r="P777" i="13" s="1"/>
  <c r="M778" i="13"/>
  <c r="M779" i="13"/>
  <c r="M780" i="13"/>
  <c r="M781" i="13"/>
  <c r="M782" i="13"/>
  <c r="M783" i="13"/>
  <c r="P783" i="13" s="1"/>
  <c r="M784" i="13"/>
  <c r="M785" i="13"/>
  <c r="P785" i="13" s="1"/>
  <c r="M786" i="13"/>
  <c r="P786" i="13" s="1"/>
  <c r="M787" i="13"/>
  <c r="P787" i="13" s="1"/>
  <c r="M788" i="13"/>
  <c r="P788" i="13" s="1"/>
  <c r="M789" i="13"/>
  <c r="P789" i="13" s="1"/>
  <c r="M790" i="13"/>
  <c r="P790" i="13" s="1"/>
  <c r="M791" i="13"/>
  <c r="M792" i="13"/>
  <c r="P792" i="13" s="1"/>
  <c r="M793" i="13"/>
  <c r="P793" i="13" s="1"/>
  <c r="M794" i="13"/>
  <c r="P794" i="13" s="1"/>
  <c r="M795" i="13"/>
  <c r="P795" i="13" s="1"/>
  <c r="M796" i="13"/>
  <c r="M797" i="13"/>
  <c r="P797" i="13" s="1"/>
  <c r="M798" i="13"/>
  <c r="P798" i="13" s="1"/>
  <c r="M799" i="13"/>
  <c r="P799" i="13" s="1"/>
  <c r="M800" i="13"/>
  <c r="P800" i="13" s="1"/>
  <c r="M801" i="13"/>
  <c r="P801" i="13" s="1"/>
  <c r="M802" i="13"/>
  <c r="P802" i="13" s="1"/>
  <c r="M803" i="13"/>
  <c r="M804" i="13"/>
  <c r="M805" i="13"/>
  <c r="M806" i="13"/>
  <c r="M807" i="13"/>
  <c r="P807" i="13" s="1"/>
  <c r="M808" i="13"/>
  <c r="M809" i="13"/>
  <c r="M810" i="13"/>
  <c r="P810" i="13" s="1"/>
  <c r="M811" i="13"/>
  <c r="P811" i="13" s="1"/>
  <c r="M812" i="13"/>
  <c r="P812" i="13" s="1"/>
  <c r="M813" i="13"/>
  <c r="P813" i="13" s="1"/>
  <c r="M814" i="13"/>
  <c r="M815" i="13"/>
  <c r="M816" i="13"/>
  <c r="P816" i="13" s="1"/>
  <c r="M817" i="13"/>
  <c r="P817" i="13" s="1"/>
  <c r="M818" i="13"/>
  <c r="P818" i="13" s="1"/>
  <c r="M819" i="13"/>
  <c r="P819" i="13" s="1"/>
  <c r="M820" i="13"/>
  <c r="M821" i="13"/>
  <c r="M822" i="13"/>
  <c r="M823" i="13"/>
  <c r="P823" i="13" s="1"/>
  <c r="M824" i="13"/>
  <c r="P824" i="13" s="1"/>
  <c r="M825" i="13"/>
  <c r="P825" i="13" s="1"/>
  <c r="M826" i="13"/>
  <c r="P826" i="13" s="1"/>
  <c r="M827" i="13"/>
  <c r="P827" i="13" s="1"/>
  <c r="M828" i="13"/>
  <c r="P828" i="13" s="1"/>
  <c r="M829" i="13"/>
  <c r="P829" i="13" s="1"/>
  <c r="M830" i="13"/>
  <c r="P830" i="13" s="1"/>
  <c r="M831" i="13"/>
  <c r="M832" i="13"/>
  <c r="M833" i="13"/>
  <c r="P833" i="13" s="1"/>
  <c r="M834" i="13"/>
  <c r="P834" i="13" s="1"/>
  <c r="M835" i="13"/>
  <c r="P835" i="13" s="1"/>
  <c r="M836" i="13"/>
  <c r="P836" i="13" s="1"/>
  <c r="M837" i="13"/>
  <c r="P837" i="13" s="1"/>
  <c r="M838" i="13"/>
  <c r="M839" i="13"/>
  <c r="M840" i="13"/>
  <c r="M841" i="13"/>
  <c r="P841" i="13" s="1"/>
  <c r="M842" i="13"/>
  <c r="P842" i="13" s="1"/>
  <c r="M843" i="13"/>
  <c r="P843" i="13" s="1"/>
  <c r="M844" i="13"/>
  <c r="M845" i="13"/>
  <c r="P845" i="13" s="1"/>
  <c r="M846" i="13"/>
  <c r="P846" i="13" s="1"/>
  <c r="M847" i="13"/>
  <c r="P847" i="13" s="1"/>
  <c r="M848" i="13"/>
  <c r="P848" i="13" s="1"/>
  <c r="M849" i="13"/>
  <c r="P849" i="13" s="1"/>
  <c r="M850" i="13"/>
  <c r="P850" i="13" s="1"/>
  <c r="M851" i="13"/>
  <c r="P851" i="13" s="1"/>
  <c r="M852" i="13"/>
  <c r="P852" i="13" s="1"/>
  <c r="M853" i="13"/>
  <c r="P853" i="13" s="1"/>
  <c r="M854" i="13"/>
  <c r="P854" i="13" s="1"/>
  <c r="M855" i="13"/>
  <c r="M856" i="13"/>
  <c r="M857" i="13"/>
  <c r="M858" i="13"/>
  <c r="M859" i="13"/>
  <c r="P859" i="13" s="1"/>
  <c r="M860" i="13"/>
  <c r="P860" i="13" s="1"/>
  <c r="M861" i="13"/>
  <c r="P861" i="13" s="1"/>
  <c r="M862" i="13"/>
  <c r="M863" i="13"/>
  <c r="M864" i="13"/>
  <c r="P864" i="13" s="1"/>
  <c r="M865" i="13"/>
  <c r="P865" i="13" s="1"/>
  <c r="M866" i="13"/>
  <c r="P866" i="13" s="1"/>
  <c r="M867" i="13"/>
  <c r="P867" i="13" s="1"/>
  <c r="M868" i="13"/>
  <c r="M869" i="13"/>
  <c r="M870" i="13"/>
  <c r="M871" i="13"/>
  <c r="P871" i="13" s="1"/>
  <c r="M872" i="13"/>
  <c r="P872" i="13" s="1"/>
  <c r="M873" i="13"/>
  <c r="P873" i="13" s="1"/>
  <c r="M874" i="13"/>
  <c r="P874" i="13" s="1"/>
  <c r="M875" i="13"/>
  <c r="P875" i="13" s="1"/>
  <c r="M876" i="13"/>
  <c r="M877" i="13"/>
  <c r="M878" i="13"/>
  <c r="P878" i="13" s="1"/>
  <c r="M879" i="13"/>
  <c r="P879" i="13" s="1"/>
  <c r="M880" i="13"/>
  <c r="M881" i="13"/>
  <c r="P881" i="13" s="1"/>
  <c r="M882" i="13"/>
  <c r="P882" i="13" s="1"/>
  <c r="M883" i="13"/>
  <c r="P883" i="13" s="1"/>
  <c r="M884" i="13"/>
  <c r="P884" i="13" s="1"/>
  <c r="M885" i="13"/>
  <c r="P885" i="13" s="1"/>
  <c r="M886" i="13"/>
  <c r="M887" i="13"/>
  <c r="M888" i="13"/>
  <c r="M889" i="13"/>
  <c r="M890" i="13"/>
  <c r="P890" i="13" s="1"/>
  <c r="M891" i="13"/>
  <c r="P891" i="13" s="1"/>
  <c r="M892" i="13"/>
  <c r="M893" i="13"/>
  <c r="P893" i="13" s="1"/>
  <c r="M894" i="13"/>
  <c r="P894" i="13" s="1"/>
  <c r="M895" i="13"/>
  <c r="P895" i="13" s="1"/>
  <c r="M896" i="13"/>
  <c r="P896" i="13" s="1"/>
  <c r="M897" i="13"/>
  <c r="P897" i="13" s="1"/>
  <c r="M898" i="13"/>
  <c r="P898" i="13" s="1"/>
  <c r="M899" i="13"/>
  <c r="P899" i="13" s="1"/>
  <c r="M900" i="13"/>
  <c r="P900" i="13" s="1"/>
  <c r="M901" i="13"/>
  <c r="P901" i="13" s="1"/>
  <c r="M902" i="13"/>
  <c r="P902" i="13" s="1"/>
  <c r="M903" i="13"/>
  <c r="P903" i="13" s="1"/>
  <c r="M904" i="13"/>
  <c r="M905" i="13"/>
  <c r="P905" i="13" s="1"/>
  <c r="M906" i="13"/>
  <c r="M907" i="13"/>
  <c r="P907" i="13" s="1"/>
  <c r="M908" i="13"/>
  <c r="P908" i="13" s="1"/>
  <c r="M909" i="13"/>
  <c r="P909" i="13" s="1"/>
  <c r="M910" i="13"/>
  <c r="M911" i="13"/>
  <c r="M912" i="13"/>
  <c r="M913" i="13"/>
  <c r="M914" i="13"/>
  <c r="M915" i="13"/>
  <c r="P915" i="13" s="1"/>
  <c r="M916" i="13"/>
  <c r="M917" i="13"/>
  <c r="M918" i="13"/>
  <c r="P918" i="13" s="1"/>
  <c r="M919" i="13"/>
  <c r="P919" i="13" s="1"/>
  <c r="M920" i="13"/>
  <c r="P920" i="13" s="1"/>
  <c r="M921" i="13"/>
  <c r="P921" i="13" s="1"/>
  <c r="M922" i="13"/>
  <c r="P922" i="13" s="1"/>
  <c r="M923" i="13"/>
  <c r="M924" i="13"/>
  <c r="P924" i="13" s="1"/>
  <c r="M925" i="13"/>
  <c r="P925" i="13" s="1"/>
  <c r="M926" i="13"/>
  <c r="P926" i="13" s="1"/>
  <c r="M927" i="13"/>
  <c r="M928" i="13"/>
  <c r="M929" i="13"/>
  <c r="P929" i="13" s="1"/>
  <c r="M930" i="13"/>
  <c r="P930" i="13" s="1"/>
  <c r="M931" i="13"/>
  <c r="P931" i="13" s="1"/>
  <c r="M932" i="13"/>
  <c r="P932" i="13" s="1"/>
  <c r="M933" i="13"/>
  <c r="P933" i="13" s="1"/>
  <c r="M934" i="13"/>
  <c r="M935" i="13"/>
  <c r="M936" i="13"/>
  <c r="M937" i="13"/>
  <c r="P937" i="13" s="1"/>
  <c r="M938" i="13"/>
  <c r="P938" i="13" s="1"/>
  <c r="M939" i="13"/>
  <c r="P939" i="13" s="1"/>
  <c r="M940" i="13"/>
  <c r="M941" i="13"/>
  <c r="M942" i="13"/>
  <c r="P942" i="13" s="1"/>
  <c r="M943" i="13"/>
  <c r="P943" i="13" s="1"/>
  <c r="M944" i="13"/>
  <c r="P944" i="13" s="1"/>
  <c r="M945" i="13"/>
  <c r="P945" i="13" s="1"/>
  <c r="M946" i="13"/>
  <c r="P946" i="13" s="1"/>
  <c r="M947" i="13"/>
  <c r="M948" i="13"/>
  <c r="P948" i="13" s="1"/>
  <c r="M949" i="13"/>
  <c r="P949" i="13" s="1"/>
  <c r="M950" i="13"/>
  <c r="P950" i="13" s="1"/>
  <c r="M951" i="13"/>
  <c r="P951" i="13" s="1"/>
  <c r="M952" i="13"/>
  <c r="M953" i="13"/>
  <c r="M954" i="13"/>
  <c r="P954" i="13" s="1"/>
  <c r="M955" i="13"/>
  <c r="P955" i="13" s="1"/>
  <c r="M956" i="13"/>
  <c r="P956" i="13" s="1"/>
  <c r="M957" i="13"/>
  <c r="P957" i="13" s="1"/>
  <c r="M958" i="13"/>
  <c r="P958" i="13" s="1"/>
  <c r="M959" i="13"/>
  <c r="P959" i="13" s="1"/>
  <c r="M960" i="13"/>
  <c r="M961" i="13"/>
  <c r="M962" i="13"/>
  <c r="P962" i="13" s="1"/>
  <c r="M963" i="13"/>
  <c r="P963" i="13" s="1"/>
  <c r="M964" i="13"/>
  <c r="M965" i="13"/>
  <c r="P965" i="13" s="1"/>
  <c r="M966" i="13"/>
  <c r="P966" i="13" s="1"/>
  <c r="M967" i="13"/>
  <c r="P967" i="13" s="1"/>
  <c r="M968" i="13"/>
  <c r="P968" i="13" s="1"/>
  <c r="M969" i="13"/>
  <c r="P969" i="13" s="1"/>
  <c r="M970" i="13"/>
  <c r="M971" i="13"/>
  <c r="M972" i="13"/>
  <c r="M973" i="13"/>
  <c r="P973" i="13" s="1"/>
  <c r="M974" i="13"/>
  <c r="P974" i="13" s="1"/>
  <c r="M975" i="13"/>
  <c r="P975" i="13" s="1"/>
  <c r="M976" i="13"/>
  <c r="M977" i="13"/>
  <c r="M978" i="13"/>
  <c r="P978" i="13" s="1"/>
  <c r="M979" i="13"/>
  <c r="P979" i="13" s="1"/>
  <c r="M980" i="13"/>
  <c r="P980" i="13" s="1"/>
  <c r="M981" i="13"/>
  <c r="P981" i="13" s="1"/>
  <c r="M982" i="13"/>
  <c r="P982" i="13" s="1"/>
  <c r="M983" i="13"/>
  <c r="M984" i="13"/>
  <c r="M985" i="13"/>
  <c r="P985" i="13" s="1"/>
  <c r="M986" i="13"/>
  <c r="P986" i="13" s="1"/>
  <c r="M987" i="13"/>
  <c r="P987" i="13" s="1"/>
  <c r="M988" i="13"/>
  <c r="M989" i="13"/>
  <c r="M990" i="13"/>
  <c r="P990" i="13" s="1"/>
  <c r="M991" i="13"/>
  <c r="P991" i="13" s="1"/>
  <c r="M992" i="13"/>
  <c r="P992" i="13" s="1"/>
  <c r="M993" i="13"/>
  <c r="P993" i="13" s="1"/>
  <c r="M994" i="13"/>
  <c r="P994" i="13" s="1"/>
  <c r="M995" i="13"/>
  <c r="P995" i="13" s="1"/>
  <c r="M996" i="13"/>
  <c r="P996" i="13" s="1"/>
  <c r="M997" i="13"/>
  <c r="M998" i="13"/>
  <c r="M999" i="13"/>
  <c r="P999" i="13" s="1"/>
  <c r="M1000" i="13"/>
  <c r="M1001" i="13"/>
  <c r="P1001" i="13" s="1"/>
  <c r="M1002" i="13"/>
  <c r="P1002" i="13" s="1"/>
  <c r="M1003" i="13"/>
  <c r="P1003" i="13" s="1"/>
  <c r="M1004" i="13"/>
  <c r="P1004" i="13" s="1"/>
  <c r="M1005" i="13"/>
  <c r="P1005" i="13" s="1"/>
  <c r="M1006" i="13"/>
  <c r="M9" i="13"/>
  <c r="M6" i="13"/>
  <c r="P6" i="13" s="1"/>
  <c r="M7" i="13"/>
  <c r="M5" i="13"/>
  <c r="P5" i="13" s="1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L401" i="13"/>
  <c r="L402" i="13"/>
  <c r="L403" i="13"/>
  <c r="L404" i="13"/>
  <c r="L405" i="13"/>
  <c r="L406" i="13"/>
  <c r="L407" i="13"/>
  <c r="L408" i="13"/>
  <c r="L409" i="13"/>
  <c r="L410" i="13"/>
  <c r="L411" i="13"/>
  <c r="L412" i="13"/>
  <c r="L413" i="13"/>
  <c r="L414" i="13"/>
  <c r="L415" i="13"/>
  <c r="L416" i="13"/>
  <c r="L417" i="13"/>
  <c r="L418" i="13"/>
  <c r="L419" i="13"/>
  <c r="L420" i="13"/>
  <c r="L421" i="13"/>
  <c r="L422" i="13"/>
  <c r="L423" i="13"/>
  <c r="L424" i="13"/>
  <c r="L425" i="13"/>
  <c r="L426" i="13"/>
  <c r="L427" i="13"/>
  <c r="L428" i="13"/>
  <c r="L429" i="13"/>
  <c r="L430" i="13"/>
  <c r="L431" i="13"/>
  <c r="L432" i="13"/>
  <c r="L433" i="13"/>
  <c r="L434" i="13"/>
  <c r="L435" i="13"/>
  <c r="L436" i="13"/>
  <c r="L437" i="13"/>
  <c r="L438" i="13"/>
  <c r="L439" i="13"/>
  <c r="L440" i="13"/>
  <c r="L441" i="13"/>
  <c r="L442" i="13"/>
  <c r="L443" i="13"/>
  <c r="L444" i="13"/>
  <c r="L445" i="13"/>
  <c r="L446" i="13"/>
  <c r="L447" i="13"/>
  <c r="L448" i="13"/>
  <c r="L449" i="13"/>
  <c r="L450" i="13"/>
  <c r="L451" i="13"/>
  <c r="L452" i="13"/>
  <c r="L453" i="13"/>
  <c r="L454" i="13"/>
  <c r="L455" i="13"/>
  <c r="L456" i="13"/>
  <c r="L457" i="13"/>
  <c r="L458" i="13"/>
  <c r="L459" i="13"/>
  <c r="L460" i="13"/>
  <c r="L461" i="13"/>
  <c r="L462" i="13"/>
  <c r="L463" i="13"/>
  <c r="L464" i="13"/>
  <c r="L465" i="13"/>
  <c r="L466" i="13"/>
  <c r="L467" i="13"/>
  <c r="L468" i="13"/>
  <c r="L469" i="13"/>
  <c r="L470" i="13"/>
  <c r="L471" i="13"/>
  <c r="L472" i="13"/>
  <c r="L473" i="13"/>
  <c r="L474" i="13"/>
  <c r="L475" i="13"/>
  <c r="L476" i="13"/>
  <c r="L477" i="13"/>
  <c r="L478" i="13"/>
  <c r="L479" i="13"/>
  <c r="L480" i="13"/>
  <c r="L481" i="13"/>
  <c r="L482" i="13"/>
  <c r="L483" i="13"/>
  <c r="L484" i="13"/>
  <c r="L485" i="13"/>
  <c r="L486" i="13"/>
  <c r="L487" i="13"/>
  <c r="L488" i="13"/>
  <c r="L489" i="13"/>
  <c r="L490" i="13"/>
  <c r="L491" i="13"/>
  <c r="L492" i="13"/>
  <c r="L493" i="13"/>
  <c r="L494" i="13"/>
  <c r="L495" i="13"/>
  <c r="L496" i="13"/>
  <c r="L497" i="13"/>
  <c r="L498" i="13"/>
  <c r="L499" i="13"/>
  <c r="L500" i="13"/>
  <c r="L501" i="13"/>
  <c r="L502" i="13"/>
  <c r="L503" i="13"/>
  <c r="L504" i="13"/>
  <c r="L505" i="13"/>
  <c r="L506" i="13"/>
  <c r="L507" i="13"/>
  <c r="L508" i="13"/>
  <c r="L509" i="13"/>
  <c r="L510" i="13"/>
  <c r="L511" i="13"/>
  <c r="L512" i="13"/>
  <c r="L513" i="13"/>
  <c r="L514" i="13"/>
  <c r="L515" i="13"/>
  <c r="L516" i="13"/>
  <c r="L517" i="13"/>
  <c r="L518" i="13"/>
  <c r="L519" i="13"/>
  <c r="L520" i="13"/>
  <c r="L521" i="13"/>
  <c r="L522" i="13"/>
  <c r="L523" i="13"/>
  <c r="L524" i="13"/>
  <c r="L525" i="13"/>
  <c r="L526" i="13"/>
  <c r="L527" i="13"/>
  <c r="L528" i="13"/>
  <c r="L529" i="13"/>
  <c r="L530" i="13"/>
  <c r="L531" i="13"/>
  <c r="L532" i="13"/>
  <c r="L533" i="13"/>
  <c r="L534" i="13"/>
  <c r="L535" i="13"/>
  <c r="L536" i="13"/>
  <c r="L537" i="13"/>
  <c r="L538" i="13"/>
  <c r="L539" i="13"/>
  <c r="L540" i="13"/>
  <c r="L541" i="13"/>
  <c r="L542" i="13"/>
  <c r="L543" i="13"/>
  <c r="L544" i="13"/>
  <c r="L545" i="13"/>
  <c r="L546" i="13"/>
  <c r="L547" i="13"/>
  <c r="L548" i="13"/>
  <c r="L549" i="13"/>
  <c r="L550" i="13"/>
  <c r="L551" i="13"/>
  <c r="L552" i="13"/>
  <c r="L553" i="13"/>
  <c r="L554" i="13"/>
  <c r="L555" i="13"/>
  <c r="L556" i="13"/>
  <c r="L557" i="13"/>
  <c r="L558" i="13"/>
  <c r="L559" i="13"/>
  <c r="L560" i="13"/>
  <c r="L561" i="13"/>
  <c r="L562" i="13"/>
  <c r="L563" i="13"/>
  <c r="L564" i="13"/>
  <c r="L565" i="13"/>
  <c r="L566" i="13"/>
  <c r="L567" i="13"/>
  <c r="L568" i="13"/>
  <c r="L569" i="13"/>
  <c r="L570" i="13"/>
  <c r="L571" i="13"/>
  <c r="L572" i="13"/>
  <c r="L573" i="13"/>
  <c r="L574" i="13"/>
  <c r="L575" i="13"/>
  <c r="L576" i="13"/>
  <c r="L577" i="13"/>
  <c r="L578" i="13"/>
  <c r="L579" i="13"/>
  <c r="L580" i="13"/>
  <c r="L581" i="13"/>
  <c r="L582" i="13"/>
  <c r="L583" i="13"/>
  <c r="L584" i="13"/>
  <c r="L585" i="13"/>
  <c r="L586" i="13"/>
  <c r="L587" i="13"/>
  <c r="L588" i="13"/>
  <c r="L589" i="13"/>
  <c r="L590" i="13"/>
  <c r="L591" i="13"/>
  <c r="L592" i="13"/>
  <c r="L593" i="13"/>
  <c r="L594" i="13"/>
  <c r="L595" i="13"/>
  <c r="L596" i="13"/>
  <c r="L597" i="13"/>
  <c r="L598" i="13"/>
  <c r="L599" i="13"/>
  <c r="L600" i="13"/>
  <c r="L601" i="13"/>
  <c r="L602" i="13"/>
  <c r="L603" i="13"/>
  <c r="L604" i="13"/>
  <c r="L605" i="13"/>
  <c r="L606" i="13"/>
  <c r="L607" i="13"/>
  <c r="L608" i="13"/>
  <c r="L609" i="13"/>
  <c r="L610" i="13"/>
  <c r="L611" i="13"/>
  <c r="L612" i="13"/>
  <c r="L613" i="13"/>
  <c r="L614" i="13"/>
  <c r="L615" i="13"/>
  <c r="L616" i="13"/>
  <c r="L617" i="13"/>
  <c r="L618" i="13"/>
  <c r="L619" i="13"/>
  <c r="L620" i="13"/>
  <c r="L621" i="13"/>
  <c r="L622" i="13"/>
  <c r="L623" i="13"/>
  <c r="L624" i="13"/>
  <c r="L625" i="13"/>
  <c r="L626" i="13"/>
  <c r="L627" i="13"/>
  <c r="L628" i="13"/>
  <c r="L629" i="13"/>
  <c r="L630" i="13"/>
  <c r="L631" i="13"/>
  <c r="L632" i="13"/>
  <c r="L633" i="13"/>
  <c r="L634" i="13"/>
  <c r="L635" i="13"/>
  <c r="L636" i="13"/>
  <c r="L637" i="13"/>
  <c r="L638" i="13"/>
  <c r="L639" i="13"/>
  <c r="L640" i="13"/>
  <c r="L641" i="13"/>
  <c r="L642" i="13"/>
  <c r="L643" i="13"/>
  <c r="L644" i="13"/>
  <c r="L645" i="13"/>
  <c r="L646" i="13"/>
  <c r="L647" i="13"/>
  <c r="L648" i="13"/>
  <c r="L649" i="13"/>
  <c r="L650" i="13"/>
  <c r="L651" i="13"/>
  <c r="L652" i="13"/>
  <c r="L653" i="13"/>
  <c r="L654" i="13"/>
  <c r="L655" i="13"/>
  <c r="L656" i="13"/>
  <c r="L657" i="13"/>
  <c r="L658" i="13"/>
  <c r="L659" i="13"/>
  <c r="L660" i="13"/>
  <c r="L661" i="13"/>
  <c r="L662" i="13"/>
  <c r="L663" i="13"/>
  <c r="L664" i="13"/>
  <c r="L665" i="13"/>
  <c r="L666" i="13"/>
  <c r="L667" i="13"/>
  <c r="L668" i="13"/>
  <c r="L669" i="13"/>
  <c r="L670" i="13"/>
  <c r="L671" i="13"/>
  <c r="L672" i="13"/>
  <c r="L673" i="13"/>
  <c r="L674" i="13"/>
  <c r="L675" i="13"/>
  <c r="L676" i="13"/>
  <c r="L677" i="13"/>
  <c r="L678" i="13"/>
  <c r="L679" i="13"/>
  <c r="L680" i="13"/>
  <c r="L681" i="13"/>
  <c r="L682" i="13"/>
  <c r="L683" i="13"/>
  <c r="L684" i="13"/>
  <c r="L685" i="13"/>
  <c r="L686" i="13"/>
  <c r="L687" i="13"/>
  <c r="L688" i="13"/>
  <c r="L689" i="13"/>
  <c r="L690" i="13"/>
  <c r="L691" i="13"/>
  <c r="L692" i="13"/>
  <c r="L693" i="13"/>
  <c r="L694" i="13"/>
  <c r="L695" i="13"/>
  <c r="L696" i="13"/>
  <c r="L697" i="13"/>
  <c r="L698" i="13"/>
  <c r="L699" i="13"/>
  <c r="L700" i="13"/>
  <c r="L701" i="13"/>
  <c r="L702" i="13"/>
  <c r="L703" i="13"/>
  <c r="L704" i="13"/>
  <c r="L705" i="13"/>
  <c r="L706" i="13"/>
  <c r="L707" i="13"/>
  <c r="L708" i="13"/>
  <c r="L709" i="13"/>
  <c r="L710" i="13"/>
  <c r="L711" i="13"/>
  <c r="L712" i="13"/>
  <c r="L713" i="13"/>
  <c r="L714" i="13"/>
  <c r="L715" i="13"/>
  <c r="L716" i="13"/>
  <c r="L717" i="13"/>
  <c r="L718" i="13"/>
  <c r="L719" i="13"/>
  <c r="L720" i="13"/>
  <c r="L721" i="13"/>
  <c r="L722" i="13"/>
  <c r="L723" i="13"/>
  <c r="L724" i="13"/>
  <c r="L725" i="13"/>
  <c r="L726" i="13"/>
  <c r="L727" i="13"/>
  <c r="L728" i="13"/>
  <c r="L729" i="13"/>
  <c r="L730" i="13"/>
  <c r="L731" i="13"/>
  <c r="L732" i="13"/>
  <c r="L733" i="13"/>
  <c r="L734" i="13"/>
  <c r="L735" i="13"/>
  <c r="L736" i="13"/>
  <c r="L737" i="13"/>
  <c r="L738" i="13"/>
  <c r="L739" i="13"/>
  <c r="L740" i="13"/>
  <c r="L741" i="13"/>
  <c r="L742" i="13"/>
  <c r="L743" i="13"/>
  <c r="L744" i="13"/>
  <c r="L745" i="13"/>
  <c r="L746" i="13"/>
  <c r="L747" i="13"/>
  <c r="L748" i="13"/>
  <c r="L749" i="13"/>
  <c r="L750" i="13"/>
  <c r="L751" i="13"/>
  <c r="L752" i="13"/>
  <c r="L753" i="13"/>
  <c r="L754" i="13"/>
  <c r="L755" i="13"/>
  <c r="L756" i="13"/>
  <c r="L757" i="13"/>
  <c r="L758" i="13"/>
  <c r="L759" i="13"/>
  <c r="L760" i="13"/>
  <c r="L761" i="13"/>
  <c r="L762" i="13"/>
  <c r="L763" i="13"/>
  <c r="L764" i="13"/>
  <c r="L765" i="13"/>
  <c r="L766" i="13"/>
  <c r="L767" i="13"/>
  <c r="L768" i="13"/>
  <c r="L769" i="13"/>
  <c r="L770" i="13"/>
  <c r="L771" i="13"/>
  <c r="L772" i="13"/>
  <c r="L773" i="13"/>
  <c r="L774" i="13"/>
  <c r="L775" i="13"/>
  <c r="L776" i="13"/>
  <c r="L777" i="13"/>
  <c r="L778" i="13"/>
  <c r="L779" i="13"/>
  <c r="L780" i="13"/>
  <c r="L781" i="13"/>
  <c r="L782" i="13"/>
  <c r="L783" i="13"/>
  <c r="L784" i="13"/>
  <c r="L785" i="13"/>
  <c r="L786" i="13"/>
  <c r="L787" i="13"/>
  <c r="L788" i="13"/>
  <c r="L789" i="13"/>
  <c r="L790" i="13"/>
  <c r="L791" i="13"/>
  <c r="L792" i="13"/>
  <c r="L793" i="13"/>
  <c r="L794" i="13"/>
  <c r="L795" i="13"/>
  <c r="L796" i="13"/>
  <c r="L797" i="13"/>
  <c r="L798" i="13"/>
  <c r="L799" i="13"/>
  <c r="L800" i="13"/>
  <c r="L801" i="13"/>
  <c r="L802" i="13"/>
  <c r="L803" i="13"/>
  <c r="L804" i="13"/>
  <c r="L805" i="13"/>
  <c r="L806" i="13"/>
  <c r="L807" i="13"/>
  <c r="L808" i="13"/>
  <c r="L809" i="13"/>
  <c r="L810" i="13"/>
  <c r="L811" i="13"/>
  <c r="L812" i="13"/>
  <c r="L813" i="13"/>
  <c r="L814" i="13"/>
  <c r="L815" i="13"/>
  <c r="L816" i="13"/>
  <c r="L817" i="13"/>
  <c r="L818" i="13"/>
  <c r="L819" i="13"/>
  <c r="L820" i="13"/>
  <c r="L821" i="13"/>
  <c r="L822" i="13"/>
  <c r="L823" i="13"/>
  <c r="L824" i="13"/>
  <c r="L825" i="13"/>
  <c r="L826" i="13"/>
  <c r="L827" i="13"/>
  <c r="L828" i="13"/>
  <c r="L829" i="13"/>
  <c r="L830" i="13"/>
  <c r="L831" i="13"/>
  <c r="L832" i="13"/>
  <c r="L833" i="13"/>
  <c r="L834" i="13"/>
  <c r="L835" i="13"/>
  <c r="L836" i="13"/>
  <c r="L837" i="13"/>
  <c r="L838" i="13"/>
  <c r="L839" i="13"/>
  <c r="L840" i="13"/>
  <c r="L841" i="13"/>
  <c r="L842" i="13"/>
  <c r="L843" i="13"/>
  <c r="L844" i="13"/>
  <c r="L845" i="13"/>
  <c r="L846" i="13"/>
  <c r="L847" i="13"/>
  <c r="L848" i="13"/>
  <c r="L849" i="13"/>
  <c r="L850" i="13"/>
  <c r="L851" i="13"/>
  <c r="L852" i="13"/>
  <c r="L853" i="13"/>
  <c r="L854" i="13"/>
  <c r="L855" i="13"/>
  <c r="L856" i="13"/>
  <c r="L857" i="13"/>
  <c r="L858" i="13"/>
  <c r="L859" i="13"/>
  <c r="L860" i="13"/>
  <c r="L861" i="13"/>
  <c r="L862" i="13"/>
  <c r="L863" i="13"/>
  <c r="L864" i="13"/>
  <c r="L865" i="13"/>
  <c r="L866" i="13"/>
  <c r="L867" i="13"/>
  <c r="L868" i="13"/>
  <c r="L869" i="13"/>
  <c r="L870" i="13"/>
  <c r="L871" i="13"/>
  <c r="L872" i="13"/>
  <c r="L873" i="13"/>
  <c r="L874" i="13"/>
  <c r="L875" i="13"/>
  <c r="L876" i="13"/>
  <c r="L877" i="13"/>
  <c r="L878" i="13"/>
  <c r="L879" i="13"/>
  <c r="L880" i="13"/>
  <c r="L881" i="13"/>
  <c r="L882" i="13"/>
  <c r="L883" i="13"/>
  <c r="L884" i="13"/>
  <c r="L885" i="13"/>
  <c r="L886" i="13"/>
  <c r="L887" i="13"/>
  <c r="L888" i="13"/>
  <c r="L889" i="13"/>
  <c r="L890" i="13"/>
  <c r="L891" i="13"/>
  <c r="L892" i="13"/>
  <c r="L893" i="13"/>
  <c r="L894" i="13"/>
  <c r="L895" i="13"/>
  <c r="L896" i="13"/>
  <c r="L897" i="13"/>
  <c r="L898" i="13"/>
  <c r="L899" i="13"/>
  <c r="L900" i="13"/>
  <c r="L901" i="13"/>
  <c r="L902" i="13"/>
  <c r="L903" i="13"/>
  <c r="L904" i="13"/>
  <c r="L905" i="13"/>
  <c r="L906" i="13"/>
  <c r="L907" i="13"/>
  <c r="L908" i="13"/>
  <c r="L909" i="13"/>
  <c r="L910" i="13"/>
  <c r="L911" i="13"/>
  <c r="L912" i="13"/>
  <c r="L913" i="13"/>
  <c r="L914" i="13"/>
  <c r="L915" i="13"/>
  <c r="L916" i="13"/>
  <c r="L917" i="13"/>
  <c r="L918" i="13"/>
  <c r="L919" i="13"/>
  <c r="L920" i="13"/>
  <c r="L921" i="13"/>
  <c r="L922" i="13"/>
  <c r="L923" i="13"/>
  <c r="L924" i="13"/>
  <c r="L925" i="13"/>
  <c r="L926" i="13"/>
  <c r="L927" i="13"/>
  <c r="L928" i="13"/>
  <c r="L929" i="13"/>
  <c r="L930" i="13"/>
  <c r="L931" i="13"/>
  <c r="L932" i="13"/>
  <c r="L933" i="13"/>
  <c r="L934" i="13"/>
  <c r="L935" i="13"/>
  <c r="L936" i="13"/>
  <c r="L937" i="13"/>
  <c r="L938" i="13"/>
  <c r="L939" i="13"/>
  <c r="L940" i="13"/>
  <c r="L941" i="13"/>
  <c r="L942" i="13"/>
  <c r="L943" i="13"/>
  <c r="L944" i="13"/>
  <c r="L945" i="13"/>
  <c r="L946" i="13"/>
  <c r="L947" i="13"/>
  <c r="L948" i="13"/>
  <c r="L949" i="13"/>
  <c r="L950" i="13"/>
  <c r="L951" i="13"/>
  <c r="L952" i="13"/>
  <c r="L953" i="13"/>
  <c r="L954" i="13"/>
  <c r="L955" i="13"/>
  <c r="L956" i="13"/>
  <c r="L957" i="13"/>
  <c r="L958" i="13"/>
  <c r="L959" i="13"/>
  <c r="L960" i="13"/>
  <c r="L961" i="13"/>
  <c r="L962" i="13"/>
  <c r="L963" i="13"/>
  <c r="L964" i="13"/>
  <c r="L965" i="13"/>
  <c r="L966" i="13"/>
  <c r="L967" i="13"/>
  <c r="L968" i="13"/>
  <c r="L969" i="13"/>
  <c r="L970" i="13"/>
  <c r="L971" i="13"/>
  <c r="L972" i="13"/>
  <c r="L973" i="13"/>
  <c r="L974" i="13"/>
  <c r="L975" i="13"/>
  <c r="L976" i="13"/>
  <c r="L977" i="13"/>
  <c r="L978" i="13"/>
  <c r="L979" i="13"/>
  <c r="L980" i="13"/>
  <c r="L981" i="13"/>
  <c r="L982" i="13"/>
  <c r="L983" i="13"/>
  <c r="L984" i="13"/>
  <c r="L985" i="13"/>
  <c r="L986" i="13"/>
  <c r="L987" i="13"/>
  <c r="L988" i="13"/>
  <c r="L989" i="13"/>
  <c r="L990" i="13"/>
  <c r="L991" i="13"/>
  <c r="L992" i="13"/>
  <c r="L993" i="13"/>
  <c r="L994" i="13"/>
  <c r="L995" i="13"/>
  <c r="L996" i="13"/>
  <c r="L997" i="13"/>
  <c r="L998" i="13"/>
  <c r="L999" i="13"/>
  <c r="L1000" i="13"/>
  <c r="L1001" i="13"/>
  <c r="L1002" i="13"/>
  <c r="L1003" i="13"/>
  <c r="L1004" i="13"/>
  <c r="L1005" i="13"/>
  <c r="L1006" i="13"/>
  <c r="L9" i="13"/>
  <c r="L6" i="13"/>
  <c r="L7" i="13"/>
  <c r="L5" i="13"/>
  <c r="A29" i="13"/>
  <c r="A30" i="13"/>
  <c r="A31" i="13"/>
  <c r="A32" i="13"/>
  <c r="A33" i="13"/>
  <c r="A28" i="13"/>
  <c r="B29" i="13"/>
  <c r="B30" i="13"/>
  <c r="B31" i="13"/>
  <c r="B32" i="13"/>
  <c r="B33" i="13"/>
  <c r="B28" i="13"/>
  <c r="C12" i="13"/>
  <c r="C13" i="13"/>
  <c r="C14" i="13"/>
  <c r="C15" i="13"/>
  <c r="C16" i="13"/>
  <c r="C17" i="13"/>
  <c r="C18" i="13"/>
  <c r="C19" i="13"/>
  <c r="C20" i="13"/>
  <c r="C21" i="13"/>
  <c r="C22" i="13"/>
  <c r="C11" i="13"/>
  <c r="B12" i="13"/>
  <c r="B13" i="13"/>
  <c r="B14" i="13"/>
  <c r="B15" i="13"/>
  <c r="B16" i="13"/>
  <c r="B17" i="13"/>
  <c r="B18" i="13"/>
  <c r="B19" i="13"/>
  <c r="B20" i="13"/>
  <c r="B21" i="13"/>
  <c r="B22" i="13"/>
  <c r="B11" i="13"/>
  <c r="G3" i="13"/>
  <c r="D38" i="13" s="1"/>
  <c r="B8" i="13"/>
  <c r="P1006" i="13"/>
  <c r="P1000" i="13"/>
  <c r="P998" i="13"/>
  <c r="P997" i="13"/>
  <c r="P989" i="13"/>
  <c r="P988" i="13"/>
  <c r="P984" i="13"/>
  <c r="P983" i="13"/>
  <c r="P977" i="13"/>
  <c r="P976" i="13"/>
  <c r="P972" i="13"/>
  <c r="P971" i="13"/>
  <c r="P970" i="13"/>
  <c r="P964" i="13"/>
  <c r="P961" i="13"/>
  <c r="P960" i="13"/>
  <c r="P953" i="13"/>
  <c r="P952" i="13"/>
  <c r="P947" i="13"/>
  <c r="P941" i="13"/>
  <c r="P940" i="13"/>
  <c r="P936" i="13"/>
  <c r="P935" i="13"/>
  <c r="P934" i="13"/>
  <c r="P928" i="13"/>
  <c r="P927" i="13"/>
  <c r="P923" i="13"/>
  <c r="P917" i="13"/>
  <c r="P916" i="13"/>
  <c r="P914" i="13"/>
  <c r="P913" i="13"/>
  <c r="P912" i="13"/>
  <c r="P911" i="13"/>
  <c r="P910" i="13"/>
  <c r="P906" i="13"/>
  <c r="P904" i="13"/>
  <c r="P892" i="13"/>
  <c r="P889" i="13"/>
  <c r="P888" i="13"/>
  <c r="P887" i="13"/>
  <c r="P886" i="13"/>
  <c r="P880" i="13"/>
  <c r="P877" i="13"/>
  <c r="P876" i="13"/>
  <c r="P870" i="13"/>
  <c r="P869" i="13"/>
  <c r="P868" i="13"/>
  <c r="P863" i="13"/>
  <c r="P862" i="13"/>
  <c r="P858" i="13"/>
  <c r="P857" i="13"/>
  <c r="P856" i="13"/>
  <c r="P855" i="13"/>
  <c r="P844" i="13"/>
  <c r="P840" i="13"/>
  <c r="P839" i="13"/>
  <c r="P838" i="13"/>
  <c r="P832" i="13"/>
  <c r="P831" i="13"/>
  <c r="P822" i="13"/>
  <c r="P821" i="13"/>
  <c r="P820" i="13"/>
  <c r="P815" i="13"/>
  <c r="P814" i="13"/>
  <c r="P809" i="13"/>
  <c r="P808" i="13"/>
  <c r="P806" i="13"/>
  <c r="P805" i="13"/>
  <c r="P804" i="13"/>
  <c r="P803" i="13"/>
  <c r="P796" i="13"/>
  <c r="P791" i="13"/>
  <c r="P784" i="13"/>
  <c r="P782" i="13"/>
  <c r="P781" i="13"/>
  <c r="P780" i="13"/>
  <c r="P779" i="13"/>
  <c r="P778" i="13"/>
  <c r="P774" i="13"/>
  <c r="P773" i="13"/>
  <c r="P772" i="13"/>
  <c r="P767" i="13"/>
  <c r="P766" i="13"/>
  <c r="P762" i="13"/>
  <c r="P761" i="13"/>
  <c r="P760" i="13"/>
  <c r="P759" i="13"/>
  <c r="P756" i="13"/>
  <c r="P755" i="13"/>
  <c r="P754" i="13"/>
  <c r="P748" i="13"/>
  <c r="P743" i="13"/>
  <c r="P742" i="13"/>
  <c r="P736" i="13"/>
  <c r="P734" i="13"/>
  <c r="P733" i="13"/>
  <c r="P732" i="13"/>
  <c r="P731" i="13"/>
  <c r="P726" i="13"/>
  <c r="P725" i="13"/>
  <c r="P724" i="13"/>
  <c r="P719" i="13"/>
  <c r="P718" i="13"/>
  <c r="P714" i="13"/>
  <c r="P713" i="13"/>
  <c r="P712" i="13"/>
  <c r="P711" i="13"/>
  <c r="P707" i="13"/>
  <c r="P700" i="13"/>
  <c r="P699" i="13"/>
  <c r="P695" i="13"/>
  <c r="P694" i="13"/>
  <c r="P688" i="13"/>
  <c r="P682" i="13"/>
  <c r="P678" i="13"/>
  <c r="P677" i="13"/>
  <c r="P676" i="13"/>
  <c r="P675" i="13"/>
  <c r="P674" i="13"/>
  <c r="P665" i="13"/>
  <c r="P664" i="13"/>
  <c r="P662" i="13"/>
  <c r="P661" i="13"/>
  <c r="P660" i="13"/>
  <c r="P659" i="13"/>
  <c r="P658" i="13"/>
  <c r="P652" i="13"/>
  <c r="P640" i="13"/>
  <c r="P637" i="13"/>
  <c r="P636" i="13"/>
  <c r="P635" i="13"/>
  <c r="P634" i="13"/>
  <c r="P630" i="13"/>
  <c r="P629" i="13"/>
  <c r="P628" i="13"/>
  <c r="P622" i="13"/>
  <c r="P618" i="13"/>
  <c r="P617" i="13"/>
  <c r="P616" i="13"/>
  <c r="P612" i="13"/>
  <c r="P611" i="13"/>
  <c r="P604" i="13"/>
  <c r="P602" i="13"/>
  <c r="P601" i="13"/>
  <c r="P598" i="13"/>
  <c r="P592" i="13"/>
  <c r="P589" i="13"/>
  <c r="P588" i="13"/>
  <c r="P582" i="13"/>
  <c r="P581" i="13"/>
  <c r="P580" i="13"/>
  <c r="P579" i="13"/>
  <c r="P578" i="13"/>
  <c r="P570" i="13"/>
  <c r="P569" i="13"/>
  <c r="P568" i="13"/>
  <c r="P564" i="13"/>
  <c r="P563" i="13"/>
  <c r="P556" i="13"/>
  <c r="P555" i="13"/>
  <c r="P554" i="13"/>
  <c r="P553" i="13"/>
  <c r="P552" i="13"/>
  <c r="P544" i="13"/>
  <c r="P538" i="13"/>
  <c r="P534" i="13"/>
  <c r="P533" i="13"/>
  <c r="P532" i="13"/>
  <c r="P531" i="13"/>
  <c r="P530" i="13"/>
  <c r="P529" i="13"/>
  <c r="P528" i="13"/>
  <c r="P521" i="13"/>
  <c r="P520" i="13"/>
  <c r="P516" i="13"/>
  <c r="P515" i="13"/>
  <c r="P514" i="13"/>
  <c r="P508" i="13"/>
  <c r="P507" i="13"/>
  <c r="P496" i="13"/>
  <c r="P495" i="13"/>
  <c r="P491" i="13"/>
  <c r="P490" i="13"/>
  <c r="P486" i="13"/>
  <c r="P485" i="13"/>
  <c r="P484" i="13"/>
  <c r="P481" i="13"/>
  <c r="P480" i="13"/>
  <c r="P479" i="13"/>
  <c r="P478" i="13"/>
  <c r="P474" i="13"/>
  <c r="P473" i="13"/>
  <c r="P472" i="13"/>
  <c r="P468" i="13"/>
  <c r="P460" i="13"/>
  <c r="P458" i="13"/>
  <c r="P457" i="13"/>
  <c r="P456" i="13"/>
  <c r="P455" i="13"/>
  <c r="P454" i="13"/>
  <c r="P448" i="13"/>
  <c r="P438" i="13"/>
  <c r="P437" i="13"/>
  <c r="P436" i="13"/>
  <c r="P434" i="13"/>
  <c r="P431" i="13"/>
  <c r="P430" i="13"/>
  <c r="P426" i="13"/>
  <c r="P425" i="13"/>
  <c r="P424" i="13"/>
  <c r="P419" i="13"/>
  <c r="P412" i="13"/>
  <c r="P410" i="13"/>
  <c r="P409" i="13"/>
  <c r="P408" i="13"/>
  <c r="P407" i="13"/>
  <c r="P400" i="13"/>
  <c r="P398" i="13"/>
  <c r="P390" i="13"/>
  <c r="P389" i="13"/>
  <c r="P388" i="13"/>
  <c r="P386" i="13"/>
  <c r="P385" i="13"/>
  <c r="P377" i="13"/>
  <c r="P376" i="13"/>
  <c r="P375" i="13"/>
  <c r="P374" i="13"/>
  <c r="P370" i="13"/>
  <c r="P364" i="13"/>
  <c r="P358" i="13"/>
  <c r="P352" i="13"/>
  <c r="P351" i="13"/>
  <c r="P350" i="13"/>
  <c r="P349" i="13"/>
  <c r="P348" i="13"/>
  <c r="P347" i="13"/>
  <c r="P342" i="13"/>
  <c r="P341" i="13"/>
  <c r="P340" i="13"/>
  <c r="P337" i="13"/>
  <c r="P336" i="13"/>
  <c r="P335" i="13"/>
  <c r="P334" i="13"/>
  <c r="P330" i="13"/>
  <c r="P329" i="13"/>
  <c r="P328" i="13"/>
  <c r="P316" i="13"/>
  <c r="P312" i="13"/>
  <c r="P311" i="13"/>
  <c r="P310" i="13"/>
  <c r="P304" i="13"/>
  <c r="P302" i="13"/>
  <c r="P298" i="13"/>
  <c r="P294" i="13"/>
  <c r="P293" i="13"/>
  <c r="P292" i="13"/>
  <c r="P287" i="13"/>
  <c r="P286" i="13"/>
  <c r="P282" i="13"/>
  <c r="P281" i="13"/>
  <c r="P280" i="13"/>
  <c r="P278" i="13"/>
  <c r="P277" i="13"/>
  <c r="P276" i="13"/>
  <c r="P268" i="13"/>
  <c r="P264" i="13"/>
  <c r="P258" i="13"/>
  <c r="P256" i="13"/>
  <c r="P255" i="13"/>
  <c r="P254" i="13"/>
  <c r="P251" i="13"/>
  <c r="P250" i="13"/>
  <c r="P246" i="13"/>
  <c r="P245" i="13"/>
  <c r="P244" i="13"/>
  <c r="P239" i="13"/>
  <c r="P233" i="13"/>
  <c r="P232" i="13"/>
  <c r="P231" i="13"/>
  <c r="P230" i="13"/>
  <c r="P229" i="13"/>
  <c r="P228" i="13"/>
  <c r="P227" i="13"/>
  <c r="P222" i="13"/>
  <c r="P220" i="13"/>
  <c r="P215" i="13"/>
  <c r="P214" i="13"/>
  <c r="P210" i="13"/>
  <c r="P208" i="13"/>
  <c r="P207" i="13"/>
  <c r="P206" i="13"/>
  <c r="P205" i="13"/>
  <c r="P204" i="13"/>
  <c r="P198" i="13"/>
  <c r="P197" i="13"/>
  <c r="P196" i="13"/>
  <c r="P193" i="13"/>
  <c r="P192" i="13"/>
  <c r="P191" i="13"/>
  <c r="P190" i="13"/>
  <c r="P186" i="13"/>
  <c r="P185" i="13"/>
  <c r="P184" i="13"/>
  <c r="P178" i="13"/>
  <c r="P174" i="13"/>
  <c r="P172" i="13"/>
  <c r="P170" i="13"/>
  <c r="P167" i="13"/>
  <c r="P166" i="13"/>
  <c r="P162" i="13"/>
  <c r="P160" i="13"/>
  <c r="P158" i="13"/>
  <c r="P154" i="13"/>
  <c r="P149" i="13"/>
  <c r="P148" i="13"/>
  <c r="P146" i="13"/>
  <c r="P142" i="13"/>
  <c r="P138" i="13"/>
  <c r="P137" i="13"/>
  <c r="P136" i="13"/>
  <c r="P130" i="13"/>
  <c r="P126" i="13"/>
  <c r="P124" i="13"/>
  <c r="P121" i="13"/>
  <c r="P120" i="13"/>
  <c r="P114" i="13"/>
  <c r="P112" i="13"/>
  <c r="P111" i="13"/>
  <c r="P110" i="13"/>
  <c r="P102" i="13"/>
  <c r="P101" i="13"/>
  <c r="P100" i="13"/>
  <c r="P98" i="13"/>
  <c r="P97" i="13"/>
  <c r="P96" i="13"/>
  <c r="P95" i="13"/>
  <c r="P94" i="13"/>
  <c r="P90" i="13"/>
  <c r="P89" i="13"/>
  <c r="P88" i="13"/>
  <c r="P82" i="13"/>
  <c r="P78" i="13"/>
  <c r="P73" i="13"/>
  <c r="P72" i="13"/>
  <c r="P71" i="13"/>
  <c r="P70" i="13"/>
  <c r="P66" i="13"/>
  <c r="P64" i="13"/>
  <c r="P58" i="13"/>
  <c r="P54" i="13"/>
  <c r="P53" i="13"/>
  <c r="P52" i="13"/>
  <c r="P50" i="13"/>
  <c r="P47" i="13"/>
  <c r="P42" i="13"/>
  <c r="D42" i="13"/>
  <c r="P40" i="13"/>
  <c r="P35" i="13"/>
  <c r="P28" i="13"/>
  <c r="D28" i="13"/>
  <c r="P27" i="13"/>
  <c r="B27" i="13"/>
  <c r="A27" i="13"/>
  <c r="P25" i="13"/>
  <c r="P24" i="13"/>
  <c r="P12" i="13"/>
  <c r="P11" i="13"/>
  <c r="C10" i="13"/>
  <c r="B10" i="13"/>
  <c r="P9" i="13"/>
  <c r="P7" i="13"/>
  <c r="M4" i="13"/>
  <c r="L4" i="13"/>
  <c r="G3" i="11"/>
  <c r="M10" i="11"/>
  <c r="M11" i="11"/>
  <c r="M12" i="11"/>
  <c r="M13" i="11"/>
  <c r="M14" i="11"/>
  <c r="M15" i="11"/>
  <c r="M16" i="11"/>
  <c r="P16" i="11" s="1"/>
  <c r="M17" i="11"/>
  <c r="P17" i="11" s="1"/>
  <c r="M18" i="11"/>
  <c r="P18" i="11" s="1"/>
  <c r="M19" i="11"/>
  <c r="P19" i="11" s="1"/>
  <c r="M20" i="11"/>
  <c r="P20" i="11" s="1"/>
  <c r="M21" i="11"/>
  <c r="P21" i="11" s="1"/>
  <c r="M22" i="11"/>
  <c r="M23" i="11"/>
  <c r="M24" i="11"/>
  <c r="M25" i="11"/>
  <c r="M26" i="11"/>
  <c r="M27" i="11"/>
  <c r="M28" i="11"/>
  <c r="P28" i="11" s="1"/>
  <c r="M29" i="11"/>
  <c r="P29" i="11" s="1"/>
  <c r="M30" i="11"/>
  <c r="P30" i="11" s="1"/>
  <c r="M31" i="11"/>
  <c r="P31" i="11" s="1"/>
  <c r="M32" i="11"/>
  <c r="P32" i="11" s="1"/>
  <c r="M33" i="11"/>
  <c r="P33" i="11" s="1"/>
  <c r="M34" i="11"/>
  <c r="M35" i="11"/>
  <c r="M36" i="11"/>
  <c r="M37" i="11"/>
  <c r="M38" i="11"/>
  <c r="M39" i="11"/>
  <c r="M40" i="11"/>
  <c r="P40" i="11" s="1"/>
  <c r="M41" i="11"/>
  <c r="P41" i="11" s="1"/>
  <c r="M42" i="11"/>
  <c r="P42" i="11" s="1"/>
  <c r="M43" i="11"/>
  <c r="M44" i="11"/>
  <c r="P44" i="11" s="1"/>
  <c r="M45" i="11"/>
  <c r="P45" i="11" s="1"/>
  <c r="M46" i="11"/>
  <c r="M47" i="11"/>
  <c r="M48" i="11"/>
  <c r="M49" i="11"/>
  <c r="M50" i="11"/>
  <c r="M51" i="11"/>
  <c r="M52" i="11"/>
  <c r="P52" i="11" s="1"/>
  <c r="M53" i="11"/>
  <c r="P53" i="11" s="1"/>
  <c r="M54" i="11"/>
  <c r="P54" i="11" s="1"/>
  <c r="M55" i="11"/>
  <c r="M56" i="11"/>
  <c r="P56" i="11" s="1"/>
  <c r="M57" i="11"/>
  <c r="P57" i="11" s="1"/>
  <c r="M58" i="11"/>
  <c r="M59" i="11"/>
  <c r="M60" i="11"/>
  <c r="M61" i="11"/>
  <c r="M62" i="11"/>
  <c r="M63" i="11"/>
  <c r="M64" i="11"/>
  <c r="P64" i="11" s="1"/>
  <c r="M65" i="11"/>
  <c r="P65" i="11" s="1"/>
  <c r="M66" i="11"/>
  <c r="P66" i="11" s="1"/>
  <c r="M67" i="11"/>
  <c r="M68" i="11"/>
  <c r="P68" i="11" s="1"/>
  <c r="M69" i="11"/>
  <c r="P69" i="11" s="1"/>
  <c r="M70" i="11"/>
  <c r="M71" i="11"/>
  <c r="M72" i="11"/>
  <c r="M73" i="11"/>
  <c r="M74" i="11"/>
  <c r="M75" i="11"/>
  <c r="M76" i="11"/>
  <c r="P76" i="11" s="1"/>
  <c r="M77" i="11"/>
  <c r="P77" i="11" s="1"/>
  <c r="M78" i="11"/>
  <c r="P78" i="11" s="1"/>
  <c r="M79" i="11"/>
  <c r="M80" i="11"/>
  <c r="P80" i="11" s="1"/>
  <c r="M81" i="11"/>
  <c r="M82" i="11"/>
  <c r="M83" i="11"/>
  <c r="M84" i="11"/>
  <c r="M85" i="11"/>
  <c r="M86" i="11"/>
  <c r="M87" i="11"/>
  <c r="M88" i="11"/>
  <c r="P88" i="11" s="1"/>
  <c r="M89" i="11"/>
  <c r="P89" i="11" s="1"/>
  <c r="M90" i="11"/>
  <c r="P90" i="11" s="1"/>
  <c r="M91" i="11"/>
  <c r="M92" i="11"/>
  <c r="P92" i="11" s="1"/>
  <c r="M93" i="11"/>
  <c r="P93" i="11" s="1"/>
  <c r="M94" i="11"/>
  <c r="M95" i="11"/>
  <c r="M96" i="11"/>
  <c r="M97" i="11"/>
  <c r="M98" i="11"/>
  <c r="M99" i="11"/>
  <c r="M100" i="11"/>
  <c r="P100" i="11" s="1"/>
  <c r="M101" i="11"/>
  <c r="P101" i="11" s="1"/>
  <c r="M102" i="11"/>
  <c r="P102" i="11" s="1"/>
  <c r="M103" i="11"/>
  <c r="M104" i="11"/>
  <c r="P104" i="11" s="1"/>
  <c r="M105" i="11"/>
  <c r="P105" i="11" s="1"/>
  <c r="M106" i="11"/>
  <c r="M107" i="11"/>
  <c r="M108" i="11"/>
  <c r="M109" i="11"/>
  <c r="M110" i="11"/>
  <c r="M111" i="11"/>
  <c r="M112" i="11"/>
  <c r="P112" i="11" s="1"/>
  <c r="M113" i="11"/>
  <c r="P113" i="11" s="1"/>
  <c r="M114" i="11"/>
  <c r="P114" i="11" s="1"/>
  <c r="M115" i="11"/>
  <c r="M116" i="11"/>
  <c r="P116" i="11" s="1"/>
  <c r="M117" i="11"/>
  <c r="P117" i="11" s="1"/>
  <c r="M118" i="11"/>
  <c r="M119" i="11"/>
  <c r="M120" i="11"/>
  <c r="M121" i="11"/>
  <c r="M122" i="11"/>
  <c r="M123" i="11"/>
  <c r="M124" i="11"/>
  <c r="P124" i="11" s="1"/>
  <c r="M125" i="11"/>
  <c r="P125" i="11" s="1"/>
  <c r="M126" i="11"/>
  <c r="P126" i="11" s="1"/>
  <c r="M127" i="11"/>
  <c r="M128" i="11"/>
  <c r="P128" i="11" s="1"/>
  <c r="M129" i="11"/>
  <c r="M130" i="11"/>
  <c r="M131" i="11"/>
  <c r="M132" i="11"/>
  <c r="M133" i="11"/>
  <c r="M134" i="11"/>
  <c r="M135" i="11"/>
  <c r="M136" i="11"/>
  <c r="P136" i="11" s="1"/>
  <c r="M137" i="11"/>
  <c r="P137" i="11" s="1"/>
  <c r="M138" i="11"/>
  <c r="P138" i="11" s="1"/>
  <c r="M139" i="11"/>
  <c r="M140" i="11"/>
  <c r="P140" i="11" s="1"/>
  <c r="M141" i="11"/>
  <c r="P141" i="11" s="1"/>
  <c r="M142" i="11"/>
  <c r="M143" i="11"/>
  <c r="M144" i="11"/>
  <c r="M145" i="11"/>
  <c r="M146" i="11"/>
  <c r="M147" i="11"/>
  <c r="M148" i="11"/>
  <c r="P148" i="11" s="1"/>
  <c r="M149" i="11"/>
  <c r="P149" i="11" s="1"/>
  <c r="M150" i="11"/>
  <c r="P150" i="11" s="1"/>
  <c r="M151" i="11"/>
  <c r="M152" i="11"/>
  <c r="P152" i="11" s="1"/>
  <c r="M153" i="11"/>
  <c r="P153" i="11" s="1"/>
  <c r="M154" i="11"/>
  <c r="M155" i="11"/>
  <c r="M156" i="11"/>
  <c r="M157" i="11"/>
  <c r="M158" i="11"/>
  <c r="M159" i="11"/>
  <c r="M160" i="11"/>
  <c r="P160" i="11" s="1"/>
  <c r="M161" i="11"/>
  <c r="P161" i="11" s="1"/>
  <c r="M162" i="11"/>
  <c r="P162" i="11" s="1"/>
  <c r="M163" i="11"/>
  <c r="M164" i="11"/>
  <c r="P164" i="11" s="1"/>
  <c r="M165" i="11"/>
  <c r="P165" i="11" s="1"/>
  <c r="M166" i="11"/>
  <c r="M167" i="11"/>
  <c r="M168" i="11"/>
  <c r="M169" i="11"/>
  <c r="M170" i="11"/>
  <c r="M171" i="11"/>
  <c r="M172" i="11"/>
  <c r="P172" i="11" s="1"/>
  <c r="M173" i="11"/>
  <c r="P173" i="11" s="1"/>
  <c r="M174" i="11"/>
  <c r="P174" i="11" s="1"/>
  <c r="M175" i="11"/>
  <c r="M176" i="11"/>
  <c r="P176" i="11" s="1"/>
  <c r="M177" i="11"/>
  <c r="M178" i="11"/>
  <c r="M179" i="11"/>
  <c r="M180" i="11"/>
  <c r="M181" i="11"/>
  <c r="M182" i="11"/>
  <c r="M183" i="11"/>
  <c r="M184" i="11"/>
  <c r="P184" i="11" s="1"/>
  <c r="M185" i="11"/>
  <c r="P185" i="11" s="1"/>
  <c r="M186" i="11"/>
  <c r="P186" i="11" s="1"/>
  <c r="M187" i="11"/>
  <c r="M188" i="11"/>
  <c r="P188" i="11" s="1"/>
  <c r="M189" i="11"/>
  <c r="P189" i="11" s="1"/>
  <c r="M190" i="11"/>
  <c r="M191" i="11"/>
  <c r="M192" i="11"/>
  <c r="M193" i="11"/>
  <c r="M194" i="11"/>
  <c r="M195" i="11"/>
  <c r="M196" i="11"/>
  <c r="P196" i="11" s="1"/>
  <c r="M197" i="11"/>
  <c r="P197" i="11" s="1"/>
  <c r="M198" i="11"/>
  <c r="P198" i="11" s="1"/>
  <c r="M199" i="11"/>
  <c r="M200" i="11"/>
  <c r="P200" i="11" s="1"/>
  <c r="M201" i="11"/>
  <c r="P201" i="11" s="1"/>
  <c r="M202" i="11"/>
  <c r="M203" i="11"/>
  <c r="M204" i="11"/>
  <c r="M205" i="11"/>
  <c r="M206" i="11"/>
  <c r="M207" i="11"/>
  <c r="M208" i="11"/>
  <c r="P208" i="11" s="1"/>
  <c r="M209" i="11"/>
  <c r="P209" i="11" s="1"/>
  <c r="M210" i="11"/>
  <c r="P210" i="11" s="1"/>
  <c r="M211" i="11"/>
  <c r="M212" i="11"/>
  <c r="P212" i="11" s="1"/>
  <c r="M213" i="11"/>
  <c r="P213" i="11" s="1"/>
  <c r="M214" i="11"/>
  <c r="M215" i="11"/>
  <c r="M216" i="11"/>
  <c r="M217" i="11"/>
  <c r="M218" i="11"/>
  <c r="M219" i="11"/>
  <c r="M220" i="11"/>
  <c r="P220" i="11" s="1"/>
  <c r="M221" i="11"/>
  <c r="P221" i="11" s="1"/>
  <c r="M222" i="11"/>
  <c r="P222" i="11" s="1"/>
  <c r="M223" i="11"/>
  <c r="M224" i="11"/>
  <c r="P224" i="11" s="1"/>
  <c r="M225" i="11"/>
  <c r="M226" i="11"/>
  <c r="M227" i="11"/>
  <c r="M228" i="11"/>
  <c r="M229" i="11"/>
  <c r="M230" i="11"/>
  <c r="M231" i="11"/>
  <c r="M232" i="11"/>
  <c r="P232" i="11" s="1"/>
  <c r="M233" i="11"/>
  <c r="P233" i="11" s="1"/>
  <c r="M234" i="11"/>
  <c r="P234" i="11" s="1"/>
  <c r="M235" i="11"/>
  <c r="M236" i="11"/>
  <c r="P236" i="11" s="1"/>
  <c r="M237" i="11"/>
  <c r="P237" i="11" s="1"/>
  <c r="M238" i="11"/>
  <c r="M239" i="11"/>
  <c r="M240" i="11"/>
  <c r="M241" i="11"/>
  <c r="M242" i="11"/>
  <c r="M243" i="11"/>
  <c r="M244" i="11"/>
  <c r="P244" i="11" s="1"/>
  <c r="M245" i="11"/>
  <c r="P245" i="11" s="1"/>
  <c r="M246" i="11"/>
  <c r="P246" i="11" s="1"/>
  <c r="M247" i="11"/>
  <c r="M248" i="11"/>
  <c r="P248" i="11" s="1"/>
  <c r="M249" i="11"/>
  <c r="P249" i="11" s="1"/>
  <c r="M250" i="11"/>
  <c r="M251" i="11"/>
  <c r="M252" i="11"/>
  <c r="M253" i="11"/>
  <c r="M254" i="11"/>
  <c r="M255" i="11"/>
  <c r="M256" i="11"/>
  <c r="P256" i="11" s="1"/>
  <c r="M257" i="11"/>
  <c r="P257" i="11" s="1"/>
  <c r="M258" i="11"/>
  <c r="P258" i="11" s="1"/>
  <c r="M259" i="11"/>
  <c r="M260" i="11"/>
  <c r="P260" i="11" s="1"/>
  <c r="M261" i="11"/>
  <c r="P261" i="11" s="1"/>
  <c r="M262" i="11"/>
  <c r="M263" i="11"/>
  <c r="M264" i="11"/>
  <c r="M265" i="11"/>
  <c r="M266" i="11"/>
  <c r="M267" i="11"/>
  <c r="M268" i="11"/>
  <c r="P268" i="11" s="1"/>
  <c r="M269" i="11"/>
  <c r="P269" i="11" s="1"/>
  <c r="M270" i="11"/>
  <c r="P270" i="11" s="1"/>
  <c r="M271" i="11"/>
  <c r="P271" i="11" s="1"/>
  <c r="M272" i="11"/>
  <c r="P272" i="11" s="1"/>
  <c r="M273" i="11"/>
  <c r="M274" i="11"/>
  <c r="M275" i="11"/>
  <c r="M276" i="11"/>
  <c r="M277" i="11"/>
  <c r="M278" i="11"/>
  <c r="M279" i="11"/>
  <c r="M280" i="11"/>
  <c r="P280" i="11" s="1"/>
  <c r="M281" i="11"/>
  <c r="P281" i="11" s="1"/>
  <c r="M282" i="11"/>
  <c r="P282" i="11" s="1"/>
  <c r="M283" i="11"/>
  <c r="M284" i="11"/>
  <c r="P284" i="11" s="1"/>
  <c r="M285" i="11"/>
  <c r="P285" i="11" s="1"/>
  <c r="M286" i="11"/>
  <c r="M287" i="11"/>
  <c r="M288" i="11"/>
  <c r="M289" i="11"/>
  <c r="M290" i="11"/>
  <c r="M291" i="11"/>
  <c r="M292" i="11"/>
  <c r="P292" i="11" s="1"/>
  <c r="M293" i="11"/>
  <c r="P293" i="11" s="1"/>
  <c r="M294" i="11"/>
  <c r="P294" i="11" s="1"/>
  <c r="M295" i="11"/>
  <c r="M296" i="11"/>
  <c r="P296" i="11" s="1"/>
  <c r="M297" i="11"/>
  <c r="P297" i="11" s="1"/>
  <c r="M298" i="11"/>
  <c r="M299" i="11"/>
  <c r="M300" i="11"/>
  <c r="M301" i="11"/>
  <c r="M302" i="11"/>
  <c r="M303" i="11"/>
  <c r="M304" i="11"/>
  <c r="P304" i="11" s="1"/>
  <c r="M305" i="11"/>
  <c r="P305" i="11" s="1"/>
  <c r="M306" i="11"/>
  <c r="P306" i="11" s="1"/>
  <c r="M307" i="11"/>
  <c r="M308" i="11"/>
  <c r="P308" i="11" s="1"/>
  <c r="M309" i="11"/>
  <c r="P309" i="11" s="1"/>
  <c r="M310" i="11"/>
  <c r="M311" i="11"/>
  <c r="M312" i="11"/>
  <c r="M313" i="11"/>
  <c r="M314" i="11"/>
  <c r="M315" i="11"/>
  <c r="M316" i="11"/>
  <c r="P316" i="11" s="1"/>
  <c r="M317" i="11"/>
  <c r="P317" i="11" s="1"/>
  <c r="M318" i="11"/>
  <c r="P318" i="11" s="1"/>
  <c r="M319" i="11"/>
  <c r="M320" i="11"/>
  <c r="P320" i="11" s="1"/>
  <c r="M321" i="11"/>
  <c r="M322" i="11"/>
  <c r="M323" i="11"/>
  <c r="M324" i="11"/>
  <c r="M325" i="11"/>
  <c r="M326" i="11"/>
  <c r="M327" i="11"/>
  <c r="M328" i="11"/>
  <c r="P328" i="11" s="1"/>
  <c r="M329" i="11"/>
  <c r="P329" i="11" s="1"/>
  <c r="M330" i="11"/>
  <c r="P330" i="11" s="1"/>
  <c r="M331" i="11"/>
  <c r="M332" i="11"/>
  <c r="P332" i="11" s="1"/>
  <c r="M333" i="11"/>
  <c r="P333" i="11" s="1"/>
  <c r="M334" i="11"/>
  <c r="M335" i="11"/>
  <c r="M336" i="11"/>
  <c r="M337" i="11"/>
  <c r="M338" i="11"/>
  <c r="M339" i="11"/>
  <c r="M340" i="11"/>
  <c r="P340" i="11" s="1"/>
  <c r="M341" i="11"/>
  <c r="P341" i="11" s="1"/>
  <c r="M342" i="11"/>
  <c r="P342" i="11" s="1"/>
  <c r="M343" i="11"/>
  <c r="M344" i="11"/>
  <c r="P344" i="11" s="1"/>
  <c r="M345" i="11"/>
  <c r="P345" i="11" s="1"/>
  <c r="M346" i="11"/>
  <c r="M347" i="11"/>
  <c r="M348" i="11"/>
  <c r="M349" i="11"/>
  <c r="M350" i="11"/>
  <c r="M351" i="11"/>
  <c r="M352" i="11"/>
  <c r="P352" i="11" s="1"/>
  <c r="M353" i="11"/>
  <c r="P353" i="11" s="1"/>
  <c r="M354" i="11"/>
  <c r="P354" i="11" s="1"/>
  <c r="M355" i="11"/>
  <c r="M356" i="11"/>
  <c r="P356" i="11" s="1"/>
  <c r="M357" i="11"/>
  <c r="P357" i="11" s="1"/>
  <c r="M358" i="11"/>
  <c r="M359" i="11"/>
  <c r="M360" i="11"/>
  <c r="M361" i="11"/>
  <c r="M362" i="11"/>
  <c r="M363" i="11"/>
  <c r="M364" i="11"/>
  <c r="P364" i="11" s="1"/>
  <c r="M365" i="11"/>
  <c r="P365" i="11" s="1"/>
  <c r="M366" i="11"/>
  <c r="P366" i="11" s="1"/>
  <c r="M367" i="11"/>
  <c r="M368" i="11"/>
  <c r="P368" i="11" s="1"/>
  <c r="M369" i="11"/>
  <c r="M370" i="11"/>
  <c r="M371" i="11"/>
  <c r="M372" i="11"/>
  <c r="M373" i="11"/>
  <c r="M374" i="11"/>
  <c r="M375" i="11"/>
  <c r="M376" i="11"/>
  <c r="P376" i="11" s="1"/>
  <c r="M377" i="11"/>
  <c r="P377" i="11" s="1"/>
  <c r="M378" i="11"/>
  <c r="P378" i="11" s="1"/>
  <c r="M379" i="11"/>
  <c r="M380" i="11"/>
  <c r="P380" i="11" s="1"/>
  <c r="M381" i="11"/>
  <c r="P381" i="11" s="1"/>
  <c r="M382" i="11"/>
  <c r="M383" i="11"/>
  <c r="M384" i="11"/>
  <c r="M385" i="11"/>
  <c r="M386" i="11"/>
  <c r="M387" i="11"/>
  <c r="M388" i="11"/>
  <c r="P388" i="11" s="1"/>
  <c r="M389" i="11"/>
  <c r="P389" i="11" s="1"/>
  <c r="M390" i="11"/>
  <c r="P390" i="11" s="1"/>
  <c r="M391" i="11"/>
  <c r="M392" i="11"/>
  <c r="P392" i="11" s="1"/>
  <c r="M393" i="11"/>
  <c r="P393" i="11" s="1"/>
  <c r="M394" i="11"/>
  <c r="M395" i="11"/>
  <c r="M396" i="11"/>
  <c r="M397" i="11"/>
  <c r="M398" i="11"/>
  <c r="M399" i="11"/>
  <c r="M400" i="11"/>
  <c r="P400" i="11" s="1"/>
  <c r="M401" i="11"/>
  <c r="P401" i="11" s="1"/>
  <c r="M402" i="11"/>
  <c r="P402" i="11" s="1"/>
  <c r="M403" i="11"/>
  <c r="M404" i="11"/>
  <c r="P404" i="11" s="1"/>
  <c r="M405" i="11"/>
  <c r="P405" i="11" s="1"/>
  <c r="M406" i="11"/>
  <c r="M407" i="11"/>
  <c r="M408" i="11"/>
  <c r="M409" i="11"/>
  <c r="M410" i="11"/>
  <c r="M411" i="11"/>
  <c r="M412" i="11"/>
  <c r="P412" i="11" s="1"/>
  <c r="M413" i="11"/>
  <c r="P413" i="11" s="1"/>
  <c r="M414" i="11"/>
  <c r="P414" i="11" s="1"/>
  <c r="M415" i="11"/>
  <c r="M416" i="11"/>
  <c r="P416" i="11" s="1"/>
  <c r="M417" i="11"/>
  <c r="M418" i="11"/>
  <c r="M419" i="11"/>
  <c r="M420" i="11"/>
  <c r="M421" i="11"/>
  <c r="M422" i="11"/>
  <c r="M423" i="11"/>
  <c r="M424" i="11"/>
  <c r="P424" i="11" s="1"/>
  <c r="M425" i="11"/>
  <c r="P425" i="11" s="1"/>
  <c r="M426" i="11"/>
  <c r="P426" i="11" s="1"/>
  <c r="M427" i="11"/>
  <c r="M428" i="11"/>
  <c r="P428" i="11" s="1"/>
  <c r="M429" i="11"/>
  <c r="P429" i="11" s="1"/>
  <c r="M430" i="11"/>
  <c r="M431" i="11"/>
  <c r="M432" i="11"/>
  <c r="M433" i="11"/>
  <c r="M434" i="11"/>
  <c r="M435" i="11"/>
  <c r="M436" i="11"/>
  <c r="P436" i="11" s="1"/>
  <c r="M437" i="11"/>
  <c r="P437" i="11" s="1"/>
  <c r="M438" i="11"/>
  <c r="P438" i="11" s="1"/>
  <c r="M439" i="11"/>
  <c r="M440" i="11"/>
  <c r="P440" i="11" s="1"/>
  <c r="M441" i="11"/>
  <c r="P441" i="11" s="1"/>
  <c r="M442" i="11"/>
  <c r="M443" i="11"/>
  <c r="M444" i="11"/>
  <c r="M445" i="11"/>
  <c r="M446" i="11"/>
  <c r="M447" i="11"/>
  <c r="M448" i="11"/>
  <c r="P448" i="11" s="1"/>
  <c r="M449" i="11"/>
  <c r="P449" i="11" s="1"/>
  <c r="M450" i="11"/>
  <c r="P450" i="11" s="1"/>
  <c r="M451" i="11"/>
  <c r="M452" i="11"/>
  <c r="P452" i="11" s="1"/>
  <c r="M453" i="11"/>
  <c r="P453" i="11" s="1"/>
  <c r="M454" i="11"/>
  <c r="M455" i="11"/>
  <c r="M456" i="11"/>
  <c r="M457" i="11"/>
  <c r="M458" i="11"/>
  <c r="M459" i="11"/>
  <c r="M460" i="11"/>
  <c r="P460" i="11" s="1"/>
  <c r="M461" i="11"/>
  <c r="P461" i="11" s="1"/>
  <c r="M462" i="11"/>
  <c r="P462" i="11" s="1"/>
  <c r="M463" i="11"/>
  <c r="M464" i="11"/>
  <c r="P464" i="11" s="1"/>
  <c r="M465" i="11"/>
  <c r="M466" i="11"/>
  <c r="M467" i="11"/>
  <c r="M468" i="11"/>
  <c r="M469" i="11"/>
  <c r="M470" i="11"/>
  <c r="M471" i="11"/>
  <c r="M472" i="11"/>
  <c r="P472" i="11" s="1"/>
  <c r="M473" i="11"/>
  <c r="P473" i="11" s="1"/>
  <c r="M474" i="11"/>
  <c r="P474" i="11" s="1"/>
  <c r="M475" i="11"/>
  <c r="M476" i="11"/>
  <c r="P476" i="11" s="1"/>
  <c r="M477" i="11"/>
  <c r="P477" i="11" s="1"/>
  <c r="M478" i="11"/>
  <c r="M479" i="11"/>
  <c r="M480" i="11"/>
  <c r="M481" i="11"/>
  <c r="M482" i="11"/>
  <c r="M483" i="11"/>
  <c r="M484" i="11"/>
  <c r="P484" i="11" s="1"/>
  <c r="M485" i="11"/>
  <c r="P485" i="11" s="1"/>
  <c r="M486" i="11"/>
  <c r="P486" i="11" s="1"/>
  <c r="M487" i="11"/>
  <c r="M488" i="11"/>
  <c r="P488" i="11" s="1"/>
  <c r="M489" i="11"/>
  <c r="P489" i="11" s="1"/>
  <c r="M490" i="11"/>
  <c r="M491" i="11"/>
  <c r="M492" i="11"/>
  <c r="M493" i="11"/>
  <c r="M494" i="11"/>
  <c r="M495" i="11"/>
  <c r="M496" i="11"/>
  <c r="P496" i="11" s="1"/>
  <c r="M497" i="11"/>
  <c r="P497" i="11" s="1"/>
  <c r="M498" i="11"/>
  <c r="P498" i="11" s="1"/>
  <c r="M499" i="11"/>
  <c r="M500" i="11"/>
  <c r="P500" i="11" s="1"/>
  <c r="M501" i="11"/>
  <c r="P501" i="11" s="1"/>
  <c r="M502" i="11"/>
  <c r="M503" i="11"/>
  <c r="M504" i="11"/>
  <c r="M505" i="11"/>
  <c r="M506" i="11"/>
  <c r="M507" i="11"/>
  <c r="M508" i="11"/>
  <c r="P508" i="11" s="1"/>
  <c r="M509" i="11"/>
  <c r="P509" i="11" s="1"/>
  <c r="M510" i="11"/>
  <c r="P510" i="11" s="1"/>
  <c r="M511" i="11"/>
  <c r="M512" i="11"/>
  <c r="P512" i="11" s="1"/>
  <c r="M513" i="11"/>
  <c r="M514" i="11"/>
  <c r="M515" i="11"/>
  <c r="M516" i="11"/>
  <c r="M517" i="11"/>
  <c r="M518" i="11"/>
  <c r="M519" i="11"/>
  <c r="M520" i="11"/>
  <c r="P520" i="11" s="1"/>
  <c r="M521" i="11"/>
  <c r="P521" i="11" s="1"/>
  <c r="M522" i="11"/>
  <c r="P522" i="11" s="1"/>
  <c r="M523" i="11"/>
  <c r="M524" i="11"/>
  <c r="P524" i="11" s="1"/>
  <c r="M525" i="11"/>
  <c r="P525" i="11" s="1"/>
  <c r="M526" i="11"/>
  <c r="M527" i="11"/>
  <c r="M528" i="11"/>
  <c r="M529" i="11"/>
  <c r="M530" i="11"/>
  <c r="M531" i="11"/>
  <c r="M532" i="11"/>
  <c r="P532" i="11" s="1"/>
  <c r="M533" i="11"/>
  <c r="P533" i="11" s="1"/>
  <c r="M534" i="11"/>
  <c r="P534" i="11" s="1"/>
  <c r="M535" i="11"/>
  <c r="M536" i="11"/>
  <c r="P536" i="11" s="1"/>
  <c r="M537" i="11"/>
  <c r="P537" i="11" s="1"/>
  <c r="M538" i="11"/>
  <c r="M539" i="11"/>
  <c r="M540" i="11"/>
  <c r="M541" i="11"/>
  <c r="M542" i="11"/>
  <c r="M543" i="11"/>
  <c r="M544" i="11"/>
  <c r="P544" i="11" s="1"/>
  <c r="M545" i="11"/>
  <c r="P545" i="11" s="1"/>
  <c r="M546" i="11"/>
  <c r="P546" i="11" s="1"/>
  <c r="M547" i="11"/>
  <c r="M548" i="11"/>
  <c r="P548" i="11" s="1"/>
  <c r="M549" i="11"/>
  <c r="P549" i="11" s="1"/>
  <c r="M550" i="11"/>
  <c r="M551" i="11"/>
  <c r="M552" i="11"/>
  <c r="M553" i="11"/>
  <c r="M554" i="11"/>
  <c r="M555" i="11"/>
  <c r="M556" i="11"/>
  <c r="P556" i="11" s="1"/>
  <c r="M557" i="11"/>
  <c r="P557" i="11" s="1"/>
  <c r="M558" i="11"/>
  <c r="P558" i="11" s="1"/>
  <c r="M559" i="11"/>
  <c r="M560" i="11"/>
  <c r="P560" i="11" s="1"/>
  <c r="M561" i="11"/>
  <c r="M562" i="11"/>
  <c r="M563" i="11"/>
  <c r="M564" i="11"/>
  <c r="M565" i="11"/>
  <c r="M566" i="11"/>
  <c r="M567" i="11"/>
  <c r="M568" i="11"/>
  <c r="P568" i="11" s="1"/>
  <c r="M569" i="11"/>
  <c r="P569" i="11" s="1"/>
  <c r="M570" i="11"/>
  <c r="P570" i="11" s="1"/>
  <c r="M571" i="11"/>
  <c r="M572" i="11"/>
  <c r="P572" i="11" s="1"/>
  <c r="M573" i="11"/>
  <c r="P573" i="11" s="1"/>
  <c r="M574" i="11"/>
  <c r="M575" i="11"/>
  <c r="M576" i="11"/>
  <c r="M577" i="11"/>
  <c r="M578" i="11"/>
  <c r="M579" i="11"/>
  <c r="M580" i="11"/>
  <c r="P580" i="11" s="1"/>
  <c r="M581" i="11"/>
  <c r="P581" i="11" s="1"/>
  <c r="M582" i="11"/>
  <c r="P582" i="11" s="1"/>
  <c r="M583" i="11"/>
  <c r="M584" i="11"/>
  <c r="P584" i="11" s="1"/>
  <c r="M585" i="11"/>
  <c r="P585" i="11" s="1"/>
  <c r="M586" i="11"/>
  <c r="M587" i="11"/>
  <c r="M588" i="11"/>
  <c r="M589" i="11"/>
  <c r="M590" i="11"/>
  <c r="M591" i="11"/>
  <c r="M592" i="11"/>
  <c r="P592" i="11" s="1"/>
  <c r="M593" i="11"/>
  <c r="P593" i="11" s="1"/>
  <c r="M594" i="11"/>
  <c r="P594" i="11" s="1"/>
  <c r="M595" i="11"/>
  <c r="M596" i="11"/>
  <c r="P596" i="11" s="1"/>
  <c r="M597" i="11"/>
  <c r="P597" i="11" s="1"/>
  <c r="M598" i="11"/>
  <c r="M599" i="11"/>
  <c r="M600" i="11"/>
  <c r="M601" i="11"/>
  <c r="M602" i="11"/>
  <c r="M603" i="11"/>
  <c r="M604" i="11"/>
  <c r="P604" i="11" s="1"/>
  <c r="M605" i="11"/>
  <c r="P605" i="11" s="1"/>
  <c r="M606" i="11"/>
  <c r="P606" i="11" s="1"/>
  <c r="M607" i="11"/>
  <c r="M608" i="11"/>
  <c r="P608" i="11" s="1"/>
  <c r="M609" i="11"/>
  <c r="M610" i="11"/>
  <c r="M611" i="11"/>
  <c r="M612" i="11"/>
  <c r="M613" i="11"/>
  <c r="M614" i="11"/>
  <c r="M615" i="11"/>
  <c r="M616" i="11"/>
  <c r="P616" i="11" s="1"/>
  <c r="M617" i="11"/>
  <c r="P617" i="11" s="1"/>
  <c r="M618" i="11"/>
  <c r="P618" i="11" s="1"/>
  <c r="M619" i="11"/>
  <c r="M620" i="11"/>
  <c r="P620" i="11" s="1"/>
  <c r="M621" i="11"/>
  <c r="P621" i="11" s="1"/>
  <c r="M622" i="11"/>
  <c r="M623" i="11"/>
  <c r="M624" i="11"/>
  <c r="M625" i="11"/>
  <c r="M626" i="11"/>
  <c r="M627" i="11"/>
  <c r="M628" i="11"/>
  <c r="P628" i="11" s="1"/>
  <c r="M629" i="11"/>
  <c r="P629" i="11" s="1"/>
  <c r="M630" i="11"/>
  <c r="P630" i="11" s="1"/>
  <c r="M631" i="11"/>
  <c r="M632" i="11"/>
  <c r="P632" i="11" s="1"/>
  <c r="M633" i="11"/>
  <c r="P633" i="11" s="1"/>
  <c r="M634" i="11"/>
  <c r="M635" i="11"/>
  <c r="M636" i="11"/>
  <c r="M637" i="11"/>
  <c r="M638" i="11"/>
  <c r="M639" i="11"/>
  <c r="M640" i="11"/>
  <c r="P640" i="11" s="1"/>
  <c r="M641" i="11"/>
  <c r="P641" i="11" s="1"/>
  <c r="M642" i="11"/>
  <c r="P642" i="11" s="1"/>
  <c r="M643" i="11"/>
  <c r="M644" i="11"/>
  <c r="P644" i="11" s="1"/>
  <c r="M645" i="11"/>
  <c r="P645" i="11" s="1"/>
  <c r="M646" i="11"/>
  <c r="M647" i="11"/>
  <c r="M648" i="11"/>
  <c r="M649" i="11"/>
  <c r="M650" i="11"/>
  <c r="M651" i="11"/>
  <c r="M652" i="11"/>
  <c r="P652" i="11" s="1"/>
  <c r="M653" i="11"/>
  <c r="P653" i="11" s="1"/>
  <c r="M654" i="11"/>
  <c r="P654" i="11" s="1"/>
  <c r="M655" i="11"/>
  <c r="M656" i="11"/>
  <c r="P656" i="11" s="1"/>
  <c r="M657" i="11"/>
  <c r="M658" i="11"/>
  <c r="M659" i="11"/>
  <c r="M660" i="11"/>
  <c r="M661" i="11"/>
  <c r="M662" i="11"/>
  <c r="M663" i="11"/>
  <c r="M664" i="11"/>
  <c r="P664" i="11" s="1"/>
  <c r="M665" i="11"/>
  <c r="P665" i="11" s="1"/>
  <c r="M666" i="11"/>
  <c r="P666" i="11" s="1"/>
  <c r="M667" i="11"/>
  <c r="M668" i="11"/>
  <c r="P668" i="11" s="1"/>
  <c r="M669" i="11"/>
  <c r="P669" i="11" s="1"/>
  <c r="M670" i="11"/>
  <c r="M671" i="11"/>
  <c r="M672" i="11"/>
  <c r="M673" i="11"/>
  <c r="M674" i="11"/>
  <c r="M675" i="11"/>
  <c r="M676" i="11"/>
  <c r="P676" i="11" s="1"/>
  <c r="M677" i="11"/>
  <c r="P677" i="11" s="1"/>
  <c r="M678" i="11"/>
  <c r="P678" i="11" s="1"/>
  <c r="M679" i="11"/>
  <c r="M680" i="11"/>
  <c r="P680" i="11" s="1"/>
  <c r="M681" i="11"/>
  <c r="P681" i="11" s="1"/>
  <c r="M682" i="11"/>
  <c r="M683" i="11"/>
  <c r="M684" i="11"/>
  <c r="M685" i="11"/>
  <c r="M686" i="11"/>
  <c r="M687" i="11"/>
  <c r="M688" i="11"/>
  <c r="P688" i="11" s="1"/>
  <c r="M689" i="11"/>
  <c r="P689" i="11" s="1"/>
  <c r="M690" i="11"/>
  <c r="P690" i="11" s="1"/>
  <c r="M691" i="11"/>
  <c r="M692" i="11"/>
  <c r="P692" i="11" s="1"/>
  <c r="M693" i="11"/>
  <c r="P693" i="11" s="1"/>
  <c r="M694" i="11"/>
  <c r="M695" i="11"/>
  <c r="M696" i="11"/>
  <c r="M697" i="11"/>
  <c r="M698" i="11"/>
  <c r="M699" i="11"/>
  <c r="M700" i="11"/>
  <c r="P700" i="11" s="1"/>
  <c r="M701" i="11"/>
  <c r="P701" i="11" s="1"/>
  <c r="M702" i="11"/>
  <c r="P702" i="11" s="1"/>
  <c r="M703" i="11"/>
  <c r="M704" i="11"/>
  <c r="P704" i="11" s="1"/>
  <c r="M705" i="11"/>
  <c r="M706" i="11"/>
  <c r="M707" i="11"/>
  <c r="M708" i="11"/>
  <c r="M709" i="11"/>
  <c r="M710" i="11"/>
  <c r="M711" i="11"/>
  <c r="M712" i="11"/>
  <c r="P712" i="11" s="1"/>
  <c r="M713" i="11"/>
  <c r="P713" i="11" s="1"/>
  <c r="M714" i="11"/>
  <c r="P714" i="11" s="1"/>
  <c r="M715" i="11"/>
  <c r="M716" i="11"/>
  <c r="P716" i="11" s="1"/>
  <c r="M717" i="11"/>
  <c r="P717" i="11" s="1"/>
  <c r="M718" i="11"/>
  <c r="M719" i="11"/>
  <c r="M720" i="11"/>
  <c r="M721" i="11"/>
  <c r="M722" i="11"/>
  <c r="M723" i="11"/>
  <c r="M724" i="11"/>
  <c r="P724" i="11" s="1"/>
  <c r="M725" i="11"/>
  <c r="P725" i="11" s="1"/>
  <c r="M726" i="11"/>
  <c r="P726" i="11" s="1"/>
  <c r="M727" i="11"/>
  <c r="M728" i="11"/>
  <c r="P728" i="11" s="1"/>
  <c r="M729" i="11"/>
  <c r="P729" i="11" s="1"/>
  <c r="M730" i="11"/>
  <c r="M731" i="11"/>
  <c r="M732" i="11"/>
  <c r="M733" i="11"/>
  <c r="M734" i="11"/>
  <c r="M735" i="11"/>
  <c r="M736" i="11"/>
  <c r="P736" i="11" s="1"/>
  <c r="M737" i="11"/>
  <c r="P737" i="11" s="1"/>
  <c r="M738" i="11"/>
  <c r="P738" i="11" s="1"/>
  <c r="M739" i="11"/>
  <c r="M740" i="11"/>
  <c r="P740" i="11" s="1"/>
  <c r="M741" i="11"/>
  <c r="P741" i="11" s="1"/>
  <c r="M742" i="11"/>
  <c r="M743" i="11"/>
  <c r="M744" i="11"/>
  <c r="M745" i="11"/>
  <c r="M746" i="11"/>
  <c r="M747" i="11"/>
  <c r="M748" i="11"/>
  <c r="P748" i="11" s="1"/>
  <c r="M749" i="11"/>
  <c r="P749" i="11" s="1"/>
  <c r="M750" i="11"/>
  <c r="P750" i="11" s="1"/>
  <c r="M751" i="11"/>
  <c r="M752" i="11"/>
  <c r="P752" i="11" s="1"/>
  <c r="M753" i="11"/>
  <c r="M754" i="11"/>
  <c r="M755" i="11"/>
  <c r="M756" i="11"/>
  <c r="M757" i="11"/>
  <c r="M758" i="11"/>
  <c r="M759" i="11"/>
  <c r="M760" i="11"/>
  <c r="P760" i="11" s="1"/>
  <c r="M761" i="11"/>
  <c r="P761" i="11" s="1"/>
  <c r="M762" i="11"/>
  <c r="P762" i="11" s="1"/>
  <c r="M763" i="11"/>
  <c r="M764" i="11"/>
  <c r="P764" i="11" s="1"/>
  <c r="M765" i="11"/>
  <c r="P765" i="11" s="1"/>
  <c r="M766" i="11"/>
  <c r="M767" i="11"/>
  <c r="M768" i="11"/>
  <c r="M769" i="11"/>
  <c r="M770" i="11"/>
  <c r="M771" i="11"/>
  <c r="M772" i="11"/>
  <c r="P772" i="11" s="1"/>
  <c r="M773" i="11"/>
  <c r="P773" i="11" s="1"/>
  <c r="M774" i="11"/>
  <c r="P774" i="11" s="1"/>
  <c r="M775" i="11"/>
  <c r="M776" i="11"/>
  <c r="P776" i="11" s="1"/>
  <c r="M777" i="11"/>
  <c r="P777" i="11" s="1"/>
  <c r="M778" i="11"/>
  <c r="M779" i="11"/>
  <c r="M780" i="11"/>
  <c r="M781" i="11"/>
  <c r="M782" i="11"/>
  <c r="M783" i="11"/>
  <c r="M784" i="11"/>
  <c r="P784" i="11" s="1"/>
  <c r="M785" i="11"/>
  <c r="P785" i="11" s="1"/>
  <c r="M786" i="11"/>
  <c r="P786" i="11" s="1"/>
  <c r="M787" i="11"/>
  <c r="M788" i="11"/>
  <c r="M789" i="11"/>
  <c r="P789" i="11" s="1"/>
  <c r="M790" i="11"/>
  <c r="M791" i="11"/>
  <c r="M792" i="11"/>
  <c r="M793" i="11"/>
  <c r="M794" i="11"/>
  <c r="M795" i="11"/>
  <c r="M796" i="11"/>
  <c r="P796" i="11" s="1"/>
  <c r="M797" i="11"/>
  <c r="P797" i="11" s="1"/>
  <c r="M798" i="11"/>
  <c r="P798" i="11" s="1"/>
  <c r="M799" i="11"/>
  <c r="M800" i="11"/>
  <c r="P800" i="11" s="1"/>
  <c r="M801" i="11"/>
  <c r="P801" i="11" s="1"/>
  <c r="M802" i="11"/>
  <c r="M803" i="11"/>
  <c r="M804" i="11"/>
  <c r="M805" i="11"/>
  <c r="M806" i="11"/>
  <c r="M807" i="11"/>
  <c r="M808" i="11"/>
  <c r="P808" i="11" s="1"/>
  <c r="M809" i="11"/>
  <c r="P809" i="11" s="1"/>
  <c r="M810" i="11"/>
  <c r="P810" i="11" s="1"/>
  <c r="M811" i="11"/>
  <c r="M812" i="11"/>
  <c r="P812" i="11" s="1"/>
  <c r="M813" i="11"/>
  <c r="P813" i="11" s="1"/>
  <c r="M814" i="11"/>
  <c r="M815" i="11"/>
  <c r="M816" i="11"/>
  <c r="M817" i="11"/>
  <c r="M818" i="11"/>
  <c r="M819" i="11"/>
  <c r="M820" i="11"/>
  <c r="P820" i="11" s="1"/>
  <c r="M821" i="11"/>
  <c r="P821" i="11" s="1"/>
  <c r="M822" i="11"/>
  <c r="P822" i="11" s="1"/>
  <c r="M823" i="11"/>
  <c r="M824" i="11"/>
  <c r="P824" i="11" s="1"/>
  <c r="M825" i="11"/>
  <c r="P825" i="11" s="1"/>
  <c r="M826" i="11"/>
  <c r="M827" i="11"/>
  <c r="M828" i="11"/>
  <c r="M829" i="11"/>
  <c r="M830" i="11"/>
  <c r="M831" i="11"/>
  <c r="M832" i="11"/>
  <c r="P832" i="11" s="1"/>
  <c r="M833" i="11"/>
  <c r="P833" i="11" s="1"/>
  <c r="M834" i="11"/>
  <c r="P834" i="11" s="1"/>
  <c r="M835" i="11"/>
  <c r="M836" i="11"/>
  <c r="P836" i="11" s="1"/>
  <c r="M837" i="11"/>
  <c r="P837" i="11" s="1"/>
  <c r="M838" i="11"/>
  <c r="M839" i="11"/>
  <c r="M840" i="11"/>
  <c r="M841" i="11"/>
  <c r="M842" i="11"/>
  <c r="M843" i="11"/>
  <c r="M844" i="11"/>
  <c r="P844" i="11" s="1"/>
  <c r="M845" i="11"/>
  <c r="P845" i="11" s="1"/>
  <c r="M846" i="11"/>
  <c r="P846" i="11" s="1"/>
  <c r="M847" i="11"/>
  <c r="M848" i="11"/>
  <c r="P848" i="11" s="1"/>
  <c r="M849" i="11"/>
  <c r="P849" i="11" s="1"/>
  <c r="M850" i="11"/>
  <c r="M851" i="11"/>
  <c r="M852" i="11"/>
  <c r="M853" i="11"/>
  <c r="M854" i="11"/>
  <c r="M855" i="11"/>
  <c r="M856" i="11"/>
  <c r="P856" i="11" s="1"/>
  <c r="M857" i="11"/>
  <c r="P857" i="11" s="1"/>
  <c r="M858" i="11"/>
  <c r="P858" i="11" s="1"/>
  <c r="M859" i="11"/>
  <c r="M860" i="11"/>
  <c r="P860" i="11" s="1"/>
  <c r="M861" i="11"/>
  <c r="P861" i="11" s="1"/>
  <c r="M862" i="11"/>
  <c r="M863" i="11"/>
  <c r="M864" i="11"/>
  <c r="M865" i="11"/>
  <c r="M866" i="11"/>
  <c r="M867" i="11"/>
  <c r="M868" i="11"/>
  <c r="P868" i="11" s="1"/>
  <c r="M869" i="11"/>
  <c r="P869" i="11" s="1"/>
  <c r="M870" i="11"/>
  <c r="P870" i="11" s="1"/>
  <c r="M871" i="11"/>
  <c r="M872" i="11"/>
  <c r="P872" i="11" s="1"/>
  <c r="M873" i="11"/>
  <c r="P873" i="11" s="1"/>
  <c r="M874" i="11"/>
  <c r="M875" i="11"/>
  <c r="M876" i="11"/>
  <c r="M877" i="11"/>
  <c r="M878" i="11"/>
  <c r="M879" i="11"/>
  <c r="M880" i="11"/>
  <c r="P880" i="11" s="1"/>
  <c r="M881" i="11"/>
  <c r="P881" i="11" s="1"/>
  <c r="M882" i="11"/>
  <c r="P882" i="11" s="1"/>
  <c r="M883" i="11"/>
  <c r="M884" i="11"/>
  <c r="P884" i="11" s="1"/>
  <c r="M885" i="11"/>
  <c r="P885" i="11" s="1"/>
  <c r="M886" i="11"/>
  <c r="M887" i="11"/>
  <c r="M888" i="11"/>
  <c r="M889" i="11"/>
  <c r="M890" i="11"/>
  <c r="M891" i="11"/>
  <c r="M892" i="11"/>
  <c r="P892" i="11" s="1"/>
  <c r="M893" i="11"/>
  <c r="P893" i="11" s="1"/>
  <c r="M894" i="11"/>
  <c r="P894" i="11" s="1"/>
  <c r="M895" i="11"/>
  <c r="M896" i="11"/>
  <c r="P896" i="11" s="1"/>
  <c r="M897" i="11"/>
  <c r="P897" i="11" s="1"/>
  <c r="M898" i="11"/>
  <c r="M899" i="11"/>
  <c r="M900" i="11"/>
  <c r="M901" i="11"/>
  <c r="M902" i="11"/>
  <c r="M903" i="11"/>
  <c r="M904" i="11"/>
  <c r="P904" i="11" s="1"/>
  <c r="M905" i="11"/>
  <c r="P905" i="11" s="1"/>
  <c r="M906" i="11"/>
  <c r="P906" i="11" s="1"/>
  <c r="M907" i="11"/>
  <c r="M908" i="11"/>
  <c r="P908" i="11" s="1"/>
  <c r="M909" i="11"/>
  <c r="P909" i="11" s="1"/>
  <c r="M910" i="11"/>
  <c r="M911" i="11"/>
  <c r="M912" i="11"/>
  <c r="M913" i="11"/>
  <c r="M914" i="11"/>
  <c r="M915" i="11"/>
  <c r="M916" i="11"/>
  <c r="P916" i="11" s="1"/>
  <c r="M917" i="11"/>
  <c r="P917" i="11" s="1"/>
  <c r="M918" i="11"/>
  <c r="P918" i="11" s="1"/>
  <c r="M919" i="11"/>
  <c r="M920" i="11"/>
  <c r="P920" i="11" s="1"/>
  <c r="M921" i="11"/>
  <c r="P921" i="11" s="1"/>
  <c r="M922" i="11"/>
  <c r="M923" i="11"/>
  <c r="M924" i="11"/>
  <c r="M925" i="11"/>
  <c r="M926" i="11"/>
  <c r="M927" i="11"/>
  <c r="M928" i="11"/>
  <c r="P928" i="11" s="1"/>
  <c r="M929" i="11"/>
  <c r="P929" i="11" s="1"/>
  <c r="M930" i="11"/>
  <c r="P930" i="11" s="1"/>
  <c r="M931" i="11"/>
  <c r="M932" i="11"/>
  <c r="P932" i="11" s="1"/>
  <c r="M933" i="11"/>
  <c r="P933" i="11" s="1"/>
  <c r="M934" i="11"/>
  <c r="M935" i="11"/>
  <c r="M936" i="11"/>
  <c r="M937" i="11"/>
  <c r="M938" i="11"/>
  <c r="M939" i="11"/>
  <c r="M940" i="11"/>
  <c r="P940" i="11" s="1"/>
  <c r="M941" i="11"/>
  <c r="P941" i="11" s="1"/>
  <c r="M942" i="11"/>
  <c r="P942" i="11" s="1"/>
  <c r="M943" i="11"/>
  <c r="M944" i="11"/>
  <c r="P944" i="11" s="1"/>
  <c r="M945" i="11"/>
  <c r="P945" i="11" s="1"/>
  <c r="M946" i="11"/>
  <c r="M947" i="11"/>
  <c r="M948" i="11"/>
  <c r="M949" i="11"/>
  <c r="M950" i="11"/>
  <c r="M951" i="11"/>
  <c r="M952" i="11"/>
  <c r="P952" i="11" s="1"/>
  <c r="M953" i="11"/>
  <c r="P953" i="11" s="1"/>
  <c r="M954" i="11"/>
  <c r="P954" i="11" s="1"/>
  <c r="M955" i="11"/>
  <c r="M956" i="11"/>
  <c r="P956" i="11" s="1"/>
  <c r="M957" i="11"/>
  <c r="P957" i="11" s="1"/>
  <c r="M958" i="11"/>
  <c r="M959" i="11"/>
  <c r="M960" i="11"/>
  <c r="M961" i="11"/>
  <c r="M962" i="11"/>
  <c r="M963" i="11"/>
  <c r="M964" i="11"/>
  <c r="P964" i="11" s="1"/>
  <c r="M965" i="11"/>
  <c r="P965" i="11" s="1"/>
  <c r="M966" i="11"/>
  <c r="P966" i="11" s="1"/>
  <c r="M967" i="11"/>
  <c r="M968" i="11"/>
  <c r="P968" i="11" s="1"/>
  <c r="M969" i="11"/>
  <c r="P969" i="11" s="1"/>
  <c r="M970" i="11"/>
  <c r="M971" i="11"/>
  <c r="M972" i="11"/>
  <c r="M973" i="11"/>
  <c r="M974" i="11"/>
  <c r="M975" i="11"/>
  <c r="M976" i="11"/>
  <c r="P976" i="11" s="1"/>
  <c r="M977" i="11"/>
  <c r="P977" i="11" s="1"/>
  <c r="M978" i="11"/>
  <c r="P978" i="11" s="1"/>
  <c r="M979" i="11"/>
  <c r="M980" i="11"/>
  <c r="P980" i="11" s="1"/>
  <c r="M981" i="11"/>
  <c r="P981" i="11" s="1"/>
  <c r="M982" i="11"/>
  <c r="M983" i="11"/>
  <c r="M984" i="11"/>
  <c r="M985" i="11"/>
  <c r="M986" i="11"/>
  <c r="M987" i="11"/>
  <c r="M988" i="11"/>
  <c r="P988" i="11" s="1"/>
  <c r="M989" i="11"/>
  <c r="P989" i="11" s="1"/>
  <c r="M990" i="11"/>
  <c r="P990" i="11" s="1"/>
  <c r="M991" i="11"/>
  <c r="M992" i="11"/>
  <c r="P992" i="11" s="1"/>
  <c r="M993" i="11"/>
  <c r="P993" i="11" s="1"/>
  <c r="M994" i="11"/>
  <c r="M995" i="11"/>
  <c r="M996" i="11"/>
  <c r="M997" i="11"/>
  <c r="M998" i="11"/>
  <c r="M999" i="11"/>
  <c r="M1000" i="11"/>
  <c r="P1000" i="11" s="1"/>
  <c r="M1001" i="11"/>
  <c r="P1001" i="11" s="1"/>
  <c r="M1002" i="11"/>
  <c r="P1002" i="11" s="1"/>
  <c r="M1003" i="11"/>
  <c r="M1004" i="11"/>
  <c r="P1004" i="11" s="1"/>
  <c r="M1005" i="11"/>
  <c r="P1005" i="11" s="1"/>
  <c r="M1006" i="11"/>
  <c r="M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9" i="11"/>
  <c r="M6" i="11"/>
  <c r="P6" i="11" s="1"/>
  <c r="M7" i="11"/>
  <c r="M5" i="11"/>
  <c r="L6" i="11"/>
  <c r="L7" i="11"/>
  <c r="L5" i="11"/>
  <c r="B29" i="11"/>
  <c r="B30" i="11"/>
  <c r="B31" i="11"/>
  <c r="B32" i="11"/>
  <c r="B33" i="11"/>
  <c r="B28" i="11"/>
  <c r="D28" i="11" s="1"/>
  <c r="C12" i="11"/>
  <c r="C13" i="11"/>
  <c r="C14" i="11"/>
  <c r="C15" i="11"/>
  <c r="C16" i="11"/>
  <c r="C17" i="11"/>
  <c r="C18" i="11"/>
  <c r="C19" i="11"/>
  <c r="C20" i="11"/>
  <c r="C21" i="11"/>
  <c r="C22" i="11"/>
  <c r="C11" i="11"/>
  <c r="B12" i="11"/>
  <c r="B13" i="11"/>
  <c r="B14" i="11"/>
  <c r="B15" i="11"/>
  <c r="B16" i="11"/>
  <c r="B17" i="11"/>
  <c r="B18" i="11"/>
  <c r="B19" i="11"/>
  <c r="B20" i="11"/>
  <c r="B21" i="11"/>
  <c r="B22" i="11"/>
  <c r="B11" i="11"/>
  <c r="D15" i="1"/>
  <c r="P1006" i="11"/>
  <c r="P1003" i="11"/>
  <c r="P999" i="11"/>
  <c r="P998" i="11"/>
  <c r="P997" i="11"/>
  <c r="P996" i="11"/>
  <c r="P995" i="11"/>
  <c r="P994" i="11"/>
  <c r="P991" i="11"/>
  <c r="P987" i="11"/>
  <c r="P986" i="11"/>
  <c r="P985" i="11"/>
  <c r="P984" i="11"/>
  <c r="P983" i="11"/>
  <c r="P982" i="11"/>
  <c r="P979" i="11"/>
  <c r="P975" i="11"/>
  <c r="P974" i="11"/>
  <c r="P973" i="11"/>
  <c r="P972" i="11"/>
  <c r="P971" i="11"/>
  <c r="P970" i="11"/>
  <c r="P967" i="11"/>
  <c r="P963" i="11"/>
  <c r="P962" i="11"/>
  <c r="P961" i="11"/>
  <c r="P960" i="11"/>
  <c r="P959" i="11"/>
  <c r="P958" i="11"/>
  <c r="P955" i="11"/>
  <c r="P951" i="11"/>
  <c r="P950" i="11"/>
  <c r="P949" i="11"/>
  <c r="P948" i="11"/>
  <c r="P947" i="11"/>
  <c r="P946" i="11"/>
  <c r="P943" i="11"/>
  <c r="P939" i="11"/>
  <c r="P938" i="11"/>
  <c r="P937" i="11"/>
  <c r="P936" i="11"/>
  <c r="P935" i="11"/>
  <c r="P934" i="11"/>
  <c r="P931" i="11"/>
  <c r="P927" i="11"/>
  <c r="P926" i="11"/>
  <c r="P925" i="11"/>
  <c r="P924" i="11"/>
  <c r="P923" i="11"/>
  <c r="P922" i="11"/>
  <c r="P919" i="11"/>
  <c r="P915" i="11"/>
  <c r="P914" i="11"/>
  <c r="P913" i="11"/>
  <c r="P912" i="11"/>
  <c r="P911" i="11"/>
  <c r="P910" i="11"/>
  <c r="P907" i="11"/>
  <c r="P903" i="11"/>
  <c r="P902" i="11"/>
  <c r="P901" i="11"/>
  <c r="P900" i="11"/>
  <c r="P899" i="11"/>
  <c r="P898" i="11"/>
  <c r="P895" i="11"/>
  <c r="P891" i="11"/>
  <c r="P890" i="11"/>
  <c r="P889" i="11"/>
  <c r="P888" i="11"/>
  <c r="P887" i="11"/>
  <c r="P886" i="11"/>
  <c r="P883" i="11"/>
  <c r="P879" i="11"/>
  <c r="P878" i="11"/>
  <c r="P877" i="11"/>
  <c r="P876" i="11"/>
  <c r="P875" i="11"/>
  <c r="P874" i="11"/>
  <c r="P871" i="11"/>
  <c r="P867" i="11"/>
  <c r="P866" i="11"/>
  <c r="P865" i="11"/>
  <c r="P864" i="11"/>
  <c r="P863" i="11"/>
  <c r="P862" i="11"/>
  <c r="P859" i="11"/>
  <c r="P855" i="11"/>
  <c r="P854" i="11"/>
  <c r="P853" i="11"/>
  <c r="P852" i="11"/>
  <c r="P851" i="11"/>
  <c r="P850" i="11"/>
  <c r="P847" i="11"/>
  <c r="P843" i="11"/>
  <c r="P842" i="11"/>
  <c r="P841" i="11"/>
  <c r="P840" i="11"/>
  <c r="P839" i="11"/>
  <c r="P838" i="11"/>
  <c r="P835" i="11"/>
  <c r="P831" i="11"/>
  <c r="P830" i="11"/>
  <c r="P829" i="11"/>
  <c r="P828" i="11"/>
  <c r="P827" i="11"/>
  <c r="P826" i="11"/>
  <c r="P823" i="11"/>
  <c r="P819" i="11"/>
  <c r="P818" i="11"/>
  <c r="P817" i="11"/>
  <c r="P816" i="11"/>
  <c r="P815" i="11"/>
  <c r="P814" i="11"/>
  <c r="P811" i="11"/>
  <c r="P807" i="11"/>
  <c r="P806" i="11"/>
  <c r="P805" i="11"/>
  <c r="P804" i="11"/>
  <c r="P803" i="11"/>
  <c r="P802" i="11"/>
  <c r="P799" i="11"/>
  <c r="P795" i="11"/>
  <c r="P794" i="11"/>
  <c r="P793" i="11"/>
  <c r="P792" i="11"/>
  <c r="P791" i="11"/>
  <c r="P790" i="11"/>
  <c r="P788" i="11"/>
  <c r="P787" i="11"/>
  <c r="P783" i="11"/>
  <c r="P782" i="11"/>
  <c r="P781" i="11"/>
  <c r="P780" i="11"/>
  <c r="P779" i="11"/>
  <c r="P778" i="11"/>
  <c r="P775" i="11"/>
  <c r="P771" i="11"/>
  <c r="P770" i="11"/>
  <c r="P769" i="11"/>
  <c r="P768" i="11"/>
  <c r="P767" i="11"/>
  <c r="P766" i="11"/>
  <c r="P763" i="11"/>
  <c r="P759" i="11"/>
  <c r="P758" i="11"/>
  <c r="P757" i="11"/>
  <c r="P756" i="11"/>
  <c r="P755" i="11"/>
  <c r="P754" i="11"/>
  <c r="P753" i="11"/>
  <c r="P751" i="11"/>
  <c r="P747" i="11"/>
  <c r="P746" i="11"/>
  <c r="P745" i="11"/>
  <c r="P744" i="11"/>
  <c r="P743" i="11"/>
  <c r="P742" i="11"/>
  <c r="P739" i="11"/>
  <c r="P735" i="11"/>
  <c r="P734" i="11"/>
  <c r="P733" i="11"/>
  <c r="P732" i="11"/>
  <c r="P731" i="11"/>
  <c r="P730" i="11"/>
  <c r="P727" i="11"/>
  <c r="P723" i="11"/>
  <c r="P722" i="11"/>
  <c r="P721" i="11"/>
  <c r="P720" i="11"/>
  <c r="P719" i="11"/>
  <c r="P718" i="11"/>
  <c r="P715" i="11"/>
  <c r="P711" i="11"/>
  <c r="P710" i="11"/>
  <c r="P709" i="11"/>
  <c r="P708" i="11"/>
  <c r="P707" i="11"/>
  <c r="P706" i="11"/>
  <c r="P705" i="11"/>
  <c r="P703" i="11"/>
  <c r="P699" i="11"/>
  <c r="P698" i="11"/>
  <c r="P697" i="11"/>
  <c r="P696" i="11"/>
  <c r="P695" i="11"/>
  <c r="P694" i="11"/>
  <c r="P691" i="11"/>
  <c r="P687" i="11"/>
  <c r="P686" i="11"/>
  <c r="P685" i="11"/>
  <c r="P684" i="11"/>
  <c r="P683" i="11"/>
  <c r="P682" i="11"/>
  <c r="P679" i="11"/>
  <c r="P675" i="11"/>
  <c r="P674" i="11"/>
  <c r="P673" i="11"/>
  <c r="P672" i="11"/>
  <c r="P671" i="11"/>
  <c r="P670" i="11"/>
  <c r="P667" i="11"/>
  <c r="P663" i="11"/>
  <c r="P662" i="11"/>
  <c r="P661" i="11"/>
  <c r="P660" i="11"/>
  <c r="P659" i="11"/>
  <c r="P658" i="11"/>
  <c r="P657" i="11"/>
  <c r="P655" i="11"/>
  <c r="P651" i="11"/>
  <c r="P650" i="11"/>
  <c r="P649" i="11"/>
  <c r="P648" i="11"/>
  <c r="P647" i="11"/>
  <c r="P646" i="11"/>
  <c r="P643" i="11"/>
  <c r="P639" i="11"/>
  <c r="P638" i="11"/>
  <c r="P637" i="11"/>
  <c r="P636" i="11"/>
  <c r="P635" i="11"/>
  <c r="P634" i="11"/>
  <c r="P631" i="11"/>
  <c r="P627" i="11"/>
  <c r="P626" i="11"/>
  <c r="P625" i="11"/>
  <c r="P624" i="11"/>
  <c r="P623" i="11"/>
  <c r="P622" i="11"/>
  <c r="P619" i="11"/>
  <c r="P615" i="11"/>
  <c r="P614" i="11"/>
  <c r="P613" i="11"/>
  <c r="P612" i="11"/>
  <c r="P611" i="11"/>
  <c r="P610" i="11"/>
  <c r="P609" i="11"/>
  <c r="P607" i="11"/>
  <c r="P603" i="11"/>
  <c r="P602" i="11"/>
  <c r="P601" i="11"/>
  <c r="P600" i="11"/>
  <c r="P599" i="11"/>
  <c r="P598" i="11"/>
  <c r="P595" i="11"/>
  <c r="P591" i="11"/>
  <c r="P590" i="11"/>
  <c r="P589" i="11"/>
  <c r="P588" i="11"/>
  <c r="P587" i="11"/>
  <c r="P586" i="11"/>
  <c r="P583" i="11"/>
  <c r="P579" i="11"/>
  <c r="P578" i="11"/>
  <c r="P577" i="11"/>
  <c r="P576" i="11"/>
  <c r="P575" i="11"/>
  <c r="P574" i="11"/>
  <c r="P571" i="11"/>
  <c r="P567" i="11"/>
  <c r="P566" i="11"/>
  <c r="P565" i="11"/>
  <c r="P564" i="11"/>
  <c r="P563" i="11"/>
  <c r="P562" i="11"/>
  <c r="P561" i="11"/>
  <c r="P559" i="11"/>
  <c r="P555" i="11"/>
  <c r="P554" i="11"/>
  <c r="P553" i="11"/>
  <c r="P552" i="11"/>
  <c r="P551" i="11"/>
  <c r="P550" i="11"/>
  <c r="P547" i="11"/>
  <c r="P543" i="11"/>
  <c r="P542" i="11"/>
  <c r="P541" i="11"/>
  <c r="P540" i="11"/>
  <c r="P539" i="11"/>
  <c r="P538" i="11"/>
  <c r="P535" i="11"/>
  <c r="P531" i="11"/>
  <c r="P530" i="11"/>
  <c r="P529" i="11"/>
  <c r="P528" i="11"/>
  <c r="P527" i="11"/>
  <c r="P526" i="11"/>
  <c r="P523" i="11"/>
  <c r="P519" i="11"/>
  <c r="P518" i="11"/>
  <c r="P517" i="11"/>
  <c r="P516" i="11"/>
  <c r="P515" i="11"/>
  <c r="P514" i="11"/>
  <c r="P513" i="11"/>
  <c r="P511" i="11"/>
  <c r="P507" i="11"/>
  <c r="P506" i="11"/>
  <c r="P505" i="11"/>
  <c r="P504" i="11"/>
  <c r="P503" i="11"/>
  <c r="P502" i="11"/>
  <c r="P499" i="11"/>
  <c r="P495" i="11"/>
  <c r="P494" i="11"/>
  <c r="P493" i="11"/>
  <c r="P492" i="11"/>
  <c r="P491" i="11"/>
  <c r="P490" i="11"/>
  <c r="P487" i="11"/>
  <c r="P483" i="11"/>
  <c r="P482" i="11"/>
  <c r="P481" i="11"/>
  <c r="P480" i="11"/>
  <c r="P479" i="11"/>
  <c r="P478" i="11"/>
  <c r="P475" i="11"/>
  <c r="P471" i="11"/>
  <c r="P470" i="11"/>
  <c r="P469" i="11"/>
  <c r="P468" i="11"/>
  <c r="P467" i="11"/>
  <c r="P466" i="11"/>
  <c r="P465" i="11"/>
  <c r="P463" i="11"/>
  <c r="P459" i="11"/>
  <c r="P458" i="11"/>
  <c r="P457" i="11"/>
  <c r="P456" i="11"/>
  <c r="P455" i="11"/>
  <c r="P454" i="11"/>
  <c r="P451" i="11"/>
  <c r="P447" i="11"/>
  <c r="P446" i="11"/>
  <c r="P445" i="11"/>
  <c r="P444" i="11"/>
  <c r="P443" i="11"/>
  <c r="P442" i="11"/>
  <c r="P439" i="11"/>
  <c r="P435" i="11"/>
  <c r="P434" i="11"/>
  <c r="P433" i="11"/>
  <c r="P432" i="11"/>
  <c r="P431" i="11"/>
  <c r="P430" i="11"/>
  <c r="P427" i="11"/>
  <c r="P423" i="11"/>
  <c r="P422" i="11"/>
  <c r="P421" i="11"/>
  <c r="P420" i="11"/>
  <c r="P419" i="11"/>
  <c r="P418" i="11"/>
  <c r="P417" i="11"/>
  <c r="P415" i="11"/>
  <c r="P411" i="11"/>
  <c r="P410" i="11"/>
  <c r="P409" i="11"/>
  <c r="P408" i="11"/>
  <c r="P407" i="11"/>
  <c r="P406" i="11"/>
  <c r="P403" i="11"/>
  <c r="P399" i="11"/>
  <c r="P398" i="11"/>
  <c r="P397" i="11"/>
  <c r="P396" i="11"/>
  <c r="P395" i="11"/>
  <c r="P394" i="11"/>
  <c r="P391" i="11"/>
  <c r="P387" i="11"/>
  <c r="P386" i="11"/>
  <c r="P385" i="11"/>
  <c r="P384" i="11"/>
  <c r="P383" i="11"/>
  <c r="P382" i="11"/>
  <c r="P379" i="11"/>
  <c r="P375" i="11"/>
  <c r="P374" i="11"/>
  <c r="P373" i="11"/>
  <c r="P372" i="11"/>
  <c r="P371" i="11"/>
  <c r="P370" i="11"/>
  <c r="P369" i="11"/>
  <c r="P367" i="11"/>
  <c r="P363" i="11"/>
  <c r="P362" i="11"/>
  <c r="P361" i="11"/>
  <c r="P360" i="11"/>
  <c r="P359" i="11"/>
  <c r="P358" i="11"/>
  <c r="P355" i="11"/>
  <c r="P351" i="11"/>
  <c r="P350" i="11"/>
  <c r="P349" i="11"/>
  <c r="P348" i="11"/>
  <c r="P347" i="11"/>
  <c r="P346" i="11"/>
  <c r="P343" i="11"/>
  <c r="P339" i="11"/>
  <c r="P338" i="11"/>
  <c r="P337" i="11"/>
  <c r="P336" i="11"/>
  <c r="P335" i="11"/>
  <c r="P334" i="11"/>
  <c r="P331" i="11"/>
  <c r="P327" i="11"/>
  <c r="P326" i="11"/>
  <c r="P325" i="11"/>
  <c r="P324" i="11"/>
  <c r="P323" i="11"/>
  <c r="P322" i="11"/>
  <c r="P321" i="11"/>
  <c r="P319" i="11"/>
  <c r="P315" i="11"/>
  <c r="P314" i="11"/>
  <c r="P313" i="11"/>
  <c r="P312" i="11"/>
  <c r="P311" i="11"/>
  <c r="P310" i="11"/>
  <c r="P307" i="11"/>
  <c r="P303" i="11"/>
  <c r="P302" i="11"/>
  <c r="P301" i="11"/>
  <c r="P300" i="11"/>
  <c r="P299" i="11"/>
  <c r="P298" i="11"/>
  <c r="P295" i="11"/>
  <c r="P291" i="11"/>
  <c r="P290" i="11"/>
  <c r="P289" i="11"/>
  <c r="P288" i="11"/>
  <c r="P287" i="11"/>
  <c r="P286" i="11"/>
  <c r="P283" i="11"/>
  <c r="P279" i="11"/>
  <c r="P278" i="11"/>
  <c r="P277" i="11"/>
  <c r="P276" i="11"/>
  <c r="P275" i="11"/>
  <c r="P274" i="11"/>
  <c r="P273" i="11"/>
  <c r="P267" i="11"/>
  <c r="P266" i="11"/>
  <c r="P265" i="11"/>
  <c r="P264" i="11"/>
  <c r="P263" i="11"/>
  <c r="P262" i="11"/>
  <c r="P259" i="11"/>
  <c r="P255" i="11"/>
  <c r="P254" i="11"/>
  <c r="P253" i="11"/>
  <c r="P252" i="11"/>
  <c r="P251" i="11"/>
  <c r="P250" i="11"/>
  <c r="P247" i="11"/>
  <c r="P243" i="11"/>
  <c r="P242" i="11"/>
  <c r="P241" i="11"/>
  <c r="P240" i="11"/>
  <c r="P239" i="11"/>
  <c r="P238" i="11"/>
  <c r="P235" i="11"/>
  <c r="P231" i="11"/>
  <c r="P230" i="11"/>
  <c r="P229" i="11"/>
  <c r="P228" i="11"/>
  <c r="P227" i="11"/>
  <c r="P226" i="11"/>
  <c r="P225" i="11"/>
  <c r="P223" i="11"/>
  <c r="P219" i="11"/>
  <c r="P218" i="11"/>
  <c r="P217" i="11"/>
  <c r="P216" i="11"/>
  <c r="P215" i="11"/>
  <c r="P214" i="11"/>
  <c r="P211" i="11"/>
  <c r="P207" i="11"/>
  <c r="P206" i="11"/>
  <c r="P205" i="11"/>
  <c r="P204" i="11"/>
  <c r="P203" i="11"/>
  <c r="P202" i="11"/>
  <c r="P199" i="11"/>
  <c r="P195" i="11"/>
  <c r="P194" i="11"/>
  <c r="P193" i="11"/>
  <c r="P192" i="11"/>
  <c r="P191" i="11"/>
  <c r="P190" i="11"/>
  <c r="P187" i="11"/>
  <c r="P183" i="11"/>
  <c r="P182" i="11"/>
  <c r="P181" i="11"/>
  <c r="P180" i="11"/>
  <c r="P179" i="11"/>
  <c r="P178" i="11"/>
  <c r="P177" i="11"/>
  <c r="P175" i="11"/>
  <c r="P171" i="11"/>
  <c r="P170" i="11"/>
  <c r="P169" i="11"/>
  <c r="P168" i="11"/>
  <c r="P167" i="11"/>
  <c r="P166" i="11"/>
  <c r="P163" i="11"/>
  <c r="P159" i="11"/>
  <c r="P158" i="11"/>
  <c r="P157" i="11"/>
  <c r="P156" i="11"/>
  <c r="P155" i="11"/>
  <c r="P154" i="11"/>
  <c r="P151" i="11"/>
  <c r="P147" i="11"/>
  <c r="P146" i="11"/>
  <c r="P145" i="11"/>
  <c r="P144" i="11"/>
  <c r="P143" i="11"/>
  <c r="P142" i="11"/>
  <c r="P139" i="11"/>
  <c r="P135" i="11"/>
  <c r="P134" i="11"/>
  <c r="P133" i="11"/>
  <c r="P132" i="11"/>
  <c r="P131" i="11"/>
  <c r="P130" i="11"/>
  <c r="P129" i="11"/>
  <c r="P127" i="11"/>
  <c r="P123" i="11"/>
  <c r="P122" i="11"/>
  <c r="P121" i="11"/>
  <c r="P120" i="11"/>
  <c r="P119" i="11"/>
  <c r="P118" i="11"/>
  <c r="P115" i="11"/>
  <c r="P111" i="11"/>
  <c r="P110" i="11"/>
  <c r="P109" i="11"/>
  <c r="P108" i="11"/>
  <c r="P107" i="11"/>
  <c r="P106" i="11"/>
  <c r="P103" i="11"/>
  <c r="P99" i="11"/>
  <c r="P98" i="11"/>
  <c r="P97" i="11"/>
  <c r="P96" i="11"/>
  <c r="P95" i="11"/>
  <c r="P94" i="11"/>
  <c r="P91" i="11"/>
  <c r="P87" i="11"/>
  <c r="P86" i="11"/>
  <c r="P85" i="11"/>
  <c r="P84" i="11"/>
  <c r="P83" i="11"/>
  <c r="P82" i="11"/>
  <c r="P81" i="11"/>
  <c r="P79" i="11"/>
  <c r="P75" i="11"/>
  <c r="P74" i="11"/>
  <c r="P73" i="11"/>
  <c r="P72" i="11"/>
  <c r="P71" i="11"/>
  <c r="P70" i="11"/>
  <c r="P67" i="11"/>
  <c r="P63" i="11"/>
  <c r="P62" i="11"/>
  <c r="P61" i="11"/>
  <c r="P60" i="11"/>
  <c r="P59" i="11"/>
  <c r="P58" i="11"/>
  <c r="P55" i="11"/>
  <c r="P51" i="11"/>
  <c r="P50" i="11"/>
  <c r="P49" i="11"/>
  <c r="P48" i="11"/>
  <c r="P47" i="11"/>
  <c r="P46" i="11"/>
  <c r="P43" i="11"/>
  <c r="D42" i="11"/>
  <c r="P39" i="11"/>
  <c r="P38" i="11"/>
  <c r="P37" i="11"/>
  <c r="P36" i="11"/>
  <c r="P35" i="11"/>
  <c r="P34" i="11"/>
  <c r="P27" i="11"/>
  <c r="A27" i="11"/>
  <c r="P26" i="11"/>
  <c r="P25" i="11"/>
  <c r="P24" i="11"/>
  <c r="P23" i="11"/>
  <c r="P22" i="11"/>
  <c r="P15" i="11"/>
  <c r="P14" i="11"/>
  <c r="P13" i="11"/>
  <c r="P12" i="11"/>
  <c r="P11" i="11"/>
  <c r="P10" i="11"/>
  <c r="C10" i="11"/>
  <c r="B10" i="11"/>
  <c r="P9" i="11"/>
  <c r="P7" i="11"/>
  <c r="P5" i="11"/>
  <c r="M4" i="11"/>
  <c r="L4" i="11"/>
  <c r="D38" i="11"/>
  <c r="G34" i="23" l="1"/>
  <c r="D40" i="23" s="1"/>
  <c r="D41" i="23" s="1"/>
  <c r="A42" i="23" s="1"/>
  <c r="I1" i="22" s="1"/>
  <c r="D35" i="21"/>
  <c r="G34" i="21" s="1"/>
  <c r="D40" i="21" s="1"/>
  <c r="D41" i="21" s="1"/>
  <c r="B8" i="19"/>
  <c r="C33" i="19" s="1"/>
  <c r="D33" i="19" s="1"/>
  <c r="D18" i="1"/>
  <c r="C33" i="10"/>
  <c r="E15" i="1" s="1"/>
  <c r="C33" i="14"/>
  <c r="E17" i="1" s="1"/>
  <c r="E19" i="1"/>
  <c r="B8" i="15"/>
  <c r="G20" i="15" s="1" a="1"/>
  <c r="G20" i="15" s="1"/>
  <c r="G21" i="15" s="1"/>
  <c r="D39" i="15" s="1"/>
  <c r="D19" i="1"/>
  <c r="B8" i="17"/>
  <c r="B8" i="11"/>
  <c r="C33" i="11" s="1"/>
  <c r="D33" i="11" s="1"/>
  <c r="C33" i="12"/>
  <c r="D16" i="1"/>
  <c r="G20" i="13" a="1"/>
  <c r="G20" i="13" s="1"/>
  <c r="G21" i="13" s="1"/>
  <c r="D39" i="13" s="1"/>
  <c r="M10" i="6"/>
  <c r="M11" i="6"/>
  <c r="M12" i="6"/>
  <c r="M13" i="6"/>
  <c r="M14" i="6"/>
  <c r="M15" i="6"/>
  <c r="P15" i="6" s="1"/>
  <c r="M16" i="6"/>
  <c r="P16" i="6" s="1"/>
  <c r="M17" i="6"/>
  <c r="P17" i="6" s="1"/>
  <c r="M18" i="6"/>
  <c r="P18" i="6" s="1"/>
  <c r="M19" i="6"/>
  <c r="P19" i="6" s="1"/>
  <c r="M20" i="6"/>
  <c r="M21" i="6"/>
  <c r="M22" i="6"/>
  <c r="M23" i="6"/>
  <c r="M24" i="6"/>
  <c r="M25" i="6"/>
  <c r="M26" i="6"/>
  <c r="M27" i="6"/>
  <c r="M28" i="6"/>
  <c r="M29" i="6"/>
  <c r="P29" i="6" s="1"/>
  <c r="M30" i="6"/>
  <c r="P30" i="6" s="1"/>
  <c r="M31" i="6"/>
  <c r="P31" i="6" s="1"/>
  <c r="M32" i="6"/>
  <c r="M33" i="6"/>
  <c r="M34" i="6"/>
  <c r="M35" i="6"/>
  <c r="M36" i="6"/>
  <c r="M37" i="6"/>
  <c r="M38" i="6"/>
  <c r="M39" i="6"/>
  <c r="M40" i="6"/>
  <c r="M41" i="6"/>
  <c r="M42" i="6"/>
  <c r="P42" i="6" s="1"/>
  <c r="M43" i="6"/>
  <c r="P43" i="6" s="1"/>
  <c r="M44" i="6"/>
  <c r="M45" i="6"/>
  <c r="P45" i="6" s="1"/>
  <c r="M46" i="6"/>
  <c r="M47" i="6"/>
  <c r="M48" i="6"/>
  <c r="M49" i="6"/>
  <c r="M50" i="6"/>
  <c r="M51" i="6"/>
  <c r="M52" i="6"/>
  <c r="P52" i="6" s="1"/>
  <c r="M53" i="6"/>
  <c r="P53" i="6" s="1"/>
  <c r="M54" i="6"/>
  <c r="P54" i="6" s="1"/>
  <c r="M55" i="6"/>
  <c r="P55" i="6" s="1"/>
  <c r="M56" i="6"/>
  <c r="M57" i="6"/>
  <c r="P57" i="6" s="1"/>
  <c r="M58" i="6"/>
  <c r="M59" i="6"/>
  <c r="M60" i="6"/>
  <c r="M61" i="6"/>
  <c r="M62" i="6"/>
  <c r="M63" i="6"/>
  <c r="P63" i="6" s="1"/>
  <c r="M64" i="6"/>
  <c r="P64" i="6" s="1"/>
  <c r="M65" i="6"/>
  <c r="P65" i="6" s="1"/>
  <c r="M66" i="6"/>
  <c r="P66" i="6" s="1"/>
  <c r="M67" i="6"/>
  <c r="P67" i="6" s="1"/>
  <c r="M68" i="6"/>
  <c r="M69" i="6"/>
  <c r="M70" i="6"/>
  <c r="M71" i="6"/>
  <c r="M72" i="6"/>
  <c r="M73" i="6"/>
  <c r="M74" i="6"/>
  <c r="M75" i="6"/>
  <c r="P75" i="6" s="1"/>
  <c r="M76" i="6"/>
  <c r="P76" i="6" s="1"/>
  <c r="M77" i="6"/>
  <c r="P77" i="6" s="1"/>
  <c r="M78" i="6"/>
  <c r="P78" i="6" s="1"/>
  <c r="M79" i="6"/>
  <c r="M80" i="6"/>
  <c r="M81" i="6"/>
  <c r="M82" i="6"/>
  <c r="M83" i="6"/>
  <c r="M84" i="6"/>
  <c r="M85" i="6"/>
  <c r="M86" i="6"/>
  <c r="M87" i="6"/>
  <c r="P87" i="6" s="1"/>
  <c r="M88" i="6"/>
  <c r="M89" i="6"/>
  <c r="P89" i="6" s="1"/>
  <c r="M90" i="6"/>
  <c r="M91" i="6"/>
  <c r="P91" i="6" s="1"/>
  <c r="M92" i="6"/>
  <c r="M93" i="6"/>
  <c r="M94" i="6"/>
  <c r="M95" i="6"/>
  <c r="M96" i="6"/>
  <c r="M97" i="6"/>
  <c r="M98" i="6"/>
  <c r="M99" i="6"/>
  <c r="M100" i="6"/>
  <c r="M101" i="6"/>
  <c r="M102" i="6"/>
  <c r="P102" i="6" s="1"/>
  <c r="M103" i="6"/>
  <c r="P103" i="6" s="1"/>
  <c r="M104" i="6"/>
  <c r="M105" i="6"/>
  <c r="P105" i="6" s="1"/>
  <c r="M106" i="6"/>
  <c r="M107" i="6"/>
  <c r="M108" i="6"/>
  <c r="M109" i="6"/>
  <c r="M110" i="6"/>
  <c r="M111" i="6"/>
  <c r="M112" i="6"/>
  <c r="M113" i="6"/>
  <c r="P113" i="6" s="1"/>
  <c r="M114" i="6"/>
  <c r="P114" i="6" s="1"/>
  <c r="M115" i="6"/>
  <c r="P115" i="6" s="1"/>
  <c r="M116" i="6"/>
  <c r="M117" i="6"/>
  <c r="P117" i="6" s="1"/>
  <c r="M118" i="6"/>
  <c r="M119" i="6"/>
  <c r="M120" i="6"/>
  <c r="M121" i="6"/>
  <c r="M122" i="6"/>
  <c r="M123" i="6"/>
  <c r="M124" i="6"/>
  <c r="P124" i="6" s="1"/>
  <c r="M125" i="6"/>
  <c r="P125" i="6" s="1"/>
  <c r="M126" i="6"/>
  <c r="P126" i="6" s="1"/>
  <c r="M127" i="6"/>
  <c r="P127" i="6" s="1"/>
  <c r="M128" i="6"/>
  <c r="M129" i="6"/>
  <c r="P129" i="6" s="1"/>
  <c r="M130" i="6"/>
  <c r="M131" i="6"/>
  <c r="M132" i="6"/>
  <c r="M133" i="6"/>
  <c r="M134" i="6"/>
  <c r="M135" i="6"/>
  <c r="P135" i="6" s="1"/>
  <c r="M136" i="6"/>
  <c r="P136" i="6" s="1"/>
  <c r="M137" i="6"/>
  <c r="P137" i="6" s="1"/>
  <c r="M138" i="6"/>
  <c r="P138" i="6" s="1"/>
  <c r="M139" i="6"/>
  <c r="P139" i="6" s="1"/>
  <c r="M140" i="6"/>
  <c r="M141" i="6"/>
  <c r="M142" i="6"/>
  <c r="M143" i="6"/>
  <c r="M144" i="6"/>
  <c r="M145" i="6"/>
  <c r="M146" i="6"/>
  <c r="M147" i="6"/>
  <c r="P147" i="6" s="1"/>
  <c r="M148" i="6"/>
  <c r="M149" i="6"/>
  <c r="P149" i="6" s="1"/>
  <c r="M150" i="6"/>
  <c r="M151" i="6"/>
  <c r="P151" i="6" s="1"/>
  <c r="M152" i="6"/>
  <c r="M153" i="6"/>
  <c r="M154" i="6"/>
  <c r="M155" i="6"/>
  <c r="M156" i="6"/>
  <c r="M157" i="6"/>
  <c r="M158" i="6"/>
  <c r="M159" i="6"/>
  <c r="M160" i="6"/>
  <c r="P160" i="6" s="1"/>
  <c r="M161" i="6"/>
  <c r="M162" i="6"/>
  <c r="M163" i="6"/>
  <c r="P163" i="6" s="1"/>
  <c r="M164" i="6"/>
  <c r="M165" i="6"/>
  <c r="M166" i="6"/>
  <c r="M167" i="6"/>
  <c r="M168" i="6"/>
  <c r="M169" i="6"/>
  <c r="M170" i="6"/>
  <c r="M171" i="6"/>
  <c r="M172" i="6"/>
  <c r="M173" i="6"/>
  <c r="M174" i="6"/>
  <c r="P174" i="6" s="1"/>
  <c r="M175" i="6"/>
  <c r="P175" i="6" s="1"/>
  <c r="M176" i="6"/>
  <c r="M177" i="6"/>
  <c r="P177" i="6" s="1"/>
  <c r="M178" i="6"/>
  <c r="M179" i="6"/>
  <c r="M180" i="6"/>
  <c r="M181" i="6"/>
  <c r="M182" i="6"/>
  <c r="M183" i="6"/>
  <c r="M184" i="6"/>
  <c r="M185" i="6"/>
  <c r="P185" i="6" s="1"/>
  <c r="M186" i="6"/>
  <c r="P186" i="6" s="1"/>
  <c r="M187" i="6"/>
  <c r="P187" i="6" s="1"/>
  <c r="M188" i="6"/>
  <c r="M189" i="6"/>
  <c r="P189" i="6" s="1"/>
  <c r="M190" i="6"/>
  <c r="M191" i="6"/>
  <c r="M192" i="6"/>
  <c r="M193" i="6"/>
  <c r="M194" i="6"/>
  <c r="M195" i="6"/>
  <c r="M196" i="6"/>
  <c r="M197" i="6"/>
  <c r="P197" i="6" s="1"/>
  <c r="M198" i="6"/>
  <c r="P198" i="6" s="1"/>
  <c r="M199" i="6"/>
  <c r="P199" i="6" s="1"/>
  <c r="M200" i="6"/>
  <c r="M201" i="6"/>
  <c r="P201" i="6" s="1"/>
  <c r="M202" i="6"/>
  <c r="M203" i="6"/>
  <c r="M204" i="6"/>
  <c r="M205" i="6"/>
  <c r="M206" i="6"/>
  <c r="M207" i="6"/>
  <c r="M208" i="6"/>
  <c r="P208" i="6" s="1"/>
  <c r="M209" i="6"/>
  <c r="P209" i="6" s="1"/>
  <c r="M210" i="6"/>
  <c r="P210" i="6" s="1"/>
  <c r="M211" i="6"/>
  <c r="P211" i="6" s="1"/>
  <c r="M212" i="6"/>
  <c r="M213" i="6"/>
  <c r="M214" i="6"/>
  <c r="M215" i="6"/>
  <c r="M216" i="6"/>
  <c r="M217" i="6"/>
  <c r="M218" i="6"/>
  <c r="M219" i="6"/>
  <c r="P219" i="6" s="1"/>
  <c r="M220" i="6"/>
  <c r="P220" i="6" s="1"/>
  <c r="M221" i="6"/>
  <c r="P221" i="6" s="1"/>
  <c r="M222" i="6"/>
  <c r="P222" i="6" s="1"/>
  <c r="M223" i="6"/>
  <c r="P223" i="6" s="1"/>
  <c r="M224" i="6"/>
  <c r="M225" i="6"/>
  <c r="M226" i="6"/>
  <c r="M227" i="6"/>
  <c r="M228" i="6"/>
  <c r="M229" i="6"/>
  <c r="M230" i="6"/>
  <c r="M231" i="6"/>
  <c r="P231" i="6" s="1"/>
  <c r="M232" i="6"/>
  <c r="P232" i="6" s="1"/>
  <c r="M233" i="6"/>
  <c r="P233" i="6" s="1"/>
  <c r="M234" i="6"/>
  <c r="P234" i="6" s="1"/>
  <c r="M235" i="6"/>
  <c r="M236" i="6"/>
  <c r="M237" i="6"/>
  <c r="M238" i="6"/>
  <c r="M239" i="6"/>
  <c r="M240" i="6"/>
  <c r="M241" i="6"/>
  <c r="M242" i="6"/>
  <c r="M243" i="6"/>
  <c r="P243" i="6" s="1"/>
  <c r="M244" i="6"/>
  <c r="P244" i="6" s="1"/>
  <c r="M245" i="6"/>
  <c r="P245" i="6" s="1"/>
  <c r="M246" i="6"/>
  <c r="M247" i="6"/>
  <c r="P247" i="6" s="1"/>
  <c r="M248" i="6"/>
  <c r="M249" i="6"/>
  <c r="M250" i="6"/>
  <c r="M251" i="6"/>
  <c r="M252" i="6"/>
  <c r="M253" i="6"/>
  <c r="M254" i="6"/>
  <c r="M255" i="6"/>
  <c r="M256" i="6"/>
  <c r="P256" i="6" s="1"/>
  <c r="M257" i="6"/>
  <c r="M258" i="6"/>
  <c r="M259" i="6"/>
  <c r="P259" i="6" s="1"/>
  <c r="M260" i="6"/>
  <c r="M261" i="6"/>
  <c r="P261" i="6" s="1"/>
  <c r="M262" i="6"/>
  <c r="M263" i="6"/>
  <c r="M264" i="6"/>
  <c r="M265" i="6"/>
  <c r="M266" i="6"/>
  <c r="M267" i="6"/>
  <c r="P267" i="6" s="1"/>
  <c r="M268" i="6"/>
  <c r="M269" i="6"/>
  <c r="M270" i="6"/>
  <c r="P270" i="6" s="1"/>
  <c r="M271" i="6"/>
  <c r="P271" i="6" s="1"/>
  <c r="M272" i="6"/>
  <c r="M273" i="6"/>
  <c r="P273" i="6" s="1"/>
  <c r="M274" i="6"/>
  <c r="M275" i="6"/>
  <c r="M276" i="6"/>
  <c r="M277" i="6"/>
  <c r="M278" i="6"/>
  <c r="M279" i="6"/>
  <c r="P279" i="6" s="1"/>
  <c r="M280" i="6"/>
  <c r="M281" i="6"/>
  <c r="M282" i="6"/>
  <c r="P282" i="6" s="1"/>
  <c r="M283" i="6"/>
  <c r="P283" i="6" s="1"/>
  <c r="M284" i="6"/>
  <c r="M285" i="6"/>
  <c r="P285" i="6" s="1"/>
  <c r="M286" i="6"/>
  <c r="M287" i="6"/>
  <c r="M288" i="6"/>
  <c r="M289" i="6"/>
  <c r="M290" i="6"/>
  <c r="M291" i="6"/>
  <c r="P291" i="6" s="1"/>
  <c r="M292" i="6"/>
  <c r="M293" i="6"/>
  <c r="M294" i="6"/>
  <c r="P294" i="6" s="1"/>
  <c r="M295" i="6"/>
  <c r="P295" i="6" s="1"/>
  <c r="M296" i="6"/>
  <c r="M297" i="6"/>
  <c r="P297" i="6" s="1"/>
  <c r="M298" i="6"/>
  <c r="M299" i="6"/>
  <c r="M300" i="6"/>
  <c r="M301" i="6"/>
  <c r="M302" i="6"/>
  <c r="M303" i="6"/>
  <c r="M304" i="6"/>
  <c r="M305" i="6"/>
  <c r="M306" i="6"/>
  <c r="P306" i="6" s="1"/>
  <c r="M307" i="6"/>
  <c r="P307" i="6" s="1"/>
  <c r="M308" i="6"/>
  <c r="M309" i="6"/>
  <c r="P309" i="6" s="1"/>
  <c r="M310" i="6"/>
  <c r="M311" i="6"/>
  <c r="M312" i="6"/>
  <c r="M313" i="6"/>
  <c r="M314" i="6"/>
  <c r="M315" i="6"/>
  <c r="M316" i="6"/>
  <c r="M317" i="6"/>
  <c r="P317" i="6" s="1"/>
  <c r="M318" i="6"/>
  <c r="P318" i="6" s="1"/>
  <c r="M319" i="6"/>
  <c r="P319" i="6" s="1"/>
  <c r="M320" i="6"/>
  <c r="M321" i="6"/>
  <c r="P321" i="6" s="1"/>
  <c r="M322" i="6"/>
  <c r="M323" i="6"/>
  <c r="M324" i="6"/>
  <c r="M325" i="6"/>
  <c r="M326" i="6"/>
  <c r="M327" i="6"/>
  <c r="M328" i="6"/>
  <c r="P328" i="6" s="1"/>
  <c r="M329" i="6"/>
  <c r="P329" i="6" s="1"/>
  <c r="M330" i="6"/>
  <c r="P330" i="6" s="1"/>
  <c r="M331" i="6"/>
  <c r="P331" i="6" s="1"/>
  <c r="M332" i="6"/>
  <c r="M333" i="6"/>
  <c r="P333" i="6" s="1"/>
  <c r="M334" i="6"/>
  <c r="M335" i="6"/>
  <c r="M336" i="6"/>
  <c r="M337" i="6"/>
  <c r="M338" i="6"/>
  <c r="M339" i="6"/>
  <c r="P339" i="6" s="1"/>
  <c r="M340" i="6"/>
  <c r="P340" i="6" s="1"/>
  <c r="M341" i="6"/>
  <c r="P341" i="6" s="1"/>
  <c r="M342" i="6"/>
  <c r="P342" i="6" s="1"/>
  <c r="M343" i="6"/>
  <c r="P343" i="6" s="1"/>
  <c r="M344" i="6"/>
  <c r="M345" i="6"/>
  <c r="M346" i="6"/>
  <c r="M347" i="6"/>
  <c r="M348" i="6"/>
  <c r="M349" i="6"/>
  <c r="M350" i="6"/>
  <c r="M351" i="6"/>
  <c r="P351" i="6" s="1"/>
  <c r="M352" i="6"/>
  <c r="P352" i="6" s="1"/>
  <c r="M353" i="6"/>
  <c r="P353" i="6" s="1"/>
  <c r="M354" i="6"/>
  <c r="P354" i="6" s="1"/>
  <c r="M355" i="6"/>
  <c r="P355" i="6" s="1"/>
  <c r="M356" i="6"/>
  <c r="M357" i="6"/>
  <c r="M358" i="6"/>
  <c r="M359" i="6"/>
  <c r="M360" i="6"/>
  <c r="M361" i="6"/>
  <c r="M362" i="6"/>
  <c r="M363" i="6"/>
  <c r="P363" i="6" s="1"/>
  <c r="M364" i="6"/>
  <c r="P364" i="6" s="1"/>
  <c r="M365" i="6"/>
  <c r="P365" i="6" s="1"/>
  <c r="M366" i="6"/>
  <c r="P366" i="6" s="1"/>
  <c r="M367" i="6"/>
  <c r="P367" i="6" s="1"/>
  <c r="M368" i="6"/>
  <c r="M369" i="6"/>
  <c r="M370" i="6"/>
  <c r="M371" i="6"/>
  <c r="M372" i="6"/>
  <c r="M373" i="6"/>
  <c r="M374" i="6"/>
  <c r="M375" i="6"/>
  <c r="P375" i="6" s="1"/>
  <c r="M376" i="6"/>
  <c r="P376" i="6" s="1"/>
  <c r="M377" i="6"/>
  <c r="P377" i="6" s="1"/>
  <c r="M378" i="6"/>
  <c r="M379" i="6"/>
  <c r="P379" i="6" s="1"/>
  <c r="M380" i="6"/>
  <c r="M381" i="6"/>
  <c r="M382" i="6"/>
  <c r="M383" i="6"/>
  <c r="M384" i="6"/>
  <c r="M385" i="6"/>
  <c r="M386" i="6"/>
  <c r="M387" i="6"/>
  <c r="M388" i="6"/>
  <c r="P388" i="6" s="1"/>
  <c r="M389" i="6"/>
  <c r="M390" i="6"/>
  <c r="M391" i="6"/>
  <c r="P391" i="6" s="1"/>
  <c r="M392" i="6"/>
  <c r="M393" i="6"/>
  <c r="M394" i="6"/>
  <c r="M395" i="6"/>
  <c r="M396" i="6"/>
  <c r="M397" i="6"/>
  <c r="M398" i="6"/>
  <c r="M399" i="6"/>
  <c r="M400" i="6"/>
  <c r="P400" i="6" s="1"/>
  <c r="M401" i="6"/>
  <c r="M402" i="6"/>
  <c r="M403" i="6"/>
  <c r="P403" i="6" s="1"/>
  <c r="M404" i="6"/>
  <c r="M405" i="6"/>
  <c r="P405" i="6" s="1"/>
  <c r="M406" i="6"/>
  <c r="M407" i="6"/>
  <c r="M408" i="6"/>
  <c r="M409" i="6"/>
  <c r="M410" i="6"/>
  <c r="M411" i="6"/>
  <c r="M412" i="6"/>
  <c r="M413" i="6"/>
  <c r="M414" i="6"/>
  <c r="P414" i="6" s="1"/>
  <c r="M415" i="6"/>
  <c r="P415" i="6" s="1"/>
  <c r="M416" i="6"/>
  <c r="M417" i="6"/>
  <c r="P417" i="6" s="1"/>
  <c r="M418" i="6"/>
  <c r="M419" i="6"/>
  <c r="M420" i="6"/>
  <c r="M421" i="6"/>
  <c r="M422" i="6"/>
  <c r="M423" i="6"/>
  <c r="M424" i="6"/>
  <c r="M425" i="6"/>
  <c r="P425" i="6" s="1"/>
  <c r="M426" i="6"/>
  <c r="P426" i="6" s="1"/>
  <c r="M427" i="6"/>
  <c r="P427" i="6" s="1"/>
  <c r="M428" i="6"/>
  <c r="M429" i="6"/>
  <c r="P429" i="6" s="1"/>
  <c r="M430" i="6"/>
  <c r="M431" i="6"/>
  <c r="M432" i="6"/>
  <c r="M433" i="6"/>
  <c r="M434" i="6"/>
  <c r="M435" i="6"/>
  <c r="M436" i="6"/>
  <c r="M437" i="6"/>
  <c r="P437" i="6" s="1"/>
  <c r="M438" i="6"/>
  <c r="P438" i="6" s="1"/>
  <c r="M439" i="6"/>
  <c r="P439" i="6" s="1"/>
  <c r="M440" i="6"/>
  <c r="M441" i="6"/>
  <c r="P441" i="6" s="1"/>
  <c r="M442" i="6"/>
  <c r="M443" i="6"/>
  <c r="M444" i="6"/>
  <c r="M445" i="6"/>
  <c r="M446" i="6"/>
  <c r="M447" i="6"/>
  <c r="M448" i="6"/>
  <c r="P448" i="6" s="1"/>
  <c r="M449" i="6"/>
  <c r="P449" i="6" s="1"/>
  <c r="M450" i="6"/>
  <c r="P450" i="6" s="1"/>
  <c r="M451" i="6"/>
  <c r="P451" i="6" s="1"/>
  <c r="M452" i="6"/>
  <c r="M453" i="6"/>
  <c r="P453" i="6" s="1"/>
  <c r="M454" i="6"/>
  <c r="M455" i="6"/>
  <c r="M456" i="6"/>
  <c r="M457" i="6"/>
  <c r="M458" i="6"/>
  <c r="M459" i="6"/>
  <c r="M460" i="6"/>
  <c r="P460" i="6" s="1"/>
  <c r="M461" i="6"/>
  <c r="P461" i="6" s="1"/>
  <c r="M462" i="6"/>
  <c r="P462" i="6" s="1"/>
  <c r="M463" i="6"/>
  <c r="P463" i="6" s="1"/>
  <c r="M464" i="6"/>
  <c r="M465" i="6"/>
  <c r="M466" i="6"/>
  <c r="M467" i="6"/>
  <c r="M468" i="6"/>
  <c r="M469" i="6"/>
  <c r="M470" i="6"/>
  <c r="M471" i="6"/>
  <c r="M472" i="6"/>
  <c r="P472" i="6" s="1"/>
  <c r="M473" i="6"/>
  <c r="P473" i="6" s="1"/>
  <c r="M474" i="6"/>
  <c r="P474" i="6" s="1"/>
  <c r="M475" i="6"/>
  <c r="P475" i="6" s="1"/>
  <c r="M476" i="6"/>
  <c r="M477" i="6"/>
  <c r="M478" i="6"/>
  <c r="M479" i="6"/>
  <c r="M480" i="6"/>
  <c r="M481" i="6"/>
  <c r="M482" i="6"/>
  <c r="M483" i="6"/>
  <c r="P483" i="6" s="1"/>
  <c r="M484" i="6"/>
  <c r="P484" i="6" s="1"/>
  <c r="M485" i="6"/>
  <c r="P485" i="6" s="1"/>
  <c r="M486" i="6"/>
  <c r="P486" i="6" s="1"/>
  <c r="M487" i="6"/>
  <c r="P487" i="6" s="1"/>
  <c r="M488" i="6"/>
  <c r="M489" i="6"/>
  <c r="P489" i="6" s="1"/>
  <c r="M490" i="6"/>
  <c r="M491" i="6"/>
  <c r="M492" i="6"/>
  <c r="M493" i="6"/>
  <c r="M494" i="6"/>
  <c r="M495" i="6"/>
  <c r="P495" i="6" s="1"/>
  <c r="M496" i="6"/>
  <c r="P496" i="6" s="1"/>
  <c r="M497" i="6"/>
  <c r="P497" i="6" s="1"/>
  <c r="M498" i="6"/>
  <c r="P498" i="6" s="1"/>
  <c r="M499" i="6"/>
  <c r="P499" i="6" s="1"/>
  <c r="M500" i="6"/>
  <c r="M501" i="6"/>
  <c r="M502" i="6"/>
  <c r="M503" i="6"/>
  <c r="M504" i="6"/>
  <c r="M505" i="6"/>
  <c r="M506" i="6"/>
  <c r="M507" i="6"/>
  <c r="P507" i="6" s="1"/>
  <c r="M508" i="6"/>
  <c r="P508" i="6" s="1"/>
  <c r="M509" i="6"/>
  <c r="P509" i="6" s="1"/>
  <c r="M510" i="6"/>
  <c r="M511" i="6"/>
  <c r="P511" i="6" s="1"/>
  <c r="M512" i="6"/>
  <c r="M513" i="6"/>
  <c r="M514" i="6"/>
  <c r="M515" i="6"/>
  <c r="M516" i="6"/>
  <c r="M517" i="6"/>
  <c r="M518" i="6"/>
  <c r="M519" i="6"/>
  <c r="M520" i="6"/>
  <c r="P520" i="6" s="1"/>
  <c r="M521" i="6"/>
  <c r="M522" i="6"/>
  <c r="M523" i="6"/>
  <c r="P523" i="6" s="1"/>
  <c r="M524" i="6"/>
  <c r="M525" i="6"/>
  <c r="P525" i="6" s="1"/>
  <c r="M526" i="6"/>
  <c r="M527" i="6"/>
  <c r="M528" i="6"/>
  <c r="M529" i="6"/>
  <c r="M530" i="6"/>
  <c r="M531" i="6"/>
  <c r="P531" i="6" s="1"/>
  <c r="M532" i="6"/>
  <c r="M533" i="6"/>
  <c r="M534" i="6"/>
  <c r="P534" i="6" s="1"/>
  <c r="M535" i="6"/>
  <c r="P535" i="6" s="1"/>
  <c r="M536" i="6"/>
  <c r="M537" i="6"/>
  <c r="P537" i="6" s="1"/>
  <c r="M538" i="6"/>
  <c r="M539" i="6"/>
  <c r="M540" i="6"/>
  <c r="M541" i="6"/>
  <c r="M542" i="6"/>
  <c r="M543" i="6"/>
  <c r="M544" i="6"/>
  <c r="M545" i="6"/>
  <c r="P545" i="6" s="1"/>
  <c r="M546" i="6"/>
  <c r="P546" i="6" s="1"/>
  <c r="M547" i="6"/>
  <c r="P547" i="6" s="1"/>
  <c r="M548" i="6"/>
  <c r="M549" i="6"/>
  <c r="P549" i="6" s="1"/>
  <c r="M550" i="6"/>
  <c r="M551" i="6"/>
  <c r="M552" i="6"/>
  <c r="M553" i="6"/>
  <c r="M554" i="6"/>
  <c r="M555" i="6"/>
  <c r="M556" i="6"/>
  <c r="P556" i="6" s="1"/>
  <c r="M557" i="6"/>
  <c r="P557" i="6" s="1"/>
  <c r="M558" i="6"/>
  <c r="P558" i="6" s="1"/>
  <c r="M559" i="6"/>
  <c r="P559" i="6" s="1"/>
  <c r="M560" i="6"/>
  <c r="M561" i="6"/>
  <c r="P561" i="6" s="1"/>
  <c r="M562" i="6"/>
  <c r="M563" i="6"/>
  <c r="M564" i="6"/>
  <c r="M565" i="6"/>
  <c r="M566" i="6"/>
  <c r="M567" i="6"/>
  <c r="P567" i="6" s="1"/>
  <c r="M568" i="6"/>
  <c r="P568" i="6" s="1"/>
  <c r="M569" i="6"/>
  <c r="P569" i="6" s="1"/>
  <c r="M570" i="6"/>
  <c r="P570" i="6" s="1"/>
  <c r="M571" i="6"/>
  <c r="P571" i="6" s="1"/>
  <c r="M572" i="6"/>
  <c r="M573" i="6"/>
  <c r="P573" i="6" s="1"/>
  <c r="M574" i="6"/>
  <c r="M575" i="6"/>
  <c r="M576" i="6"/>
  <c r="M577" i="6"/>
  <c r="M578" i="6"/>
  <c r="M579" i="6"/>
  <c r="P579" i="6" s="1"/>
  <c r="M580" i="6"/>
  <c r="P580" i="6" s="1"/>
  <c r="M581" i="6"/>
  <c r="P581" i="6" s="1"/>
  <c r="M582" i="6"/>
  <c r="P582" i="6" s="1"/>
  <c r="M583" i="6"/>
  <c r="P583" i="6" s="1"/>
  <c r="M584" i="6"/>
  <c r="M585" i="6"/>
  <c r="M586" i="6"/>
  <c r="M587" i="6"/>
  <c r="M588" i="6"/>
  <c r="M589" i="6"/>
  <c r="M590" i="6"/>
  <c r="M591" i="6"/>
  <c r="P591" i="6" s="1"/>
  <c r="M592" i="6"/>
  <c r="P592" i="6" s="1"/>
  <c r="M593" i="6"/>
  <c r="P593" i="6" s="1"/>
  <c r="M594" i="6"/>
  <c r="P594" i="6" s="1"/>
  <c r="M595" i="6"/>
  <c r="M596" i="6"/>
  <c r="M597" i="6"/>
  <c r="M598" i="6"/>
  <c r="M599" i="6"/>
  <c r="M600" i="6"/>
  <c r="M601" i="6"/>
  <c r="M602" i="6"/>
  <c r="M603" i="6"/>
  <c r="P603" i="6" s="1"/>
  <c r="M604" i="6"/>
  <c r="P604" i="6" s="1"/>
  <c r="M605" i="6"/>
  <c r="P605" i="6" s="1"/>
  <c r="M606" i="6"/>
  <c r="M607" i="6"/>
  <c r="P607" i="6" s="1"/>
  <c r="M608" i="6"/>
  <c r="M609" i="6"/>
  <c r="M610" i="6"/>
  <c r="M611" i="6"/>
  <c r="M612" i="6"/>
  <c r="M613" i="6"/>
  <c r="M614" i="6"/>
  <c r="M615" i="6"/>
  <c r="M616" i="6"/>
  <c r="P616" i="6" s="1"/>
  <c r="M617" i="6"/>
  <c r="M618" i="6"/>
  <c r="M619" i="6"/>
  <c r="P619" i="6" s="1"/>
  <c r="M620" i="6"/>
  <c r="M621" i="6"/>
  <c r="M622" i="6"/>
  <c r="M623" i="6"/>
  <c r="M624" i="6"/>
  <c r="M625" i="6"/>
  <c r="M626" i="6"/>
  <c r="M627" i="6"/>
  <c r="P627" i="6" s="1"/>
  <c r="M628" i="6"/>
  <c r="M629" i="6"/>
  <c r="M630" i="6"/>
  <c r="P630" i="6" s="1"/>
  <c r="M631" i="6"/>
  <c r="P631" i="6" s="1"/>
  <c r="M632" i="6"/>
  <c r="M633" i="6"/>
  <c r="P633" i="6" s="1"/>
  <c r="M634" i="6"/>
  <c r="M635" i="6"/>
  <c r="M636" i="6"/>
  <c r="M637" i="6"/>
  <c r="M638" i="6"/>
  <c r="M639" i="6"/>
  <c r="M640" i="6"/>
  <c r="M641" i="6"/>
  <c r="M642" i="6"/>
  <c r="P642" i="6" s="1"/>
  <c r="M643" i="6"/>
  <c r="P643" i="6" s="1"/>
  <c r="M644" i="6"/>
  <c r="M645" i="6"/>
  <c r="P645" i="6" s="1"/>
  <c r="M646" i="6"/>
  <c r="M647" i="6"/>
  <c r="M648" i="6"/>
  <c r="M649" i="6"/>
  <c r="M650" i="6"/>
  <c r="M651" i="6"/>
  <c r="M652" i="6"/>
  <c r="M653" i="6"/>
  <c r="P653" i="6" s="1"/>
  <c r="M654" i="6"/>
  <c r="P654" i="6" s="1"/>
  <c r="M655" i="6"/>
  <c r="P655" i="6" s="1"/>
  <c r="M656" i="6"/>
  <c r="M657" i="6"/>
  <c r="P657" i="6" s="1"/>
  <c r="M658" i="6"/>
  <c r="M659" i="6"/>
  <c r="M660" i="6"/>
  <c r="M661" i="6"/>
  <c r="M662" i="6"/>
  <c r="M663" i="6"/>
  <c r="M664" i="6"/>
  <c r="M665" i="6"/>
  <c r="P665" i="6" s="1"/>
  <c r="M666" i="6"/>
  <c r="P666" i="6" s="1"/>
  <c r="M667" i="6"/>
  <c r="P667" i="6" s="1"/>
  <c r="M668" i="6"/>
  <c r="M669" i="6"/>
  <c r="P669" i="6" s="1"/>
  <c r="M670" i="6"/>
  <c r="M671" i="6"/>
  <c r="M672" i="6"/>
  <c r="M673" i="6"/>
  <c r="M674" i="6"/>
  <c r="M675" i="6"/>
  <c r="M676" i="6"/>
  <c r="P676" i="6" s="1"/>
  <c r="M677" i="6"/>
  <c r="P677" i="6" s="1"/>
  <c r="M678" i="6"/>
  <c r="P678" i="6" s="1"/>
  <c r="M679" i="6"/>
  <c r="P679" i="6" s="1"/>
  <c r="M680" i="6"/>
  <c r="M681" i="6"/>
  <c r="M682" i="6"/>
  <c r="M683" i="6"/>
  <c r="M684" i="6"/>
  <c r="M685" i="6"/>
  <c r="M686" i="6"/>
  <c r="M687" i="6"/>
  <c r="P687" i="6" s="1"/>
  <c r="M688" i="6"/>
  <c r="P688" i="6" s="1"/>
  <c r="M689" i="6"/>
  <c r="P689" i="6" s="1"/>
  <c r="M690" i="6"/>
  <c r="P690" i="6" s="1"/>
  <c r="M691" i="6"/>
  <c r="P691" i="6" s="1"/>
  <c r="M692" i="6"/>
  <c r="M693" i="6"/>
  <c r="M694" i="6"/>
  <c r="M695" i="6"/>
  <c r="M696" i="6"/>
  <c r="M697" i="6"/>
  <c r="M698" i="6"/>
  <c r="M699" i="6"/>
  <c r="P699" i="6" s="1"/>
  <c r="M700" i="6"/>
  <c r="P700" i="6" s="1"/>
  <c r="M701" i="6"/>
  <c r="P701" i="6" s="1"/>
  <c r="M702" i="6"/>
  <c r="P702" i="6" s="1"/>
  <c r="M703" i="6"/>
  <c r="P703" i="6" s="1"/>
  <c r="M704" i="6"/>
  <c r="M705" i="6"/>
  <c r="M706" i="6"/>
  <c r="M707" i="6"/>
  <c r="M708" i="6"/>
  <c r="M709" i="6"/>
  <c r="M710" i="6"/>
  <c r="M711" i="6"/>
  <c r="P711" i="6" s="1"/>
  <c r="M712" i="6"/>
  <c r="P712" i="6" s="1"/>
  <c r="M713" i="6"/>
  <c r="P713" i="6" s="1"/>
  <c r="M714" i="6"/>
  <c r="P714" i="6" s="1"/>
  <c r="M715" i="6"/>
  <c r="M716" i="6"/>
  <c r="M717" i="6"/>
  <c r="M718" i="6"/>
  <c r="M719" i="6"/>
  <c r="M720" i="6"/>
  <c r="M721" i="6"/>
  <c r="M722" i="6"/>
  <c r="M723" i="6"/>
  <c r="P723" i="6" s="1"/>
  <c r="M724" i="6"/>
  <c r="P724" i="6" s="1"/>
  <c r="M725" i="6"/>
  <c r="P725" i="6" s="1"/>
  <c r="M726" i="6"/>
  <c r="P726" i="6" s="1"/>
  <c r="M727" i="6"/>
  <c r="P727" i="6" s="1"/>
  <c r="M728" i="6"/>
  <c r="M729" i="6"/>
  <c r="M730" i="6"/>
  <c r="M731" i="6"/>
  <c r="M732" i="6"/>
  <c r="M733" i="6"/>
  <c r="M734" i="6"/>
  <c r="M735" i="6"/>
  <c r="M736" i="6"/>
  <c r="P736" i="6" s="1"/>
  <c r="M737" i="6"/>
  <c r="M738" i="6"/>
  <c r="M739" i="6"/>
  <c r="P739" i="6" s="1"/>
  <c r="M740" i="6"/>
  <c r="M741" i="6"/>
  <c r="M742" i="6"/>
  <c r="M743" i="6"/>
  <c r="M744" i="6"/>
  <c r="M745" i="6"/>
  <c r="M746" i="6"/>
  <c r="M747" i="6"/>
  <c r="P747" i="6" s="1"/>
  <c r="M748" i="6"/>
  <c r="M749" i="6"/>
  <c r="M750" i="6"/>
  <c r="P750" i="6" s="1"/>
  <c r="M751" i="6"/>
  <c r="P751" i="6" s="1"/>
  <c r="M752" i="6"/>
  <c r="M753" i="6"/>
  <c r="P753" i="6" s="1"/>
  <c r="M754" i="6"/>
  <c r="M755" i="6"/>
  <c r="M756" i="6"/>
  <c r="M757" i="6"/>
  <c r="M758" i="6"/>
  <c r="M759" i="6"/>
  <c r="P759" i="6" s="1"/>
  <c r="M760" i="6"/>
  <c r="M761" i="6"/>
  <c r="M762" i="6"/>
  <c r="P762" i="6" s="1"/>
  <c r="M763" i="6"/>
  <c r="P763" i="6" s="1"/>
  <c r="M764" i="6"/>
  <c r="M765" i="6"/>
  <c r="P765" i="6" s="1"/>
  <c r="M766" i="6"/>
  <c r="M767" i="6"/>
  <c r="M768" i="6"/>
  <c r="M769" i="6"/>
  <c r="M770" i="6"/>
  <c r="M771" i="6"/>
  <c r="P771" i="6" s="1"/>
  <c r="M772" i="6"/>
  <c r="M773" i="6"/>
  <c r="M774" i="6"/>
  <c r="P774" i="6" s="1"/>
  <c r="M775" i="6"/>
  <c r="P775" i="6" s="1"/>
  <c r="M776" i="6"/>
  <c r="M777" i="6"/>
  <c r="P777" i="6" s="1"/>
  <c r="M778" i="6"/>
  <c r="M779" i="6"/>
  <c r="M780" i="6"/>
  <c r="M781" i="6"/>
  <c r="M782" i="6"/>
  <c r="M783" i="6"/>
  <c r="M784" i="6"/>
  <c r="M785" i="6"/>
  <c r="P785" i="6" s="1"/>
  <c r="M786" i="6"/>
  <c r="P786" i="6" s="1"/>
  <c r="M787" i="6"/>
  <c r="P787" i="6" s="1"/>
  <c r="M788" i="6"/>
  <c r="M789" i="6"/>
  <c r="P789" i="6" s="1"/>
  <c r="M790" i="6"/>
  <c r="M791" i="6"/>
  <c r="M792" i="6"/>
  <c r="M793" i="6"/>
  <c r="M794" i="6"/>
  <c r="M795" i="6"/>
  <c r="M796" i="6"/>
  <c r="M797" i="6"/>
  <c r="P797" i="6" s="1"/>
  <c r="M798" i="6"/>
  <c r="P798" i="6" s="1"/>
  <c r="M799" i="6"/>
  <c r="P799" i="6" s="1"/>
  <c r="M800" i="6"/>
  <c r="M801" i="6"/>
  <c r="P801" i="6" s="1"/>
  <c r="M802" i="6"/>
  <c r="M803" i="6"/>
  <c r="M804" i="6"/>
  <c r="M805" i="6"/>
  <c r="M806" i="6"/>
  <c r="M807" i="6"/>
  <c r="P807" i="6" s="1"/>
  <c r="M808" i="6"/>
  <c r="P808" i="6" s="1"/>
  <c r="M809" i="6"/>
  <c r="P809" i="6" s="1"/>
  <c r="M810" i="6"/>
  <c r="P810" i="6" s="1"/>
  <c r="M811" i="6"/>
  <c r="P811" i="6" s="1"/>
  <c r="M812" i="6"/>
  <c r="M813" i="6"/>
  <c r="P813" i="6" s="1"/>
  <c r="M814" i="6"/>
  <c r="M815" i="6"/>
  <c r="M816" i="6"/>
  <c r="M817" i="6"/>
  <c r="M818" i="6"/>
  <c r="M819" i="6"/>
  <c r="P819" i="6" s="1"/>
  <c r="M820" i="6"/>
  <c r="P820" i="6" s="1"/>
  <c r="M821" i="6"/>
  <c r="P821" i="6" s="1"/>
  <c r="M822" i="6"/>
  <c r="P822" i="6" s="1"/>
  <c r="M823" i="6"/>
  <c r="P823" i="6" s="1"/>
  <c r="M824" i="6"/>
  <c r="M825" i="6"/>
  <c r="P825" i="6" s="1"/>
  <c r="M826" i="6"/>
  <c r="M827" i="6"/>
  <c r="M828" i="6"/>
  <c r="M829" i="6"/>
  <c r="M830" i="6"/>
  <c r="M831" i="6"/>
  <c r="P831" i="6" s="1"/>
  <c r="M832" i="6"/>
  <c r="P832" i="6" s="1"/>
  <c r="M833" i="6"/>
  <c r="P833" i="6" s="1"/>
  <c r="M834" i="6"/>
  <c r="P834" i="6" s="1"/>
  <c r="M835" i="6"/>
  <c r="P835" i="6" s="1"/>
  <c r="M836" i="6"/>
  <c r="M837" i="6"/>
  <c r="M838" i="6"/>
  <c r="M839" i="6"/>
  <c r="M840" i="6"/>
  <c r="M841" i="6"/>
  <c r="M842" i="6"/>
  <c r="M843" i="6"/>
  <c r="P843" i="6" s="1"/>
  <c r="M844" i="6"/>
  <c r="P844" i="6" s="1"/>
  <c r="M845" i="6"/>
  <c r="P845" i="6" s="1"/>
  <c r="M846" i="6"/>
  <c r="P846" i="6" s="1"/>
  <c r="M847" i="6"/>
  <c r="P847" i="6" s="1"/>
  <c r="M848" i="6"/>
  <c r="M849" i="6"/>
  <c r="M850" i="6"/>
  <c r="M851" i="6"/>
  <c r="M852" i="6"/>
  <c r="M853" i="6"/>
  <c r="M854" i="6"/>
  <c r="M855" i="6"/>
  <c r="P855" i="6" s="1"/>
  <c r="M856" i="6"/>
  <c r="P856" i="6" s="1"/>
  <c r="M857" i="6"/>
  <c r="P857" i="6" s="1"/>
  <c r="M858" i="6"/>
  <c r="P858" i="6" s="1"/>
  <c r="M859" i="6"/>
  <c r="P859" i="6" s="1"/>
  <c r="M860" i="6"/>
  <c r="M861" i="6"/>
  <c r="M862" i="6"/>
  <c r="M863" i="6"/>
  <c r="M864" i="6"/>
  <c r="M865" i="6"/>
  <c r="M866" i="6"/>
  <c r="M867" i="6"/>
  <c r="P867" i="6" s="1"/>
  <c r="M868" i="6"/>
  <c r="P868" i="6" s="1"/>
  <c r="M869" i="6"/>
  <c r="P869" i="6" s="1"/>
  <c r="M870" i="6"/>
  <c r="P870" i="6" s="1"/>
  <c r="M871" i="6"/>
  <c r="P871" i="6" s="1"/>
  <c r="M872" i="6"/>
  <c r="M873" i="6"/>
  <c r="M874" i="6"/>
  <c r="M875" i="6"/>
  <c r="M876" i="6"/>
  <c r="M877" i="6"/>
  <c r="M878" i="6"/>
  <c r="M879" i="6"/>
  <c r="M880" i="6"/>
  <c r="P880" i="6" s="1"/>
  <c r="M881" i="6"/>
  <c r="M882" i="6"/>
  <c r="M883" i="6"/>
  <c r="P883" i="6" s="1"/>
  <c r="M884" i="6"/>
  <c r="M885" i="6"/>
  <c r="P885" i="6" s="1"/>
  <c r="M886" i="6"/>
  <c r="M887" i="6"/>
  <c r="M888" i="6"/>
  <c r="M889" i="6"/>
  <c r="M890" i="6"/>
  <c r="M891" i="6"/>
  <c r="P891" i="6" s="1"/>
  <c r="M892" i="6"/>
  <c r="M893" i="6"/>
  <c r="M894" i="6"/>
  <c r="P894" i="6" s="1"/>
  <c r="M895" i="6"/>
  <c r="P895" i="6" s="1"/>
  <c r="M896" i="6"/>
  <c r="M897" i="6"/>
  <c r="P897" i="6" s="1"/>
  <c r="M898" i="6"/>
  <c r="M899" i="6"/>
  <c r="M900" i="6"/>
  <c r="M901" i="6"/>
  <c r="M902" i="6"/>
  <c r="M903" i="6"/>
  <c r="M904" i="6"/>
  <c r="M905" i="6"/>
  <c r="M906" i="6"/>
  <c r="P906" i="6" s="1"/>
  <c r="M907" i="6"/>
  <c r="P907" i="6" s="1"/>
  <c r="M908" i="6"/>
  <c r="M909" i="6"/>
  <c r="P909" i="6" s="1"/>
  <c r="M910" i="6"/>
  <c r="M911" i="6"/>
  <c r="M912" i="6"/>
  <c r="M913" i="6"/>
  <c r="M914" i="6"/>
  <c r="M915" i="6"/>
  <c r="M916" i="6"/>
  <c r="M917" i="6"/>
  <c r="M918" i="6"/>
  <c r="P918" i="6" s="1"/>
  <c r="M919" i="6"/>
  <c r="P919" i="6" s="1"/>
  <c r="M920" i="6"/>
  <c r="M921" i="6"/>
  <c r="P921" i="6" s="1"/>
  <c r="M922" i="6"/>
  <c r="M923" i="6"/>
  <c r="M924" i="6"/>
  <c r="M925" i="6"/>
  <c r="M926" i="6"/>
  <c r="M927" i="6"/>
  <c r="M928" i="6"/>
  <c r="M929" i="6"/>
  <c r="M930" i="6"/>
  <c r="P930" i="6" s="1"/>
  <c r="M931" i="6"/>
  <c r="P931" i="6" s="1"/>
  <c r="M932" i="6"/>
  <c r="M933" i="6"/>
  <c r="P933" i="6" s="1"/>
  <c r="M934" i="6"/>
  <c r="M935" i="6"/>
  <c r="M936" i="6"/>
  <c r="M937" i="6"/>
  <c r="M938" i="6"/>
  <c r="M939" i="6"/>
  <c r="M940" i="6"/>
  <c r="M941" i="6"/>
  <c r="P941" i="6" s="1"/>
  <c r="M942" i="6"/>
  <c r="P942" i="6" s="1"/>
  <c r="M943" i="6"/>
  <c r="P943" i="6" s="1"/>
  <c r="M944" i="6"/>
  <c r="M945" i="6"/>
  <c r="P945" i="6" s="1"/>
  <c r="M946" i="6"/>
  <c r="M947" i="6"/>
  <c r="M948" i="6"/>
  <c r="M949" i="6"/>
  <c r="M950" i="6"/>
  <c r="M951" i="6"/>
  <c r="M952" i="6"/>
  <c r="M953" i="6"/>
  <c r="P953" i="6" s="1"/>
  <c r="M954" i="6"/>
  <c r="P954" i="6" s="1"/>
  <c r="M955" i="6"/>
  <c r="P955" i="6" s="1"/>
  <c r="M956" i="6"/>
  <c r="M957" i="6"/>
  <c r="P957" i="6" s="1"/>
  <c r="M958" i="6"/>
  <c r="M959" i="6"/>
  <c r="M960" i="6"/>
  <c r="M961" i="6"/>
  <c r="M962" i="6"/>
  <c r="M963" i="6"/>
  <c r="M964" i="6"/>
  <c r="P964" i="6" s="1"/>
  <c r="M965" i="6"/>
  <c r="P965" i="6" s="1"/>
  <c r="M966" i="6"/>
  <c r="P966" i="6" s="1"/>
  <c r="M967" i="6"/>
  <c r="P967" i="6" s="1"/>
  <c r="M968" i="6"/>
  <c r="M969" i="6"/>
  <c r="P969" i="6" s="1"/>
  <c r="M970" i="6"/>
  <c r="M971" i="6"/>
  <c r="M972" i="6"/>
  <c r="M973" i="6"/>
  <c r="M974" i="6"/>
  <c r="M975" i="6"/>
  <c r="P975" i="6" s="1"/>
  <c r="M976" i="6"/>
  <c r="P976" i="6" s="1"/>
  <c r="M977" i="6"/>
  <c r="P977" i="6" s="1"/>
  <c r="M978" i="6"/>
  <c r="P978" i="6" s="1"/>
  <c r="M979" i="6"/>
  <c r="P979" i="6" s="1"/>
  <c r="M980" i="6"/>
  <c r="M981" i="6"/>
  <c r="M982" i="6"/>
  <c r="M983" i="6"/>
  <c r="M984" i="6"/>
  <c r="M985" i="6"/>
  <c r="M986" i="6"/>
  <c r="M987" i="6"/>
  <c r="P987" i="6" s="1"/>
  <c r="M988" i="6"/>
  <c r="P988" i="6" s="1"/>
  <c r="M989" i="6"/>
  <c r="P989" i="6" s="1"/>
  <c r="M990" i="6"/>
  <c r="P990" i="6" s="1"/>
  <c r="M991" i="6"/>
  <c r="P991" i="6" s="1"/>
  <c r="M992" i="6"/>
  <c r="M993" i="6"/>
  <c r="M994" i="6"/>
  <c r="M995" i="6"/>
  <c r="M996" i="6"/>
  <c r="M997" i="6"/>
  <c r="M998" i="6"/>
  <c r="M999" i="6"/>
  <c r="P999" i="6" s="1"/>
  <c r="M1000" i="6"/>
  <c r="P1000" i="6" s="1"/>
  <c r="M1001" i="6"/>
  <c r="P1001" i="6" s="1"/>
  <c r="M1002" i="6"/>
  <c r="P1002" i="6" s="1"/>
  <c r="M1003" i="6"/>
  <c r="M1004" i="6"/>
  <c r="M1005" i="6"/>
  <c r="M1006" i="6"/>
  <c r="M9" i="6"/>
  <c r="M6" i="6"/>
  <c r="M7" i="6"/>
  <c r="M5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9" i="6"/>
  <c r="L6" i="6"/>
  <c r="L7" i="6"/>
  <c r="L5" i="6"/>
  <c r="G3" i="6"/>
  <c r="D38" i="6" s="1"/>
  <c r="C12" i="6"/>
  <c r="C13" i="6"/>
  <c r="C14" i="6"/>
  <c r="C15" i="6"/>
  <c r="C16" i="6"/>
  <c r="C17" i="6"/>
  <c r="C18" i="6"/>
  <c r="C19" i="6"/>
  <c r="C20" i="6"/>
  <c r="C21" i="6"/>
  <c r="C22" i="6"/>
  <c r="C11" i="6"/>
  <c r="B12" i="6"/>
  <c r="B13" i="6"/>
  <c r="B14" i="6"/>
  <c r="B15" i="6"/>
  <c r="B16" i="6"/>
  <c r="B17" i="6"/>
  <c r="B18" i="6"/>
  <c r="B19" i="6"/>
  <c r="B20" i="6"/>
  <c r="B21" i="6"/>
  <c r="B22" i="6"/>
  <c r="B11" i="6"/>
  <c r="B33" i="6"/>
  <c r="B32" i="6"/>
  <c r="B31" i="6"/>
  <c r="B30" i="6"/>
  <c r="B29" i="6"/>
  <c r="B28" i="6"/>
  <c r="P1006" i="6"/>
  <c r="P1005" i="6"/>
  <c r="P1004" i="6"/>
  <c r="P1003" i="6"/>
  <c r="P998" i="6"/>
  <c r="P997" i="6"/>
  <c r="P996" i="6"/>
  <c r="P995" i="6"/>
  <c r="P994" i="6"/>
  <c r="P993" i="6"/>
  <c r="P992" i="6"/>
  <c r="P986" i="6"/>
  <c r="P985" i="6"/>
  <c r="P984" i="6"/>
  <c r="P983" i="6"/>
  <c r="P982" i="6"/>
  <c r="P981" i="6"/>
  <c r="P980" i="6"/>
  <c r="P974" i="6"/>
  <c r="P973" i="6"/>
  <c r="P972" i="6"/>
  <c r="P971" i="6"/>
  <c r="P970" i="6"/>
  <c r="P968" i="6"/>
  <c r="P963" i="6"/>
  <c r="P962" i="6"/>
  <c r="P961" i="6"/>
  <c r="P960" i="6"/>
  <c r="P959" i="6"/>
  <c r="P958" i="6"/>
  <c r="P956" i="6"/>
  <c r="P952" i="6"/>
  <c r="P951" i="6"/>
  <c r="P950" i="6"/>
  <c r="P949" i="6"/>
  <c r="P948" i="6"/>
  <c r="P947" i="6"/>
  <c r="P946" i="6"/>
  <c r="P944" i="6"/>
  <c r="P940" i="6"/>
  <c r="P939" i="6"/>
  <c r="P938" i="6"/>
  <c r="P937" i="6"/>
  <c r="P936" i="6"/>
  <c r="P935" i="6"/>
  <c r="P934" i="6"/>
  <c r="P932" i="6"/>
  <c r="P929" i="6"/>
  <c r="P928" i="6"/>
  <c r="P927" i="6"/>
  <c r="P926" i="6"/>
  <c r="P925" i="6"/>
  <c r="P924" i="6"/>
  <c r="P923" i="6"/>
  <c r="P922" i="6"/>
  <c r="P920" i="6"/>
  <c r="P917" i="6"/>
  <c r="P916" i="6"/>
  <c r="P915" i="6"/>
  <c r="P914" i="6"/>
  <c r="P913" i="6"/>
  <c r="P912" i="6"/>
  <c r="P911" i="6"/>
  <c r="P910" i="6"/>
  <c r="P908" i="6"/>
  <c r="P905" i="6"/>
  <c r="P904" i="6"/>
  <c r="P903" i="6"/>
  <c r="P902" i="6"/>
  <c r="P901" i="6"/>
  <c r="P900" i="6"/>
  <c r="P899" i="6"/>
  <c r="P898" i="6"/>
  <c r="P896" i="6"/>
  <c r="P893" i="6"/>
  <c r="P892" i="6"/>
  <c r="P890" i="6"/>
  <c r="P889" i="6"/>
  <c r="P888" i="6"/>
  <c r="P887" i="6"/>
  <c r="P886" i="6"/>
  <c r="P884" i="6"/>
  <c r="P882" i="6"/>
  <c r="P881" i="6"/>
  <c r="P879" i="6"/>
  <c r="P878" i="6"/>
  <c r="P877" i="6"/>
  <c r="P876" i="6"/>
  <c r="P875" i="6"/>
  <c r="P874" i="6"/>
  <c r="P873" i="6"/>
  <c r="P872" i="6"/>
  <c r="P866" i="6"/>
  <c r="P865" i="6"/>
  <c r="P864" i="6"/>
  <c r="P863" i="6"/>
  <c r="P862" i="6"/>
  <c r="P861" i="6"/>
  <c r="P860" i="6"/>
  <c r="P854" i="6"/>
  <c r="P853" i="6"/>
  <c r="P852" i="6"/>
  <c r="P851" i="6"/>
  <c r="P850" i="6"/>
  <c r="P849" i="6"/>
  <c r="P848" i="6"/>
  <c r="P842" i="6"/>
  <c r="P841" i="6"/>
  <c r="P840" i="6"/>
  <c r="P839" i="6"/>
  <c r="P838" i="6"/>
  <c r="P837" i="6"/>
  <c r="P836" i="6"/>
  <c r="P830" i="6"/>
  <c r="P829" i="6"/>
  <c r="P828" i="6"/>
  <c r="P827" i="6"/>
  <c r="P826" i="6"/>
  <c r="P824" i="6"/>
  <c r="P818" i="6"/>
  <c r="P817" i="6"/>
  <c r="P816" i="6"/>
  <c r="P815" i="6"/>
  <c r="P814" i="6"/>
  <c r="P812" i="6"/>
  <c r="P806" i="6"/>
  <c r="P805" i="6"/>
  <c r="P804" i="6"/>
  <c r="P803" i="6"/>
  <c r="P802" i="6"/>
  <c r="P800" i="6"/>
  <c r="P796" i="6"/>
  <c r="P795" i="6"/>
  <c r="P794" i="6"/>
  <c r="P793" i="6"/>
  <c r="P792" i="6"/>
  <c r="P791" i="6"/>
  <c r="P790" i="6"/>
  <c r="P788" i="6"/>
  <c r="P784" i="6"/>
  <c r="P783" i="6"/>
  <c r="P782" i="6"/>
  <c r="P781" i="6"/>
  <c r="P780" i="6"/>
  <c r="P779" i="6"/>
  <c r="P778" i="6"/>
  <c r="P776" i="6"/>
  <c r="P773" i="6"/>
  <c r="P772" i="6"/>
  <c r="P770" i="6"/>
  <c r="P769" i="6"/>
  <c r="P768" i="6"/>
  <c r="P767" i="6"/>
  <c r="P766" i="6"/>
  <c r="P764" i="6"/>
  <c r="P761" i="6"/>
  <c r="P760" i="6"/>
  <c r="P758" i="6"/>
  <c r="P757" i="6"/>
  <c r="P756" i="6"/>
  <c r="P755" i="6"/>
  <c r="P754" i="6"/>
  <c r="P752" i="6"/>
  <c r="P749" i="6"/>
  <c r="P748" i="6"/>
  <c r="P746" i="6"/>
  <c r="P745" i="6"/>
  <c r="P744" i="6"/>
  <c r="P743" i="6"/>
  <c r="P742" i="6"/>
  <c r="P741" i="6"/>
  <c r="P740" i="6"/>
  <c r="P738" i="6"/>
  <c r="P737" i="6"/>
  <c r="P735" i="6"/>
  <c r="P734" i="6"/>
  <c r="P733" i="6"/>
  <c r="P732" i="6"/>
  <c r="P731" i="6"/>
  <c r="P730" i="6"/>
  <c r="P729" i="6"/>
  <c r="P728" i="6"/>
  <c r="P722" i="6"/>
  <c r="P721" i="6"/>
  <c r="P720" i="6"/>
  <c r="P719" i="6"/>
  <c r="P718" i="6"/>
  <c r="P717" i="6"/>
  <c r="P716" i="6"/>
  <c r="P715" i="6"/>
  <c r="P710" i="6"/>
  <c r="P709" i="6"/>
  <c r="P708" i="6"/>
  <c r="P707" i="6"/>
  <c r="P706" i="6"/>
  <c r="P705" i="6"/>
  <c r="P704" i="6"/>
  <c r="P698" i="6"/>
  <c r="P697" i="6"/>
  <c r="P696" i="6"/>
  <c r="P695" i="6"/>
  <c r="P694" i="6"/>
  <c r="P693" i="6"/>
  <c r="P692" i="6"/>
  <c r="P686" i="6"/>
  <c r="P685" i="6"/>
  <c r="P684" i="6"/>
  <c r="P683" i="6"/>
  <c r="P682" i="6"/>
  <c r="P681" i="6"/>
  <c r="P680" i="6"/>
  <c r="P675" i="6"/>
  <c r="P674" i="6"/>
  <c r="P673" i="6"/>
  <c r="P672" i="6"/>
  <c r="P671" i="6"/>
  <c r="P670" i="6"/>
  <c r="P668" i="6"/>
  <c r="P664" i="6"/>
  <c r="P663" i="6"/>
  <c r="P662" i="6"/>
  <c r="P661" i="6"/>
  <c r="P660" i="6"/>
  <c r="P659" i="6"/>
  <c r="P658" i="6"/>
  <c r="P656" i="6"/>
  <c r="P652" i="6"/>
  <c r="P651" i="6"/>
  <c r="P650" i="6"/>
  <c r="P649" i="6"/>
  <c r="P648" i="6"/>
  <c r="P647" i="6"/>
  <c r="P646" i="6"/>
  <c r="P644" i="6"/>
  <c r="P641" i="6"/>
  <c r="P640" i="6"/>
  <c r="P639" i="6"/>
  <c r="P638" i="6"/>
  <c r="P637" i="6"/>
  <c r="P636" i="6"/>
  <c r="P635" i="6"/>
  <c r="P634" i="6"/>
  <c r="P632" i="6"/>
  <c r="P629" i="6"/>
  <c r="P628" i="6"/>
  <c r="P626" i="6"/>
  <c r="P625" i="6"/>
  <c r="P624" i="6"/>
  <c r="P623" i="6"/>
  <c r="P622" i="6"/>
  <c r="P621" i="6"/>
  <c r="P620" i="6"/>
  <c r="P618" i="6"/>
  <c r="P617" i="6"/>
  <c r="P615" i="6"/>
  <c r="P614" i="6"/>
  <c r="P613" i="6"/>
  <c r="P612" i="6"/>
  <c r="P611" i="6"/>
  <c r="P610" i="6"/>
  <c r="P609" i="6"/>
  <c r="P608" i="6"/>
  <c r="P606" i="6"/>
  <c r="P602" i="6"/>
  <c r="P601" i="6"/>
  <c r="P600" i="6"/>
  <c r="P599" i="6"/>
  <c r="P598" i="6"/>
  <c r="P597" i="6"/>
  <c r="P596" i="6"/>
  <c r="P595" i="6"/>
  <c r="P590" i="6"/>
  <c r="P589" i="6"/>
  <c r="P588" i="6"/>
  <c r="P587" i="6"/>
  <c r="P586" i="6"/>
  <c r="P585" i="6"/>
  <c r="P584" i="6"/>
  <c r="P578" i="6"/>
  <c r="P577" i="6"/>
  <c r="P576" i="6"/>
  <c r="P575" i="6"/>
  <c r="P574" i="6"/>
  <c r="P572" i="6"/>
  <c r="P566" i="6"/>
  <c r="P565" i="6"/>
  <c r="P564" i="6"/>
  <c r="P563" i="6"/>
  <c r="P562" i="6"/>
  <c r="P560" i="6"/>
  <c r="P555" i="6"/>
  <c r="P554" i="6"/>
  <c r="P553" i="6"/>
  <c r="P552" i="6"/>
  <c r="P551" i="6"/>
  <c r="P550" i="6"/>
  <c r="P548" i="6"/>
  <c r="P544" i="6"/>
  <c r="P543" i="6"/>
  <c r="P542" i="6"/>
  <c r="P541" i="6"/>
  <c r="P540" i="6"/>
  <c r="P539" i="6"/>
  <c r="P538" i="6"/>
  <c r="P536" i="6"/>
  <c r="P533" i="6"/>
  <c r="P532" i="6"/>
  <c r="P530" i="6"/>
  <c r="P529" i="6"/>
  <c r="P528" i="6"/>
  <c r="P527" i="6"/>
  <c r="P526" i="6"/>
  <c r="P524" i="6"/>
  <c r="P522" i="6"/>
  <c r="P521" i="6"/>
  <c r="P519" i="6"/>
  <c r="P518" i="6"/>
  <c r="P517" i="6"/>
  <c r="P516" i="6"/>
  <c r="P515" i="6"/>
  <c r="P514" i="6"/>
  <c r="P513" i="6"/>
  <c r="P512" i="6"/>
  <c r="P510" i="6"/>
  <c r="P506" i="6"/>
  <c r="P505" i="6"/>
  <c r="P504" i="6"/>
  <c r="P503" i="6"/>
  <c r="P502" i="6"/>
  <c r="P501" i="6"/>
  <c r="P500" i="6"/>
  <c r="P494" i="6"/>
  <c r="P493" i="6"/>
  <c r="P492" i="6"/>
  <c r="P491" i="6"/>
  <c r="P490" i="6"/>
  <c r="P488" i="6"/>
  <c r="P482" i="6"/>
  <c r="P481" i="6"/>
  <c r="P480" i="6"/>
  <c r="P479" i="6"/>
  <c r="P478" i="6"/>
  <c r="P477" i="6"/>
  <c r="P476" i="6"/>
  <c r="P471" i="6"/>
  <c r="P470" i="6"/>
  <c r="P469" i="6"/>
  <c r="P468" i="6"/>
  <c r="P467" i="6"/>
  <c r="P466" i="6"/>
  <c r="P465" i="6"/>
  <c r="P464" i="6"/>
  <c r="P459" i="6"/>
  <c r="P458" i="6"/>
  <c r="P457" i="6"/>
  <c r="P456" i="6"/>
  <c r="P455" i="6"/>
  <c r="P454" i="6"/>
  <c r="P452" i="6"/>
  <c r="P447" i="6"/>
  <c r="P446" i="6"/>
  <c r="P445" i="6"/>
  <c r="P444" i="6"/>
  <c r="P443" i="6"/>
  <c r="P442" i="6"/>
  <c r="P440" i="6"/>
  <c r="P436" i="6"/>
  <c r="P435" i="6"/>
  <c r="P434" i="6"/>
  <c r="P433" i="6"/>
  <c r="P432" i="6"/>
  <c r="P431" i="6"/>
  <c r="P430" i="6"/>
  <c r="P428" i="6"/>
  <c r="P424" i="6"/>
  <c r="P423" i="6"/>
  <c r="P422" i="6"/>
  <c r="P421" i="6"/>
  <c r="P420" i="6"/>
  <c r="P419" i="6"/>
  <c r="P418" i="6"/>
  <c r="P416" i="6"/>
  <c r="P413" i="6"/>
  <c r="P412" i="6"/>
  <c r="P411" i="6"/>
  <c r="P410" i="6"/>
  <c r="P409" i="6"/>
  <c r="P408" i="6"/>
  <c r="P407" i="6"/>
  <c r="P406" i="6"/>
  <c r="P404" i="6"/>
  <c r="P402" i="6"/>
  <c r="P401" i="6"/>
  <c r="P399" i="6"/>
  <c r="P398" i="6"/>
  <c r="P397" i="6"/>
  <c r="P396" i="6"/>
  <c r="P395" i="6"/>
  <c r="P394" i="6"/>
  <c r="P393" i="6"/>
  <c r="P392" i="6"/>
  <c r="P390" i="6"/>
  <c r="P389" i="6"/>
  <c r="P387" i="6"/>
  <c r="P386" i="6"/>
  <c r="P385" i="6"/>
  <c r="P384" i="6"/>
  <c r="P383" i="6"/>
  <c r="P382" i="6"/>
  <c r="P381" i="6"/>
  <c r="P380" i="6"/>
  <c r="P378" i="6"/>
  <c r="P374" i="6"/>
  <c r="P373" i="6"/>
  <c r="P372" i="6"/>
  <c r="P371" i="6"/>
  <c r="P370" i="6"/>
  <c r="P369" i="6"/>
  <c r="P368" i="6"/>
  <c r="P362" i="6"/>
  <c r="P361" i="6"/>
  <c r="P360" i="6"/>
  <c r="P359" i="6"/>
  <c r="P358" i="6"/>
  <c r="P357" i="6"/>
  <c r="P356" i="6"/>
  <c r="P350" i="6"/>
  <c r="P349" i="6"/>
  <c r="P348" i="6"/>
  <c r="P347" i="6"/>
  <c r="P346" i="6"/>
  <c r="P345" i="6"/>
  <c r="P344" i="6"/>
  <c r="P338" i="6"/>
  <c r="P337" i="6"/>
  <c r="P336" i="6"/>
  <c r="P335" i="6"/>
  <c r="P334" i="6"/>
  <c r="P332" i="6"/>
  <c r="P327" i="6"/>
  <c r="P326" i="6"/>
  <c r="P325" i="6"/>
  <c r="P324" i="6"/>
  <c r="P323" i="6"/>
  <c r="P322" i="6"/>
  <c r="P320" i="6"/>
  <c r="P316" i="6"/>
  <c r="P315" i="6"/>
  <c r="P314" i="6"/>
  <c r="P313" i="6"/>
  <c r="P312" i="6"/>
  <c r="P311" i="6"/>
  <c r="P310" i="6"/>
  <c r="P308" i="6"/>
  <c r="P305" i="6"/>
  <c r="P304" i="6"/>
  <c r="P303" i="6"/>
  <c r="P302" i="6"/>
  <c r="P301" i="6"/>
  <c r="P300" i="6"/>
  <c r="P299" i="6"/>
  <c r="P298" i="6"/>
  <c r="P296" i="6"/>
  <c r="P293" i="6"/>
  <c r="P292" i="6"/>
  <c r="P290" i="6"/>
  <c r="P289" i="6"/>
  <c r="P288" i="6"/>
  <c r="P287" i="6"/>
  <c r="P286" i="6"/>
  <c r="P284" i="6"/>
  <c r="P281" i="6"/>
  <c r="P280" i="6"/>
  <c r="P278" i="6"/>
  <c r="P277" i="6"/>
  <c r="P276" i="6"/>
  <c r="P275" i="6"/>
  <c r="P274" i="6"/>
  <c r="P272" i="6"/>
  <c r="P269" i="6"/>
  <c r="P268" i="6"/>
  <c r="P266" i="6"/>
  <c r="P265" i="6"/>
  <c r="P264" i="6"/>
  <c r="P263" i="6"/>
  <c r="P262" i="6"/>
  <c r="P260" i="6"/>
  <c r="P258" i="6"/>
  <c r="P257" i="6"/>
  <c r="P255" i="6"/>
  <c r="P254" i="6"/>
  <c r="P253" i="6"/>
  <c r="P252" i="6"/>
  <c r="P251" i="6"/>
  <c r="P250" i="6"/>
  <c r="P249" i="6"/>
  <c r="P248" i="6"/>
  <c r="P246" i="6"/>
  <c r="P242" i="6"/>
  <c r="P241" i="6"/>
  <c r="P240" i="6"/>
  <c r="P239" i="6"/>
  <c r="P238" i="6"/>
  <c r="P237" i="6"/>
  <c r="P236" i="6"/>
  <c r="P235" i="6"/>
  <c r="P230" i="6"/>
  <c r="P229" i="6"/>
  <c r="P228" i="6"/>
  <c r="P227" i="6"/>
  <c r="P226" i="6"/>
  <c r="P225" i="6"/>
  <c r="P224" i="6"/>
  <c r="P218" i="6"/>
  <c r="P217" i="6"/>
  <c r="P216" i="6"/>
  <c r="P215" i="6"/>
  <c r="P214" i="6"/>
  <c r="P213" i="6"/>
  <c r="P212" i="6"/>
  <c r="P207" i="6"/>
  <c r="P206" i="6"/>
  <c r="P205" i="6"/>
  <c r="P204" i="6"/>
  <c r="P203" i="6"/>
  <c r="P202" i="6"/>
  <c r="P200" i="6"/>
  <c r="P196" i="6"/>
  <c r="P195" i="6"/>
  <c r="P194" i="6"/>
  <c r="P193" i="6"/>
  <c r="P192" i="6"/>
  <c r="P191" i="6"/>
  <c r="P190" i="6"/>
  <c r="P188" i="6"/>
  <c r="P184" i="6"/>
  <c r="P183" i="6"/>
  <c r="P182" i="6"/>
  <c r="P181" i="6"/>
  <c r="P180" i="6"/>
  <c r="P179" i="6"/>
  <c r="P178" i="6"/>
  <c r="P176" i="6"/>
  <c r="P173" i="6"/>
  <c r="P172" i="6"/>
  <c r="P171" i="6"/>
  <c r="P170" i="6"/>
  <c r="P169" i="6"/>
  <c r="P168" i="6"/>
  <c r="P167" i="6"/>
  <c r="P166" i="6"/>
  <c r="P165" i="6"/>
  <c r="P164" i="6"/>
  <c r="P162" i="6"/>
  <c r="P161" i="6"/>
  <c r="P159" i="6"/>
  <c r="P158" i="6"/>
  <c r="P157" i="6"/>
  <c r="P156" i="6"/>
  <c r="P155" i="6"/>
  <c r="P154" i="6"/>
  <c r="P153" i="6"/>
  <c r="P152" i="6"/>
  <c r="P150" i="6"/>
  <c r="P148" i="6"/>
  <c r="P146" i="6"/>
  <c r="P145" i="6"/>
  <c r="P144" i="6"/>
  <c r="P143" i="6"/>
  <c r="P142" i="6"/>
  <c r="P141" i="6"/>
  <c r="P140" i="6"/>
  <c r="P134" i="6"/>
  <c r="P133" i="6"/>
  <c r="P132" i="6"/>
  <c r="P131" i="6"/>
  <c r="P130" i="6"/>
  <c r="P128" i="6"/>
  <c r="P123" i="6"/>
  <c r="P122" i="6"/>
  <c r="P121" i="6"/>
  <c r="P120" i="6"/>
  <c r="P119" i="6"/>
  <c r="P118" i="6"/>
  <c r="P116" i="6"/>
  <c r="P112" i="6"/>
  <c r="P111" i="6"/>
  <c r="P110" i="6"/>
  <c r="P109" i="6"/>
  <c r="P108" i="6"/>
  <c r="P107" i="6"/>
  <c r="P106" i="6"/>
  <c r="P104" i="6"/>
  <c r="P101" i="6"/>
  <c r="P100" i="6"/>
  <c r="P99" i="6"/>
  <c r="P98" i="6"/>
  <c r="P97" i="6"/>
  <c r="P96" i="6"/>
  <c r="P95" i="6"/>
  <c r="P94" i="6"/>
  <c r="P93" i="6"/>
  <c r="P92" i="6"/>
  <c r="P90" i="6"/>
  <c r="P88" i="6"/>
  <c r="P86" i="6"/>
  <c r="P85" i="6"/>
  <c r="P84" i="6"/>
  <c r="P83" i="6"/>
  <c r="P82" i="6"/>
  <c r="P81" i="6"/>
  <c r="P80" i="6"/>
  <c r="P79" i="6"/>
  <c r="P74" i="6"/>
  <c r="P73" i="6"/>
  <c r="P72" i="6"/>
  <c r="P71" i="6"/>
  <c r="P70" i="6"/>
  <c r="P69" i="6"/>
  <c r="P68" i="6"/>
  <c r="P62" i="6"/>
  <c r="P61" i="6"/>
  <c r="P60" i="6"/>
  <c r="P59" i="6"/>
  <c r="P58" i="6"/>
  <c r="P56" i="6"/>
  <c r="P51" i="6"/>
  <c r="P50" i="6"/>
  <c r="P49" i="6"/>
  <c r="P48" i="6"/>
  <c r="P47" i="6"/>
  <c r="P46" i="6"/>
  <c r="P44" i="6"/>
  <c r="D42" i="6"/>
  <c r="P41" i="6"/>
  <c r="P40" i="6"/>
  <c r="P39" i="6"/>
  <c r="P38" i="6"/>
  <c r="P37" i="6"/>
  <c r="P36" i="6"/>
  <c r="P35" i="6"/>
  <c r="P34" i="6"/>
  <c r="P33" i="6"/>
  <c r="P32" i="6"/>
  <c r="P28" i="6"/>
  <c r="D28" i="6"/>
  <c r="P27" i="6"/>
  <c r="A27" i="6"/>
  <c r="P26" i="6"/>
  <c r="P25" i="6"/>
  <c r="P24" i="6"/>
  <c r="P23" i="6"/>
  <c r="P22" i="6"/>
  <c r="P21" i="6"/>
  <c r="P20" i="6"/>
  <c r="P14" i="6"/>
  <c r="P13" i="6"/>
  <c r="P12" i="6"/>
  <c r="P11" i="6"/>
  <c r="P10" i="6"/>
  <c r="C10" i="6"/>
  <c r="B10" i="6"/>
  <c r="P9" i="6"/>
  <c r="P7" i="6"/>
  <c r="P6" i="6"/>
  <c r="P5" i="6"/>
  <c r="I1" i="4"/>
  <c r="I38" i="23" l="1"/>
  <c r="I39" i="23"/>
  <c r="G20" i="19" a="1"/>
  <c r="G20" i="19" s="1"/>
  <c r="G21" i="19" s="1"/>
  <c r="D39" i="19" s="1"/>
  <c r="I38" i="21"/>
  <c r="A42" i="21"/>
  <c r="I39" i="21"/>
  <c r="C32" i="19"/>
  <c r="D32" i="19" s="1"/>
  <c r="C30" i="19"/>
  <c r="D30" i="19" s="1"/>
  <c r="C31" i="19"/>
  <c r="D31" i="19" s="1"/>
  <c r="C29" i="19"/>
  <c r="D29" i="19" s="1"/>
  <c r="C30" i="11"/>
  <c r="D30" i="11" s="1"/>
  <c r="C32" i="11"/>
  <c r="D32" i="11" s="1"/>
  <c r="G20" i="11" a="1"/>
  <c r="G20" i="11" s="1"/>
  <c r="G21" i="11" s="1"/>
  <c r="D39" i="11" s="1"/>
  <c r="C31" i="17"/>
  <c r="D31" i="17" s="1"/>
  <c r="C30" i="17"/>
  <c r="D30" i="17" s="1"/>
  <c r="C29" i="17"/>
  <c r="D29" i="17" s="1"/>
  <c r="C32" i="17"/>
  <c r="D32" i="17" s="1"/>
  <c r="C33" i="17"/>
  <c r="D33" i="17" s="1"/>
  <c r="C33" i="15"/>
  <c r="D33" i="15" s="1"/>
  <c r="C32" i="15"/>
  <c r="D32" i="15" s="1"/>
  <c r="C31" i="15"/>
  <c r="D31" i="15" s="1"/>
  <c r="C29" i="15"/>
  <c r="D29" i="15" s="1"/>
  <c r="C30" i="15"/>
  <c r="D30" i="15" s="1"/>
  <c r="G20" i="17" a="1"/>
  <c r="G20" i="17" s="1"/>
  <c r="G21" i="17" s="1"/>
  <c r="D39" i="17" s="1"/>
  <c r="C29" i="11"/>
  <c r="D29" i="11" s="1"/>
  <c r="C31" i="11"/>
  <c r="D31" i="11" s="1"/>
  <c r="E16" i="1"/>
  <c r="C33" i="13"/>
  <c r="D33" i="13" s="1"/>
  <c r="C29" i="13"/>
  <c r="D29" i="13" s="1"/>
  <c r="C32" i="13"/>
  <c r="D32" i="13" s="1"/>
  <c r="C31" i="13"/>
  <c r="D31" i="13" s="1"/>
  <c r="C30" i="13"/>
  <c r="D30" i="13" s="1"/>
  <c r="B8" i="6"/>
  <c r="C31" i="6" s="1"/>
  <c r="D31" i="6" s="1"/>
  <c r="D13" i="1"/>
  <c r="C34" i="22" l="1"/>
  <c r="J34" i="22"/>
  <c r="C34" i="20"/>
  <c r="O41" i="21" s="1"/>
  <c r="J34" i="20"/>
  <c r="D35" i="19"/>
  <c r="G34" i="19" s="1"/>
  <c r="D40" i="19" s="1"/>
  <c r="D41" i="19" s="1"/>
  <c r="I38" i="19" s="1"/>
  <c r="O877" i="21"/>
  <c r="O38" i="21"/>
  <c r="O62" i="21"/>
  <c r="O254" i="21"/>
  <c r="O386" i="21"/>
  <c r="O434" i="21"/>
  <c r="O446" i="21"/>
  <c r="O482" i="21"/>
  <c r="O686" i="21"/>
  <c r="O758" i="21"/>
  <c r="O782" i="21"/>
  <c r="O830" i="21"/>
  <c r="O902" i="21"/>
  <c r="O27" i="21"/>
  <c r="O63" i="21"/>
  <c r="O111" i="21"/>
  <c r="O123" i="21"/>
  <c r="O171" i="21"/>
  <c r="O243" i="21"/>
  <c r="O411" i="21"/>
  <c r="O447" i="21"/>
  <c r="O471" i="21"/>
  <c r="O519" i="21"/>
  <c r="O591" i="21"/>
  <c r="O615" i="21"/>
  <c r="O627" i="21"/>
  <c r="O783" i="21"/>
  <c r="O807" i="21"/>
  <c r="O867" i="21"/>
  <c r="O891" i="21"/>
  <c r="O963" i="21"/>
  <c r="O975" i="21"/>
  <c r="O136" i="21"/>
  <c r="O160" i="21"/>
  <c r="O208" i="21"/>
  <c r="O244" i="21"/>
  <c r="O280" i="21"/>
  <c r="O304" i="21"/>
  <c r="O316" i="21"/>
  <c r="O460" i="21"/>
  <c r="O472" i="21"/>
  <c r="O556" i="21"/>
  <c r="O592" i="21"/>
  <c r="O616" i="21"/>
  <c r="O628" i="21"/>
  <c r="O748" i="21"/>
  <c r="O772" i="21"/>
  <c r="O784" i="21"/>
  <c r="O844" i="21"/>
  <c r="O868" i="21"/>
  <c r="O904" i="21"/>
  <c r="O928" i="21"/>
  <c r="O940" i="21"/>
  <c r="D35" i="15"/>
  <c r="G34" i="15" s="1"/>
  <c r="D40" i="15" s="1"/>
  <c r="D41" i="15" s="1"/>
  <c r="I39" i="15" s="1"/>
  <c r="D35" i="11"/>
  <c r="G34" i="11" s="1"/>
  <c r="D40" i="11" s="1"/>
  <c r="D41" i="11" s="1"/>
  <c r="I39" i="11" s="1"/>
  <c r="D35" i="17"/>
  <c r="G34" i="17" s="1"/>
  <c r="D40" i="17" s="1"/>
  <c r="D41" i="17" s="1"/>
  <c r="D35" i="13"/>
  <c r="G34" i="13" s="1"/>
  <c r="D40" i="13" s="1"/>
  <c r="D41" i="13" s="1"/>
  <c r="A42" i="13" s="1"/>
  <c r="I1" i="12" s="1"/>
  <c r="G20" i="6" a="1"/>
  <c r="G20" i="6" s="1"/>
  <c r="G21" i="6" s="1"/>
  <c r="D39" i="6" s="1"/>
  <c r="C33" i="6"/>
  <c r="D33" i="6" s="1"/>
  <c r="C32" i="6"/>
  <c r="D32" i="6" s="1"/>
  <c r="C29" i="6"/>
  <c r="D29" i="6" s="1"/>
  <c r="C30" i="6"/>
  <c r="D30" i="6" s="1"/>
  <c r="O7" i="21" l="1"/>
  <c r="O757" i="21"/>
  <c r="O532" i="21"/>
  <c r="O927" i="21"/>
  <c r="O267" i="21"/>
  <c r="O662" i="21"/>
  <c r="O661" i="21"/>
  <c r="O302" i="21"/>
  <c r="O796" i="21"/>
  <c r="O484" i="21"/>
  <c r="O172" i="21"/>
  <c r="O819" i="21"/>
  <c r="O459" i="21"/>
  <c r="O99" i="21"/>
  <c r="O734" i="21"/>
  <c r="O326" i="21"/>
  <c r="O865" i="21"/>
  <c r="O637" i="21"/>
  <c r="O64" i="21"/>
  <c r="O436" i="21"/>
  <c r="O112" i="21"/>
  <c r="O759" i="21"/>
  <c r="O375" i="21"/>
  <c r="O5" i="21"/>
  <c r="O614" i="21"/>
  <c r="O242" i="21"/>
  <c r="O712" i="21"/>
  <c r="O400" i="21"/>
  <c r="O723" i="21"/>
  <c r="O339" i="21"/>
  <c r="O962" i="21"/>
  <c r="O602" i="21"/>
  <c r="O230" i="21"/>
  <c r="O613" i="21"/>
  <c r="O988" i="21"/>
  <c r="O688" i="21"/>
  <c r="O364" i="21"/>
  <c r="O40" i="21"/>
  <c r="O687" i="21"/>
  <c r="O303" i="21"/>
  <c r="O950" i="21"/>
  <c r="O590" i="21"/>
  <c r="O182" i="21"/>
  <c r="O313" i="21"/>
  <c r="O952" i="21"/>
  <c r="O640" i="21"/>
  <c r="O328" i="21"/>
  <c r="O987" i="21"/>
  <c r="O639" i="21"/>
  <c r="O291" i="21"/>
  <c r="O926" i="21"/>
  <c r="O554" i="21"/>
  <c r="O110" i="21"/>
  <c r="O121" i="21"/>
  <c r="O770" i="21"/>
  <c r="O410" i="21"/>
  <c r="O925" i="21"/>
  <c r="O961" i="21"/>
  <c r="O337" i="21"/>
  <c r="O972" i="21"/>
  <c r="O841" i="21"/>
  <c r="O960" i="21"/>
  <c r="O900" i="21"/>
  <c r="O543" i="21"/>
  <c r="O195" i="21"/>
  <c r="O866" i="21"/>
  <c r="O518" i="21"/>
  <c r="O146" i="21"/>
  <c r="O733" i="21"/>
  <c r="O540" i="21"/>
  <c r="O26" i="21"/>
  <c r="O493" i="21"/>
  <c r="O349" i="21"/>
  <c r="I39" i="19"/>
  <c r="A42" i="19"/>
  <c r="I1" i="18" s="1"/>
  <c r="O892" i="21"/>
  <c r="O736" i="21"/>
  <c r="O580" i="21"/>
  <c r="O424" i="21"/>
  <c r="O268" i="21"/>
  <c r="O100" i="21"/>
  <c r="O915" i="21"/>
  <c r="O747" i="21"/>
  <c r="O579" i="21"/>
  <c r="O399" i="21"/>
  <c r="O231" i="21"/>
  <c r="O51" i="21"/>
  <c r="O890" i="21"/>
  <c r="O722" i="21"/>
  <c r="O542" i="21"/>
  <c r="O374" i="21"/>
  <c r="O170" i="21"/>
  <c r="O985" i="21"/>
  <c r="O805" i="21"/>
  <c r="O565" i="21"/>
  <c r="O193" i="21"/>
  <c r="O696" i="21"/>
  <c r="O880" i="21"/>
  <c r="O724" i="21"/>
  <c r="O568" i="21"/>
  <c r="O412" i="21"/>
  <c r="O256" i="21"/>
  <c r="O76" i="21"/>
  <c r="O903" i="21"/>
  <c r="O735" i="21"/>
  <c r="O555" i="21"/>
  <c r="O387" i="21"/>
  <c r="O207" i="21"/>
  <c r="O39" i="21"/>
  <c r="O878" i="21"/>
  <c r="O698" i="21"/>
  <c r="O530" i="21"/>
  <c r="O350" i="21"/>
  <c r="O158" i="21"/>
  <c r="O973" i="21"/>
  <c r="O781" i="21"/>
  <c r="O553" i="21"/>
  <c r="O169" i="21"/>
  <c r="O564" i="21"/>
  <c r="O1000" i="21"/>
  <c r="O856" i="21"/>
  <c r="O700" i="21"/>
  <c r="O544" i="21"/>
  <c r="O388" i="21"/>
  <c r="O220" i="21"/>
  <c r="O52" i="21"/>
  <c r="O879" i="21"/>
  <c r="O699" i="21"/>
  <c r="O531" i="21"/>
  <c r="O351" i="21"/>
  <c r="O183" i="21"/>
  <c r="O15" i="21"/>
  <c r="O842" i="21"/>
  <c r="O674" i="21"/>
  <c r="O494" i="21"/>
  <c r="O314" i="21"/>
  <c r="O122" i="21"/>
  <c r="O949" i="21"/>
  <c r="O745" i="21"/>
  <c r="O469" i="21"/>
  <c r="O97" i="21"/>
  <c r="O528" i="21"/>
  <c r="O457" i="21"/>
  <c r="O61" i="21"/>
  <c r="O72" i="21"/>
  <c r="O976" i="21"/>
  <c r="O832" i="21"/>
  <c r="O676" i="21"/>
  <c r="O508" i="21"/>
  <c r="O352" i="21"/>
  <c r="O196" i="21"/>
  <c r="O28" i="21"/>
  <c r="O843" i="21"/>
  <c r="O675" i="21"/>
  <c r="O495" i="21"/>
  <c r="O327" i="21"/>
  <c r="O159" i="21"/>
  <c r="O986" i="21"/>
  <c r="O818" i="21"/>
  <c r="O638" i="21"/>
  <c r="O470" i="21"/>
  <c r="O290" i="21"/>
  <c r="O98" i="21"/>
  <c r="O901" i="21"/>
  <c r="O721" i="21"/>
  <c r="O409" i="21"/>
  <c r="O49" i="21"/>
  <c r="O995" i="21"/>
  <c r="O964" i="21"/>
  <c r="O820" i="21"/>
  <c r="O652" i="21"/>
  <c r="O496" i="21"/>
  <c r="O340" i="21"/>
  <c r="O184" i="21"/>
  <c r="O16" i="21"/>
  <c r="O831" i="21"/>
  <c r="O663" i="21"/>
  <c r="O483" i="21"/>
  <c r="O315" i="21"/>
  <c r="O147" i="21"/>
  <c r="O974" i="21"/>
  <c r="O806" i="21"/>
  <c r="O626" i="21"/>
  <c r="O458" i="21"/>
  <c r="O266" i="21"/>
  <c r="O86" i="21"/>
  <c r="O889" i="21"/>
  <c r="O685" i="21"/>
  <c r="O385" i="21"/>
  <c r="O984" i="21"/>
  <c r="O971" i="21"/>
  <c r="O916" i="21"/>
  <c r="O760" i="21"/>
  <c r="O604" i="21"/>
  <c r="O448" i="21"/>
  <c r="O292" i="21"/>
  <c r="O124" i="21"/>
  <c r="O951" i="21"/>
  <c r="O771" i="21"/>
  <c r="O603" i="21"/>
  <c r="O435" i="21"/>
  <c r="O255" i="21"/>
  <c r="O87" i="21"/>
  <c r="O914" i="21"/>
  <c r="O746" i="21"/>
  <c r="O578" i="21"/>
  <c r="O398" i="21"/>
  <c r="O206" i="21"/>
  <c r="O14" i="21"/>
  <c r="O829" i="21"/>
  <c r="O589" i="21"/>
  <c r="O241" i="21"/>
  <c r="O840" i="21"/>
  <c r="O817" i="21"/>
  <c r="O577" i="21"/>
  <c r="O205" i="21"/>
  <c r="O828" i="21"/>
  <c r="O148" i="21"/>
  <c r="O999" i="21"/>
  <c r="O855" i="21"/>
  <c r="O711" i="21"/>
  <c r="O567" i="21"/>
  <c r="O423" i="21"/>
  <c r="O279" i="21"/>
  <c r="O135" i="21"/>
  <c r="O998" i="21"/>
  <c r="O854" i="21"/>
  <c r="O710" i="21"/>
  <c r="O566" i="21"/>
  <c r="O422" i="21"/>
  <c r="O278" i="21"/>
  <c r="O134" i="21"/>
  <c r="O997" i="21"/>
  <c r="O853" i="21"/>
  <c r="O709" i="21"/>
  <c r="O541" i="21"/>
  <c r="O277" i="21"/>
  <c r="O37" i="21"/>
  <c r="O744" i="21"/>
  <c r="O396" i="21"/>
  <c r="O791" i="21"/>
  <c r="O697" i="21"/>
  <c r="O505" i="21"/>
  <c r="O265" i="21"/>
  <c r="O996" i="21"/>
  <c r="O708" i="21"/>
  <c r="O348" i="21"/>
  <c r="O683" i="21"/>
  <c r="O264" i="21"/>
  <c r="O623" i="21"/>
  <c r="O684" i="21"/>
  <c r="O252" i="21"/>
  <c r="O599" i="21"/>
  <c r="O672" i="21"/>
  <c r="O204" i="21"/>
  <c r="O527" i="21"/>
  <c r="O808" i="21"/>
  <c r="O664" i="21"/>
  <c r="O520" i="21"/>
  <c r="O376" i="21"/>
  <c r="O232" i="21"/>
  <c r="O88" i="21"/>
  <c r="O939" i="21"/>
  <c r="O795" i="21"/>
  <c r="O651" i="21"/>
  <c r="O507" i="21"/>
  <c r="O363" i="21"/>
  <c r="O219" i="21"/>
  <c r="O75" i="21"/>
  <c r="O938" i="21"/>
  <c r="O794" i="21"/>
  <c r="O650" i="21"/>
  <c r="O506" i="21"/>
  <c r="O362" i="21"/>
  <c r="O218" i="21"/>
  <c r="O74" i="21"/>
  <c r="O937" i="21"/>
  <c r="O793" i="21"/>
  <c r="O625" i="21"/>
  <c r="O421" i="21"/>
  <c r="O181" i="21"/>
  <c r="O912" i="21"/>
  <c r="O600" i="21"/>
  <c r="O156" i="21"/>
  <c r="O299" i="21"/>
  <c r="O275" i="21"/>
  <c r="O338" i="21"/>
  <c r="O194" i="21"/>
  <c r="O50" i="21"/>
  <c r="O913" i="21"/>
  <c r="O769" i="21"/>
  <c r="O601" i="21"/>
  <c r="O397" i="21"/>
  <c r="O133" i="21"/>
  <c r="O852" i="21"/>
  <c r="O552" i="21"/>
  <c r="O60" i="21"/>
  <c r="O816" i="21"/>
  <c r="O456" i="21"/>
  <c r="O875" i="21"/>
  <c r="O768" i="21"/>
  <c r="O444" i="21"/>
  <c r="O815" i="21"/>
  <c r="O612" i="21"/>
  <c r="O276" i="21"/>
  <c r="O911" i="21"/>
  <c r="O407" i="21"/>
  <c r="O203" i="21"/>
  <c r="O192" i="21"/>
  <c r="O707" i="21"/>
  <c r="O155" i="21"/>
  <c r="O994" i="21"/>
  <c r="O649" i="21"/>
  <c r="O481" i="21"/>
  <c r="O253" i="21"/>
  <c r="O25" i="21"/>
  <c r="O756" i="21"/>
  <c r="O480" i="21"/>
  <c r="O96" i="21"/>
  <c r="O635" i="21"/>
  <c r="O970" i="21"/>
  <c r="O384" i="21"/>
  <c r="O983" i="21"/>
  <c r="O491" i="21"/>
  <c r="O443" i="21"/>
  <c r="O168" i="21"/>
  <c r="O827" i="21"/>
  <c r="O503" i="21"/>
  <c r="O131" i="21"/>
  <c r="O779" i="21"/>
  <c r="O419" i="21"/>
  <c r="O958" i="21"/>
  <c r="O838" i="21"/>
  <c r="O673" i="21"/>
  <c r="O529" i="21"/>
  <c r="O325" i="21"/>
  <c r="O109" i="21"/>
  <c r="O888" i="21"/>
  <c r="O624" i="21"/>
  <c r="O360" i="21"/>
  <c r="O12" i="21"/>
  <c r="O695" i="21"/>
  <c r="O395" i="21"/>
  <c r="O814" i="21"/>
  <c r="O311" i="21"/>
  <c r="O887" i="21"/>
  <c r="O587" i="21"/>
  <c r="O179" i="21"/>
  <c r="O778" i="21"/>
  <c r="O766" i="21"/>
  <c r="O517" i="21"/>
  <c r="O373" i="21"/>
  <c r="O229" i="21"/>
  <c r="O85" i="21"/>
  <c r="O948" i="21"/>
  <c r="O804" i="21"/>
  <c r="O660" i="21"/>
  <c r="O516" i="21"/>
  <c r="O336" i="21"/>
  <c r="O132" i="21"/>
  <c r="O959" i="21"/>
  <c r="O767" i="21"/>
  <c r="O563" i="21"/>
  <c r="O383" i="21"/>
  <c r="O107" i="21"/>
  <c r="O514" i="21"/>
  <c r="O361" i="21"/>
  <c r="O217" i="21"/>
  <c r="O73" i="21"/>
  <c r="O936" i="21"/>
  <c r="O792" i="21"/>
  <c r="O648" i="21"/>
  <c r="O504" i="21"/>
  <c r="O312" i="21"/>
  <c r="O120" i="21"/>
  <c r="O935" i="21"/>
  <c r="O743" i="21"/>
  <c r="O551" i="21"/>
  <c r="O359" i="21"/>
  <c r="O83" i="21"/>
  <c r="O430" i="21"/>
  <c r="O924" i="21"/>
  <c r="O780" i="21"/>
  <c r="O636" i="21"/>
  <c r="O492" i="21"/>
  <c r="O300" i="21"/>
  <c r="O108" i="21"/>
  <c r="O923" i="21"/>
  <c r="O731" i="21"/>
  <c r="O539" i="21"/>
  <c r="O335" i="21"/>
  <c r="O35" i="21"/>
  <c r="O418" i="21"/>
  <c r="O445" i="21"/>
  <c r="O301" i="21"/>
  <c r="O157" i="21"/>
  <c r="O13" i="21"/>
  <c r="O876" i="21"/>
  <c r="O732" i="21"/>
  <c r="O588" i="21"/>
  <c r="O420" i="21"/>
  <c r="O240" i="21"/>
  <c r="O48" i="21"/>
  <c r="O851" i="21"/>
  <c r="O671" i="21"/>
  <c r="O479" i="21"/>
  <c r="O251" i="21"/>
  <c r="O934" i="21"/>
  <c r="O433" i="21"/>
  <c r="O289" i="21"/>
  <c r="O145" i="21"/>
  <c r="O6" i="21"/>
  <c r="O864" i="21"/>
  <c r="O720" i="21"/>
  <c r="O576" i="21"/>
  <c r="O408" i="21"/>
  <c r="O216" i="21"/>
  <c r="O24" i="21"/>
  <c r="O839" i="21"/>
  <c r="O647" i="21"/>
  <c r="O455" i="21"/>
  <c r="O239" i="21"/>
  <c r="O886" i="21"/>
  <c r="O346" i="21"/>
  <c r="O178" i="21"/>
  <c r="O921" i="21"/>
  <c r="O117" i="21"/>
  <c r="O718" i="21"/>
  <c r="O71" i="21"/>
  <c r="O598" i="21"/>
  <c r="O21" i="23"/>
  <c r="O33" i="23"/>
  <c r="O45" i="23"/>
  <c r="O57" i="23"/>
  <c r="O69" i="23"/>
  <c r="O81" i="23"/>
  <c r="O93" i="23"/>
  <c r="O105" i="23"/>
  <c r="O117" i="23"/>
  <c r="O129" i="23"/>
  <c r="O141" i="23"/>
  <c r="O153" i="23"/>
  <c r="O165" i="23"/>
  <c r="O177" i="23"/>
  <c r="O189" i="23"/>
  <c r="O201" i="23"/>
  <c r="O213" i="23"/>
  <c r="O225" i="23"/>
  <c r="O237" i="23"/>
  <c r="O249" i="23"/>
  <c r="O261" i="23"/>
  <c r="O273" i="23"/>
  <c r="O285" i="23"/>
  <c r="O297" i="23"/>
  <c r="O309" i="23"/>
  <c r="O321" i="23"/>
  <c r="O333" i="23"/>
  <c r="O345" i="23"/>
  <c r="O357" i="23"/>
  <c r="O369" i="23"/>
  <c r="O381" i="23"/>
  <c r="O393" i="23"/>
  <c r="O405" i="23"/>
  <c r="O417" i="23"/>
  <c r="O429" i="23"/>
  <c r="O441" i="23"/>
  <c r="O453" i="23"/>
  <c r="O465" i="23"/>
  <c r="O477" i="23"/>
  <c r="O489" i="23"/>
  <c r="O501" i="23"/>
  <c r="O513" i="23"/>
  <c r="O525" i="23"/>
  <c r="O537" i="23"/>
  <c r="O549" i="23"/>
  <c r="O561" i="23"/>
  <c r="O573" i="23"/>
  <c r="O585" i="23"/>
  <c r="O597" i="23"/>
  <c r="O609" i="23"/>
  <c r="O621" i="23"/>
  <c r="O633" i="23"/>
  <c r="O645" i="23"/>
  <c r="O657" i="23"/>
  <c r="O669" i="23"/>
  <c r="O681" i="23"/>
  <c r="O693" i="23"/>
  <c r="O705" i="23"/>
  <c r="O717" i="23"/>
  <c r="O729" i="23"/>
  <c r="O741" i="23"/>
  <c r="O753" i="23"/>
  <c r="O765" i="23"/>
  <c r="O777" i="23"/>
  <c r="O789" i="23"/>
  <c r="O801" i="23"/>
  <c r="O813" i="23"/>
  <c r="O825" i="23"/>
  <c r="O837" i="23"/>
  <c r="O849" i="23"/>
  <c r="O861" i="23"/>
  <c r="O873" i="23"/>
  <c r="O885" i="23"/>
  <c r="O897" i="23"/>
  <c r="O909" i="23"/>
  <c r="O921" i="23"/>
  <c r="O933" i="23"/>
  <c r="O945" i="23"/>
  <c r="O957" i="23"/>
  <c r="O969" i="23"/>
  <c r="O981" i="23"/>
  <c r="O993" i="23"/>
  <c r="O1005" i="23"/>
  <c r="O10" i="23"/>
  <c r="O22" i="23"/>
  <c r="O34" i="23"/>
  <c r="O46" i="23"/>
  <c r="O58" i="23"/>
  <c r="O70" i="23"/>
  <c r="O82" i="23"/>
  <c r="O94" i="23"/>
  <c r="O106" i="23"/>
  <c r="O118" i="23"/>
  <c r="O130" i="23"/>
  <c r="O142" i="23"/>
  <c r="O154" i="23"/>
  <c r="O166" i="23"/>
  <c r="O178" i="23"/>
  <c r="O190" i="23"/>
  <c r="O202" i="23"/>
  <c r="O214" i="23"/>
  <c r="O226" i="23"/>
  <c r="O238" i="23"/>
  <c r="O250" i="23"/>
  <c r="O262" i="23"/>
  <c r="O274" i="23"/>
  <c r="O286" i="23"/>
  <c r="O298" i="23"/>
  <c r="O310" i="23"/>
  <c r="O322" i="23"/>
  <c r="O334" i="23"/>
  <c r="O346" i="23"/>
  <c r="O358" i="23"/>
  <c r="O370" i="23"/>
  <c r="O382" i="23"/>
  <c r="O394" i="23"/>
  <c r="O406" i="23"/>
  <c r="O418" i="23"/>
  <c r="O430" i="23"/>
  <c r="O442" i="23"/>
  <c r="O454" i="23"/>
  <c r="O466" i="23"/>
  <c r="O478" i="23"/>
  <c r="O490" i="23"/>
  <c r="O502" i="23"/>
  <c r="O514" i="23"/>
  <c r="O526" i="23"/>
  <c r="O538" i="23"/>
  <c r="O550" i="23"/>
  <c r="O562" i="23"/>
  <c r="O574" i="23"/>
  <c r="O586" i="23"/>
  <c r="O598" i="23"/>
  <c r="O610" i="23"/>
  <c r="O622" i="23"/>
  <c r="O634" i="23"/>
  <c r="O646" i="23"/>
  <c r="O658" i="23"/>
  <c r="O670" i="23"/>
  <c r="O682" i="23"/>
  <c r="O694" i="23"/>
  <c r="O706" i="23"/>
  <c r="O718" i="23"/>
  <c r="O730" i="23"/>
  <c r="O742" i="23"/>
  <c r="O754" i="23"/>
  <c r="O766" i="23"/>
  <c r="O778" i="23"/>
  <c r="O790" i="23"/>
  <c r="O802" i="23"/>
  <c r="O814" i="23"/>
  <c r="O826" i="23"/>
  <c r="O838" i="23"/>
  <c r="O850" i="23"/>
  <c r="O862" i="23"/>
  <c r="O874" i="23"/>
  <c r="O886" i="23"/>
  <c r="O898" i="23"/>
  <c r="O910" i="23"/>
  <c r="O922" i="23"/>
  <c r="O934" i="23"/>
  <c r="O946" i="23"/>
  <c r="O958" i="23"/>
  <c r="O970" i="23"/>
  <c r="O982" i="23"/>
  <c r="O994" i="23"/>
  <c r="O1006" i="23"/>
  <c r="O11" i="23"/>
  <c r="O23" i="23"/>
  <c r="O35" i="23"/>
  <c r="O47" i="23"/>
  <c r="O59" i="23"/>
  <c r="O71" i="23"/>
  <c r="O83" i="23"/>
  <c r="O95" i="23"/>
  <c r="O107" i="23"/>
  <c r="O119" i="23"/>
  <c r="O131" i="23"/>
  <c r="O143" i="23"/>
  <c r="O155" i="23"/>
  <c r="O167" i="23"/>
  <c r="O179" i="23"/>
  <c r="O191" i="23"/>
  <c r="O203" i="23"/>
  <c r="O215" i="23"/>
  <c r="O227" i="23"/>
  <c r="O239" i="23"/>
  <c r="O251" i="23"/>
  <c r="O263" i="23"/>
  <c r="O275" i="23"/>
  <c r="O287" i="23"/>
  <c r="O299" i="23"/>
  <c r="O311" i="23"/>
  <c r="O323" i="23"/>
  <c r="O335" i="23"/>
  <c r="O347" i="23"/>
  <c r="O359" i="23"/>
  <c r="O371" i="23"/>
  <c r="O383" i="23"/>
  <c r="O395" i="23"/>
  <c r="O407" i="23"/>
  <c r="O419" i="23"/>
  <c r="O431" i="23"/>
  <c r="O443" i="23"/>
  <c r="O455" i="23"/>
  <c r="O467" i="23"/>
  <c r="O479" i="23"/>
  <c r="O491" i="23"/>
  <c r="O503" i="23"/>
  <c r="O515" i="23"/>
  <c r="O527" i="23"/>
  <c r="O539" i="23"/>
  <c r="O551" i="23"/>
  <c r="O563" i="23"/>
  <c r="O575" i="23"/>
  <c r="O587" i="23"/>
  <c r="O599" i="23"/>
  <c r="O611" i="23"/>
  <c r="O623" i="23"/>
  <c r="O635" i="23"/>
  <c r="O647" i="23"/>
  <c r="O659" i="23"/>
  <c r="O671" i="23"/>
  <c r="O683" i="23"/>
  <c r="O695" i="23"/>
  <c r="O707" i="23"/>
  <c r="O719" i="23"/>
  <c r="O731" i="23"/>
  <c r="O743" i="23"/>
  <c r="O755" i="23"/>
  <c r="O767" i="23"/>
  <c r="O779" i="23"/>
  <c r="O791" i="23"/>
  <c r="O803" i="23"/>
  <c r="O815" i="23"/>
  <c r="O827" i="23"/>
  <c r="O839" i="23"/>
  <c r="O851" i="23"/>
  <c r="O863" i="23"/>
  <c r="O875" i="23"/>
  <c r="O887" i="23"/>
  <c r="O899" i="23"/>
  <c r="O911" i="23"/>
  <c r="O923" i="23"/>
  <c r="O935" i="23"/>
  <c r="O947" i="23"/>
  <c r="O959" i="23"/>
  <c r="O971" i="23"/>
  <c r="O983" i="23"/>
  <c r="O995" i="23"/>
  <c r="O9" i="23"/>
  <c r="O12" i="23"/>
  <c r="O24" i="23"/>
  <c r="O36" i="23"/>
  <c r="O48" i="23"/>
  <c r="O60" i="23"/>
  <c r="O72" i="23"/>
  <c r="O84" i="23"/>
  <c r="O96" i="23"/>
  <c r="O108" i="23"/>
  <c r="O120" i="23"/>
  <c r="O132" i="23"/>
  <c r="O144" i="23"/>
  <c r="O156" i="23"/>
  <c r="O168" i="23"/>
  <c r="O180" i="23"/>
  <c r="O192" i="23"/>
  <c r="O204" i="23"/>
  <c r="O216" i="23"/>
  <c r="O228" i="23"/>
  <c r="O240" i="23"/>
  <c r="O252" i="23"/>
  <c r="O264" i="23"/>
  <c r="O276" i="23"/>
  <c r="O288" i="23"/>
  <c r="O300" i="23"/>
  <c r="O312" i="23"/>
  <c r="O324" i="23"/>
  <c r="O336" i="23"/>
  <c r="O348" i="23"/>
  <c r="O360" i="23"/>
  <c r="O372" i="23"/>
  <c r="O384" i="23"/>
  <c r="O396" i="23"/>
  <c r="O408" i="23"/>
  <c r="O420" i="23"/>
  <c r="O432" i="23"/>
  <c r="O444" i="23"/>
  <c r="O456" i="23"/>
  <c r="O468" i="23"/>
  <c r="O480" i="23"/>
  <c r="O492" i="23"/>
  <c r="O504" i="23"/>
  <c r="O516" i="23"/>
  <c r="O528" i="23"/>
  <c r="O540" i="23"/>
  <c r="O552" i="23"/>
  <c r="O564" i="23"/>
  <c r="O576" i="23"/>
  <c r="O588" i="23"/>
  <c r="O600" i="23"/>
  <c r="O612" i="23"/>
  <c r="O624" i="23"/>
  <c r="O636" i="23"/>
  <c r="O648" i="23"/>
  <c r="O660" i="23"/>
  <c r="O672" i="23"/>
  <c r="O684" i="23"/>
  <c r="O696" i="23"/>
  <c r="O708" i="23"/>
  <c r="O720" i="23"/>
  <c r="O732" i="23"/>
  <c r="O744" i="23"/>
  <c r="O756" i="23"/>
  <c r="O768" i="23"/>
  <c r="O780" i="23"/>
  <c r="O792" i="23"/>
  <c r="O804" i="23"/>
  <c r="O816" i="23"/>
  <c r="O828" i="23"/>
  <c r="O840" i="23"/>
  <c r="O852" i="23"/>
  <c r="O864" i="23"/>
  <c r="O876" i="23"/>
  <c r="O888" i="23"/>
  <c r="O900" i="23"/>
  <c r="O912" i="23"/>
  <c r="O924" i="23"/>
  <c r="O936" i="23"/>
  <c r="O948" i="23"/>
  <c r="O960" i="23"/>
  <c r="O972" i="23"/>
  <c r="O984" i="23"/>
  <c r="O996" i="23"/>
  <c r="O13" i="23"/>
  <c r="O25" i="23"/>
  <c r="O37" i="23"/>
  <c r="O49" i="23"/>
  <c r="O61" i="23"/>
  <c r="O73" i="23"/>
  <c r="O85" i="23"/>
  <c r="O97" i="23"/>
  <c r="O109" i="23"/>
  <c r="O121" i="23"/>
  <c r="O133" i="23"/>
  <c r="O145" i="23"/>
  <c r="O157" i="23"/>
  <c r="O169" i="23"/>
  <c r="O181" i="23"/>
  <c r="O193" i="23"/>
  <c r="O205" i="23"/>
  <c r="O217" i="23"/>
  <c r="O229" i="23"/>
  <c r="O241" i="23"/>
  <c r="O253" i="23"/>
  <c r="O265" i="23"/>
  <c r="O277" i="23"/>
  <c r="O289" i="23"/>
  <c r="O301" i="23"/>
  <c r="O313" i="23"/>
  <c r="O325" i="23"/>
  <c r="O337" i="23"/>
  <c r="O349" i="23"/>
  <c r="O361" i="23"/>
  <c r="O373" i="23"/>
  <c r="O385" i="23"/>
  <c r="O397" i="23"/>
  <c r="O409" i="23"/>
  <c r="O421" i="23"/>
  <c r="O433" i="23"/>
  <c r="O445" i="23"/>
  <c r="O457" i="23"/>
  <c r="O469" i="23"/>
  <c r="O481" i="23"/>
  <c r="O493" i="23"/>
  <c r="O505" i="23"/>
  <c r="O517" i="23"/>
  <c r="O529" i="23"/>
  <c r="O541" i="23"/>
  <c r="O553" i="23"/>
  <c r="O565" i="23"/>
  <c r="O577" i="23"/>
  <c r="O589" i="23"/>
  <c r="O601" i="23"/>
  <c r="O613" i="23"/>
  <c r="O625" i="23"/>
  <c r="O637" i="23"/>
  <c r="O649" i="23"/>
  <c r="O661" i="23"/>
  <c r="O673" i="23"/>
  <c r="O685" i="23"/>
  <c r="O697" i="23"/>
  <c r="O709" i="23"/>
  <c r="O721" i="23"/>
  <c r="O733" i="23"/>
  <c r="O745" i="23"/>
  <c r="O757" i="23"/>
  <c r="O769" i="23"/>
  <c r="O781" i="23"/>
  <c r="O793" i="23"/>
  <c r="O805" i="23"/>
  <c r="O817" i="23"/>
  <c r="O829" i="23"/>
  <c r="O841" i="23"/>
  <c r="O853" i="23"/>
  <c r="O865" i="23"/>
  <c r="O877" i="23"/>
  <c r="O889" i="23"/>
  <c r="O901" i="23"/>
  <c r="O913" i="23"/>
  <c r="O925" i="23"/>
  <c r="O937" i="23"/>
  <c r="O949" i="23"/>
  <c r="O961" i="23"/>
  <c r="O973" i="23"/>
  <c r="O985" i="23"/>
  <c r="O997" i="23"/>
  <c r="O14" i="23"/>
  <c r="O26" i="23"/>
  <c r="O38" i="23"/>
  <c r="O50" i="23"/>
  <c r="O62" i="23"/>
  <c r="O74" i="23"/>
  <c r="O86" i="23"/>
  <c r="O98" i="23"/>
  <c r="O110" i="23"/>
  <c r="O122" i="23"/>
  <c r="O134" i="23"/>
  <c r="O146" i="23"/>
  <c r="O158" i="23"/>
  <c r="O170" i="23"/>
  <c r="O182" i="23"/>
  <c r="O194" i="23"/>
  <c r="O206" i="23"/>
  <c r="O218" i="23"/>
  <c r="O230" i="23"/>
  <c r="O242" i="23"/>
  <c r="O254" i="23"/>
  <c r="O266" i="23"/>
  <c r="O278" i="23"/>
  <c r="O290" i="23"/>
  <c r="O302" i="23"/>
  <c r="O314" i="23"/>
  <c r="O326" i="23"/>
  <c r="O338" i="23"/>
  <c r="O350" i="23"/>
  <c r="O362" i="23"/>
  <c r="O374" i="23"/>
  <c r="O386" i="23"/>
  <c r="O398" i="23"/>
  <c r="O410" i="23"/>
  <c r="O422" i="23"/>
  <c r="O434" i="23"/>
  <c r="O446" i="23"/>
  <c r="O458" i="23"/>
  <c r="O470" i="23"/>
  <c r="O482" i="23"/>
  <c r="O494" i="23"/>
  <c r="O506" i="23"/>
  <c r="O518" i="23"/>
  <c r="O530" i="23"/>
  <c r="O542" i="23"/>
  <c r="O554" i="23"/>
  <c r="O566" i="23"/>
  <c r="O578" i="23"/>
  <c r="O590" i="23"/>
  <c r="O602" i="23"/>
  <c r="O614" i="23"/>
  <c r="O626" i="23"/>
  <c r="O638" i="23"/>
  <c r="O650" i="23"/>
  <c r="O662" i="23"/>
  <c r="O674" i="23"/>
  <c r="O686" i="23"/>
  <c r="O698" i="23"/>
  <c r="O710" i="23"/>
  <c r="O722" i="23"/>
  <c r="O734" i="23"/>
  <c r="O746" i="23"/>
  <c r="O758" i="23"/>
  <c r="O770" i="23"/>
  <c r="O782" i="23"/>
  <c r="O794" i="23"/>
  <c r="O806" i="23"/>
  <c r="O818" i="23"/>
  <c r="O830" i="23"/>
  <c r="O842" i="23"/>
  <c r="O854" i="23"/>
  <c r="O866" i="23"/>
  <c r="O878" i="23"/>
  <c r="O890" i="23"/>
  <c r="O902" i="23"/>
  <c r="O914" i="23"/>
  <c r="O926" i="23"/>
  <c r="O938" i="23"/>
  <c r="O950" i="23"/>
  <c r="O962" i="23"/>
  <c r="O974" i="23"/>
  <c r="O986" i="23"/>
  <c r="O998" i="23"/>
  <c r="O15" i="23"/>
  <c r="O27" i="23"/>
  <c r="O39" i="23"/>
  <c r="O51" i="23"/>
  <c r="O63" i="23"/>
  <c r="O75" i="23"/>
  <c r="O87" i="23"/>
  <c r="O99" i="23"/>
  <c r="O111" i="23"/>
  <c r="O123" i="23"/>
  <c r="O135" i="23"/>
  <c r="O147" i="23"/>
  <c r="O159" i="23"/>
  <c r="O171" i="23"/>
  <c r="O183" i="23"/>
  <c r="O195" i="23"/>
  <c r="O207" i="23"/>
  <c r="O219" i="23"/>
  <c r="O231" i="23"/>
  <c r="O243" i="23"/>
  <c r="O255" i="23"/>
  <c r="O267" i="23"/>
  <c r="O279" i="23"/>
  <c r="O291" i="23"/>
  <c r="O303" i="23"/>
  <c r="O315" i="23"/>
  <c r="O327" i="23"/>
  <c r="O339" i="23"/>
  <c r="O351" i="23"/>
  <c r="O363" i="23"/>
  <c r="O375" i="23"/>
  <c r="O387" i="23"/>
  <c r="O399" i="23"/>
  <c r="O411" i="23"/>
  <c r="O423" i="23"/>
  <c r="O435" i="23"/>
  <c r="O447" i="23"/>
  <c r="O459" i="23"/>
  <c r="O471" i="23"/>
  <c r="O483" i="23"/>
  <c r="O495" i="23"/>
  <c r="O507" i="23"/>
  <c r="O519" i="23"/>
  <c r="O531" i="23"/>
  <c r="O543" i="23"/>
  <c r="O555" i="23"/>
  <c r="O567" i="23"/>
  <c r="O579" i="23"/>
  <c r="O591" i="23"/>
  <c r="O603" i="23"/>
  <c r="O615" i="23"/>
  <c r="O627" i="23"/>
  <c r="O639" i="23"/>
  <c r="O651" i="23"/>
  <c r="O663" i="23"/>
  <c r="O675" i="23"/>
  <c r="O687" i="23"/>
  <c r="O699" i="23"/>
  <c r="O711" i="23"/>
  <c r="O723" i="23"/>
  <c r="O735" i="23"/>
  <c r="O747" i="23"/>
  <c r="O759" i="23"/>
  <c r="O771" i="23"/>
  <c r="O783" i="23"/>
  <c r="O795" i="23"/>
  <c r="O807" i="23"/>
  <c r="O819" i="23"/>
  <c r="O831" i="23"/>
  <c r="O843" i="23"/>
  <c r="O855" i="23"/>
  <c r="O867" i="23"/>
  <c r="O879" i="23"/>
  <c r="O891" i="23"/>
  <c r="O903" i="23"/>
  <c r="O915" i="23"/>
  <c r="O927" i="23"/>
  <c r="O939" i="23"/>
  <c r="O951" i="23"/>
  <c r="O963" i="23"/>
  <c r="O975" i="23"/>
  <c r="O987" i="23"/>
  <c r="O999" i="23"/>
  <c r="O16" i="23"/>
  <c r="O28" i="23"/>
  <c r="O40" i="23"/>
  <c r="O52" i="23"/>
  <c r="O64" i="23"/>
  <c r="O76" i="23"/>
  <c r="O88" i="23"/>
  <c r="O100" i="23"/>
  <c r="O112" i="23"/>
  <c r="O124" i="23"/>
  <c r="O136" i="23"/>
  <c r="O148" i="23"/>
  <c r="O160" i="23"/>
  <c r="O172" i="23"/>
  <c r="O184" i="23"/>
  <c r="O196" i="23"/>
  <c r="O208" i="23"/>
  <c r="O220" i="23"/>
  <c r="O232" i="23"/>
  <c r="O244" i="23"/>
  <c r="O256" i="23"/>
  <c r="O268" i="23"/>
  <c r="O280" i="23"/>
  <c r="O292" i="23"/>
  <c r="O304" i="23"/>
  <c r="O316" i="23"/>
  <c r="O328" i="23"/>
  <c r="O340" i="23"/>
  <c r="O352" i="23"/>
  <c r="O364" i="23"/>
  <c r="O376" i="23"/>
  <c r="O388" i="23"/>
  <c r="O400" i="23"/>
  <c r="O412" i="23"/>
  <c r="O424" i="23"/>
  <c r="O436" i="23"/>
  <c r="O448" i="23"/>
  <c r="O460" i="23"/>
  <c r="O472" i="23"/>
  <c r="O484" i="23"/>
  <c r="O496" i="23"/>
  <c r="O508" i="23"/>
  <c r="O520" i="23"/>
  <c r="O532" i="23"/>
  <c r="O544" i="23"/>
  <c r="O556" i="23"/>
  <c r="O568" i="23"/>
  <c r="O580" i="23"/>
  <c r="O592" i="23"/>
  <c r="O604" i="23"/>
  <c r="O616" i="23"/>
  <c r="O628" i="23"/>
  <c r="O640" i="23"/>
  <c r="O652" i="23"/>
  <c r="O664" i="23"/>
  <c r="O676" i="23"/>
  <c r="O688" i="23"/>
  <c r="O700" i="23"/>
  <c r="O712" i="23"/>
  <c r="O724" i="23"/>
  <c r="O736" i="23"/>
  <c r="O748" i="23"/>
  <c r="O760" i="23"/>
  <c r="O772" i="23"/>
  <c r="O784" i="23"/>
  <c r="O796" i="23"/>
  <c r="O808" i="23"/>
  <c r="O820" i="23"/>
  <c r="O832" i="23"/>
  <c r="O844" i="23"/>
  <c r="O856" i="23"/>
  <c r="O868" i="23"/>
  <c r="O880" i="23"/>
  <c r="O892" i="23"/>
  <c r="O904" i="23"/>
  <c r="O916" i="23"/>
  <c r="O928" i="23"/>
  <c r="O940" i="23"/>
  <c r="O952" i="23"/>
  <c r="O964" i="23"/>
  <c r="O976" i="23"/>
  <c r="O988" i="23"/>
  <c r="O1000" i="23"/>
  <c r="O6" i="23"/>
  <c r="O17" i="23"/>
  <c r="O29" i="23"/>
  <c r="O41" i="23"/>
  <c r="O53" i="23"/>
  <c r="O65" i="23"/>
  <c r="O77" i="23"/>
  <c r="O89" i="23"/>
  <c r="O101" i="23"/>
  <c r="O113" i="23"/>
  <c r="O125" i="23"/>
  <c r="O137" i="23"/>
  <c r="O149" i="23"/>
  <c r="O161" i="23"/>
  <c r="O173" i="23"/>
  <c r="O185" i="23"/>
  <c r="O197" i="23"/>
  <c r="O209" i="23"/>
  <c r="O221" i="23"/>
  <c r="O233" i="23"/>
  <c r="O245" i="23"/>
  <c r="O257" i="23"/>
  <c r="O269" i="23"/>
  <c r="O281" i="23"/>
  <c r="O293" i="23"/>
  <c r="O305" i="23"/>
  <c r="O317" i="23"/>
  <c r="O329" i="23"/>
  <c r="O341" i="23"/>
  <c r="O353" i="23"/>
  <c r="O365" i="23"/>
  <c r="O377" i="23"/>
  <c r="O389" i="23"/>
  <c r="O401" i="23"/>
  <c r="O413" i="23"/>
  <c r="O425" i="23"/>
  <c r="O437" i="23"/>
  <c r="O449" i="23"/>
  <c r="O461" i="23"/>
  <c r="O473" i="23"/>
  <c r="O485" i="23"/>
  <c r="O497" i="23"/>
  <c r="O509" i="23"/>
  <c r="O521" i="23"/>
  <c r="O533" i="23"/>
  <c r="O545" i="23"/>
  <c r="O557" i="23"/>
  <c r="O569" i="23"/>
  <c r="O581" i="23"/>
  <c r="O593" i="23"/>
  <c r="O605" i="23"/>
  <c r="O617" i="23"/>
  <c r="O629" i="23"/>
  <c r="O641" i="23"/>
  <c r="O653" i="23"/>
  <c r="O665" i="23"/>
  <c r="O677" i="23"/>
  <c r="O689" i="23"/>
  <c r="O701" i="23"/>
  <c r="O713" i="23"/>
  <c r="O725" i="23"/>
  <c r="O737" i="23"/>
  <c r="O749" i="23"/>
  <c r="O761" i="23"/>
  <c r="O773" i="23"/>
  <c r="O785" i="23"/>
  <c r="O797" i="23"/>
  <c r="O809" i="23"/>
  <c r="O821" i="23"/>
  <c r="O833" i="23"/>
  <c r="O845" i="23"/>
  <c r="O857" i="23"/>
  <c r="O869" i="23"/>
  <c r="O881" i="23"/>
  <c r="O893" i="23"/>
  <c r="O905" i="23"/>
  <c r="O917" i="23"/>
  <c r="O929" i="23"/>
  <c r="O941" i="23"/>
  <c r="O953" i="23"/>
  <c r="O965" i="23"/>
  <c r="O977" i="23"/>
  <c r="O989" i="23"/>
  <c r="O1001" i="23"/>
  <c r="O7" i="23"/>
  <c r="O18" i="23"/>
  <c r="O30" i="23"/>
  <c r="O42" i="23"/>
  <c r="O54" i="23"/>
  <c r="O66" i="23"/>
  <c r="O78" i="23"/>
  <c r="O90" i="23"/>
  <c r="O102" i="23"/>
  <c r="O114" i="23"/>
  <c r="O126" i="23"/>
  <c r="O138" i="23"/>
  <c r="O150" i="23"/>
  <c r="O162" i="23"/>
  <c r="O174" i="23"/>
  <c r="O186" i="23"/>
  <c r="O198" i="23"/>
  <c r="O210" i="23"/>
  <c r="O222" i="23"/>
  <c r="O234" i="23"/>
  <c r="O246" i="23"/>
  <c r="O258" i="23"/>
  <c r="O270" i="23"/>
  <c r="O282" i="23"/>
  <c r="O294" i="23"/>
  <c r="O306" i="23"/>
  <c r="O318" i="23"/>
  <c r="O330" i="23"/>
  <c r="O342" i="23"/>
  <c r="O354" i="23"/>
  <c r="O366" i="23"/>
  <c r="O378" i="23"/>
  <c r="O390" i="23"/>
  <c r="O402" i="23"/>
  <c r="O414" i="23"/>
  <c r="O426" i="23"/>
  <c r="O438" i="23"/>
  <c r="O450" i="23"/>
  <c r="O462" i="23"/>
  <c r="O474" i="23"/>
  <c r="O486" i="23"/>
  <c r="O498" i="23"/>
  <c r="O510" i="23"/>
  <c r="O522" i="23"/>
  <c r="O534" i="23"/>
  <c r="O546" i="23"/>
  <c r="O558" i="23"/>
  <c r="O570" i="23"/>
  <c r="O582" i="23"/>
  <c r="O594" i="23"/>
  <c r="O606" i="23"/>
  <c r="O618" i="23"/>
  <c r="O630" i="23"/>
  <c r="O642" i="23"/>
  <c r="O654" i="23"/>
  <c r="O666" i="23"/>
  <c r="O678" i="23"/>
  <c r="O690" i="23"/>
  <c r="O702" i="23"/>
  <c r="O714" i="23"/>
  <c r="O726" i="23"/>
  <c r="O738" i="23"/>
  <c r="O750" i="23"/>
  <c r="O762" i="23"/>
  <c r="O774" i="23"/>
  <c r="O786" i="23"/>
  <c r="O798" i="23"/>
  <c r="O810" i="23"/>
  <c r="O822" i="23"/>
  <c r="O834" i="23"/>
  <c r="O846" i="23"/>
  <c r="O858" i="23"/>
  <c r="O870" i="23"/>
  <c r="O882" i="23"/>
  <c r="O894" i="23"/>
  <c r="O906" i="23"/>
  <c r="O918" i="23"/>
  <c r="O930" i="23"/>
  <c r="O942" i="23"/>
  <c r="O954" i="23"/>
  <c r="O966" i="23"/>
  <c r="O978" i="23"/>
  <c r="O990" i="23"/>
  <c r="O1002" i="23"/>
  <c r="O19" i="23"/>
  <c r="O31" i="23"/>
  <c r="O43" i="23"/>
  <c r="O55" i="23"/>
  <c r="O67" i="23"/>
  <c r="O79" i="23"/>
  <c r="O91" i="23"/>
  <c r="O103" i="23"/>
  <c r="O115" i="23"/>
  <c r="O127" i="23"/>
  <c r="O139" i="23"/>
  <c r="O151" i="23"/>
  <c r="O163" i="23"/>
  <c r="O175" i="23"/>
  <c r="O187" i="23"/>
  <c r="O199" i="23"/>
  <c r="O211" i="23"/>
  <c r="O223" i="23"/>
  <c r="O235" i="23"/>
  <c r="O247" i="23"/>
  <c r="O259" i="23"/>
  <c r="O271" i="23"/>
  <c r="O283" i="23"/>
  <c r="O295" i="23"/>
  <c r="O307" i="23"/>
  <c r="O319" i="23"/>
  <c r="O331" i="23"/>
  <c r="O343" i="23"/>
  <c r="O355" i="23"/>
  <c r="O367" i="23"/>
  <c r="O379" i="23"/>
  <c r="O391" i="23"/>
  <c r="O403" i="23"/>
  <c r="O415" i="23"/>
  <c r="O427" i="23"/>
  <c r="O439" i="23"/>
  <c r="O451" i="23"/>
  <c r="O463" i="23"/>
  <c r="O475" i="23"/>
  <c r="O487" i="23"/>
  <c r="O499" i="23"/>
  <c r="O511" i="23"/>
  <c r="O523" i="23"/>
  <c r="O535" i="23"/>
  <c r="O547" i="23"/>
  <c r="O559" i="23"/>
  <c r="O571" i="23"/>
  <c r="O583" i="23"/>
  <c r="O595" i="23"/>
  <c r="O607" i="23"/>
  <c r="O619" i="23"/>
  <c r="O631" i="23"/>
  <c r="O643" i="23"/>
  <c r="O655" i="23"/>
  <c r="O667" i="23"/>
  <c r="O679" i="23"/>
  <c r="O691" i="23"/>
  <c r="O703" i="23"/>
  <c r="O715" i="23"/>
  <c r="O727" i="23"/>
  <c r="O739" i="23"/>
  <c r="O751" i="23"/>
  <c r="O763" i="23"/>
  <c r="O775" i="23"/>
  <c r="O787" i="23"/>
  <c r="O799" i="23"/>
  <c r="O811" i="23"/>
  <c r="O823" i="23"/>
  <c r="O835" i="23"/>
  <c r="O847" i="23"/>
  <c r="O859" i="23"/>
  <c r="O871" i="23"/>
  <c r="O883" i="23"/>
  <c r="O895" i="23"/>
  <c r="O907" i="23"/>
  <c r="O919" i="23"/>
  <c r="O931" i="23"/>
  <c r="O943" i="23"/>
  <c r="O955" i="23"/>
  <c r="O967" i="23"/>
  <c r="O979" i="23"/>
  <c r="O991" i="23"/>
  <c r="O1003" i="23"/>
  <c r="O20" i="23"/>
  <c r="O32" i="23"/>
  <c r="O44" i="23"/>
  <c r="O56" i="23"/>
  <c r="O68" i="23"/>
  <c r="O80" i="23"/>
  <c r="O92" i="23"/>
  <c r="O104" i="23"/>
  <c r="O116" i="23"/>
  <c r="O128" i="23"/>
  <c r="O140" i="23"/>
  <c r="O152" i="23"/>
  <c r="O164" i="23"/>
  <c r="O176" i="23"/>
  <c r="O188" i="23"/>
  <c r="O200" i="23"/>
  <c r="O212" i="23"/>
  <c r="O224" i="23"/>
  <c r="O236" i="23"/>
  <c r="O248" i="23"/>
  <c r="O260" i="23"/>
  <c r="O272" i="23"/>
  <c r="O284" i="23"/>
  <c r="O296" i="23"/>
  <c r="O308" i="23"/>
  <c r="O320" i="23"/>
  <c r="O332" i="23"/>
  <c r="O344" i="23"/>
  <c r="O356" i="23"/>
  <c r="O368" i="23"/>
  <c r="O380" i="23"/>
  <c r="O392" i="23"/>
  <c r="O404" i="23"/>
  <c r="O416" i="23"/>
  <c r="O428" i="23"/>
  <c r="O440" i="23"/>
  <c r="O452" i="23"/>
  <c r="O464" i="23"/>
  <c r="O476" i="23"/>
  <c r="O488" i="23"/>
  <c r="O500" i="23"/>
  <c r="O512" i="23"/>
  <c r="O524" i="23"/>
  <c r="O536" i="23"/>
  <c r="O548" i="23"/>
  <c r="O560" i="23"/>
  <c r="O572" i="23"/>
  <c r="O584" i="23"/>
  <c r="O596" i="23"/>
  <c r="O608" i="23"/>
  <c r="O620" i="23"/>
  <c r="O632" i="23"/>
  <c r="O644" i="23"/>
  <c r="O656" i="23"/>
  <c r="O668" i="23"/>
  <c r="O680" i="23"/>
  <c r="O692" i="23"/>
  <c r="O704" i="23"/>
  <c r="O716" i="23"/>
  <c r="O728" i="23"/>
  <c r="O740" i="23"/>
  <c r="O752" i="23"/>
  <c r="O764" i="23"/>
  <c r="O776" i="23"/>
  <c r="O788" i="23"/>
  <c r="O800" i="23"/>
  <c r="O812" i="23"/>
  <c r="O824" i="23"/>
  <c r="O836" i="23"/>
  <c r="O848" i="23"/>
  <c r="O860" i="23"/>
  <c r="O872" i="23"/>
  <c r="O884" i="23"/>
  <c r="O896" i="23"/>
  <c r="O908" i="23"/>
  <c r="O920" i="23"/>
  <c r="O932" i="23"/>
  <c r="O944" i="23"/>
  <c r="O956" i="23"/>
  <c r="O968" i="23"/>
  <c r="O980" i="23"/>
  <c r="O992" i="23"/>
  <c r="O1004" i="23"/>
  <c r="O5" i="23"/>
  <c r="O263" i="21"/>
  <c r="O95" i="21"/>
  <c r="O922" i="21"/>
  <c r="O706" i="21"/>
  <c r="O250" i="21"/>
  <c r="O898" i="21"/>
  <c r="O658" i="21"/>
  <c r="O226" i="21"/>
  <c r="O372" i="21"/>
  <c r="O228" i="21"/>
  <c r="O84" i="21"/>
  <c r="O947" i="21"/>
  <c r="O803" i="21"/>
  <c r="O659" i="21"/>
  <c r="O515" i="21"/>
  <c r="O371" i="21"/>
  <c r="O227" i="21"/>
  <c r="O47" i="21"/>
  <c r="O874" i="21"/>
  <c r="O586" i="21"/>
  <c r="O154" i="21"/>
  <c r="O574" i="21"/>
  <c r="O142" i="21"/>
  <c r="O347" i="21"/>
  <c r="O191" i="21"/>
  <c r="O11" i="21"/>
  <c r="O826" i="21"/>
  <c r="O538" i="21"/>
  <c r="O1005" i="21"/>
  <c r="O468" i="21"/>
  <c r="O324" i="21"/>
  <c r="O180" i="21"/>
  <c r="O36" i="21"/>
  <c r="O899" i="21"/>
  <c r="O755" i="21"/>
  <c r="O611" i="21"/>
  <c r="O467" i="21"/>
  <c r="O323" i="21"/>
  <c r="O167" i="21"/>
  <c r="O982" i="21"/>
  <c r="O802" i="21"/>
  <c r="O490" i="21"/>
  <c r="O537" i="21"/>
  <c r="O432" i="21"/>
  <c r="O288" i="21"/>
  <c r="O144" i="21"/>
  <c r="O9" i="21"/>
  <c r="O863" i="21"/>
  <c r="O719" i="21"/>
  <c r="O575" i="21"/>
  <c r="O431" i="21"/>
  <c r="O287" i="21"/>
  <c r="O119" i="21"/>
  <c r="O946" i="21"/>
  <c r="O742" i="21"/>
  <c r="O394" i="21"/>
  <c r="O969" i="21"/>
  <c r="O897" i="21"/>
  <c r="O873" i="21"/>
  <c r="O634" i="21"/>
  <c r="O310" i="21"/>
  <c r="O801" i="21"/>
  <c r="O23" i="21"/>
  <c r="O850" i="21"/>
  <c r="O610" i="21"/>
  <c r="O298" i="21"/>
  <c r="O741" i="21"/>
  <c r="O705" i="21"/>
  <c r="O609" i="21"/>
  <c r="O993" i="21"/>
  <c r="O585" i="21"/>
  <c r="O215" i="21"/>
  <c r="O59" i="21"/>
  <c r="O910" i="21"/>
  <c r="O730" i="21"/>
  <c r="O454" i="21"/>
  <c r="O130" i="21"/>
  <c r="O561" i="21"/>
  <c r="D35" i="6"/>
  <c r="O417" i="21"/>
  <c r="O466" i="21"/>
  <c r="O202" i="21"/>
  <c r="O885" i="21"/>
  <c r="O393" i="21"/>
  <c r="O369" i="21"/>
  <c r="O143" i="21"/>
  <c r="O1006" i="21"/>
  <c r="O862" i="21"/>
  <c r="O682" i="21"/>
  <c r="O442" i="21"/>
  <c r="O166" i="21"/>
  <c r="O825" i="21"/>
  <c r="O321" i="21"/>
  <c r="O153" i="21"/>
  <c r="O370" i="21"/>
  <c r="O58" i="21"/>
  <c r="O681" i="21"/>
  <c r="O82" i="21"/>
  <c r="O729" i="21"/>
  <c r="O297" i="21"/>
  <c r="O633" i="21"/>
  <c r="O189" i="21"/>
  <c r="O754" i="21"/>
  <c r="O562" i="21"/>
  <c r="O322" i="21"/>
  <c r="O106" i="21"/>
  <c r="O861" i="21"/>
  <c r="O573" i="21"/>
  <c r="O141" i="21"/>
  <c r="O20" i="21"/>
  <c r="O286" i="21"/>
  <c r="O22" i="21"/>
  <c r="O777" i="21"/>
  <c r="O513" i="21"/>
  <c r="O10" i="21"/>
  <c r="O753" i="21"/>
  <c r="O465" i="21"/>
  <c r="O78" i="21"/>
  <c r="O489" i="21"/>
  <c r="O33" i="21"/>
  <c r="O836" i="21"/>
  <c r="O945" i="21"/>
  <c r="O717" i="21"/>
  <c r="O429" i="21"/>
  <c r="O668" i="21"/>
  <c r="O129" i="21"/>
  <c r="O728" i="21"/>
  <c r="O274" i="21"/>
  <c r="O34" i="21"/>
  <c r="O849" i="21"/>
  <c r="O597" i="21"/>
  <c r="O345" i="21"/>
  <c r="O200" i="21"/>
  <c r="O273" i="21"/>
  <c r="O1003" i="21"/>
  <c r="O105" i="21"/>
  <c r="O943" i="21"/>
  <c r="O883" i="21"/>
  <c r="O285" i="21"/>
  <c r="O956" i="21"/>
  <c r="O378" i="21"/>
  <c r="O261" i="21"/>
  <c r="O812" i="21"/>
  <c r="O509" i="21"/>
  <c r="O453" i="21"/>
  <c r="O237" i="21"/>
  <c r="O800" i="21"/>
  <c r="O657" i="21"/>
  <c r="O441" i="21"/>
  <c r="O213" i="21"/>
  <c r="O752" i="21"/>
  <c r="O463" i="21"/>
  <c r="O670" i="21"/>
  <c r="O526" i="21"/>
  <c r="O382" i="21"/>
  <c r="O238" i="21"/>
  <c r="O94" i="21"/>
  <c r="O957" i="21"/>
  <c r="O813" i="21"/>
  <c r="O669" i="21"/>
  <c r="O525" i="21"/>
  <c r="O381" i="21"/>
  <c r="O225" i="21"/>
  <c r="O21" i="21"/>
  <c r="O584" i="21"/>
  <c r="O163" i="21"/>
  <c r="O536" i="21"/>
  <c r="O91" i="21"/>
  <c r="O790" i="21"/>
  <c r="O646" i="21"/>
  <c r="O502" i="21"/>
  <c r="O358" i="21"/>
  <c r="O214" i="21"/>
  <c r="O70" i="21"/>
  <c r="O933" i="21"/>
  <c r="O789" i="21"/>
  <c r="O645" i="21"/>
  <c r="O501" i="21"/>
  <c r="O357" i="21"/>
  <c r="O201" i="21"/>
  <c r="O944" i="21"/>
  <c r="O464" i="21"/>
  <c r="O870" i="21"/>
  <c r="O920" i="21"/>
  <c r="O368" i="21"/>
  <c r="O822" i="21"/>
  <c r="O622" i="21"/>
  <c r="O478" i="21"/>
  <c r="O334" i="21"/>
  <c r="O190" i="21"/>
  <c r="O46" i="21"/>
  <c r="O909" i="21"/>
  <c r="O765" i="21"/>
  <c r="O621" i="21"/>
  <c r="O477" i="21"/>
  <c r="O333" i="21"/>
  <c r="O177" i="21"/>
  <c r="O884" i="21"/>
  <c r="O260" i="21"/>
  <c r="O666" i="21"/>
  <c r="O450" i="21"/>
  <c r="O694" i="21"/>
  <c r="O550" i="21"/>
  <c r="O406" i="21"/>
  <c r="O262" i="21"/>
  <c r="O118" i="21"/>
  <c r="O981" i="21"/>
  <c r="O837" i="21"/>
  <c r="O693" i="21"/>
  <c r="O549" i="21"/>
  <c r="O405" i="21"/>
  <c r="O249" i="21"/>
  <c r="O45" i="21"/>
  <c r="O692" i="21"/>
  <c r="O739" i="21"/>
  <c r="O667" i="21"/>
  <c r="O869" i="21"/>
  <c r="O309" i="21"/>
  <c r="O165" i="21"/>
  <c r="O896" i="21"/>
  <c r="O452" i="21"/>
  <c r="O451" i="21"/>
  <c r="O404" i="21"/>
  <c r="O319" i="21"/>
  <c r="O54" i="21"/>
  <c r="O704" i="21"/>
  <c r="O440" i="21"/>
  <c r="O967" i="21"/>
  <c r="O403" i="21"/>
  <c r="O786" i="21"/>
  <c r="O1001" i="21"/>
  <c r="O379" i="21"/>
  <c r="O774" i="21"/>
  <c r="O965" i="21"/>
  <c r="O69" i="21"/>
  <c r="O872" i="21"/>
  <c r="O632" i="21"/>
  <c r="O320" i="21"/>
  <c r="O799" i="21"/>
  <c r="O223" i="21"/>
  <c r="O534" i="21"/>
  <c r="O725" i="21"/>
  <c r="O57" i="21"/>
  <c r="O848" i="21"/>
  <c r="O620" i="21"/>
  <c r="O272" i="21"/>
  <c r="O751" i="21"/>
  <c r="O175" i="21"/>
  <c r="O486" i="21"/>
  <c r="O653" i="21"/>
  <c r="O605" i="21"/>
  <c r="O548" i="21"/>
  <c r="O236" i="21"/>
  <c r="O691" i="21"/>
  <c r="O115" i="21"/>
  <c r="O390" i="21"/>
  <c r="O521" i="21"/>
  <c r="O980" i="21"/>
  <c r="O776" i="21"/>
  <c r="O524" i="21"/>
  <c r="O152" i="21"/>
  <c r="O607" i="21"/>
  <c r="O31" i="21"/>
  <c r="O294" i="21"/>
  <c r="O968" i="21"/>
  <c r="O764" i="21"/>
  <c r="O488" i="21"/>
  <c r="O56" i="21"/>
  <c r="O511" i="21"/>
  <c r="O930" i="21"/>
  <c r="O150" i="21"/>
  <c r="O188" i="21"/>
  <c r="O931" i="21"/>
  <c r="O655" i="21"/>
  <c r="O367" i="21"/>
  <c r="O79" i="21"/>
  <c r="O738" i="21"/>
  <c r="O354" i="21"/>
  <c r="O941" i="21"/>
  <c r="O377" i="21"/>
  <c r="O176" i="21"/>
  <c r="O907" i="21"/>
  <c r="O643" i="21"/>
  <c r="O355" i="21"/>
  <c r="O67" i="21"/>
  <c r="O678" i="21"/>
  <c r="O306" i="21"/>
  <c r="O893" i="21"/>
  <c r="O365" i="21"/>
  <c r="O317" i="21"/>
  <c r="O380" i="21"/>
  <c r="O116" i="21"/>
  <c r="O859" i="21"/>
  <c r="O583" i="21"/>
  <c r="O295" i="21"/>
  <c r="O1002" i="21"/>
  <c r="O642" i="21"/>
  <c r="O246" i="21"/>
  <c r="O821" i="21"/>
  <c r="O233" i="21"/>
  <c r="O104" i="21"/>
  <c r="O835" i="21"/>
  <c r="O547" i="21"/>
  <c r="O259" i="21"/>
  <c r="O966" i="21"/>
  <c r="O594" i="21"/>
  <c r="O210" i="21"/>
  <c r="O785" i="21"/>
  <c r="O221" i="21"/>
  <c r="O608" i="21"/>
  <c r="O344" i="21"/>
  <c r="O92" i="21"/>
  <c r="O823" i="21"/>
  <c r="O535" i="21"/>
  <c r="O247" i="21"/>
  <c r="O954" i="21"/>
  <c r="O582" i="21"/>
  <c r="O198" i="21"/>
  <c r="O773" i="21"/>
  <c r="O29" i="21"/>
  <c r="O296" i="21"/>
  <c r="O32" i="21"/>
  <c r="O763" i="21"/>
  <c r="O475" i="21"/>
  <c r="O187" i="21"/>
  <c r="O882" i="21"/>
  <c r="O498" i="21"/>
  <c r="O90" i="21"/>
  <c r="O665" i="21"/>
  <c r="O992" i="21"/>
  <c r="O824" i="21"/>
  <c r="O656" i="21"/>
  <c r="O476" i="21"/>
  <c r="O308" i="21"/>
  <c r="O128" i="21"/>
  <c r="O955" i="21"/>
  <c r="O787" i="21"/>
  <c r="O595" i="21"/>
  <c r="O391" i="21"/>
  <c r="O211" i="21"/>
  <c r="O19" i="21"/>
  <c r="O810" i="21"/>
  <c r="O630" i="21"/>
  <c r="O438" i="21"/>
  <c r="O234" i="21"/>
  <c r="O30" i="21"/>
  <c r="O809" i="21"/>
  <c r="O581" i="21"/>
  <c r="O293" i="21"/>
  <c r="C34" i="18"/>
  <c r="O40" i="19" s="1"/>
  <c r="J34" i="18"/>
  <c r="O798" i="21"/>
  <c r="O606" i="21"/>
  <c r="O426" i="21"/>
  <c r="O222" i="21"/>
  <c r="O797" i="21"/>
  <c r="O533" i="21"/>
  <c r="O245" i="21"/>
  <c r="O596" i="21"/>
  <c r="O416" i="21"/>
  <c r="O248" i="21"/>
  <c r="O80" i="21"/>
  <c r="O895" i="21"/>
  <c r="O727" i="21"/>
  <c r="O523" i="21"/>
  <c r="O331" i="21"/>
  <c r="O151" i="21"/>
  <c r="O942" i="21"/>
  <c r="O750" i="21"/>
  <c r="O570" i="21"/>
  <c r="O366" i="21"/>
  <c r="O174" i="21"/>
  <c r="O953" i="21"/>
  <c r="O749" i="21"/>
  <c r="O485" i="21"/>
  <c r="O197" i="21"/>
  <c r="O461" i="21"/>
  <c r="O161" i="21"/>
  <c r="O93" i="21"/>
  <c r="O908" i="21"/>
  <c r="O740" i="21"/>
  <c r="O560" i="21"/>
  <c r="O392" i="21"/>
  <c r="O224" i="21"/>
  <c r="O44" i="21"/>
  <c r="O871" i="21"/>
  <c r="O679" i="21"/>
  <c r="O499" i="21"/>
  <c r="O307" i="21"/>
  <c r="O103" i="21"/>
  <c r="O918" i="21"/>
  <c r="O726" i="21"/>
  <c r="O522" i="21"/>
  <c r="O342" i="21"/>
  <c r="O138" i="21"/>
  <c r="O929" i="21"/>
  <c r="O713" i="21"/>
  <c r="O437" i="21"/>
  <c r="O137" i="21"/>
  <c r="O894" i="21"/>
  <c r="O714" i="21"/>
  <c r="O510" i="21"/>
  <c r="O318" i="21"/>
  <c r="O102" i="21"/>
  <c r="O917" i="21"/>
  <c r="O677" i="21"/>
  <c r="O389" i="21"/>
  <c r="O65" i="21"/>
  <c r="O680" i="21"/>
  <c r="O512" i="21"/>
  <c r="O332" i="21"/>
  <c r="O164" i="21"/>
  <c r="O979" i="21"/>
  <c r="O811" i="21"/>
  <c r="O619" i="21"/>
  <c r="O439" i="21"/>
  <c r="O235" i="21"/>
  <c r="O43" i="21"/>
  <c r="O858" i="21"/>
  <c r="O654" i="21"/>
  <c r="O462" i="21"/>
  <c r="O282" i="21"/>
  <c r="O66" i="21"/>
  <c r="O857" i="21"/>
  <c r="O629" i="21"/>
  <c r="O341" i="21"/>
  <c r="O162" i="21"/>
  <c r="O18" i="21"/>
  <c r="O881" i="21"/>
  <c r="O737" i="21"/>
  <c r="O593" i="21"/>
  <c r="O449" i="21"/>
  <c r="O305" i="21"/>
  <c r="O149" i="21"/>
  <c r="O569" i="21"/>
  <c r="O425" i="21"/>
  <c r="O281" i="21"/>
  <c r="O125" i="21"/>
  <c r="O715" i="21"/>
  <c r="O571" i="21"/>
  <c r="O427" i="21"/>
  <c r="O283" i="21"/>
  <c r="O139" i="21"/>
  <c r="O990" i="21"/>
  <c r="O846" i="21"/>
  <c r="O702" i="21"/>
  <c r="O558" i="21"/>
  <c r="O414" i="21"/>
  <c r="O270" i="21"/>
  <c r="O126" i="21"/>
  <c r="O989" i="21"/>
  <c r="O845" i="21"/>
  <c r="O701" i="21"/>
  <c r="O557" i="21"/>
  <c r="O413" i="21"/>
  <c r="O269" i="21"/>
  <c r="O113" i="21"/>
  <c r="O1004" i="21"/>
  <c r="O860" i="21"/>
  <c r="O716" i="21"/>
  <c r="O572" i="21"/>
  <c r="O428" i="21"/>
  <c r="O284" i="21"/>
  <c r="O140" i="21"/>
  <c r="O991" i="21"/>
  <c r="O847" i="21"/>
  <c r="O703" i="21"/>
  <c r="O559" i="21"/>
  <c r="O415" i="21"/>
  <c r="O271" i="21"/>
  <c r="O127" i="21"/>
  <c r="O978" i="21"/>
  <c r="O834" i="21"/>
  <c r="O690" i="21"/>
  <c r="O546" i="21"/>
  <c r="O402" i="21"/>
  <c r="O258" i="21"/>
  <c r="O114" i="21"/>
  <c r="O977" i="21"/>
  <c r="O833" i="21"/>
  <c r="O689" i="21"/>
  <c r="O545" i="21"/>
  <c r="O401" i="21"/>
  <c r="O257" i="21"/>
  <c r="O101" i="21"/>
  <c r="O89" i="21"/>
  <c r="O641" i="21"/>
  <c r="O497" i="21"/>
  <c r="O353" i="21"/>
  <c r="O209" i="21"/>
  <c r="O17" i="21"/>
  <c r="O81" i="21"/>
  <c r="O932" i="21"/>
  <c r="O788" i="21"/>
  <c r="O644" i="21"/>
  <c r="O500" i="21"/>
  <c r="O356" i="21"/>
  <c r="O212" i="21"/>
  <c r="O68" i="21"/>
  <c r="O919" i="21"/>
  <c r="O775" i="21"/>
  <c r="O631" i="21"/>
  <c r="O487" i="21"/>
  <c r="O343" i="21"/>
  <c r="O199" i="21"/>
  <c r="O55" i="21"/>
  <c r="O906" i="21"/>
  <c r="O762" i="21"/>
  <c r="O618" i="21"/>
  <c r="O474" i="21"/>
  <c r="O330" i="21"/>
  <c r="O186" i="21"/>
  <c r="O42" i="21"/>
  <c r="O905" i="21"/>
  <c r="O761" i="21"/>
  <c r="O617" i="21"/>
  <c r="O473" i="21"/>
  <c r="O329" i="21"/>
  <c r="O173" i="21"/>
  <c r="O77" i="21"/>
  <c r="O53" i="21"/>
  <c r="O185" i="21"/>
  <c r="I38" i="15"/>
  <c r="J34" i="14" s="1"/>
  <c r="F17" i="1" s="1"/>
  <c r="A42" i="15"/>
  <c r="I1" i="14" s="1"/>
  <c r="I38" i="11"/>
  <c r="A42" i="11"/>
  <c r="I39" i="13"/>
  <c r="I38" i="17"/>
  <c r="A42" i="17"/>
  <c r="I1" i="16" s="1"/>
  <c r="I39" i="17"/>
  <c r="I38" i="13"/>
  <c r="C34" i="12" s="1"/>
  <c r="O499" i="13" s="1"/>
  <c r="G34" i="6"/>
  <c r="D40" i="6" s="1"/>
  <c r="D41" i="6" s="1"/>
  <c r="I39" i="6" s="1"/>
  <c r="O379" i="19" l="1"/>
  <c r="O339" i="19"/>
  <c r="O262" i="19"/>
  <c r="O106" i="19"/>
  <c r="O705" i="19"/>
  <c r="O361" i="19"/>
  <c r="O442" i="19"/>
  <c r="O791" i="19"/>
  <c r="O298" i="19"/>
  <c r="O657" i="19"/>
  <c r="O178" i="19"/>
  <c r="O553" i="19"/>
  <c r="O950" i="19"/>
  <c r="O154" i="19"/>
  <c r="O719" i="19"/>
  <c r="O706" i="19"/>
  <c r="O527" i="19"/>
  <c r="O346" i="19"/>
  <c r="O982" i="19"/>
  <c r="O694" i="19"/>
  <c r="O850" i="19"/>
  <c r="O622" i="19"/>
  <c r="O513" i="19"/>
  <c r="O885" i="19"/>
  <c r="O723" i="19"/>
  <c r="O49" i="19"/>
  <c r="O118" i="19"/>
  <c r="O781" i="19"/>
  <c r="O490" i="19"/>
  <c r="O394" i="19"/>
  <c r="O407" i="19"/>
  <c r="O530" i="19"/>
  <c r="F18" i="1"/>
  <c r="O81" i="19"/>
  <c r="O202" i="19"/>
  <c r="O82" i="19"/>
  <c r="O239" i="19"/>
  <c r="O887" i="19"/>
  <c r="O862" i="19"/>
  <c r="O477" i="19"/>
  <c r="O898" i="19"/>
  <c r="O770" i="19"/>
  <c r="O478" i="19"/>
  <c r="O423" i="19"/>
  <c r="O322" i="19"/>
  <c r="O338" i="19"/>
  <c r="O334" i="19"/>
  <c r="O215" i="19"/>
  <c r="O409" i="19"/>
  <c r="O970" i="19"/>
  <c r="O226" i="19"/>
  <c r="O46" i="19"/>
  <c r="O766" i="19"/>
  <c r="O753" i="19"/>
  <c r="O189" i="19"/>
  <c r="O968" i="19"/>
  <c r="O25" i="19"/>
  <c r="O23" i="19"/>
  <c r="O671" i="19"/>
  <c r="O550" i="19"/>
  <c r="O219" i="19"/>
  <c r="O951" i="19"/>
  <c r="O430" i="19"/>
  <c r="O218" i="19"/>
  <c r="O279" i="19"/>
  <c r="O634" i="19"/>
  <c r="O914" i="19"/>
  <c r="O359" i="19"/>
  <c r="O406" i="19"/>
  <c r="O721" i="19"/>
  <c r="O87" i="19"/>
  <c r="O538" i="19"/>
  <c r="O889" i="19"/>
  <c r="O910" i="19"/>
  <c r="O190" i="19"/>
  <c r="O597" i="19"/>
  <c r="O61" i="19"/>
  <c r="O838" i="19"/>
  <c r="O897" i="19"/>
  <c r="O309" i="19"/>
  <c r="O637" i="19"/>
  <c r="O765" i="19"/>
  <c r="O599" i="19"/>
  <c r="O434" i="19"/>
  <c r="O971" i="19"/>
  <c r="O254" i="19"/>
  <c r="O171" i="19"/>
  <c r="O919" i="19"/>
  <c r="O393" i="19"/>
  <c r="O249" i="19"/>
  <c r="O515" i="19"/>
  <c r="O10" i="19"/>
  <c r="O75" i="19"/>
  <c r="O123" i="19"/>
  <c r="O107" i="19"/>
  <c r="O297" i="19"/>
  <c r="O47" i="19"/>
  <c r="O266" i="19"/>
  <c r="O828" i="19"/>
  <c r="O911" i="19"/>
  <c r="O337" i="19"/>
  <c r="O624" i="19"/>
  <c r="O997" i="19"/>
  <c r="O396" i="19"/>
  <c r="O192" i="19"/>
  <c r="O759" i="19"/>
  <c r="O734" i="19"/>
  <c r="O445" i="19"/>
  <c r="O764" i="19"/>
  <c r="O639" i="19"/>
  <c r="O590" i="19"/>
  <c r="O301" i="19"/>
  <c r="O512" i="19"/>
  <c r="O398" i="19"/>
  <c r="O109" i="19"/>
  <c r="O248" i="19"/>
  <c r="O730" i="19"/>
  <c r="O586" i="19"/>
  <c r="O849" i="19"/>
  <c r="O15" i="19"/>
  <c r="O455" i="19"/>
  <c r="O718" i="19"/>
  <c r="O286" i="19"/>
  <c r="O987" i="19"/>
  <c r="O95" i="19"/>
  <c r="O453" i="19"/>
  <c r="O225" i="19"/>
  <c r="O927" i="19"/>
  <c r="O255" i="19"/>
  <c r="O865" i="19"/>
  <c r="O926" i="19"/>
  <c r="O230" i="19"/>
  <c r="O194" i="19"/>
  <c r="O613" i="19"/>
  <c r="O441" i="19"/>
  <c r="O731" i="19"/>
  <c r="O936" i="19"/>
  <c r="O504" i="19"/>
  <c r="O72" i="19"/>
  <c r="O632" i="19"/>
  <c r="O80" i="19"/>
  <c r="O450" i="19"/>
  <c r="O699" i="19"/>
  <c r="O981" i="19"/>
  <c r="O405" i="19"/>
  <c r="O795" i="19"/>
  <c r="O855" i="19"/>
  <c r="O207" i="19"/>
  <c r="O601" i="19"/>
  <c r="O854" i="19"/>
  <c r="O158" i="19"/>
  <c r="O74" i="19"/>
  <c r="O565" i="19"/>
  <c r="O153" i="19"/>
  <c r="O683" i="19"/>
  <c r="O912" i="19"/>
  <c r="O480" i="19"/>
  <c r="O48" i="19"/>
  <c r="O608" i="19"/>
  <c r="O56" i="19"/>
  <c r="O414" i="19"/>
  <c r="O646" i="19"/>
  <c r="O238" i="19"/>
  <c r="O315" i="19"/>
  <c r="O909" i="19"/>
  <c r="O333" i="19"/>
  <c r="O267" i="19"/>
  <c r="O783" i="19"/>
  <c r="O111" i="19"/>
  <c r="O983" i="19"/>
  <c r="O782" i="19"/>
  <c r="O86" i="19"/>
  <c r="O481" i="19"/>
  <c r="O469" i="19"/>
  <c r="O243" i="19"/>
  <c r="O539" i="19"/>
  <c r="O840" i="19"/>
  <c r="O408" i="19"/>
  <c r="O980" i="19"/>
  <c r="O524" i="19"/>
  <c r="O931" i="19"/>
  <c r="O737" i="19"/>
  <c r="O130" i="19"/>
  <c r="O274" i="19"/>
  <c r="O867" i="19"/>
  <c r="O169" i="19"/>
  <c r="O1006" i="19"/>
  <c r="O574" i="19"/>
  <c r="O142" i="19"/>
  <c r="O147" i="19"/>
  <c r="O861" i="19"/>
  <c r="O285" i="19"/>
  <c r="O962" i="19"/>
  <c r="O735" i="19"/>
  <c r="O62" i="19"/>
  <c r="O863" i="19"/>
  <c r="O710" i="19"/>
  <c r="O801" i="19"/>
  <c r="O241" i="19"/>
  <c r="O421" i="19"/>
  <c r="O22" i="19"/>
  <c r="O491" i="19"/>
  <c r="O816" i="19"/>
  <c r="O384" i="19"/>
  <c r="O956" i="19"/>
  <c r="O500" i="19"/>
  <c r="O871" i="19"/>
  <c r="O146" i="19"/>
  <c r="O371" i="19"/>
  <c r="O756" i="19"/>
  <c r="O324" i="19"/>
  <c r="O896" i="19"/>
  <c r="O428" i="19"/>
  <c r="O739" i="19"/>
  <c r="O51" i="19"/>
  <c r="O922" i="19"/>
  <c r="O459" i="19"/>
  <c r="O935" i="19"/>
  <c r="O934" i="19"/>
  <c r="O526" i="19"/>
  <c r="O70" i="19"/>
  <c r="O458" i="19"/>
  <c r="O741" i="19"/>
  <c r="O165" i="19"/>
  <c r="O290" i="19"/>
  <c r="O615" i="19"/>
  <c r="O50" i="19"/>
  <c r="O551" i="19"/>
  <c r="O566" i="19"/>
  <c r="O177" i="19"/>
  <c r="O973" i="19"/>
  <c r="O277" i="19"/>
  <c r="O937" i="19"/>
  <c r="O347" i="19"/>
  <c r="O744" i="19"/>
  <c r="O312" i="19"/>
  <c r="O884" i="19"/>
  <c r="O404" i="19"/>
  <c r="O727" i="19"/>
  <c r="O693" i="19"/>
  <c r="O117" i="19"/>
  <c r="O913" i="19"/>
  <c r="O543" i="19"/>
  <c r="O555" i="19"/>
  <c r="O431" i="19"/>
  <c r="O518" i="19"/>
  <c r="O891" i="19"/>
  <c r="O901" i="19"/>
  <c r="O205" i="19"/>
  <c r="O217" i="19"/>
  <c r="O227" i="19"/>
  <c r="O684" i="19"/>
  <c r="O252" i="19"/>
  <c r="O824" i="19"/>
  <c r="O344" i="19"/>
  <c r="O535" i="19"/>
  <c r="O841" i="19"/>
  <c r="O621" i="19"/>
  <c r="O37" i="19"/>
  <c r="O505" i="19"/>
  <c r="O471" i="19"/>
  <c r="O195" i="19"/>
  <c r="O263" i="19"/>
  <c r="O422" i="19"/>
  <c r="O363" i="19"/>
  <c r="O829" i="19"/>
  <c r="O133" i="19"/>
  <c r="O995" i="19"/>
  <c r="O131" i="19"/>
  <c r="O636" i="19"/>
  <c r="O204" i="19"/>
  <c r="O776" i="19"/>
  <c r="O284" i="19"/>
  <c r="O415" i="19"/>
  <c r="O466" i="19"/>
  <c r="O682" i="19"/>
  <c r="O514" i="19"/>
  <c r="O626" i="19"/>
  <c r="O575" i="19"/>
  <c r="O814" i="19"/>
  <c r="O358" i="19"/>
  <c r="O417" i="19"/>
  <c r="O577" i="19"/>
  <c r="O573" i="19"/>
  <c r="O945" i="19"/>
  <c r="O97" i="19"/>
  <c r="O399" i="19"/>
  <c r="O866" i="19"/>
  <c r="O191" i="19"/>
  <c r="O374" i="19"/>
  <c r="O938" i="19"/>
  <c r="O757" i="19"/>
  <c r="O59" i="19"/>
  <c r="O947" i="19"/>
  <c r="O83" i="19"/>
  <c r="O612" i="19"/>
  <c r="O180" i="19"/>
  <c r="O752" i="19"/>
  <c r="O236" i="19"/>
  <c r="O19" i="19"/>
  <c r="O681" i="19"/>
  <c r="O779" i="19"/>
  <c r="O960" i="19"/>
  <c r="O528" i="19"/>
  <c r="O96" i="19"/>
  <c r="O656" i="19"/>
  <c r="O128" i="19"/>
  <c r="O894" i="19"/>
  <c r="O818" i="19"/>
  <c r="O813" i="19"/>
  <c r="O525" i="19"/>
  <c r="O609" i="19"/>
  <c r="O729" i="19"/>
  <c r="O778" i="19"/>
  <c r="O418" i="19"/>
  <c r="O874" i="19"/>
  <c r="O250" i="19"/>
  <c r="O963" i="19"/>
  <c r="O242" i="19"/>
  <c r="O743" i="19"/>
  <c r="O13" i="19"/>
  <c r="O742" i="19"/>
  <c r="O454" i="19"/>
  <c r="O166" i="19"/>
  <c r="O273" i="19"/>
  <c r="O674" i="19"/>
  <c r="O145" i="19"/>
  <c r="O789" i="19"/>
  <c r="O501" i="19"/>
  <c r="O213" i="19"/>
  <c r="O465" i="19"/>
  <c r="O554" i="19"/>
  <c r="O975" i="19"/>
  <c r="O663" i="19"/>
  <c r="O327" i="19"/>
  <c r="O585" i="19"/>
  <c r="O386" i="19"/>
  <c r="O647" i="19"/>
  <c r="O974" i="19"/>
  <c r="O638" i="19"/>
  <c r="O278" i="19"/>
  <c r="O369" i="19"/>
  <c r="O362" i="19"/>
  <c r="O119" i="19"/>
  <c r="O685" i="19"/>
  <c r="O325" i="19"/>
  <c r="O825" i="19"/>
  <c r="O410" i="19"/>
  <c r="O803" i="19"/>
  <c r="O395" i="19"/>
  <c r="O972" i="19"/>
  <c r="O768" i="19"/>
  <c r="O540" i="19"/>
  <c r="O336" i="19"/>
  <c r="O108" i="19"/>
  <c r="O908" i="19"/>
  <c r="O668" i="19"/>
  <c r="O440" i="19"/>
  <c r="O140" i="19"/>
  <c r="O763" i="19"/>
  <c r="O175" i="19"/>
  <c r="O989" i="19"/>
  <c r="O127" i="19"/>
  <c r="O977" i="19"/>
  <c r="O754" i="19"/>
  <c r="O946" i="19"/>
  <c r="O658" i="19"/>
  <c r="O802" i="19"/>
  <c r="O603" i="19"/>
  <c r="O697" i="19"/>
  <c r="O623" i="19"/>
  <c r="O958" i="19"/>
  <c r="O670" i="19"/>
  <c r="O382" i="19"/>
  <c r="O94" i="19"/>
  <c r="O843" i="19"/>
  <c r="O314" i="19"/>
  <c r="O1005" i="19"/>
  <c r="O717" i="19"/>
  <c r="O429" i="19"/>
  <c r="O141" i="19"/>
  <c r="O129" i="19"/>
  <c r="O122" i="19"/>
  <c r="O903" i="19"/>
  <c r="O567" i="19"/>
  <c r="O231" i="19"/>
  <c r="O915" i="19"/>
  <c r="O745" i="19"/>
  <c r="O503" i="19"/>
  <c r="O878" i="19"/>
  <c r="O542" i="19"/>
  <c r="O206" i="19"/>
  <c r="O105" i="19"/>
  <c r="O170" i="19"/>
  <c r="O925" i="19"/>
  <c r="O589" i="19"/>
  <c r="O253" i="19"/>
  <c r="O345" i="19"/>
  <c r="O385" i="19"/>
  <c r="O707" i="19"/>
  <c r="O251" i="19"/>
  <c r="O924" i="19"/>
  <c r="O696" i="19"/>
  <c r="O492" i="19"/>
  <c r="O264" i="19"/>
  <c r="O60" i="19"/>
  <c r="O836" i="19"/>
  <c r="O620" i="19"/>
  <c r="O356" i="19"/>
  <c r="O68" i="19"/>
  <c r="O619" i="19"/>
  <c r="O990" i="19"/>
  <c r="O579" i="19"/>
  <c r="O669" i="19"/>
  <c r="O93" i="19"/>
  <c r="O769" i="19"/>
  <c r="O831" i="19"/>
  <c r="O519" i="19"/>
  <c r="O183" i="19"/>
  <c r="O433" i="19"/>
  <c r="O335" i="19"/>
  <c r="O830" i="19"/>
  <c r="O494" i="19"/>
  <c r="O134" i="19"/>
  <c r="O771" i="19"/>
  <c r="O793" i="19"/>
  <c r="O877" i="19"/>
  <c r="O541" i="19"/>
  <c r="O181" i="19"/>
  <c r="O939" i="19"/>
  <c r="O73" i="19"/>
  <c r="O659" i="19"/>
  <c r="O203" i="19"/>
  <c r="O900" i="19"/>
  <c r="O672" i="19"/>
  <c r="O468" i="19"/>
  <c r="O240" i="19"/>
  <c r="O36" i="19"/>
  <c r="O812" i="19"/>
  <c r="O596" i="19"/>
  <c r="O332" i="19"/>
  <c r="O20" i="19"/>
  <c r="O523" i="19"/>
  <c r="O822" i="19"/>
  <c r="O38" i="19"/>
  <c r="O98" i="19"/>
  <c r="O957" i="19"/>
  <c r="O381" i="19"/>
  <c r="O651" i="19"/>
  <c r="O411" i="19"/>
  <c r="O994" i="19"/>
  <c r="O610" i="19"/>
  <c r="O562" i="19"/>
  <c r="O969" i="19"/>
  <c r="O99" i="19"/>
  <c r="O289" i="19"/>
  <c r="O479" i="19"/>
  <c r="O886" i="19"/>
  <c r="O598" i="19"/>
  <c r="O310" i="19"/>
  <c r="O11" i="19"/>
  <c r="O435" i="19"/>
  <c r="O985" i="19"/>
  <c r="O933" i="19"/>
  <c r="O645" i="19"/>
  <c r="O357" i="19"/>
  <c r="O63" i="19"/>
  <c r="O483" i="19"/>
  <c r="O625" i="19"/>
  <c r="O807" i="19"/>
  <c r="O495" i="19"/>
  <c r="O135" i="19"/>
  <c r="O291" i="19"/>
  <c r="O265" i="19"/>
  <c r="O287" i="19"/>
  <c r="O806" i="19"/>
  <c r="O446" i="19"/>
  <c r="O110" i="19"/>
  <c r="O627" i="19"/>
  <c r="O649" i="19"/>
  <c r="O853" i="19"/>
  <c r="O493" i="19"/>
  <c r="O157" i="19"/>
  <c r="O819" i="19"/>
  <c r="O71" i="19"/>
  <c r="O635" i="19"/>
  <c r="O155" i="19"/>
  <c r="O888" i="19"/>
  <c r="O648" i="19"/>
  <c r="O456" i="19"/>
  <c r="O216" i="19"/>
  <c r="O24" i="19"/>
  <c r="O788" i="19"/>
  <c r="O584" i="19"/>
  <c r="O296" i="19"/>
  <c r="O33" i="19"/>
  <c r="O451" i="19"/>
  <c r="O810" i="19"/>
  <c r="O439" i="19"/>
  <c r="O510" i="19"/>
  <c r="O993" i="19"/>
  <c r="O370" i="19"/>
  <c r="O826" i="19"/>
  <c r="O321" i="19"/>
  <c r="O482" i="19"/>
  <c r="O839" i="19"/>
  <c r="O311" i="19"/>
  <c r="O790" i="19"/>
  <c r="O502" i="19"/>
  <c r="O214" i="19"/>
  <c r="O537" i="19"/>
  <c r="O986" i="19"/>
  <c r="O457" i="19"/>
  <c r="O837" i="19"/>
  <c r="O549" i="19"/>
  <c r="O261" i="19"/>
  <c r="O777" i="19"/>
  <c r="O842" i="19"/>
  <c r="O39" i="19"/>
  <c r="O711" i="19"/>
  <c r="O375" i="19"/>
  <c r="O35" i="19"/>
  <c r="O722" i="19"/>
  <c r="O815" i="19"/>
  <c r="O143" i="19"/>
  <c r="O686" i="19"/>
  <c r="O350" i="19"/>
  <c r="O633" i="19"/>
  <c r="O794" i="19"/>
  <c r="O121" i="19"/>
  <c r="O733" i="19"/>
  <c r="O397" i="19"/>
  <c r="O27" i="19"/>
  <c r="O746" i="19"/>
  <c r="O923" i="19"/>
  <c r="O443" i="19"/>
  <c r="O58" i="19"/>
  <c r="O792" i="19"/>
  <c r="O600" i="19"/>
  <c r="O360" i="19"/>
  <c r="O168" i="19"/>
  <c r="O932" i="19"/>
  <c r="O740" i="19"/>
  <c r="O476" i="19"/>
  <c r="O224" i="19"/>
  <c r="O835" i="19"/>
  <c r="O319" i="19"/>
  <c r="O198" i="19"/>
  <c r="O313" i="19"/>
  <c r="O237" i="19"/>
  <c r="O698" i="19"/>
  <c r="O999" i="19"/>
  <c r="O687" i="19"/>
  <c r="O351" i="19"/>
  <c r="O578" i="19"/>
  <c r="O767" i="19"/>
  <c r="O998" i="19"/>
  <c r="O662" i="19"/>
  <c r="O302" i="19"/>
  <c r="O489" i="19"/>
  <c r="O650" i="19"/>
  <c r="O959" i="19"/>
  <c r="O709" i="19"/>
  <c r="O349" i="19"/>
  <c r="O921" i="19"/>
  <c r="O602" i="19"/>
  <c r="O827" i="19"/>
  <c r="O419" i="19"/>
  <c r="O984" i="19"/>
  <c r="O780" i="19"/>
  <c r="O552" i="19"/>
  <c r="O348" i="19"/>
  <c r="O120" i="19"/>
  <c r="O920" i="19"/>
  <c r="O680" i="19"/>
  <c r="O452" i="19"/>
  <c r="O152" i="19"/>
  <c r="O823" i="19"/>
  <c r="O187" i="19"/>
  <c r="O90" i="19"/>
  <c r="O531" i="19"/>
  <c r="O673" i="19"/>
  <c r="O875" i="19"/>
  <c r="O587" i="19"/>
  <c r="O299" i="19"/>
  <c r="O6" i="19"/>
  <c r="O864" i="19"/>
  <c r="O720" i="19"/>
  <c r="O576" i="19"/>
  <c r="O432" i="19"/>
  <c r="O288" i="19"/>
  <c r="O144" i="19"/>
  <c r="O1004" i="19"/>
  <c r="O860" i="19"/>
  <c r="O704" i="19"/>
  <c r="O548" i="19"/>
  <c r="O380" i="19"/>
  <c r="O188" i="19"/>
  <c r="O991" i="19"/>
  <c r="O655" i="19"/>
  <c r="O259" i="19"/>
  <c r="O630" i="19"/>
  <c r="O401" i="19"/>
  <c r="O387" i="19"/>
  <c r="O529" i="19"/>
  <c r="O851" i="19"/>
  <c r="O563" i="19"/>
  <c r="O275" i="19"/>
  <c r="O996" i="19"/>
  <c r="O852" i="19"/>
  <c r="O708" i="19"/>
  <c r="O564" i="19"/>
  <c r="O420" i="19"/>
  <c r="O276" i="19"/>
  <c r="O132" i="19"/>
  <c r="O992" i="19"/>
  <c r="O848" i="19"/>
  <c r="O692" i="19"/>
  <c r="O536" i="19"/>
  <c r="O368" i="19"/>
  <c r="O164" i="19"/>
  <c r="O943" i="19"/>
  <c r="O643" i="19"/>
  <c r="O199" i="19"/>
  <c r="O618" i="19"/>
  <c r="O329" i="19"/>
  <c r="O447" i="19"/>
  <c r="O159" i="19"/>
  <c r="O747" i="19"/>
  <c r="O7" i="19"/>
  <c r="O695" i="19"/>
  <c r="O167" i="19"/>
  <c r="O758" i="19"/>
  <c r="O470" i="19"/>
  <c r="O182" i="19"/>
  <c r="O201" i="19"/>
  <c r="O506" i="19"/>
  <c r="O193" i="19"/>
  <c r="O805" i="19"/>
  <c r="O517" i="19"/>
  <c r="O229" i="19"/>
  <c r="O561" i="19"/>
  <c r="O890" i="19"/>
  <c r="O9" i="19"/>
  <c r="O755" i="19"/>
  <c r="O467" i="19"/>
  <c r="O179" i="19"/>
  <c r="O948" i="19"/>
  <c r="O804" i="19"/>
  <c r="O660" i="19"/>
  <c r="O516" i="19"/>
  <c r="O372" i="19"/>
  <c r="O228" i="19"/>
  <c r="O84" i="19"/>
  <c r="O944" i="19"/>
  <c r="O800" i="19"/>
  <c r="O644" i="19"/>
  <c r="O488" i="19"/>
  <c r="O308" i="19"/>
  <c r="O92" i="19"/>
  <c r="O859" i="19"/>
  <c r="O511" i="19"/>
  <c r="O31" i="19"/>
  <c r="O234" i="19"/>
  <c r="O879" i="19"/>
  <c r="O591" i="19"/>
  <c r="O303" i="19"/>
  <c r="O873" i="19"/>
  <c r="O5" i="19"/>
  <c r="O14" i="19"/>
  <c r="O383" i="19"/>
  <c r="O902" i="19"/>
  <c r="O614" i="19"/>
  <c r="O326" i="19"/>
  <c r="O34" i="19"/>
  <c r="O507" i="19"/>
  <c r="O961" i="19"/>
  <c r="O949" i="19"/>
  <c r="O661" i="19"/>
  <c r="O373" i="19"/>
  <c r="O85" i="19"/>
  <c r="O675" i="19"/>
  <c r="O817" i="19"/>
  <c r="O899" i="19"/>
  <c r="O611" i="19"/>
  <c r="O323" i="19"/>
  <c r="O26" i="19"/>
  <c r="O876" i="19"/>
  <c r="O732" i="19"/>
  <c r="O588" i="19"/>
  <c r="O444" i="19"/>
  <c r="O300" i="19"/>
  <c r="O156" i="19"/>
  <c r="O12" i="19"/>
  <c r="O872" i="19"/>
  <c r="O728" i="19"/>
  <c r="O560" i="19"/>
  <c r="O392" i="19"/>
  <c r="O212" i="19"/>
  <c r="O1003" i="19"/>
  <c r="O667" i="19"/>
  <c r="O271" i="19"/>
  <c r="O690" i="19"/>
  <c r="O593" i="19"/>
  <c r="I1" i="10"/>
  <c r="F14" i="1"/>
  <c r="C34" i="14"/>
  <c r="O189" i="15" s="1"/>
  <c r="O906" i="19"/>
  <c r="O522" i="19"/>
  <c r="O102" i="19"/>
  <c r="O605" i="19"/>
  <c r="O979" i="19"/>
  <c r="O811" i="19"/>
  <c r="O595" i="19"/>
  <c r="O367" i="19"/>
  <c r="O103" i="19"/>
  <c r="O798" i="19"/>
  <c r="O402" i="19"/>
  <c r="O965" i="19"/>
  <c r="O257" i="19"/>
  <c r="O272" i="19"/>
  <c r="O116" i="19"/>
  <c r="O967" i="19"/>
  <c r="O799" i="19"/>
  <c r="O583" i="19"/>
  <c r="O355" i="19"/>
  <c r="O91" i="19"/>
  <c r="O738" i="19"/>
  <c r="O330" i="19"/>
  <c r="O881" i="19"/>
  <c r="O568" i="19"/>
  <c r="O716" i="19"/>
  <c r="O572" i="19"/>
  <c r="O416" i="19"/>
  <c r="O260" i="19"/>
  <c r="O104" i="19"/>
  <c r="O955" i="19"/>
  <c r="O787" i="19"/>
  <c r="O571" i="19"/>
  <c r="O343" i="19"/>
  <c r="O79" i="19"/>
  <c r="O702" i="19"/>
  <c r="O318" i="19"/>
  <c r="O845" i="19"/>
  <c r="O306" i="19"/>
  <c r="O833" i="19"/>
  <c r="O749" i="19"/>
  <c r="O907" i="19"/>
  <c r="O715" i="19"/>
  <c r="O499" i="19"/>
  <c r="O247" i="19"/>
  <c r="O978" i="19"/>
  <c r="O606" i="19"/>
  <c r="O186" i="19"/>
  <c r="O701" i="19"/>
  <c r="O200" i="19"/>
  <c r="O44" i="19"/>
  <c r="O883" i="19"/>
  <c r="O679" i="19"/>
  <c r="O475" i="19"/>
  <c r="O211" i="19"/>
  <c r="O918" i="19"/>
  <c r="O534" i="19"/>
  <c r="O114" i="19"/>
  <c r="O617" i="19"/>
  <c r="O834" i="19"/>
  <c r="O654" i="19"/>
  <c r="O462" i="19"/>
  <c r="O246" i="19"/>
  <c r="O18" i="19"/>
  <c r="O761" i="19"/>
  <c r="O473" i="19"/>
  <c r="O640" i="19"/>
  <c r="O484" i="19"/>
  <c r="O412" i="19"/>
  <c r="O775" i="19"/>
  <c r="O631" i="19"/>
  <c r="O487" i="19"/>
  <c r="O331" i="19"/>
  <c r="O163" i="19"/>
  <c r="O966" i="19"/>
  <c r="O774" i="19"/>
  <c r="O594" i="19"/>
  <c r="O390" i="19"/>
  <c r="O174" i="19"/>
  <c r="O953" i="19"/>
  <c r="O689" i="19"/>
  <c r="O185" i="19"/>
  <c r="O256" i="19"/>
  <c r="O954" i="19"/>
  <c r="O762" i="19"/>
  <c r="O558" i="19"/>
  <c r="O378" i="19"/>
  <c r="O162" i="19"/>
  <c r="O905" i="19"/>
  <c r="O677" i="19"/>
  <c r="O113" i="19"/>
  <c r="O76" i="19"/>
  <c r="O464" i="19"/>
  <c r="O320" i="19"/>
  <c r="O176" i="19"/>
  <c r="O32" i="19"/>
  <c r="O895" i="19"/>
  <c r="O751" i="19"/>
  <c r="O607" i="19"/>
  <c r="O463" i="19"/>
  <c r="O307" i="19"/>
  <c r="O115" i="19"/>
  <c r="O942" i="19"/>
  <c r="O750" i="19"/>
  <c r="O546" i="19"/>
  <c r="O342" i="19"/>
  <c r="O126" i="19"/>
  <c r="O893" i="19"/>
  <c r="O665" i="19"/>
  <c r="O41" i="19"/>
  <c r="O1000" i="19"/>
  <c r="O928" i="19"/>
  <c r="O856" i="19"/>
  <c r="O847" i="19"/>
  <c r="O703" i="19"/>
  <c r="O559" i="19"/>
  <c r="O403" i="19"/>
  <c r="O235" i="19"/>
  <c r="O55" i="19"/>
  <c r="O882" i="19"/>
  <c r="O678" i="19"/>
  <c r="O486" i="19"/>
  <c r="O270" i="19"/>
  <c r="O42" i="19"/>
  <c r="O821" i="19"/>
  <c r="O545" i="19"/>
  <c r="O784" i="19"/>
  <c r="O691" i="19"/>
  <c r="O547" i="19"/>
  <c r="O391" i="19"/>
  <c r="O223" i="19"/>
  <c r="O43" i="19"/>
  <c r="O846" i="19"/>
  <c r="O666" i="19"/>
  <c r="O474" i="19"/>
  <c r="O258" i="19"/>
  <c r="O30" i="19"/>
  <c r="O809" i="19"/>
  <c r="O533" i="19"/>
  <c r="O712" i="19"/>
  <c r="O557" i="19"/>
  <c r="O413" i="19"/>
  <c r="O269" i="19"/>
  <c r="O125" i="19"/>
  <c r="O57" i="19"/>
  <c r="O868" i="19"/>
  <c r="O724" i="19"/>
  <c r="O580" i="19"/>
  <c r="O424" i="19"/>
  <c r="O268" i="19"/>
  <c r="O88" i="19"/>
  <c r="O389" i="19"/>
  <c r="O245" i="19"/>
  <c r="O101" i="19"/>
  <c r="O988" i="19"/>
  <c r="O844" i="19"/>
  <c r="O700" i="19"/>
  <c r="O556" i="19"/>
  <c r="O400" i="19"/>
  <c r="O232" i="19"/>
  <c r="O64" i="19"/>
  <c r="O521" i="19"/>
  <c r="O377" i="19"/>
  <c r="O233" i="19"/>
  <c r="O89" i="19"/>
  <c r="O976" i="19"/>
  <c r="O832" i="19"/>
  <c r="O688" i="19"/>
  <c r="O544" i="19"/>
  <c r="O376" i="19"/>
  <c r="O220" i="19"/>
  <c r="O52" i="19"/>
  <c r="O366" i="19"/>
  <c r="O222" i="19"/>
  <c r="O78" i="19"/>
  <c r="O941" i="19"/>
  <c r="O797" i="19"/>
  <c r="O653" i="19"/>
  <c r="O509" i="19"/>
  <c r="O365" i="19"/>
  <c r="O221" i="19"/>
  <c r="O77" i="19"/>
  <c r="O964" i="19"/>
  <c r="O820" i="19"/>
  <c r="O676" i="19"/>
  <c r="O520" i="19"/>
  <c r="O364" i="19"/>
  <c r="O208" i="19"/>
  <c r="O28" i="19"/>
  <c r="O67" i="19"/>
  <c r="O930" i="19"/>
  <c r="O786" i="19"/>
  <c r="O642" i="19"/>
  <c r="O498" i="19"/>
  <c r="O354" i="19"/>
  <c r="O210" i="19"/>
  <c r="O66" i="19"/>
  <c r="O929" i="19"/>
  <c r="O785" i="19"/>
  <c r="O641" i="19"/>
  <c r="O497" i="19"/>
  <c r="O353" i="19"/>
  <c r="O209" i="19"/>
  <c r="O65" i="19"/>
  <c r="O952" i="19"/>
  <c r="O808" i="19"/>
  <c r="O664" i="19"/>
  <c r="O508" i="19"/>
  <c r="O352" i="19"/>
  <c r="O196" i="19"/>
  <c r="O16" i="19"/>
  <c r="O54" i="19"/>
  <c r="O917" i="19"/>
  <c r="O773" i="19"/>
  <c r="O629" i="19"/>
  <c r="O485" i="19"/>
  <c r="O341" i="19"/>
  <c r="O197" i="19"/>
  <c r="O53" i="19"/>
  <c r="O940" i="19"/>
  <c r="O796" i="19"/>
  <c r="O652" i="19"/>
  <c r="O496" i="19"/>
  <c r="O340" i="19"/>
  <c r="O172" i="19"/>
  <c r="O328" i="19"/>
  <c r="O160" i="19"/>
  <c r="O461" i="19"/>
  <c r="O317" i="19"/>
  <c r="O173" i="19"/>
  <c r="O29" i="19"/>
  <c r="O916" i="19"/>
  <c r="O772" i="19"/>
  <c r="O628" i="19"/>
  <c r="O472" i="19"/>
  <c r="O316" i="19"/>
  <c r="O148" i="19"/>
  <c r="O449" i="19"/>
  <c r="O305" i="19"/>
  <c r="O161" i="19"/>
  <c r="O17" i="19"/>
  <c r="O904" i="19"/>
  <c r="O760" i="19"/>
  <c r="O616" i="19"/>
  <c r="O460" i="19"/>
  <c r="O304" i="19"/>
  <c r="O136" i="19"/>
  <c r="O295" i="19"/>
  <c r="O151" i="19"/>
  <c r="O21" i="19"/>
  <c r="O870" i="19"/>
  <c r="O726" i="19"/>
  <c r="O582" i="19"/>
  <c r="O438" i="19"/>
  <c r="O294" i="19"/>
  <c r="O150" i="19"/>
  <c r="O45" i="19"/>
  <c r="O869" i="19"/>
  <c r="O725" i="19"/>
  <c r="O581" i="19"/>
  <c r="O437" i="19"/>
  <c r="O293" i="19"/>
  <c r="O149" i="19"/>
  <c r="G18" i="1"/>
  <c r="O892" i="19"/>
  <c r="O748" i="19"/>
  <c r="O604" i="19"/>
  <c r="O448" i="19"/>
  <c r="O292" i="19"/>
  <c r="O124" i="19"/>
  <c r="O427" i="19"/>
  <c r="O283" i="19"/>
  <c r="O139" i="19"/>
  <c r="O1002" i="19"/>
  <c r="O858" i="19"/>
  <c r="O714" i="19"/>
  <c r="O570" i="19"/>
  <c r="O426" i="19"/>
  <c r="O282" i="19"/>
  <c r="O138" i="19"/>
  <c r="O1001" i="19"/>
  <c r="O857" i="19"/>
  <c r="O713" i="19"/>
  <c r="O569" i="19"/>
  <c r="O425" i="19"/>
  <c r="O281" i="19"/>
  <c r="O137" i="19"/>
  <c r="O69" i="19"/>
  <c r="O880" i="19"/>
  <c r="O736" i="19"/>
  <c r="O592" i="19"/>
  <c r="O436" i="19"/>
  <c r="O280" i="19"/>
  <c r="O112" i="19"/>
  <c r="O532" i="19"/>
  <c r="O388" i="19"/>
  <c r="O244" i="19"/>
  <c r="O100" i="19"/>
  <c r="O184" i="19"/>
  <c r="O338" i="13"/>
  <c r="J34" i="12"/>
  <c r="F16" i="1" s="1"/>
  <c r="O104" i="13"/>
  <c r="O795" i="13"/>
  <c r="O872" i="13"/>
  <c r="O293" i="13"/>
  <c r="O669" i="13"/>
  <c r="O462" i="13"/>
  <c r="O526" i="13"/>
  <c r="O903" i="13"/>
  <c r="O12" i="13"/>
  <c r="O756" i="13"/>
  <c r="O493" i="13"/>
  <c r="O448" i="13"/>
  <c r="O281" i="13"/>
  <c r="O762" i="13"/>
  <c r="J34" i="16"/>
  <c r="F19" i="1" s="1"/>
  <c r="C34" i="16"/>
  <c r="G19" i="1" s="1"/>
  <c r="J34" i="10"/>
  <c r="F15" i="1" s="1"/>
  <c r="C34" i="10"/>
  <c r="O615" i="13"/>
  <c r="O475" i="13"/>
  <c r="O481" i="13"/>
  <c r="O275" i="13"/>
  <c r="O342" i="13"/>
  <c r="O522" i="13"/>
  <c r="O660" i="13"/>
  <c r="O941" i="13"/>
  <c r="O603" i="13"/>
  <c r="O498" i="13"/>
  <c r="O65" i="13"/>
  <c r="O280" i="13"/>
  <c r="O433" i="13"/>
  <c r="O648" i="13"/>
  <c r="O591" i="13"/>
  <c r="O917" i="13"/>
  <c r="O652" i="13"/>
  <c r="O243" i="13"/>
  <c r="O374" i="13"/>
  <c r="O282" i="13"/>
  <c r="O350" i="13"/>
  <c r="O791" i="13"/>
  <c r="O214" i="13"/>
  <c r="O441" i="13"/>
  <c r="O596" i="13"/>
  <c r="O230" i="13"/>
  <c r="O845" i="13"/>
  <c r="O628" i="13"/>
  <c r="O219" i="13"/>
  <c r="O278" i="13"/>
  <c r="O351" i="13"/>
  <c r="O258" i="13"/>
  <c r="O254" i="13"/>
  <c r="O985" i="13"/>
  <c r="O265" i="13"/>
  <c r="O480" i="13"/>
  <c r="O779" i="13"/>
  <c r="O23" i="13"/>
  <c r="O202" i="13"/>
  <c r="O417" i="13"/>
  <c r="O548" i="13"/>
  <c r="O86" i="13"/>
  <c r="O797" i="13"/>
  <c r="O316" i="13"/>
  <c r="O147" i="13"/>
  <c r="O775" i="13"/>
  <c r="O830" i="13"/>
  <c r="O41" i="13"/>
  <c r="O799" i="13"/>
  <c r="O901" i="13"/>
  <c r="O157" i="13"/>
  <c r="O444" i="13"/>
  <c r="O671" i="13"/>
  <c r="O946" i="13"/>
  <c r="O130" i="13"/>
  <c r="O309" i="13"/>
  <c r="O512" i="13"/>
  <c r="O287" i="13"/>
  <c r="O844" i="13"/>
  <c r="O424" i="13"/>
  <c r="O514" i="13"/>
  <c r="O820" i="13"/>
  <c r="O304" i="13"/>
  <c r="O621" i="13"/>
  <c r="O170" i="13"/>
  <c r="O609" i="13"/>
  <c r="O997" i="13"/>
  <c r="O519" i="13"/>
  <c r="O655" i="13"/>
  <c r="O773" i="13"/>
  <c r="O292" i="13"/>
  <c r="O123" i="13"/>
  <c r="O703" i="13"/>
  <c r="O734" i="13"/>
  <c r="O15" i="13"/>
  <c r="O679" i="13"/>
  <c r="O889" i="13"/>
  <c r="O145" i="13"/>
  <c r="O432" i="13"/>
  <c r="O659" i="13"/>
  <c r="O934" i="13"/>
  <c r="O118" i="13"/>
  <c r="O297" i="13"/>
  <c r="O500" i="13"/>
  <c r="O723" i="13"/>
  <c r="O89" i="13"/>
  <c r="O394" i="13"/>
  <c r="O796" i="13"/>
  <c r="O382" i="13"/>
  <c r="O35" i="13"/>
  <c r="O759" i="13"/>
  <c r="O295" i="13"/>
  <c r="O413" i="13"/>
  <c r="O268" i="13"/>
  <c r="O818" i="13"/>
  <c r="O78" i="13"/>
  <c r="O175" i="13"/>
  <c r="O713" i="13"/>
  <c r="O976" i="13"/>
  <c r="O733" i="13"/>
  <c r="O13" i="13"/>
  <c r="O276" i="13"/>
  <c r="O503" i="13"/>
  <c r="O766" i="13"/>
  <c r="O957" i="13"/>
  <c r="O177" i="13"/>
  <c r="O272" i="13"/>
  <c r="O314" i="13"/>
  <c r="O744" i="13"/>
  <c r="O657" i="13"/>
  <c r="O627" i="13"/>
  <c r="O445" i="13"/>
  <c r="O935" i="13"/>
  <c r="O203" i="13"/>
  <c r="O492" i="13"/>
  <c r="O735" i="13"/>
  <c r="O199" i="13"/>
  <c r="O389" i="13"/>
  <c r="O124" i="13"/>
  <c r="O794" i="13"/>
  <c r="O53" i="13"/>
  <c r="O79" i="13"/>
  <c r="O689" i="13"/>
  <c r="O952" i="13"/>
  <c r="O721" i="13"/>
  <c r="O6" i="13"/>
  <c r="O264" i="13"/>
  <c r="O491" i="13"/>
  <c r="O754" i="13"/>
  <c r="O945" i="13"/>
  <c r="O165" i="13"/>
  <c r="O260" i="13"/>
  <c r="O366" i="13"/>
  <c r="O257" i="13"/>
  <c r="O26" i="13"/>
  <c r="O194" i="13"/>
  <c r="O215" i="13"/>
  <c r="O879" i="13"/>
  <c r="O331" i="13"/>
  <c r="O800" i="13"/>
  <c r="O277" i="13"/>
  <c r="O975" i="13"/>
  <c r="O558" i="13"/>
  <c r="O365" i="13"/>
  <c r="O100" i="13"/>
  <c r="O674" i="13"/>
  <c r="O835" i="13"/>
  <c r="O606" i="13"/>
  <c r="O617" i="13"/>
  <c r="O736" i="13"/>
  <c r="O661" i="13"/>
  <c r="O924" i="13"/>
  <c r="O180" i="13"/>
  <c r="O455" i="13"/>
  <c r="O682" i="13"/>
  <c r="O849" i="13"/>
  <c r="O45" i="13"/>
  <c r="G16" i="1"/>
  <c r="O20" i="13"/>
  <c r="O296" i="13"/>
  <c r="O608" i="13"/>
  <c r="O908" i="13"/>
  <c r="O189" i="13"/>
  <c r="O453" i="13"/>
  <c r="O741" i="13"/>
  <c r="O969" i="13"/>
  <c r="O274" i="13"/>
  <c r="O538" i="13"/>
  <c r="O778" i="13"/>
  <c r="O47" i="13"/>
  <c r="O299" i="13"/>
  <c r="O587" i="13"/>
  <c r="O803" i="13"/>
  <c r="O48" i="13"/>
  <c r="O288" i="13"/>
  <c r="O504" i="13"/>
  <c r="O792" i="13"/>
  <c r="O25" i="13"/>
  <c r="O289" i="13"/>
  <c r="O505" i="13"/>
  <c r="O769" i="13"/>
  <c r="O39" i="13"/>
  <c r="O568" i="13"/>
  <c r="O1000" i="13"/>
  <c r="O422" i="13"/>
  <c r="O305" i="13"/>
  <c r="O833" i="13"/>
  <c r="O306" i="13"/>
  <c r="O786" i="13"/>
  <c r="O631" i="13"/>
  <c r="O42" i="13"/>
  <c r="O619" i="13"/>
  <c r="O678" i="13"/>
  <c r="O662" i="13"/>
  <c r="O362" i="13"/>
  <c r="O842" i="13"/>
  <c r="O411" i="13"/>
  <c r="O891" i="13"/>
  <c r="O388" i="13"/>
  <c r="O868" i="13"/>
  <c r="O485" i="13"/>
  <c r="O150" i="13"/>
  <c r="O582" i="13"/>
  <c r="O326" i="13"/>
  <c r="O159" i="13"/>
  <c r="O876" i="13"/>
  <c r="O473" i="13"/>
  <c r="O223" i="13"/>
  <c r="O76" i="13"/>
  <c r="O103" i="13"/>
  <c r="O32" i="13"/>
  <c r="O344" i="13"/>
  <c r="O644" i="13"/>
  <c r="O920" i="13"/>
  <c r="O201" i="13"/>
  <c r="O465" i="13"/>
  <c r="O753" i="13"/>
  <c r="O981" i="13"/>
  <c r="O298" i="13"/>
  <c r="O550" i="13"/>
  <c r="O790" i="13"/>
  <c r="O59" i="13"/>
  <c r="O311" i="13"/>
  <c r="O599" i="13"/>
  <c r="O815" i="13"/>
  <c r="O60" i="13"/>
  <c r="O300" i="13"/>
  <c r="O516" i="13"/>
  <c r="O804" i="13"/>
  <c r="O37" i="13"/>
  <c r="O301" i="13"/>
  <c r="O517" i="13"/>
  <c r="O781" i="13"/>
  <c r="O64" i="13"/>
  <c r="O592" i="13"/>
  <c r="O77" i="13"/>
  <c r="O518" i="13"/>
  <c r="O329" i="13"/>
  <c r="O857" i="13"/>
  <c r="O330" i="13"/>
  <c r="O810" i="13"/>
  <c r="O751" i="13"/>
  <c r="O67" i="13"/>
  <c r="O643" i="13"/>
  <c r="O870" i="13"/>
  <c r="O806" i="13"/>
  <c r="O386" i="13"/>
  <c r="O866" i="13"/>
  <c r="O435" i="13"/>
  <c r="O915" i="13"/>
  <c r="O412" i="13"/>
  <c r="O916" i="13"/>
  <c r="O509" i="13"/>
  <c r="O174" i="13"/>
  <c r="O630" i="13"/>
  <c r="O446" i="13"/>
  <c r="O639" i="13"/>
  <c r="O21" i="13"/>
  <c r="O636" i="13"/>
  <c r="O877" i="13"/>
  <c r="O40" i="13"/>
  <c r="O1002" i="13"/>
  <c r="O43" i="13"/>
  <c r="O556" i="13"/>
  <c r="O782" i="13"/>
  <c r="O44" i="13"/>
  <c r="O356" i="13"/>
  <c r="O656" i="13"/>
  <c r="O980" i="13"/>
  <c r="O213" i="13"/>
  <c r="O477" i="13"/>
  <c r="O765" i="13"/>
  <c r="O46" i="13"/>
  <c r="O310" i="13"/>
  <c r="O562" i="13"/>
  <c r="O850" i="13"/>
  <c r="O71" i="13"/>
  <c r="O371" i="13"/>
  <c r="O611" i="13"/>
  <c r="O851" i="13"/>
  <c r="O72" i="13"/>
  <c r="O312" i="13"/>
  <c r="O600" i="13"/>
  <c r="O840" i="13"/>
  <c r="O73" i="13"/>
  <c r="O313" i="13"/>
  <c r="O553" i="13"/>
  <c r="O841" i="13"/>
  <c r="O88" i="13"/>
  <c r="O616" i="13"/>
  <c r="O822" i="13"/>
  <c r="O758" i="13"/>
  <c r="O401" i="13"/>
  <c r="O929" i="13"/>
  <c r="O402" i="13"/>
  <c r="O834" i="13"/>
  <c r="O871" i="13"/>
  <c r="O187" i="13"/>
  <c r="O715" i="13"/>
  <c r="O990" i="13"/>
  <c r="O183" i="13"/>
  <c r="O458" i="13"/>
  <c r="O18" i="13"/>
  <c r="O459" i="13"/>
  <c r="O939" i="13"/>
  <c r="O484" i="13"/>
  <c r="O964" i="13"/>
  <c r="O629" i="13"/>
  <c r="O198" i="13"/>
  <c r="O846" i="13"/>
  <c r="O542" i="13"/>
  <c r="O927" i="13"/>
  <c r="O416" i="13"/>
  <c r="O273" i="13"/>
  <c r="O825" i="13"/>
  <c r="O610" i="13"/>
  <c r="O167" i="13"/>
  <c r="O911" i="13"/>
  <c r="O133" i="13"/>
  <c r="O256" i="13"/>
  <c r="O1001" i="13"/>
  <c r="O307" i="13"/>
  <c r="O531" i="13"/>
  <c r="O270" i="13"/>
  <c r="O56" i="13"/>
  <c r="O368" i="13"/>
  <c r="O704" i="13"/>
  <c r="O992" i="13"/>
  <c r="O225" i="13"/>
  <c r="O489" i="13"/>
  <c r="O777" i="13"/>
  <c r="O58" i="13"/>
  <c r="O322" i="13"/>
  <c r="O586" i="13"/>
  <c r="O874" i="13"/>
  <c r="O83" i="13"/>
  <c r="O383" i="13"/>
  <c r="O623" i="13"/>
  <c r="O863" i="13"/>
  <c r="O84" i="13"/>
  <c r="O324" i="13"/>
  <c r="O612" i="13"/>
  <c r="O852" i="13"/>
  <c r="O85" i="13"/>
  <c r="O325" i="13"/>
  <c r="O565" i="13"/>
  <c r="O853" i="13"/>
  <c r="O112" i="13"/>
  <c r="O640" i="13"/>
  <c r="O942" i="13"/>
  <c r="O854" i="13"/>
  <c r="O425" i="13"/>
  <c r="O953" i="13"/>
  <c r="O426" i="13"/>
  <c r="O858" i="13"/>
  <c r="O991" i="13"/>
  <c r="O211" i="13"/>
  <c r="O739" i="13"/>
  <c r="O55" i="13"/>
  <c r="O303" i="13"/>
  <c r="O482" i="13"/>
  <c r="O51" i="13"/>
  <c r="O483" i="13"/>
  <c r="O963" i="13"/>
  <c r="O508" i="13"/>
  <c r="O988" i="13"/>
  <c r="O653" i="13"/>
  <c r="O222" i="13"/>
  <c r="O894" i="13"/>
  <c r="O638" i="13"/>
  <c r="O327" i="13"/>
  <c r="O740" i="13"/>
  <c r="O537" i="13"/>
  <c r="O106" i="13"/>
  <c r="O898" i="13"/>
  <c r="O647" i="13"/>
  <c r="O132" i="13"/>
  <c r="O349" i="13"/>
  <c r="O127" i="13"/>
  <c r="O398" i="13"/>
  <c r="O99" i="13"/>
  <c r="O701" i="13"/>
  <c r="O68" i="13"/>
  <c r="O404" i="13"/>
  <c r="O728" i="13"/>
  <c r="O38" i="13"/>
  <c r="O261" i="13"/>
  <c r="O525" i="13"/>
  <c r="O813" i="13"/>
  <c r="O94" i="13"/>
  <c r="O358" i="13"/>
  <c r="O598" i="13"/>
  <c r="O886" i="13"/>
  <c r="O155" i="13"/>
  <c r="O419" i="13"/>
  <c r="O635" i="13"/>
  <c r="O899" i="13"/>
  <c r="O120" i="13"/>
  <c r="O408" i="13"/>
  <c r="O624" i="13"/>
  <c r="O864" i="13"/>
  <c r="O121" i="13"/>
  <c r="O337" i="13"/>
  <c r="O625" i="13"/>
  <c r="O865" i="13"/>
  <c r="O232" i="13"/>
  <c r="O664" i="13"/>
  <c r="O29" i="13"/>
  <c r="O375" i="13"/>
  <c r="O449" i="13"/>
  <c r="O977" i="13"/>
  <c r="O450" i="13"/>
  <c r="O978" i="13"/>
  <c r="O302" i="13"/>
  <c r="O283" i="13"/>
  <c r="O763" i="13"/>
  <c r="O151" i="13"/>
  <c r="O17" i="13"/>
  <c r="O554" i="13"/>
  <c r="O75" i="13"/>
  <c r="O507" i="13"/>
  <c r="O52" i="13"/>
  <c r="O532" i="13"/>
  <c r="O245" i="13"/>
  <c r="O677" i="13"/>
  <c r="O246" i="13"/>
  <c r="O966" i="13"/>
  <c r="O710" i="13"/>
  <c r="O447" i="13"/>
  <c r="O80" i="13"/>
  <c r="O370" i="13"/>
  <c r="O431" i="13"/>
  <c r="O420" i="13"/>
  <c r="O637" i="13"/>
  <c r="O688" i="13"/>
  <c r="O474" i="13"/>
  <c r="O787" i="13"/>
  <c r="O578" i="13"/>
  <c r="O269" i="13"/>
  <c r="O471" i="13"/>
  <c r="O116" i="13"/>
  <c r="O524" i="13"/>
  <c r="O824" i="13"/>
  <c r="O57" i="13"/>
  <c r="O369" i="13"/>
  <c r="O633" i="13"/>
  <c r="O921" i="13"/>
  <c r="O154" i="13"/>
  <c r="O406" i="13"/>
  <c r="O730" i="13"/>
  <c r="O982" i="13"/>
  <c r="O227" i="13"/>
  <c r="O467" i="13"/>
  <c r="O731" i="13"/>
  <c r="O995" i="13"/>
  <c r="O216" i="13"/>
  <c r="O456" i="13"/>
  <c r="O696" i="13"/>
  <c r="O936" i="13"/>
  <c r="O193" i="13"/>
  <c r="O457" i="13"/>
  <c r="O697" i="13"/>
  <c r="O937" i="13"/>
  <c r="O328" i="13"/>
  <c r="O904" i="13"/>
  <c r="O134" i="13"/>
  <c r="O113" i="13"/>
  <c r="O641" i="13"/>
  <c r="O114" i="13"/>
  <c r="O690" i="13"/>
  <c r="O774" i="13"/>
  <c r="O63" i="13"/>
  <c r="O427" i="13"/>
  <c r="O859" i="13"/>
  <c r="O30" i="13"/>
  <c r="O218" i="13"/>
  <c r="O746" i="13"/>
  <c r="O171" i="13"/>
  <c r="O699" i="13"/>
  <c r="O244" i="13"/>
  <c r="O772" i="13"/>
  <c r="O341" i="13"/>
  <c r="O821" i="13"/>
  <c r="O438" i="13"/>
  <c r="O583" i="13"/>
  <c r="O495" i="13"/>
  <c r="O711" i="13"/>
  <c r="O248" i="13"/>
  <c r="O536" i="13"/>
  <c r="O836" i="13"/>
  <c r="O69" i="13"/>
  <c r="O381" i="13"/>
  <c r="O645" i="13"/>
  <c r="O933" i="13"/>
  <c r="O166" i="13"/>
  <c r="O418" i="13"/>
  <c r="O742" i="13"/>
  <c r="O994" i="13"/>
  <c r="O239" i="13"/>
  <c r="O479" i="13"/>
  <c r="O743" i="13"/>
  <c r="O9" i="13"/>
  <c r="O228" i="13"/>
  <c r="O468" i="13"/>
  <c r="O708" i="13"/>
  <c r="O948" i="13"/>
  <c r="O205" i="13"/>
  <c r="O469" i="13"/>
  <c r="O709" i="13"/>
  <c r="O949" i="13"/>
  <c r="O352" i="13"/>
  <c r="O928" i="13"/>
  <c r="O158" i="13"/>
  <c r="O137" i="13"/>
  <c r="O665" i="13"/>
  <c r="O138" i="13"/>
  <c r="O714" i="13"/>
  <c r="O918" i="13"/>
  <c r="O255" i="13"/>
  <c r="O451" i="13"/>
  <c r="O883" i="13"/>
  <c r="O182" i="13"/>
  <c r="O242" i="13"/>
  <c r="O770" i="13"/>
  <c r="O195" i="13"/>
  <c r="O738" i="13"/>
  <c r="O848" i="13"/>
  <c r="O135" i="13"/>
  <c r="O355" i="13"/>
  <c r="O812" i="13"/>
  <c r="O923" i="13"/>
  <c r="O16" i="13"/>
  <c r="O687" i="13"/>
  <c r="O534" i="13"/>
  <c r="O317" i="13"/>
  <c r="O819" i="13"/>
  <c r="O650" i="13"/>
  <c r="O811" i="13"/>
  <c r="O102" i="13"/>
  <c r="O593" i="13"/>
  <c r="O712" i="13"/>
  <c r="O649" i="13"/>
  <c r="O912" i="13"/>
  <c r="O168" i="13"/>
  <c r="O443" i="13"/>
  <c r="O670" i="13"/>
  <c r="O837" i="13"/>
  <c r="O33" i="13"/>
  <c r="O92" i="13"/>
  <c r="O21" i="17"/>
  <c r="O75" i="15"/>
  <c r="O105" i="15"/>
  <c r="O164" i="15"/>
  <c r="O244" i="15"/>
  <c r="O321" i="15"/>
  <c r="O477" i="15"/>
  <c r="O556" i="15"/>
  <c r="O580" i="15"/>
  <c r="O628" i="15"/>
  <c r="O796" i="15"/>
  <c r="O844" i="15"/>
  <c r="O916" i="15"/>
  <c r="O964" i="15"/>
  <c r="O35" i="15"/>
  <c r="O140" i="15"/>
  <c r="O165" i="15"/>
  <c r="O272" i="15"/>
  <c r="O297" i="15"/>
  <c r="O327" i="15"/>
  <c r="O428" i="15"/>
  <c r="O483" i="15"/>
  <c r="O533" i="15"/>
  <c r="O581" i="15"/>
  <c r="O605" i="15"/>
  <c r="O725" i="15"/>
  <c r="O749" i="15"/>
  <c r="O773" i="15"/>
  <c r="O821" i="15"/>
  <c r="O869" i="15"/>
  <c r="O965" i="15"/>
  <c r="O36" i="15"/>
  <c r="O78" i="15"/>
  <c r="O113" i="15"/>
  <c r="O223" i="15"/>
  <c r="O273" i="15"/>
  <c r="O328" i="15"/>
  <c r="O379" i="15"/>
  <c r="O404" i="15"/>
  <c r="O429" i="15"/>
  <c r="O535" i="15"/>
  <c r="O559" i="15"/>
  <c r="O583" i="15"/>
  <c r="O631" i="15"/>
  <c r="O679" i="15"/>
  <c r="O727" i="15"/>
  <c r="O775" i="15"/>
  <c r="O823" i="15"/>
  <c r="O847" i="15"/>
  <c r="O871" i="15"/>
  <c r="O967" i="15"/>
  <c r="O991" i="15"/>
  <c r="O46" i="15"/>
  <c r="O115" i="15"/>
  <c r="O172" i="15"/>
  <c r="O199" i="15"/>
  <c r="O224" i="15"/>
  <c r="O279" i="15"/>
  <c r="O329" i="15"/>
  <c r="O355" i="15"/>
  <c r="O380" i="15"/>
  <c r="O435" i="15"/>
  <c r="O487" i="15"/>
  <c r="O512" i="15"/>
  <c r="O536" i="15"/>
  <c r="O584" i="15"/>
  <c r="O632" i="15"/>
  <c r="O656" i="15"/>
  <c r="O680" i="15"/>
  <c r="O728" i="15"/>
  <c r="O776" i="15"/>
  <c r="O800" i="15"/>
  <c r="O824" i="15"/>
  <c r="O872" i="15"/>
  <c r="O920" i="15"/>
  <c r="O944" i="15"/>
  <c r="O968" i="15"/>
  <c r="O47" i="15"/>
  <c r="O116" i="15"/>
  <c r="O148" i="15"/>
  <c r="O175" i="15"/>
  <c r="O200" i="15"/>
  <c r="O225" i="15"/>
  <c r="O280" i="15"/>
  <c r="O305" i="15"/>
  <c r="O331" i="15"/>
  <c r="O381" i="15"/>
  <c r="O436" i="15"/>
  <c r="O463" i="15"/>
  <c r="O488" i="15"/>
  <c r="O513" i="15"/>
  <c r="O537" i="15"/>
  <c r="O585" i="15"/>
  <c r="O609" i="15"/>
  <c r="O633" i="15"/>
  <c r="O681" i="15"/>
  <c r="O705" i="15"/>
  <c r="O729" i="15"/>
  <c r="O753" i="15"/>
  <c r="O777" i="15"/>
  <c r="O801" i="15"/>
  <c r="O825" i="15"/>
  <c r="O849" i="15"/>
  <c r="O873" i="15"/>
  <c r="O897" i="15"/>
  <c r="O921" i="15"/>
  <c r="O969" i="15"/>
  <c r="O993" i="15"/>
  <c r="O50" i="15"/>
  <c r="O89" i="15"/>
  <c r="O117" i="15"/>
  <c r="O151" i="15"/>
  <c r="O176" i="15"/>
  <c r="O201" i="15"/>
  <c r="O231" i="15"/>
  <c r="O256" i="15"/>
  <c r="O281" i="15"/>
  <c r="O332" i="15"/>
  <c r="O357" i="15"/>
  <c r="O387" i="15"/>
  <c r="O412" i="15"/>
  <c r="O439" i="15"/>
  <c r="O464" i="15"/>
  <c r="O489" i="15"/>
  <c r="O519" i="15"/>
  <c r="O543" i="15"/>
  <c r="O567" i="15"/>
  <c r="O591" i="15"/>
  <c r="O639" i="15"/>
  <c r="O663" i="15"/>
  <c r="O687" i="15"/>
  <c r="O711" i="15"/>
  <c r="O735" i="15"/>
  <c r="O759" i="15"/>
  <c r="O783" i="15"/>
  <c r="O807" i="15"/>
  <c r="O831" i="15"/>
  <c r="O855" i="15"/>
  <c r="O879" i="15"/>
  <c r="O903" i="15"/>
  <c r="O927" i="15"/>
  <c r="O951" i="15"/>
  <c r="O975" i="15"/>
  <c r="O999" i="15"/>
  <c r="O101" i="15"/>
  <c r="O160" i="15"/>
  <c r="O211" i="15"/>
  <c r="O261" i="15"/>
  <c r="O316" i="15"/>
  <c r="O368" i="15"/>
  <c r="O423" i="15"/>
  <c r="O473" i="15"/>
  <c r="O524" i="15"/>
  <c r="O572" i="15"/>
  <c r="O620" i="15"/>
  <c r="O668" i="15"/>
  <c r="O716" i="15"/>
  <c r="O764" i="15"/>
  <c r="O812" i="15"/>
  <c r="O860" i="15"/>
  <c r="O908" i="15"/>
  <c r="O956" i="15"/>
  <c r="O1004" i="15"/>
  <c r="O692" i="15"/>
  <c r="O187" i="15"/>
  <c r="O152" i="15"/>
  <c r="O471" i="15"/>
  <c r="O667" i="15"/>
  <c r="O16" i="15"/>
  <c r="O103" i="15"/>
  <c r="O161" i="15"/>
  <c r="O212" i="15"/>
  <c r="O267" i="15"/>
  <c r="O319" i="15"/>
  <c r="O369" i="15"/>
  <c r="O424" i="15"/>
  <c r="O475" i="15"/>
  <c r="O525" i="15"/>
  <c r="O573" i="15"/>
  <c r="O621" i="15"/>
  <c r="O669" i="15"/>
  <c r="O717" i="15"/>
  <c r="O765" i="15"/>
  <c r="O813" i="15"/>
  <c r="O861" i="15"/>
  <c r="O909" i="15"/>
  <c r="O957" i="15"/>
  <c r="O1005" i="15"/>
  <c r="O884" i="15"/>
  <c r="O597" i="15"/>
  <c r="O699" i="15"/>
  <c r="O308" i="15"/>
  <c r="O209" i="15"/>
  <c r="O27" i="15"/>
  <c r="O104" i="15"/>
  <c r="O163" i="15"/>
  <c r="O213" i="15"/>
  <c r="O268" i="15"/>
  <c r="O320" i="15"/>
  <c r="O375" i="15"/>
  <c r="O425" i="15"/>
  <c r="O476" i="15"/>
  <c r="O531" i="15"/>
  <c r="O579" i="15"/>
  <c r="O627" i="15"/>
  <c r="O675" i="15"/>
  <c r="O723" i="15"/>
  <c r="O771" i="15"/>
  <c r="O819" i="15"/>
  <c r="O867" i="15"/>
  <c r="O915" i="15"/>
  <c r="O963" i="15"/>
  <c r="O836" i="15"/>
  <c r="O645" i="15"/>
  <c r="O651" i="15"/>
  <c r="O257" i="15"/>
  <c r="O315" i="15"/>
  <c r="O51" i="15"/>
  <c r="O125" i="15"/>
  <c r="O177" i="15"/>
  <c r="O232" i="15"/>
  <c r="O283" i="15"/>
  <c r="O333" i="15"/>
  <c r="O388" i="15"/>
  <c r="O440" i="15"/>
  <c r="O495" i="15"/>
  <c r="O544" i="15"/>
  <c r="O592" i="15"/>
  <c r="O640" i="15"/>
  <c r="O688" i="15"/>
  <c r="O736" i="15"/>
  <c r="O784" i="15"/>
  <c r="O832" i="15"/>
  <c r="O880" i="15"/>
  <c r="O928" i="15"/>
  <c r="O976" i="15"/>
  <c r="O129" i="15"/>
  <c r="O237" i="15"/>
  <c r="O91" i="15"/>
  <c r="O416" i="15"/>
  <c r="O619" i="15"/>
  <c r="O60" i="15"/>
  <c r="O127" i="15"/>
  <c r="O183" i="15"/>
  <c r="O233" i="15"/>
  <c r="O284" i="15"/>
  <c r="O339" i="15"/>
  <c r="O391" i="15"/>
  <c r="O441" i="15"/>
  <c r="O496" i="15"/>
  <c r="O545" i="15"/>
  <c r="O593" i="15"/>
  <c r="O641" i="15"/>
  <c r="O689" i="15"/>
  <c r="O737" i="15"/>
  <c r="O785" i="15"/>
  <c r="O833" i="15"/>
  <c r="O881" i="15"/>
  <c r="O929" i="15"/>
  <c r="O977" i="15"/>
  <c r="O185" i="15"/>
  <c r="O291" i="15"/>
  <c r="O393" i="15"/>
  <c r="O448" i="15"/>
  <c r="O548" i="15"/>
  <c r="O644" i="15"/>
  <c r="O788" i="15"/>
  <c r="O980" i="15"/>
  <c r="O65" i="15"/>
  <c r="O292" i="15"/>
  <c r="O399" i="15"/>
  <c r="O500" i="15"/>
  <c r="O693" i="15"/>
  <c r="O789" i="15"/>
  <c r="O837" i="15"/>
  <c r="O933" i="15"/>
  <c r="O137" i="15"/>
  <c r="O243" i="15"/>
  <c r="O295" i="15"/>
  <c r="O400" i="15"/>
  <c r="O451" i="15"/>
  <c r="O555" i="15"/>
  <c r="O747" i="15"/>
  <c r="O843" i="15"/>
  <c r="O939" i="15"/>
  <c r="O987" i="15"/>
  <c r="O207" i="15"/>
  <c r="O363" i="15"/>
  <c r="O465" i="15"/>
  <c r="O568" i="15"/>
  <c r="O664" i="15"/>
  <c r="O760" i="15"/>
  <c r="O856" i="15"/>
  <c r="O1000" i="15"/>
  <c r="O93" i="15"/>
  <c r="O208" i="15"/>
  <c r="O259" i="15"/>
  <c r="O364" i="15"/>
  <c r="O569" i="15"/>
  <c r="O665" i="15"/>
  <c r="O761" i="15"/>
  <c r="O905" i="15"/>
  <c r="O1001" i="15"/>
  <c r="O159" i="15"/>
  <c r="O367" i="15"/>
  <c r="O523" i="15"/>
  <c r="O715" i="15"/>
  <c r="O811" i="15"/>
  <c r="O907" i="15"/>
  <c r="O955" i="15"/>
  <c r="O63" i="15"/>
  <c r="O128" i="15"/>
  <c r="O184" i="15"/>
  <c r="O235" i="15"/>
  <c r="O285" i="15"/>
  <c r="O340" i="15"/>
  <c r="O392" i="15"/>
  <c r="O447" i="15"/>
  <c r="O497" i="15"/>
  <c r="O547" i="15"/>
  <c r="O595" i="15"/>
  <c r="O643" i="15"/>
  <c r="O691" i="15"/>
  <c r="O739" i="15"/>
  <c r="O787" i="15"/>
  <c r="O835" i="15"/>
  <c r="O883" i="15"/>
  <c r="O931" i="15"/>
  <c r="O979" i="15"/>
  <c r="O64" i="15"/>
  <c r="O236" i="15"/>
  <c r="O343" i="15"/>
  <c r="O499" i="15"/>
  <c r="O596" i="15"/>
  <c r="O740" i="15"/>
  <c r="O932" i="15"/>
  <c r="O136" i="15"/>
  <c r="O344" i="15"/>
  <c r="O449" i="15"/>
  <c r="O549" i="15"/>
  <c r="O741" i="15"/>
  <c r="O885" i="15"/>
  <c r="O981" i="15"/>
  <c r="O74" i="15"/>
  <c r="O188" i="15"/>
  <c r="O345" i="15"/>
  <c r="O501" i="15"/>
  <c r="O603" i="15"/>
  <c r="O795" i="15"/>
  <c r="O891" i="15"/>
  <c r="O415" i="15"/>
  <c r="O520" i="15"/>
  <c r="O616" i="15"/>
  <c r="O712" i="15"/>
  <c r="O808" i="15"/>
  <c r="O904" i="15"/>
  <c r="O952" i="15"/>
  <c r="O153" i="15"/>
  <c r="O309" i="15"/>
  <c r="O521" i="15"/>
  <c r="O617" i="15"/>
  <c r="O713" i="15"/>
  <c r="O809" i="15"/>
  <c r="O857" i="15"/>
  <c r="O953" i="15"/>
  <c r="O100" i="15"/>
  <c r="O260" i="15"/>
  <c r="O417" i="15"/>
  <c r="O472" i="15"/>
  <c r="O571" i="15"/>
  <c r="O763" i="15"/>
  <c r="O859" i="15"/>
  <c r="O1003" i="15"/>
  <c r="O485" i="15"/>
  <c r="O197" i="15"/>
  <c r="O82" i="15"/>
  <c r="O226" i="15"/>
  <c r="O370" i="15"/>
  <c r="O514" i="15"/>
  <c r="O658" i="15"/>
  <c r="O802" i="15"/>
  <c r="O946" i="15"/>
  <c r="O69" i="15"/>
  <c r="O215" i="15"/>
  <c r="O359" i="15"/>
  <c r="O503" i="15"/>
  <c r="O647" i="15"/>
  <c r="O791" i="15"/>
  <c r="O935" i="15"/>
  <c r="O70" i="15"/>
  <c r="O216" i="15"/>
  <c r="O360" i="15"/>
  <c r="O504" i="15"/>
  <c r="O648" i="15"/>
  <c r="O792" i="15"/>
  <c r="O936" i="15"/>
  <c r="O57" i="15"/>
  <c r="O205" i="15"/>
  <c r="O349" i="15"/>
  <c r="O493" i="15"/>
  <c r="O637" i="15"/>
  <c r="O781" i="15"/>
  <c r="O925" i="15"/>
  <c r="O72" i="15"/>
  <c r="O218" i="15"/>
  <c r="O362" i="15"/>
  <c r="O506" i="15"/>
  <c r="O650" i="15"/>
  <c r="O794" i="15"/>
  <c r="O938" i="15"/>
  <c r="O76" i="15"/>
  <c r="O222" i="15"/>
  <c r="O366" i="15"/>
  <c r="O510" i="15"/>
  <c r="O654" i="15"/>
  <c r="O798" i="15"/>
  <c r="O942" i="15"/>
  <c r="O21" i="15"/>
  <c r="O19" i="15"/>
  <c r="O154" i="15"/>
  <c r="O143" i="15"/>
  <c r="O9" i="15"/>
  <c r="O720" i="15"/>
  <c r="O421" i="15"/>
  <c r="O290" i="15"/>
  <c r="O5" i="15"/>
  <c r="O870" i="15"/>
  <c r="O310" i="15"/>
  <c r="O87" i="15"/>
  <c r="O731" i="15"/>
  <c r="O444" i="15"/>
  <c r="O289" i="15"/>
  <c r="O7" i="15"/>
  <c r="O734" i="15"/>
  <c r="O450" i="15"/>
  <c r="O466" i="15"/>
  <c r="O455" i="15"/>
  <c r="O312" i="15"/>
  <c r="O99" i="15"/>
  <c r="O26" i="15"/>
  <c r="O13" i="15"/>
  <c r="O49" i="15"/>
  <c r="O190" i="15"/>
  <c r="O324" i="15"/>
  <c r="O601" i="15"/>
  <c r="O758" i="15"/>
  <c r="O618" i="15"/>
  <c r="O52" i="15"/>
  <c r="O922" i="15"/>
  <c r="O461" i="15"/>
  <c r="O173" i="15"/>
  <c r="O94" i="15"/>
  <c r="O238" i="15"/>
  <c r="O382" i="15"/>
  <c r="O526" i="15"/>
  <c r="O670" i="15"/>
  <c r="O814" i="15"/>
  <c r="O958" i="15"/>
  <c r="O83" i="15"/>
  <c r="O227" i="15"/>
  <c r="O371" i="15"/>
  <c r="O515" i="15"/>
  <c r="O659" i="15"/>
  <c r="O803" i="15"/>
  <c r="O947" i="15"/>
  <c r="O84" i="15"/>
  <c r="O228" i="15"/>
  <c r="O372" i="15"/>
  <c r="O516" i="15"/>
  <c r="O660" i="15"/>
  <c r="O804" i="15"/>
  <c r="O948" i="15"/>
  <c r="O71" i="15"/>
  <c r="O217" i="15"/>
  <c r="O361" i="15"/>
  <c r="O505" i="15"/>
  <c r="O649" i="15"/>
  <c r="O793" i="15"/>
  <c r="O937" i="15"/>
  <c r="O86" i="15"/>
  <c r="O230" i="15"/>
  <c r="O374" i="15"/>
  <c r="O518" i="15"/>
  <c r="O662" i="15"/>
  <c r="O806" i="15"/>
  <c r="O950" i="15"/>
  <c r="O90" i="15"/>
  <c r="O234" i="15"/>
  <c r="O378" i="15"/>
  <c r="O522" i="15"/>
  <c r="O666" i="15"/>
  <c r="O810" i="15"/>
  <c r="O954" i="15"/>
  <c r="O80" i="15"/>
  <c r="O30" i="15"/>
  <c r="O442" i="15"/>
  <c r="O431" i="15"/>
  <c r="O144" i="15"/>
  <c r="O6" i="15"/>
  <c r="O853" i="15"/>
  <c r="O722" i="15"/>
  <c r="O726" i="15"/>
  <c r="G17" i="1"/>
  <c r="O742" i="15"/>
  <c r="O587" i="15"/>
  <c r="O300" i="15"/>
  <c r="O59" i="15"/>
  <c r="O865" i="15"/>
  <c r="O878" i="15"/>
  <c r="O738" i="15"/>
  <c r="O178" i="15"/>
  <c r="O111" i="15"/>
  <c r="O157" i="15"/>
  <c r="O314" i="15"/>
  <c r="O318" i="15"/>
  <c r="O67" i="15"/>
  <c r="O334" i="15"/>
  <c r="O23" i="15"/>
  <c r="O135" i="15"/>
  <c r="O25" i="15"/>
  <c r="O902" i="15"/>
  <c r="O762" i="15"/>
  <c r="O490" i="15"/>
  <c r="O437" i="15"/>
  <c r="O149" i="15"/>
  <c r="O106" i="15"/>
  <c r="O250" i="15"/>
  <c r="O394" i="15"/>
  <c r="O538" i="15"/>
  <c r="O682" i="15"/>
  <c r="O826" i="15"/>
  <c r="O970" i="15"/>
  <c r="O95" i="15"/>
  <c r="O239" i="15"/>
  <c r="O383" i="15"/>
  <c r="O527" i="15"/>
  <c r="O671" i="15"/>
  <c r="O815" i="15"/>
  <c r="O959" i="15"/>
  <c r="O96" i="15"/>
  <c r="O240" i="15"/>
  <c r="O384" i="15"/>
  <c r="O528" i="15"/>
  <c r="O672" i="15"/>
  <c r="O816" i="15"/>
  <c r="O960" i="15"/>
  <c r="O85" i="15"/>
  <c r="O229" i="15"/>
  <c r="O373" i="15"/>
  <c r="O517" i="15"/>
  <c r="O661" i="15"/>
  <c r="O805" i="15"/>
  <c r="O949" i="15"/>
  <c r="O98" i="15"/>
  <c r="O242" i="15"/>
  <c r="O386" i="15"/>
  <c r="O530" i="15"/>
  <c r="O674" i="15"/>
  <c r="O818" i="15"/>
  <c r="O962" i="15"/>
  <c r="O102" i="15"/>
  <c r="O246" i="15"/>
  <c r="O390" i="15"/>
  <c r="O534" i="15"/>
  <c r="O678" i="15"/>
  <c r="O822" i="15"/>
  <c r="O966" i="15"/>
  <c r="O68" i="15"/>
  <c r="O18" i="15"/>
  <c r="O298" i="15"/>
  <c r="O874" i="15"/>
  <c r="O863" i="15"/>
  <c r="O864" i="15"/>
  <c r="O709" i="15"/>
  <c r="O578" i="15"/>
  <c r="O294" i="15"/>
  <c r="O14" i="15"/>
  <c r="O454" i="15"/>
  <c r="O299" i="15"/>
  <c r="O42" i="15"/>
  <c r="O876" i="15"/>
  <c r="O577" i="15"/>
  <c r="O302" i="15"/>
  <c r="O10" i="15"/>
  <c r="O594" i="15"/>
  <c r="O79" i="15"/>
  <c r="O17" i="15"/>
  <c r="O754" i="15"/>
  <c r="O123" i="15"/>
  <c r="O311" i="15"/>
  <c r="O168" i="15"/>
  <c r="O744" i="15"/>
  <c r="O589" i="15"/>
  <c r="O458" i="15"/>
  <c r="O174" i="15"/>
  <c r="O894" i="15"/>
  <c r="O269" i="15"/>
  <c r="O910" i="15"/>
  <c r="O323" i="15"/>
  <c r="O899" i="15"/>
  <c r="O756" i="15"/>
  <c r="O313" i="15"/>
  <c r="O182" i="15"/>
  <c r="O29" i="15"/>
  <c r="O906" i="15"/>
  <c r="O245" i="15"/>
  <c r="O634" i="15"/>
  <c r="O413" i="15"/>
  <c r="O124" i="15"/>
  <c r="O118" i="15"/>
  <c r="O262" i="15"/>
  <c r="O406" i="15"/>
  <c r="O550" i="15"/>
  <c r="O694" i="15"/>
  <c r="O838" i="15"/>
  <c r="O982" i="15"/>
  <c r="O107" i="15"/>
  <c r="O251" i="15"/>
  <c r="O395" i="15"/>
  <c r="O539" i="15"/>
  <c r="O683" i="15"/>
  <c r="O827" i="15"/>
  <c r="O971" i="15"/>
  <c r="O108" i="15"/>
  <c r="O252" i="15"/>
  <c r="O396" i="15"/>
  <c r="O540" i="15"/>
  <c r="O684" i="15"/>
  <c r="O828" i="15"/>
  <c r="O972" i="15"/>
  <c r="O97" i="15"/>
  <c r="O241" i="15"/>
  <c r="O385" i="15"/>
  <c r="O529" i="15"/>
  <c r="O673" i="15"/>
  <c r="O817" i="15"/>
  <c r="O961" i="15"/>
  <c r="O110" i="15"/>
  <c r="O254" i="15"/>
  <c r="O398" i="15"/>
  <c r="O542" i="15"/>
  <c r="O686" i="15"/>
  <c r="O830" i="15"/>
  <c r="O974" i="15"/>
  <c r="O114" i="15"/>
  <c r="O258" i="15"/>
  <c r="O402" i="15"/>
  <c r="O546" i="15"/>
  <c r="O690" i="15"/>
  <c r="O834" i="15"/>
  <c r="O978" i="15"/>
  <c r="O56" i="15"/>
  <c r="O12" i="15"/>
  <c r="O586" i="15"/>
  <c r="O73" i="15"/>
  <c r="O719" i="15"/>
  <c r="O576" i="15"/>
  <c r="O565" i="15"/>
  <c r="O434" i="15"/>
  <c r="O438" i="15"/>
  <c r="O20" i="15"/>
  <c r="O317" i="15"/>
  <c r="O598" i="15"/>
  <c r="O886" i="15"/>
  <c r="O443" i="15"/>
  <c r="O156" i="15"/>
  <c r="O732" i="15"/>
  <c r="O433" i="15"/>
  <c r="O158" i="15"/>
  <c r="O162" i="15"/>
  <c r="O882" i="15"/>
  <c r="O610" i="15"/>
  <c r="O167" i="15"/>
  <c r="O743" i="15"/>
  <c r="O600" i="15"/>
  <c r="O445" i="15"/>
  <c r="O170" i="15"/>
  <c r="O890" i="15"/>
  <c r="O606" i="15"/>
  <c r="O37" i="15"/>
  <c r="O622" i="15"/>
  <c r="O22" i="15"/>
  <c r="O467" i="15"/>
  <c r="O180" i="15"/>
  <c r="O900" i="15"/>
  <c r="O745" i="15"/>
  <c r="O614" i="15"/>
  <c r="O474" i="15"/>
  <c r="O389" i="15"/>
  <c r="O92" i="15"/>
  <c r="O130" i="15"/>
  <c r="O274" i="15"/>
  <c r="O418" i="15"/>
  <c r="O562" i="15"/>
  <c r="O706" i="15"/>
  <c r="O850" i="15"/>
  <c r="O994" i="15"/>
  <c r="O119" i="15"/>
  <c r="O263" i="15"/>
  <c r="O407" i="15"/>
  <c r="O551" i="15"/>
  <c r="O695" i="15"/>
  <c r="O839" i="15"/>
  <c r="O983" i="15"/>
  <c r="O120" i="15"/>
  <c r="O264" i="15"/>
  <c r="O408" i="15"/>
  <c r="O552" i="15"/>
  <c r="O696" i="15"/>
  <c r="O840" i="15"/>
  <c r="O984" i="15"/>
  <c r="O109" i="15"/>
  <c r="O253" i="15"/>
  <c r="O397" i="15"/>
  <c r="O541" i="15"/>
  <c r="O685" i="15"/>
  <c r="O829" i="15"/>
  <c r="O973" i="15"/>
  <c r="O122" i="15"/>
  <c r="O266" i="15"/>
  <c r="O410" i="15"/>
  <c r="O554" i="15"/>
  <c r="O698" i="15"/>
  <c r="O842" i="15"/>
  <c r="O986" i="15"/>
  <c r="O126" i="15"/>
  <c r="O270" i="15"/>
  <c r="O414" i="15"/>
  <c r="O558" i="15"/>
  <c r="O702" i="15"/>
  <c r="O846" i="15"/>
  <c r="O990" i="15"/>
  <c r="O44" i="15"/>
  <c r="O341" i="15"/>
  <c r="O287" i="15"/>
  <c r="O288" i="15"/>
  <c r="O133" i="15"/>
  <c r="O146" i="15"/>
  <c r="O150" i="15"/>
  <c r="O166" i="15"/>
  <c r="O155" i="15"/>
  <c r="O875" i="15"/>
  <c r="O588" i="15"/>
  <c r="O145" i="15"/>
  <c r="O721" i="15"/>
  <c r="O446" i="15"/>
  <c r="O306" i="15"/>
  <c r="O34" i="15"/>
  <c r="O293" i="15"/>
  <c r="O898" i="15"/>
  <c r="O599" i="15"/>
  <c r="O456" i="15"/>
  <c r="O301" i="15"/>
  <c r="O877" i="15"/>
  <c r="O602" i="15"/>
  <c r="O462" i="15"/>
  <c r="O478" i="15"/>
  <c r="O179" i="15"/>
  <c r="O755" i="15"/>
  <c r="O612" i="15"/>
  <c r="O169" i="15"/>
  <c r="O889" i="15"/>
  <c r="O470" i="15"/>
  <c r="O330" i="15"/>
  <c r="O202" i="15"/>
  <c r="O365" i="15"/>
  <c r="O61" i="15"/>
  <c r="O142" i="15"/>
  <c r="O286" i="15"/>
  <c r="O430" i="15"/>
  <c r="O574" i="15"/>
  <c r="O718" i="15"/>
  <c r="O862" i="15"/>
  <c r="O1006" i="15"/>
  <c r="O131" i="15"/>
  <c r="O275" i="15"/>
  <c r="O419" i="15"/>
  <c r="O563" i="15"/>
  <c r="O707" i="15"/>
  <c r="O851" i="15"/>
  <c r="O995" i="15"/>
  <c r="O132" i="15"/>
  <c r="O276" i="15"/>
  <c r="O420" i="15"/>
  <c r="O564" i="15"/>
  <c r="O708" i="15"/>
  <c r="O852" i="15"/>
  <c r="O996" i="15"/>
  <c r="O121" i="15"/>
  <c r="O265" i="15"/>
  <c r="O409" i="15"/>
  <c r="O553" i="15"/>
  <c r="O697" i="15"/>
  <c r="O841" i="15"/>
  <c r="O985" i="15"/>
  <c r="O134" i="15"/>
  <c r="O278" i="15"/>
  <c r="O422" i="15"/>
  <c r="O566" i="15"/>
  <c r="O710" i="15"/>
  <c r="O854" i="15"/>
  <c r="O998" i="15"/>
  <c r="O138" i="15"/>
  <c r="O282" i="15"/>
  <c r="O426" i="15"/>
  <c r="O570" i="15"/>
  <c r="O714" i="15"/>
  <c r="O858" i="15"/>
  <c r="O1002" i="15"/>
  <c r="O32" i="15"/>
  <c r="O730" i="15"/>
  <c r="O575" i="15"/>
  <c r="O432" i="15"/>
  <c r="O277" i="15"/>
  <c r="O997" i="15"/>
  <c r="O866" i="15"/>
  <c r="O582" i="15"/>
  <c r="O590" i="15"/>
  <c r="O322" i="15"/>
  <c r="O887" i="15"/>
  <c r="O888" i="15"/>
  <c r="O733" i="15"/>
  <c r="O746" i="15"/>
  <c r="O750" i="15"/>
  <c r="O766" i="15"/>
  <c r="O611" i="15"/>
  <c r="O468" i="15"/>
  <c r="O457" i="15"/>
  <c r="O326" i="15"/>
  <c r="O186" i="15"/>
  <c r="O55" i="15"/>
  <c r="O15" i="15"/>
  <c r="O778" i="15"/>
  <c r="O646" i="15"/>
  <c r="O635" i="15"/>
  <c r="O492" i="15"/>
  <c r="O337" i="15"/>
  <c r="O206" i="15"/>
  <c r="O62" i="15"/>
  <c r="O930" i="15"/>
  <c r="O924" i="15"/>
  <c r="O24" i="15"/>
  <c r="O913" i="15"/>
  <c r="O41" i="15"/>
  <c r="O926" i="15"/>
  <c r="O325" i="15"/>
  <c r="O790" i="15"/>
  <c r="O767" i="15"/>
  <c r="O624" i="15"/>
  <c r="O469" i="15"/>
  <c r="O338" i="15"/>
  <c r="O198" i="15"/>
  <c r="O769" i="15"/>
  <c r="O901" i="15"/>
  <c r="O40" i="15"/>
  <c r="O181" i="15"/>
  <c r="O193" i="15"/>
  <c r="O194" i="15"/>
  <c r="O934" i="15"/>
  <c r="O779" i="15"/>
  <c r="O636" i="15"/>
  <c r="O481" i="15"/>
  <c r="O350" i="15"/>
  <c r="O210" i="15"/>
  <c r="O45" i="15"/>
  <c r="O638" i="15"/>
  <c r="O770" i="15"/>
  <c r="O782" i="15"/>
  <c r="O914" i="15"/>
  <c r="O58" i="15"/>
  <c r="O480" i="15"/>
  <c r="O918" i="15"/>
  <c r="O38" i="15"/>
  <c r="O911" i="15"/>
  <c r="O768" i="15"/>
  <c r="O613" i="15"/>
  <c r="O482" i="15"/>
  <c r="O342" i="15"/>
  <c r="O33" i="15"/>
  <c r="O54" i="15"/>
  <c r="O335" i="15"/>
  <c r="O214" i="15"/>
  <c r="O346" i="15"/>
  <c r="O348" i="15"/>
  <c r="O786" i="15"/>
  <c r="O623" i="15"/>
  <c r="O53" i="15"/>
  <c r="O923" i="15"/>
  <c r="O780" i="15"/>
  <c r="O625" i="15"/>
  <c r="O494" i="15"/>
  <c r="O354" i="15"/>
  <c r="O43" i="15"/>
  <c r="O203" i="15"/>
  <c r="O66" i="15"/>
  <c r="O204" i="15"/>
  <c r="O642" i="15"/>
  <c r="O336" i="15"/>
  <c r="O358" i="15"/>
  <c r="O502" i="15"/>
  <c r="O509" i="15"/>
  <c r="O191" i="15"/>
  <c r="O39" i="15"/>
  <c r="O912" i="15"/>
  <c r="O757" i="15"/>
  <c r="O626" i="15"/>
  <c r="O486" i="15"/>
  <c r="O31" i="15"/>
  <c r="O221" i="15"/>
  <c r="O498" i="15"/>
  <c r="O192" i="15"/>
  <c r="O630" i="15"/>
  <c r="O347" i="15"/>
  <c r="O479" i="15"/>
  <c r="O774" i="15"/>
  <c r="O491" i="15"/>
  <c r="O48" i="15"/>
  <c r="O999" i="13"/>
  <c r="O231" i="13"/>
  <c r="O487" i="13"/>
  <c r="O510" i="13"/>
  <c r="O989" i="13"/>
  <c r="O605" i="13"/>
  <c r="O125" i="13"/>
  <c r="O604" i="13"/>
  <c r="O220" i="13"/>
  <c r="O771" i="13"/>
  <c r="O387" i="13"/>
  <c r="O914" i="13"/>
  <c r="O530" i="13"/>
  <c r="O98" i="13"/>
  <c r="O919" i="13"/>
  <c r="O940" i="13"/>
  <c r="O547" i="13"/>
  <c r="O163" i="13"/>
  <c r="O206" i="13"/>
  <c r="O101" i="13"/>
  <c r="O618" i="13"/>
  <c r="O186" i="13"/>
  <c r="O761" i="13"/>
  <c r="O377" i="13"/>
  <c r="O279" i="13"/>
  <c r="O535" i="13"/>
  <c r="O832" i="13"/>
  <c r="O400" i="13"/>
  <c r="O14" i="13"/>
  <c r="O805" i="13"/>
  <c r="O613" i="13"/>
  <c r="O373" i="13"/>
  <c r="O181" i="13"/>
  <c r="O996" i="13"/>
  <c r="O780" i="13"/>
  <c r="O588" i="13"/>
  <c r="O348" i="13"/>
  <c r="O156" i="13"/>
  <c r="O959" i="13"/>
  <c r="O767" i="13"/>
  <c r="O575" i="13"/>
  <c r="O335" i="13"/>
  <c r="O143" i="13"/>
  <c r="O922" i="13"/>
  <c r="O706" i="13"/>
  <c r="O478" i="13"/>
  <c r="O238" i="13"/>
  <c r="O10" i="13"/>
  <c r="O801" i="13"/>
  <c r="O597" i="13"/>
  <c r="O357" i="13"/>
  <c r="O117" i="13"/>
  <c r="O896" i="13"/>
  <c r="O680" i="13"/>
  <c r="O452" i="13"/>
  <c r="O224" i="13"/>
  <c r="O692" i="13"/>
  <c r="O488" i="13"/>
  <c r="O236" i="13"/>
  <c r="O423" i="13"/>
  <c r="O31" i="13"/>
  <c r="O391" i="13"/>
  <c r="O486" i="13"/>
  <c r="O965" i="13"/>
  <c r="O581" i="13"/>
  <c r="O27" i="13"/>
  <c r="O580" i="13"/>
  <c r="O196" i="13"/>
  <c r="O747" i="13"/>
  <c r="O363" i="13"/>
  <c r="O890" i="13"/>
  <c r="O506" i="13"/>
  <c r="O74" i="13"/>
  <c r="O847" i="13"/>
  <c r="O1003" i="13"/>
  <c r="O523" i="13"/>
  <c r="O139" i="13"/>
  <c r="O110" i="13"/>
  <c r="O892" i="13"/>
  <c r="O594" i="13"/>
  <c r="O162" i="13"/>
  <c r="O737" i="13"/>
  <c r="O353" i="13"/>
  <c r="O207" i="13"/>
  <c r="O439" i="13"/>
  <c r="O808" i="13"/>
  <c r="O376" i="13"/>
  <c r="O7" i="13"/>
  <c r="O793" i="13"/>
  <c r="O601" i="13"/>
  <c r="O361" i="13"/>
  <c r="O169" i="13"/>
  <c r="O984" i="13"/>
  <c r="O768" i="13"/>
  <c r="O576" i="13"/>
  <c r="O336" i="13"/>
  <c r="O144" i="13"/>
  <c r="O947" i="13"/>
  <c r="O755" i="13"/>
  <c r="O563" i="13"/>
  <c r="O323" i="13"/>
  <c r="O119" i="13"/>
  <c r="O910" i="13"/>
  <c r="O694" i="13"/>
  <c r="O466" i="13"/>
  <c r="O226" i="13"/>
  <c r="O993" i="13"/>
  <c r="O789" i="13"/>
  <c r="O585" i="13"/>
  <c r="O345" i="13"/>
  <c r="O105" i="13"/>
  <c r="O884" i="13"/>
  <c r="O668" i="13"/>
  <c r="O440" i="13"/>
  <c r="O212" i="13"/>
  <c r="O951" i="13"/>
  <c r="O855" i="13"/>
  <c r="O967" i="13"/>
  <c r="O726" i="13"/>
  <c r="O318" i="13"/>
  <c r="O893" i="13"/>
  <c r="O557" i="13"/>
  <c r="O221" i="13"/>
  <c r="O700" i="13"/>
  <c r="O364" i="13"/>
  <c r="O19" i="13"/>
  <c r="O675" i="13"/>
  <c r="O339" i="13"/>
  <c r="O962" i="13"/>
  <c r="O626" i="13"/>
  <c r="O290" i="13"/>
  <c r="O87" i="13"/>
  <c r="O607" i="13"/>
  <c r="O931" i="13"/>
  <c r="O595" i="13"/>
  <c r="O259" i="13"/>
  <c r="O998" i="13"/>
  <c r="O559" i="13"/>
  <c r="O906" i="13"/>
  <c r="O570" i="13"/>
  <c r="O234" i="13"/>
  <c r="O905" i="13"/>
  <c r="O569" i="13"/>
  <c r="O185" i="13"/>
  <c r="O686" i="13"/>
  <c r="O343" i="13"/>
  <c r="O880" i="13"/>
  <c r="O544" i="13"/>
  <c r="O160" i="13"/>
  <c r="O925" i="13"/>
  <c r="O757" i="13"/>
  <c r="O589" i="13"/>
  <c r="O421" i="13"/>
  <c r="O229" i="13"/>
  <c r="O61" i="13"/>
  <c r="O900" i="13"/>
  <c r="O732" i="13"/>
  <c r="O564" i="13"/>
  <c r="O372" i="13"/>
  <c r="O204" i="13"/>
  <c r="O36" i="13"/>
  <c r="O887" i="13"/>
  <c r="O719" i="13"/>
  <c r="O527" i="13"/>
  <c r="O359" i="13"/>
  <c r="O191" i="13"/>
  <c r="O11" i="13"/>
  <c r="O838" i="13"/>
  <c r="O634" i="13"/>
  <c r="O454" i="13"/>
  <c r="O262" i="13"/>
  <c r="O82" i="13"/>
  <c r="O909" i="13"/>
  <c r="O693" i="13"/>
  <c r="O513" i="13"/>
  <c r="O333" i="13"/>
  <c r="O153" i="13"/>
  <c r="O968" i="13"/>
  <c r="O764" i="13"/>
  <c r="O584" i="13"/>
  <c r="O392" i="13"/>
  <c r="O200" i="13"/>
  <c r="O543" i="13"/>
  <c r="O663" i="13"/>
  <c r="O567" i="13"/>
  <c r="O895" i="13"/>
  <c r="O702" i="13"/>
  <c r="O294" i="13"/>
  <c r="O869" i="13"/>
  <c r="O533" i="13"/>
  <c r="O197" i="13"/>
  <c r="O676" i="13"/>
  <c r="O340" i="13"/>
  <c r="O987" i="13"/>
  <c r="O651" i="13"/>
  <c r="O315" i="13"/>
  <c r="O938" i="13"/>
  <c r="O602" i="13"/>
  <c r="O266" i="13"/>
  <c r="O950" i="13"/>
  <c r="O511" i="13"/>
  <c r="O907" i="13"/>
  <c r="O571" i="13"/>
  <c r="O235" i="13"/>
  <c r="O902" i="13"/>
  <c r="O463" i="13"/>
  <c r="O882" i="13"/>
  <c r="O546" i="13"/>
  <c r="O210" i="13"/>
  <c r="O881" i="13"/>
  <c r="O545" i="13"/>
  <c r="O161" i="13"/>
  <c r="O590" i="13"/>
  <c r="O247" i="13"/>
  <c r="O856" i="13"/>
  <c r="O520" i="13"/>
  <c r="O136" i="13"/>
  <c r="O913" i="13"/>
  <c r="O745" i="13"/>
  <c r="O577" i="13"/>
  <c r="O409" i="13"/>
  <c r="O217" i="13"/>
  <c r="O49" i="13"/>
  <c r="O888" i="13"/>
  <c r="O720" i="13"/>
  <c r="O552" i="13"/>
  <c r="O360" i="13"/>
  <c r="O192" i="13"/>
  <c r="O24" i="13"/>
  <c r="O875" i="13"/>
  <c r="O707" i="13"/>
  <c r="O515" i="13"/>
  <c r="O347" i="13"/>
  <c r="O179" i="13"/>
  <c r="O50" i="13"/>
  <c r="O826" i="13"/>
  <c r="O622" i="13"/>
  <c r="O442" i="13"/>
  <c r="O250" i="13"/>
  <c r="O70" i="13"/>
  <c r="O897" i="13"/>
  <c r="O681" i="13"/>
  <c r="O501" i="13"/>
  <c r="O321" i="13"/>
  <c r="O129" i="13"/>
  <c r="O956" i="13"/>
  <c r="O752" i="13"/>
  <c r="O560" i="13"/>
  <c r="O380" i="13"/>
  <c r="O188" i="13"/>
  <c r="O399" i="13"/>
  <c r="O831" i="13"/>
  <c r="O974" i="13"/>
  <c r="O823" i="13"/>
  <c r="O798" i="13"/>
  <c r="O414" i="13"/>
  <c r="O126" i="13"/>
  <c r="O749" i="13"/>
  <c r="O461" i="13"/>
  <c r="O173" i="13"/>
  <c r="O748" i="13"/>
  <c r="O460" i="13"/>
  <c r="O172" i="13"/>
  <c r="O867" i="13"/>
  <c r="O579" i="13"/>
  <c r="O291" i="13"/>
  <c r="O5" i="13"/>
  <c r="O722" i="13"/>
  <c r="O434" i="13"/>
  <c r="O146" i="13"/>
  <c r="O566" i="13"/>
  <c r="O415" i="13"/>
  <c r="O979" i="13"/>
  <c r="O691" i="13"/>
  <c r="O403" i="13"/>
  <c r="O115" i="13"/>
  <c r="O614" i="13"/>
  <c r="O367" i="13"/>
  <c r="O954" i="13"/>
  <c r="O666" i="13"/>
  <c r="O378" i="13"/>
  <c r="O90" i="13"/>
  <c r="O809" i="13"/>
  <c r="O521" i="13"/>
  <c r="O233" i="13"/>
  <c r="O111" i="13"/>
  <c r="O62" i="13"/>
  <c r="O654" i="13"/>
  <c r="O784" i="13"/>
  <c r="O496" i="13"/>
  <c r="O208" i="13"/>
  <c r="O973" i="13"/>
  <c r="O829" i="13"/>
  <c r="O685" i="13"/>
  <c r="O541" i="13"/>
  <c r="O397" i="13"/>
  <c r="O253" i="13"/>
  <c r="O109" i="13"/>
  <c r="O972" i="13"/>
  <c r="O828" i="13"/>
  <c r="O684" i="13"/>
  <c r="O540" i="13"/>
  <c r="O396" i="13"/>
  <c r="O252" i="13"/>
  <c r="O108" i="13"/>
  <c r="O983" i="13"/>
  <c r="O839" i="13"/>
  <c r="O695" i="13"/>
  <c r="O551" i="13"/>
  <c r="O407" i="13"/>
  <c r="O263" i="13"/>
  <c r="O107" i="13"/>
  <c r="O970" i="13"/>
  <c r="O814" i="13"/>
  <c r="O658" i="13"/>
  <c r="O502" i="13"/>
  <c r="O346" i="13"/>
  <c r="O190" i="13"/>
  <c r="O34" i="13"/>
  <c r="O885" i="13"/>
  <c r="O729" i="13"/>
  <c r="O561" i="13"/>
  <c r="O405" i="13"/>
  <c r="O249" i="13"/>
  <c r="O93" i="13"/>
  <c r="O944" i="13"/>
  <c r="O788" i="13"/>
  <c r="O632" i="13"/>
  <c r="O476" i="13"/>
  <c r="O320" i="13"/>
  <c r="O164" i="13"/>
  <c r="O332" i="13"/>
  <c r="O176" i="13"/>
  <c r="O783" i="13"/>
  <c r="O807" i="13"/>
  <c r="O878" i="13"/>
  <c r="O727" i="13"/>
  <c r="O750" i="13"/>
  <c r="O390" i="13"/>
  <c r="O28" i="13"/>
  <c r="O725" i="13"/>
  <c r="O437" i="13"/>
  <c r="O149" i="13"/>
  <c r="O724" i="13"/>
  <c r="O436" i="13"/>
  <c r="O148" i="13"/>
  <c r="O843" i="13"/>
  <c r="O555" i="13"/>
  <c r="O267" i="13"/>
  <c r="O986" i="13"/>
  <c r="O698" i="13"/>
  <c r="O410" i="13"/>
  <c r="O122" i="13"/>
  <c r="O470" i="13"/>
  <c r="O319" i="13"/>
  <c r="O955" i="13"/>
  <c r="O667" i="13"/>
  <c r="O379" i="13"/>
  <c r="O91" i="13"/>
  <c r="O494" i="13"/>
  <c r="O271" i="13"/>
  <c r="O930" i="13"/>
  <c r="O642" i="13"/>
  <c r="O354" i="13"/>
  <c r="O66" i="13"/>
  <c r="O785" i="13"/>
  <c r="O497" i="13"/>
  <c r="O209" i="13"/>
  <c r="O926" i="13"/>
  <c r="O943" i="13"/>
  <c r="O54" i="13"/>
  <c r="O760" i="13"/>
  <c r="O472" i="13"/>
  <c r="O184" i="13"/>
  <c r="O961" i="13"/>
  <c r="O817" i="13"/>
  <c r="O673" i="13"/>
  <c r="O529" i="13"/>
  <c r="O385" i="13"/>
  <c r="O241" i="13"/>
  <c r="O97" i="13"/>
  <c r="O960" i="13"/>
  <c r="O816" i="13"/>
  <c r="O672" i="13"/>
  <c r="O528" i="13"/>
  <c r="O384" i="13"/>
  <c r="O240" i="13"/>
  <c r="O96" i="13"/>
  <c r="O971" i="13"/>
  <c r="O827" i="13"/>
  <c r="O683" i="13"/>
  <c r="O539" i="13"/>
  <c r="O395" i="13"/>
  <c r="O251" i="13"/>
  <c r="O95" i="13"/>
  <c r="O958" i="13"/>
  <c r="O802" i="13"/>
  <c r="O646" i="13"/>
  <c r="O490" i="13"/>
  <c r="O334" i="13"/>
  <c r="O178" i="13"/>
  <c r="O22" i="13"/>
  <c r="O873" i="13"/>
  <c r="O705" i="13"/>
  <c r="O549" i="13"/>
  <c r="O393" i="13"/>
  <c r="O237" i="13"/>
  <c r="O81" i="13"/>
  <c r="O932" i="13"/>
  <c r="O776" i="13"/>
  <c r="O620" i="13"/>
  <c r="O464" i="13"/>
  <c r="O308" i="13"/>
  <c r="O152" i="13"/>
  <c r="O128" i="13"/>
  <c r="O131" i="13"/>
  <c r="O1006" i="13"/>
  <c r="O862" i="13"/>
  <c r="O718" i="13"/>
  <c r="O574" i="13"/>
  <c r="O430" i="13"/>
  <c r="O286" i="13"/>
  <c r="O142" i="13"/>
  <c r="O1005" i="13"/>
  <c r="O861" i="13"/>
  <c r="O717" i="13"/>
  <c r="O573" i="13"/>
  <c r="O429" i="13"/>
  <c r="O285" i="13"/>
  <c r="O141" i="13"/>
  <c r="O1004" i="13"/>
  <c r="O860" i="13"/>
  <c r="O716" i="13"/>
  <c r="O572" i="13"/>
  <c r="O428" i="13"/>
  <c r="O284" i="13"/>
  <c r="O140" i="13"/>
  <c r="A42" i="6"/>
  <c r="I38" i="6"/>
  <c r="J34" i="4" s="1"/>
  <c r="F13" i="1" s="1"/>
  <c r="C33" i="4"/>
  <c r="C33" i="2"/>
  <c r="O919" i="15" l="1"/>
  <c r="O484" i="15"/>
  <c r="O917" i="15"/>
  <c r="O377" i="15"/>
  <c r="O772" i="15"/>
  <c r="O724" i="15"/>
  <c r="O703" i="15"/>
  <c r="O248" i="15"/>
  <c r="O629" i="15"/>
  <c r="O112" i="15"/>
  <c r="O401" i="15"/>
  <c r="O171" i="15"/>
  <c r="O677" i="15"/>
  <c r="O220" i="15"/>
  <c r="O676" i="15"/>
  <c r="O893" i="15"/>
  <c r="O453" i="15"/>
  <c r="O940" i="15"/>
  <c r="O351" i="15"/>
  <c r="O848" i="15"/>
  <c r="O560" i="15"/>
  <c r="O249" i="15"/>
  <c r="O895" i="15"/>
  <c r="O607" i="15"/>
  <c r="O303" i="15"/>
  <c r="O941" i="15"/>
  <c r="O653" i="15"/>
  <c r="O352" i="15"/>
  <c r="O988" i="15"/>
  <c r="O652" i="15"/>
  <c r="O219" i="15"/>
  <c r="O411" i="15"/>
  <c r="O88" i="15"/>
  <c r="O752" i="15"/>
  <c r="O460" i="15"/>
  <c r="O147" i="15"/>
  <c r="O799" i="15"/>
  <c r="O511" i="15"/>
  <c r="O196" i="15"/>
  <c r="O845" i="15"/>
  <c r="O557" i="15"/>
  <c r="O247" i="15"/>
  <c r="O868" i="15"/>
  <c r="O532" i="15"/>
  <c r="O11" i="15"/>
  <c r="O615" i="15"/>
  <c r="O307" i="15"/>
  <c r="O945" i="15"/>
  <c r="O657" i="15"/>
  <c r="O356" i="15"/>
  <c r="O992" i="15"/>
  <c r="O704" i="15"/>
  <c r="O405" i="15"/>
  <c r="O81" i="15"/>
  <c r="O751" i="15"/>
  <c r="O459" i="15"/>
  <c r="O141" i="15"/>
  <c r="O797" i="15"/>
  <c r="O508" i="15"/>
  <c r="O195" i="15"/>
  <c r="O820" i="15"/>
  <c r="O427" i="15"/>
  <c r="O561" i="15"/>
  <c r="O255" i="15"/>
  <c r="O896" i="15"/>
  <c r="O608" i="15"/>
  <c r="O304" i="15"/>
  <c r="O943" i="15"/>
  <c r="O655" i="15"/>
  <c r="O353" i="15"/>
  <c r="O989" i="15"/>
  <c r="O701" i="15"/>
  <c r="O403" i="15"/>
  <c r="O77" i="15"/>
  <c r="O700" i="15"/>
  <c r="O271" i="15"/>
  <c r="O748" i="15"/>
  <c r="O452" i="15"/>
  <c r="O139" i="15"/>
  <c r="O376" i="15"/>
  <c r="O28" i="15"/>
  <c r="O892" i="15"/>
  <c r="O604" i="15"/>
  <c r="O296" i="15"/>
  <c r="O507" i="15"/>
  <c r="O81" i="17"/>
  <c r="O93" i="17"/>
  <c r="O57" i="17"/>
  <c r="O45" i="17"/>
  <c r="O33" i="17"/>
  <c r="O69" i="17"/>
  <c r="O675" i="17"/>
  <c r="O740" i="17"/>
  <c r="O115" i="17"/>
  <c r="O674" i="17"/>
  <c r="O331" i="17"/>
  <c r="O139" i="17"/>
  <c r="O242" i="17"/>
  <c r="O652" i="17"/>
  <c r="O492" i="17"/>
  <c r="O745" i="17"/>
  <c r="O649" i="17"/>
  <c r="O637" i="17"/>
  <c r="O508" i="17"/>
  <c r="O24" i="17"/>
  <c r="O989" i="17"/>
  <c r="O66" i="17"/>
  <c r="O683" i="17"/>
  <c r="O743" i="17"/>
  <c r="O413" i="17"/>
  <c r="O665" i="17"/>
  <c r="O671" i="17"/>
  <c r="O91" i="17"/>
  <c r="O317" i="17"/>
  <c r="O207" i="17"/>
  <c r="O23" i="17"/>
  <c r="O748" i="17"/>
  <c r="O183" i="17"/>
  <c r="O970" i="17"/>
  <c r="O435" i="17"/>
  <c r="O625" i="17"/>
  <c r="O610" i="17"/>
  <c r="O639" i="17"/>
  <c r="O337" i="17"/>
  <c r="O598" i="17"/>
  <c r="O325" i="17"/>
  <c r="O845" i="17"/>
  <c r="O223" i="17"/>
  <c r="O495" i="17"/>
  <c r="O516" i="17"/>
  <c r="O190" i="17"/>
  <c r="O641" i="17"/>
  <c r="O799" i="17"/>
  <c r="O463" i="17"/>
  <c r="O615" i="17"/>
  <c r="O538" i="17"/>
  <c r="O726" i="17"/>
  <c r="O174" i="17"/>
  <c r="O327" i="17"/>
  <c r="O504" i="17"/>
  <c r="O945" i="17"/>
  <c r="O797" i="17"/>
  <c r="O716" i="17"/>
  <c r="O506" i="17"/>
  <c r="O659" i="17"/>
  <c r="O99" i="17"/>
  <c r="O41" i="17"/>
  <c r="O960" i="17"/>
  <c r="O921" i="17"/>
  <c r="O364" i="17"/>
  <c r="O715" i="17"/>
  <c r="O482" i="17"/>
  <c r="O635" i="17"/>
  <c r="O268" i="17"/>
  <c r="O964" i="17"/>
  <c r="O379" i="17"/>
  <c r="O904" i="17"/>
  <c r="O314" i="17"/>
  <c r="O540" i="17"/>
  <c r="O47" i="17"/>
  <c r="O741" i="17"/>
  <c r="O965" i="17"/>
  <c r="O617" i="17"/>
  <c r="O313" i="17"/>
  <c r="O933" i="17"/>
  <c r="O701" i="17"/>
  <c r="O596" i="17"/>
  <c r="O494" i="17"/>
  <c r="O647" i="17"/>
  <c r="O32" i="17"/>
  <c r="O928" i="17"/>
  <c r="O600" i="17"/>
  <c r="O753" i="17"/>
  <c r="O152" i="17"/>
  <c r="O723" i="17"/>
  <c r="O355" i="17"/>
  <c r="O280" i="17"/>
  <c r="O254" i="17"/>
  <c r="O528" i="17"/>
  <c r="O35" i="17"/>
  <c r="O681" i="17"/>
  <c r="O968" i="17"/>
  <c r="O439" i="17"/>
  <c r="O79" i="17"/>
  <c r="O428" i="17"/>
  <c r="O522" i="17"/>
  <c r="O808" i="17"/>
  <c r="O159" i="17"/>
  <c r="O38" i="17"/>
  <c r="O181" i="17"/>
  <c r="O240" i="17"/>
  <c r="O311" i="17"/>
  <c r="O526" i="17"/>
  <c r="O597" i="17"/>
  <c r="O920" i="17"/>
  <c r="O343" i="17"/>
  <c r="O944" i="17"/>
  <c r="O308" i="17"/>
  <c r="O498" i="17"/>
  <c r="O784" i="17"/>
  <c r="O135" i="17"/>
  <c r="O26" i="17"/>
  <c r="O169" i="17"/>
  <c r="O228" i="17"/>
  <c r="O251" i="17"/>
  <c r="O514" i="17"/>
  <c r="O537" i="17"/>
  <c r="O440" i="17"/>
  <c r="O247" i="17"/>
  <c r="O896" i="17"/>
  <c r="O284" i="17"/>
  <c r="O474" i="17"/>
  <c r="O760" i="17"/>
  <c r="O111" i="17"/>
  <c r="O973" i="17"/>
  <c r="O109" i="17"/>
  <c r="O216" i="17"/>
  <c r="O239" i="17"/>
  <c r="O502" i="17"/>
  <c r="O525" i="17"/>
  <c r="O822" i="17"/>
  <c r="O149" i="17"/>
  <c r="O78" i="17"/>
  <c r="O763" i="17"/>
  <c r="O210" i="17"/>
  <c r="O328" i="17"/>
  <c r="O746" i="17"/>
  <c r="O769" i="17"/>
  <c r="O25" i="17"/>
  <c r="O48" i="17"/>
  <c r="O71" i="17"/>
  <c r="O214" i="17"/>
  <c r="O165" i="17"/>
  <c r="O774" i="17"/>
  <c r="O101" i="17"/>
  <c r="O29" i="17"/>
  <c r="O739" i="17"/>
  <c r="O186" i="17"/>
  <c r="O304" i="17"/>
  <c r="O686" i="17"/>
  <c r="O757" i="17"/>
  <c r="O972" i="17"/>
  <c r="O36" i="17"/>
  <c r="O59" i="17"/>
  <c r="O202" i="17"/>
  <c r="O105" i="17"/>
  <c r="O966" i="17"/>
  <c r="O651" i="17"/>
  <c r="O751" i="17"/>
  <c r="O594" i="17"/>
  <c r="O818" i="17"/>
  <c r="O613" i="17"/>
  <c r="O766" i="17"/>
  <c r="O477" i="17"/>
  <c r="O558" i="17"/>
  <c r="O918" i="17"/>
  <c r="O555" i="17"/>
  <c r="O244" i="17"/>
  <c r="O703" i="17"/>
  <c r="O164" i="17"/>
  <c r="O570" i="17"/>
  <c r="O401" i="17"/>
  <c r="O64" i="17"/>
  <c r="O806" i="17"/>
  <c r="O182" i="17"/>
  <c r="O601" i="17"/>
  <c r="O780" i="17"/>
  <c r="O108" i="17"/>
  <c r="O455" i="17"/>
  <c r="O754" i="17"/>
  <c r="O166" i="17"/>
  <c r="O465" i="17"/>
  <c r="O654" i="17"/>
  <c r="O292" i="17"/>
  <c r="O188" i="17"/>
  <c r="O425" i="17"/>
  <c r="O184" i="17"/>
  <c r="O194" i="17"/>
  <c r="O792" i="17"/>
  <c r="O168" i="17"/>
  <c r="O467" i="17"/>
  <c r="O178" i="17"/>
  <c r="O941" i="17"/>
  <c r="O870" i="17"/>
  <c r="O459" i="17"/>
  <c r="O196" i="17"/>
  <c r="O655" i="17"/>
  <c r="O140" i="17"/>
  <c r="O546" i="17"/>
  <c r="O377" i="17"/>
  <c r="O40" i="17"/>
  <c r="O794" i="17"/>
  <c r="O170" i="17"/>
  <c r="O541" i="17"/>
  <c r="O768" i="17"/>
  <c r="O96" i="17"/>
  <c r="O395" i="17"/>
  <c r="O742" i="17"/>
  <c r="O106" i="17"/>
  <c r="O453" i="17"/>
  <c r="O198" i="17"/>
  <c r="O102" i="17"/>
  <c r="O848" i="17"/>
  <c r="O67" i="17"/>
  <c r="O905" i="17"/>
  <c r="O951" i="17"/>
  <c r="O961" i="17"/>
  <c r="O480" i="17"/>
  <c r="O899" i="17"/>
  <c r="O334" i="17"/>
  <c r="O357" i="17"/>
  <c r="O267" i="17"/>
  <c r="O148" i="17"/>
  <c r="O631" i="17"/>
  <c r="O532" i="17"/>
  <c r="O800" i="17"/>
  <c r="O788" i="17"/>
  <c r="O907" i="17"/>
  <c r="O43" i="17"/>
  <c r="O785" i="17"/>
  <c r="O856" i="17"/>
  <c r="O927" i="17"/>
  <c r="O890" i="17"/>
  <c r="O458" i="17"/>
  <c r="O949" i="17"/>
  <c r="O361" i="17"/>
  <c r="O900" i="17"/>
  <c r="O468" i="17"/>
  <c r="O887" i="17"/>
  <c r="O371" i="17"/>
  <c r="O826" i="17"/>
  <c r="O322" i="17"/>
  <c r="O897" i="17"/>
  <c r="O345" i="17"/>
  <c r="O363" i="17"/>
  <c r="O772" i="17"/>
  <c r="O812" i="17"/>
  <c r="O931" i="17"/>
  <c r="O880" i="17"/>
  <c r="O902" i="17"/>
  <c r="O470" i="17"/>
  <c r="O373" i="17"/>
  <c r="O912" i="17"/>
  <c r="O383" i="17"/>
  <c r="O886" i="17"/>
  <c r="O909" i="17"/>
  <c r="O103" i="17"/>
  <c r="O798" i="17"/>
  <c r="O535" i="17"/>
  <c r="O484" i="17"/>
  <c r="O752" i="17"/>
  <c r="O764" i="17"/>
  <c r="O787" i="17"/>
  <c r="O930" i="17"/>
  <c r="O761" i="17"/>
  <c r="O832" i="17"/>
  <c r="O903" i="17"/>
  <c r="O830" i="17"/>
  <c r="O398" i="17"/>
  <c r="O937" i="17"/>
  <c r="O349" i="17"/>
  <c r="O888" i="17"/>
  <c r="O456" i="17"/>
  <c r="O827" i="17"/>
  <c r="O359" i="17"/>
  <c r="O814" i="17"/>
  <c r="O310" i="17"/>
  <c r="O885" i="17"/>
  <c r="O333" i="17"/>
  <c r="O365" i="17"/>
  <c r="O702" i="17"/>
  <c r="O437" i="17"/>
  <c r="O704" i="17"/>
  <c r="O260" i="17"/>
  <c r="O619" i="17"/>
  <c r="O42" i="17"/>
  <c r="O496" i="17"/>
  <c r="O626" i="17"/>
  <c r="O889" i="17"/>
  <c r="O97" i="17"/>
  <c r="O935" i="17"/>
  <c r="O623" i="17"/>
  <c r="O454" i="17"/>
  <c r="O669" i="17"/>
  <c r="O796" i="17"/>
  <c r="O199" i="17"/>
  <c r="O606" i="17"/>
  <c r="O315" i="17"/>
  <c r="O389" i="17"/>
  <c r="O819" i="17"/>
  <c r="O656" i="17"/>
  <c r="O27" i="17"/>
  <c r="O236" i="17"/>
  <c r="O499" i="17"/>
  <c r="O642" i="17"/>
  <c r="O18" i="17"/>
  <c r="O329" i="17"/>
  <c r="O472" i="17"/>
  <c r="O687" i="17"/>
  <c r="O63" i="17"/>
  <c r="O614" i="17"/>
  <c r="O218" i="17"/>
  <c r="O829" i="17"/>
  <c r="O397" i="17"/>
  <c r="O85" i="17"/>
  <c r="O744" i="17"/>
  <c r="O312" i="17"/>
  <c r="O923" i="17"/>
  <c r="O611" i="17"/>
  <c r="O179" i="17"/>
  <c r="O790" i="17"/>
  <c r="O394" i="17"/>
  <c r="O969" i="17"/>
  <c r="O657" i="17"/>
  <c r="O309" i="17"/>
  <c r="O679" i="17"/>
  <c r="O411" i="17"/>
  <c r="O867" i="17"/>
  <c r="O171" i="17"/>
  <c r="O762" i="17"/>
  <c r="O353" i="17"/>
  <c r="O711" i="17"/>
  <c r="O87" i="17"/>
  <c r="O230" i="17"/>
  <c r="O457" i="17"/>
  <c r="O756" i="17"/>
  <c r="O324" i="17"/>
  <c r="O191" i="17"/>
  <c r="O802" i="17"/>
  <c r="O22" i="17"/>
  <c r="O321" i="17"/>
  <c r="O700" i="17"/>
  <c r="O53" i="17"/>
  <c r="O510" i="17"/>
  <c r="O776" i="17"/>
  <c r="O147" i="17"/>
  <c r="O771" i="17"/>
  <c r="O608" i="17"/>
  <c r="O1004" i="17"/>
  <c r="O212" i="17"/>
  <c r="O475" i="17"/>
  <c r="O618" i="17"/>
  <c r="O1001" i="17"/>
  <c r="O209" i="17"/>
  <c r="O352" i="17"/>
  <c r="O663" i="17"/>
  <c r="O39" i="17"/>
  <c r="O602" i="17"/>
  <c r="O206" i="17"/>
  <c r="O817" i="17"/>
  <c r="O385" i="17"/>
  <c r="O73" i="17"/>
  <c r="O684" i="17"/>
  <c r="O252" i="17"/>
  <c r="O911" i="17"/>
  <c r="O599" i="17"/>
  <c r="O167" i="17"/>
  <c r="O778" i="17"/>
  <c r="O382" i="17"/>
  <c r="O957" i="17"/>
  <c r="O645" i="17"/>
  <c r="O249" i="17"/>
  <c r="O990" i="17"/>
  <c r="O344" i="17"/>
  <c r="O680" i="17"/>
  <c r="O436" i="17"/>
  <c r="O387" i="17"/>
  <c r="O125" i="17"/>
  <c r="O1003" i="17"/>
  <c r="O906" i="17"/>
  <c r="O737" i="17"/>
  <c r="O568" i="17"/>
  <c r="O471" i="17"/>
  <c r="O938" i="17"/>
  <c r="O386" i="17"/>
  <c r="O805" i="17"/>
  <c r="O217" i="17"/>
  <c r="O672" i="17"/>
  <c r="O84" i="17"/>
  <c r="O227" i="17"/>
  <c r="O646" i="17"/>
  <c r="O789" i="17"/>
  <c r="O237" i="17"/>
  <c r="O894" i="17"/>
  <c r="O556" i="17"/>
  <c r="O248" i="17"/>
  <c r="O294" i="17"/>
  <c r="O988" i="17"/>
  <c r="O584" i="17"/>
  <c r="O533" i="17"/>
  <c r="O388" i="17"/>
  <c r="O339" i="17"/>
  <c r="O175" i="17"/>
  <c r="O77" i="17"/>
  <c r="O548" i="17"/>
  <c r="O979" i="17"/>
  <c r="O427" i="17"/>
  <c r="O882" i="17"/>
  <c r="O258" i="17"/>
  <c r="O713" i="17"/>
  <c r="O161" i="17"/>
  <c r="O544" i="17"/>
  <c r="O999" i="17"/>
  <c r="O447" i="17"/>
  <c r="O926" i="17"/>
  <c r="O650" i="17"/>
  <c r="O374" i="17"/>
  <c r="O62" i="17"/>
  <c r="O793" i="17"/>
  <c r="O517" i="17"/>
  <c r="O205" i="17"/>
  <c r="O936" i="17"/>
  <c r="O660" i="17"/>
  <c r="O348" i="17"/>
  <c r="O72" i="17"/>
  <c r="O803" i="17"/>
  <c r="O491" i="17"/>
  <c r="O215" i="17"/>
  <c r="O946" i="17"/>
  <c r="O634" i="17"/>
  <c r="O358" i="17"/>
  <c r="O82" i="17"/>
  <c r="O777" i="17"/>
  <c r="O501" i="17"/>
  <c r="O225" i="17"/>
  <c r="O604" i="17"/>
  <c r="O342" i="17"/>
  <c r="O75" i="17"/>
  <c r="O581" i="17"/>
  <c r="O224" i="17"/>
  <c r="O572" i="17"/>
  <c r="O451" i="17"/>
  <c r="O282" i="17"/>
  <c r="O185" i="17"/>
  <c r="O16" i="17"/>
  <c r="O662" i="17"/>
  <c r="O74" i="17"/>
  <c r="O529" i="17"/>
  <c r="O948" i="17"/>
  <c r="O360" i="17"/>
  <c r="O815" i="17"/>
  <c r="O503" i="17"/>
  <c r="O958" i="17"/>
  <c r="O370" i="17"/>
  <c r="O94" i="17"/>
  <c r="O513" i="17"/>
  <c r="O750" i="17"/>
  <c r="O460" i="17"/>
  <c r="O150" i="17"/>
  <c r="O246" i="17"/>
  <c r="O892" i="17"/>
  <c r="O488" i="17"/>
  <c r="O485" i="17"/>
  <c r="O340" i="17"/>
  <c r="O291" i="17"/>
  <c r="O126" i="17"/>
  <c r="O28" i="17"/>
  <c r="O524" i="17"/>
  <c r="O955" i="17"/>
  <c r="O403" i="17"/>
  <c r="O858" i="17"/>
  <c r="O234" i="17"/>
  <c r="O689" i="17"/>
  <c r="O137" i="17"/>
  <c r="O520" i="17"/>
  <c r="O975" i="17"/>
  <c r="O423" i="17"/>
  <c r="O914" i="17"/>
  <c r="O638" i="17"/>
  <c r="O362" i="17"/>
  <c r="O50" i="17"/>
  <c r="O781" i="17"/>
  <c r="O505" i="17"/>
  <c r="O193" i="17"/>
  <c r="O924" i="17"/>
  <c r="O648" i="17"/>
  <c r="O336" i="17"/>
  <c r="O60" i="17"/>
  <c r="O791" i="17"/>
  <c r="O479" i="17"/>
  <c r="O203" i="17"/>
  <c r="O934" i="17"/>
  <c r="O622" i="17"/>
  <c r="O346" i="17"/>
  <c r="O70" i="17"/>
  <c r="O765" i="17"/>
  <c r="O489" i="17"/>
  <c r="O213" i="17"/>
  <c r="O653" i="17"/>
  <c r="O699" i="17"/>
  <c r="O486" i="17"/>
  <c r="O987" i="17"/>
  <c r="O725" i="17"/>
  <c r="O916" i="17"/>
  <c r="O243" i="17"/>
  <c r="O884" i="17"/>
  <c r="O20" i="17"/>
  <c r="O211" i="17"/>
  <c r="O977" i="17"/>
  <c r="O113" i="17"/>
  <c r="O256" i="17"/>
  <c r="O399" i="17"/>
  <c r="O782" i="17"/>
  <c r="O110" i="17"/>
  <c r="O685" i="17"/>
  <c r="O253" i="17"/>
  <c r="O828" i="17"/>
  <c r="O396" i="17"/>
  <c r="O204" i="17"/>
  <c r="O779" i="17"/>
  <c r="O347" i="17"/>
  <c r="O922" i="17"/>
  <c r="O490" i="17"/>
  <c r="O250" i="17"/>
  <c r="O825" i="17"/>
  <c r="O393" i="17"/>
  <c r="O557" i="17"/>
  <c r="O603" i="17"/>
  <c r="O919" i="17"/>
  <c r="O438" i="17"/>
  <c r="O318" i="17"/>
  <c r="O891" i="17"/>
  <c r="O296" i="17"/>
  <c r="O677" i="17"/>
  <c r="O868" i="17"/>
  <c r="O963" i="17"/>
  <c r="O176" i="17"/>
  <c r="O320" i="17"/>
  <c r="O559" i="17"/>
  <c r="O860" i="17"/>
  <c r="O476" i="17"/>
  <c r="O195" i="17"/>
  <c r="O667" i="17"/>
  <c r="O187" i="17"/>
  <c r="O810" i="17"/>
  <c r="O330" i="17"/>
  <c r="O953" i="17"/>
  <c r="O473" i="17"/>
  <c r="O89" i="17"/>
  <c r="O616" i="17"/>
  <c r="O232" i="17"/>
  <c r="O759" i="17"/>
  <c r="O375" i="17"/>
  <c r="O962" i="17"/>
  <c r="O770" i="17"/>
  <c r="O530" i="17"/>
  <c r="O338" i="17"/>
  <c r="O98" i="17"/>
  <c r="O913" i="17"/>
  <c r="O673" i="17"/>
  <c r="O481" i="17"/>
  <c r="O241" i="17"/>
  <c r="O49" i="17"/>
  <c r="O816" i="17"/>
  <c r="O624" i="17"/>
  <c r="O384" i="17"/>
  <c r="O192" i="17"/>
  <c r="O959" i="17"/>
  <c r="O767" i="17"/>
  <c r="O527" i="17"/>
  <c r="O335" i="17"/>
  <c r="O95" i="17"/>
  <c r="O910" i="17"/>
  <c r="O670" i="17"/>
  <c r="O478" i="17"/>
  <c r="O238" i="17"/>
  <c r="O46" i="17"/>
  <c r="O813" i="17"/>
  <c r="O621" i="17"/>
  <c r="O381" i="17"/>
  <c r="O189" i="17"/>
  <c r="O54" i="17"/>
  <c r="O414" i="17"/>
  <c r="O392" i="17"/>
  <c r="O172" i="17"/>
  <c r="O368" i="17"/>
  <c r="O607" i="17"/>
  <c r="O500" i="17"/>
  <c r="O691" i="17"/>
  <c r="O834" i="17"/>
  <c r="O354" i="17"/>
  <c r="O497" i="17"/>
  <c r="O640" i="17"/>
  <c r="O783" i="17"/>
  <c r="O974" i="17"/>
  <c r="O542" i="17"/>
  <c r="O350" i="17"/>
  <c r="O925" i="17"/>
  <c r="O493" i="17"/>
  <c r="O61" i="17"/>
  <c r="O636" i="17"/>
  <c r="O971" i="17"/>
  <c r="O539" i="17"/>
  <c r="O107" i="17"/>
  <c r="O682" i="17"/>
  <c r="O58" i="17"/>
  <c r="O633" i="17"/>
  <c r="O201" i="17"/>
  <c r="O461" i="17"/>
  <c r="O507" i="17"/>
  <c r="O823" i="17"/>
  <c r="O390" i="17"/>
  <c r="O124" i="17"/>
  <c r="O747" i="17"/>
  <c r="O200" i="17"/>
  <c r="O629" i="17"/>
  <c r="O820" i="17"/>
  <c r="O915" i="17"/>
  <c r="O127" i="17"/>
  <c r="O272" i="17"/>
  <c r="O511" i="17"/>
  <c r="O836" i="17"/>
  <c r="O452" i="17"/>
  <c r="O51" i="17"/>
  <c r="O643" i="17"/>
  <c r="O163" i="17"/>
  <c r="O786" i="17"/>
  <c r="O306" i="17"/>
  <c r="O929" i="17"/>
  <c r="O449" i="17"/>
  <c r="O65" i="17"/>
  <c r="O592" i="17"/>
  <c r="O208" i="17"/>
  <c r="O735" i="17"/>
  <c r="O351" i="17"/>
  <c r="O950" i="17"/>
  <c r="O758" i="17"/>
  <c r="O518" i="17"/>
  <c r="O326" i="17"/>
  <c r="O86" i="17"/>
  <c r="O901" i="17"/>
  <c r="O661" i="17"/>
  <c r="O469" i="17"/>
  <c r="O229" i="17"/>
  <c r="O37" i="17"/>
  <c r="O804" i="17"/>
  <c r="O612" i="17"/>
  <c r="O372" i="17"/>
  <c r="O180" i="17"/>
  <c r="O947" i="17"/>
  <c r="O755" i="17"/>
  <c r="O515" i="17"/>
  <c r="O323" i="17"/>
  <c r="O83" i="17"/>
  <c r="O898" i="17"/>
  <c r="O658" i="17"/>
  <c r="O466" i="17"/>
  <c r="O226" i="17"/>
  <c r="O34" i="17"/>
  <c r="O801" i="17"/>
  <c r="O609" i="17"/>
  <c r="O369" i="17"/>
  <c r="O177" i="17"/>
  <c r="O462" i="17"/>
  <c r="O269" i="17"/>
  <c r="O56" i="17"/>
  <c r="O824" i="17"/>
  <c r="O583" i="17"/>
  <c r="O678" i="17"/>
  <c r="O100" i="17"/>
  <c r="O893" i="17"/>
  <c r="O412" i="17"/>
  <c r="O219" i="17"/>
  <c r="O967" i="17"/>
  <c r="O917" i="17"/>
  <c r="O341" i="17"/>
  <c r="O724" i="17"/>
  <c r="O128" i="17"/>
  <c r="O627" i="17"/>
  <c r="O30" i="17"/>
  <c r="O560" i="17"/>
  <c r="O991" i="17"/>
  <c r="O415" i="17"/>
  <c r="O980" i="17"/>
  <c r="O692" i="17"/>
  <c r="O404" i="17"/>
  <c r="O116" i="17"/>
  <c r="O883" i="17"/>
  <c r="O595" i="17"/>
  <c r="O307" i="17"/>
  <c r="O19" i="17"/>
  <c r="O738" i="17"/>
  <c r="O450" i="17"/>
  <c r="O162" i="17"/>
  <c r="O881" i="17"/>
  <c r="O593" i="17"/>
  <c r="O305" i="17"/>
  <c r="O17" i="17"/>
  <c r="O736" i="17"/>
  <c r="O448" i="17"/>
  <c r="O160" i="17"/>
  <c r="O879" i="17"/>
  <c r="O591" i="17"/>
  <c r="O303" i="17"/>
  <c r="O15" i="17"/>
  <c r="O878" i="17"/>
  <c r="O734" i="17"/>
  <c r="O590" i="17"/>
  <c r="O446" i="17"/>
  <c r="O302" i="17"/>
  <c r="O158" i="17"/>
  <c r="O14" i="17"/>
  <c r="O877" i="17"/>
  <c r="O733" i="17"/>
  <c r="O589" i="17"/>
  <c r="O445" i="17"/>
  <c r="O301" i="17"/>
  <c r="O157" i="17"/>
  <c r="O13" i="17"/>
  <c r="O876" i="17"/>
  <c r="O732" i="17"/>
  <c r="O588" i="17"/>
  <c r="O444" i="17"/>
  <c r="O300" i="17"/>
  <c r="O156" i="17"/>
  <c r="O12" i="17"/>
  <c r="O875" i="17"/>
  <c r="O731" i="17"/>
  <c r="O587" i="17"/>
  <c r="O443" i="17"/>
  <c r="O299" i="17"/>
  <c r="O155" i="17"/>
  <c r="O11" i="17"/>
  <c r="O874" i="17"/>
  <c r="O730" i="17"/>
  <c r="O586" i="17"/>
  <c r="O442" i="17"/>
  <c r="O298" i="17"/>
  <c r="O154" i="17"/>
  <c r="O10" i="17"/>
  <c r="O873" i="17"/>
  <c r="O729" i="17"/>
  <c r="O585" i="17"/>
  <c r="O441" i="17"/>
  <c r="O297" i="17"/>
  <c r="O153" i="17"/>
  <c r="O412" i="11"/>
  <c r="O25" i="11"/>
  <c r="O655" i="11"/>
  <c r="O380" i="11"/>
  <c r="O634" i="11"/>
  <c r="O142" i="11"/>
  <c r="O235" i="11"/>
  <c r="O50" i="11"/>
  <c r="O107" i="11"/>
  <c r="O597" i="11"/>
  <c r="O679" i="11"/>
  <c r="O688" i="11"/>
  <c r="O998" i="11"/>
  <c r="O280" i="11"/>
  <c r="O247" i="11"/>
  <c r="O339" i="11"/>
  <c r="O997" i="11"/>
  <c r="O100" i="11"/>
  <c r="O525" i="11"/>
  <c r="O842" i="11"/>
  <c r="O88" i="11"/>
  <c r="O1002" i="11"/>
  <c r="O981" i="11"/>
  <c r="O493" i="11"/>
  <c r="O457" i="11"/>
  <c r="O915" i="11"/>
  <c r="O557" i="11"/>
  <c r="O941" i="11"/>
  <c r="O243" i="11"/>
  <c r="O471" i="11"/>
  <c r="O702" i="11"/>
  <c r="O336" i="11"/>
  <c r="O373" i="11"/>
  <c r="O690" i="11"/>
  <c r="O274" i="11"/>
  <c r="O520" i="11"/>
  <c r="O371" i="11"/>
  <c r="O127" i="11"/>
  <c r="O746" i="11"/>
  <c r="O559" i="11"/>
  <c r="O603" i="11"/>
  <c r="O571" i="11"/>
  <c r="O976" i="11"/>
  <c r="O846" i="11"/>
  <c r="O116" i="11"/>
  <c r="O104" i="11"/>
  <c r="O858" i="11"/>
  <c r="O96" i="11"/>
  <c r="O584" i="11"/>
  <c r="O913" i="11"/>
  <c r="O643" i="11"/>
  <c r="O506" i="11"/>
  <c r="O502" i="11"/>
  <c r="O323" i="11"/>
  <c r="O789" i="11"/>
  <c r="O56" i="11"/>
  <c r="O342" i="11"/>
  <c r="O628" i="11"/>
  <c r="O171" i="11"/>
  <c r="O983" i="11"/>
  <c r="O118" i="11"/>
  <c r="O855" i="11"/>
  <c r="O178" i="11"/>
  <c r="O57" i="11"/>
  <c r="O331" i="11"/>
  <c r="O605" i="11"/>
  <c r="O935" i="11"/>
  <c r="O931" i="11"/>
  <c r="O216" i="11"/>
  <c r="O278" i="11"/>
  <c r="O851" i="11"/>
  <c r="O99" i="11"/>
  <c r="O320" i="11"/>
  <c r="O606" i="11"/>
  <c r="O892" i="11"/>
  <c r="O646" i="11"/>
  <c r="O787" i="11"/>
  <c r="O601" i="11"/>
  <c r="O542" i="11"/>
  <c r="O766" i="11"/>
  <c r="O363" i="11"/>
  <c r="O452" i="11"/>
  <c r="O738" i="11"/>
  <c r="G15" i="1"/>
  <c r="O1005" i="11"/>
  <c r="O936" i="11"/>
  <c r="O857" i="11"/>
  <c r="O368" i="11"/>
  <c r="O1004" i="11"/>
  <c r="O240" i="11"/>
  <c r="O392" i="11"/>
  <c r="O214" i="11"/>
  <c r="O691" i="11"/>
  <c r="O570" i="11"/>
  <c r="O648" i="11"/>
  <c r="O661" i="11"/>
  <c r="O544" i="11"/>
  <c r="O511" i="11"/>
  <c r="O867" i="11"/>
  <c r="O110" i="11"/>
  <c r="O568" i="11"/>
  <c r="O993" i="11"/>
  <c r="O432" i="11"/>
  <c r="O292" i="11"/>
  <c r="O259" i="11"/>
  <c r="O483" i="11"/>
  <c r="O37" i="11"/>
  <c r="O364" i="11"/>
  <c r="O382" i="11"/>
  <c r="O90" i="11"/>
  <c r="O366" i="11"/>
  <c r="O843" i="11"/>
  <c r="O239" i="11"/>
  <c r="O427" i="11"/>
  <c r="O145" i="11"/>
  <c r="O230" i="11"/>
  <c r="O103" i="11"/>
  <c r="O874" i="11"/>
  <c r="O940" i="11"/>
  <c r="O300" i="11"/>
  <c r="O859" i="11"/>
  <c r="O241" i="11"/>
  <c r="O871" i="11"/>
  <c r="O813" i="11"/>
  <c r="O509" i="11"/>
  <c r="O146" i="11"/>
  <c r="O138" i="11"/>
  <c r="O942" i="11"/>
  <c r="O870" i="11"/>
  <c r="O150" i="11"/>
  <c r="O447" i="11"/>
  <c r="O967" i="11"/>
  <c r="O615" i="11"/>
  <c r="O67" i="11"/>
  <c r="O193" i="11"/>
  <c r="O877" i="11"/>
  <c r="O27" i="11"/>
  <c r="O645" i="11"/>
  <c r="O919" i="11"/>
  <c r="O198" i="11"/>
  <c r="O484" i="11"/>
  <c r="O513" i="11"/>
  <c r="O890" i="11"/>
  <c r="O567" i="11"/>
  <c r="O756" i="11"/>
  <c r="O742" i="11"/>
  <c r="O908" i="11"/>
  <c r="O187" i="11"/>
  <c r="O461" i="11"/>
  <c r="O698" i="11"/>
  <c r="O211" i="11"/>
  <c r="O674" i="11"/>
  <c r="O719" i="11"/>
  <c r="O563" i="11"/>
  <c r="O909" i="11"/>
  <c r="O176" i="11"/>
  <c r="O462" i="11"/>
  <c r="O748" i="11"/>
  <c r="O325" i="11"/>
  <c r="O355" i="11"/>
  <c r="O120" i="11"/>
  <c r="O254" i="11"/>
  <c r="O827" i="11"/>
  <c r="O75" i="11"/>
  <c r="O791" i="11"/>
  <c r="O828" i="11"/>
  <c r="O417" i="11"/>
  <c r="O377" i="11"/>
  <c r="O5" i="11"/>
  <c r="O430" i="11"/>
  <c r="O966" i="11"/>
  <c r="O873" i="11"/>
  <c r="O582" i="11"/>
  <c r="O401" i="11"/>
  <c r="O375" i="11"/>
  <c r="O60" i="11"/>
  <c r="O808" i="11"/>
  <c r="O715" i="11"/>
  <c r="O671" i="11"/>
  <c r="O518" i="11"/>
  <c r="O77" i="11"/>
  <c r="O507" i="11"/>
  <c r="O553" i="11"/>
  <c r="O556" i="11"/>
  <c r="O523" i="11"/>
  <c r="O891" i="11"/>
  <c r="O134" i="11"/>
  <c r="O832" i="11"/>
  <c r="O203" i="11"/>
  <c r="O558" i="11"/>
  <c r="O678" i="11"/>
  <c r="O250" i="11"/>
  <c r="O602" i="11"/>
  <c r="O548" i="11"/>
  <c r="O220" i="11"/>
  <c r="O663" i="11"/>
  <c r="O415" i="11"/>
  <c r="O947" i="11"/>
  <c r="O233" i="11"/>
  <c r="O949" i="11"/>
  <c r="O560" i="11"/>
  <c r="O552" i="11"/>
  <c r="O272" i="11"/>
  <c r="O583" i="11"/>
  <c r="O388" i="11"/>
  <c r="O624" i="11"/>
  <c r="O425" i="11"/>
  <c r="O234" i="11"/>
  <c r="O222" i="11"/>
  <c r="O497" i="11"/>
  <c r="O446" i="11"/>
  <c r="O367" i="11"/>
  <c r="O350" i="11"/>
  <c r="O210" i="11"/>
  <c r="O841" i="11"/>
  <c r="O589" i="11"/>
  <c r="O975" i="11"/>
  <c r="O501" i="11"/>
  <c r="O775" i="11"/>
  <c r="O54" i="11"/>
  <c r="O340" i="11"/>
  <c r="O788" i="11"/>
  <c r="O817" i="11"/>
  <c r="O279" i="11"/>
  <c r="O468" i="11"/>
  <c r="O987" i="11"/>
  <c r="O764" i="11"/>
  <c r="O43" i="11"/>
  <c r="O317" i="11"/>
  <c r="O327" i="11"/>
  <c r="O642" i="11"/>
  <c r="O409" i="11"/>
  <c r="O238" i="11"/>
  <c r="O275" i="11"/>
  <c r="O765" i="11"/>
  <c r="O32" i="11"/>
  <c r="O318" i="11"/>
  <c r="O604" i="11"/>
  <c r="O516" i="11"/>
  <c r="O930" i="11"/>
  <c r="O578" i="11"/>
  <c r="O551" i="11"/>
  <c r="O539" i="11"/>
  <c r="O897" i="11"/>
  <c r="O164" i="11"/>
  <c r="O450" i="11"/>
  <c r="O736" i="11"/>
  <c r="O296" i="11"/>
  <c r="O438" i="11"/>
  <c r="O426" i="11"/>
  <c r="O374" i="11"/>
  <c r="O840" i="11"/>
  <c r="O223" i="11"/>
  <c r="O712" i="11"/>
  <c r="O944" i="11"/>
  <c r="O433" i="11"/>
  <c r="O424" i="11"/>
  <c r="O660" i="11"/>
  <c r="O287" i="11"/>
  <c r="O58" i="11"/>
  <c r="O979" i="11"/>
  <c r="O538" i="11"/>
  <c r="O159" i="11"/>
  <c r="O545" i="11"/>
  <c r="O51" i="11"/>
  <c r="O112" i="11"/>
  <c r="O820" i="11"/>
  <c r="O727" i="11"/>
  <c r="O26" i="11"/>
  <c r="O662" i="11"/>
  <c r="O281" i="11"/>
  <c r="O396" i="11"/>
  <c r="O822" i="11"/>
  <c r="O91" i="11"/>
  <c r="O850" i="11"/>
  <c r="O290" i="11"/>
  <c r="O153" i="11"/>
  <c r="O665" i="11"/>
  <c r="O528" i="11"/>
  <c r="O835" i="11"/>
  <c r="O276" i="11"/>
  <c r="O653" i="11"/>
  <c r="O806" i="11"/>
  <c r="O860" i="11"/>
  <c r="O232" i="11"/>
  <c r="O572" i="11"/>
  <c r="O400" i="11"/>
  <c r="O887" i="11"/>
  <c r="O831" i="11"/>
  <c r="O796" i="11"/>
  <c r="O689" i="11"/>
  <c r="O988" i="11"/>
  <c r="O268" i="11"/>
  <c r="O757" i="11"/>
  <c r="O666" i="11"/>
  <c r="O901" i="11"/>
  <c r="O629" i="11"/>
  <c r="O410" i="11"/>
  <c r="O301" i="11"/>
  <c r="O778" i="11"/>
  <c r="O357" i="11"/>
  <c r="O631" i="11"/>
  <c r="O905" i="11"/>
  <c r="O196" i="11"/>
  <c r="O68" i="11"/>
  <c r="O721" i="11"/>
  <c r="O878" i="11"/>
  <c r="O180" i="11"/>
  <c r="O699" i="11"/>
  <c r="O620" i="11"/>
  <c r="O906" i="11"/>
  <c r="O173" i="11"/>
  <c r="O62" i="11"/>
  <c r="O917" i="11"/>
  <c r="O959" i="11"/>
  <c r="O829" i="11"/>
  <c r="O695" i="11"/>
  <c r="O621" i="11"/>
  <c r="O895" i="11"/>
  <c r="O174" i="11"/>
  <c r="O460" i="11"/>
  <c r="O923" i="11"/>
  <c r="O498" i="11"/>
  <c r="O986" i="11"/>
  <c r="O70" i="11"/>
  <c r="O251" i="11"/>
  <c r="O753" i="11"/>
  <c r="O20" i="11"/>
  <c r="O306" i="11"/>
  <c r="O592" i="11"/>
  <c r="O394" i="11"/>
  <c r="O982" i="11"/>
  <c r="O423" i="11"/>
  <c r="O215" i="11"/>
  <c r="O745" i="11"/>
  <c r="O703" i="11"/>
  <c r="O455" i="11"/>
  <c r="O481" i="11"/>
  <c r="O510" i="11"/>
  <c r="O236" i="11"/>
  <c r="O348" i="11"/>
  <c r="O809" i="11"/>
  <c r="O109" i="11"/>
  <c r="O65" i="11"/>
  <c r="O980" i="11"/>
  <c r="O183" i="11"/>
  <c r="O1003" i="11"/>
  <c r="O283" i="11"/>
  <c r="O824" i="11"/>
  <c r="O23" i="11"/>
  <c r="O972" i="11"/>
  <c r="O9" i="11"/>
  <c r="O537" i="11"/>
  <c r="O390" i="11"/>
  <c r="O952" i="11"/>
  <c r="O652" i="11"/>
  <c r="O718" i="11"/>
  <c r="O879" i="11"/>
  <c r="O681" i="11"/>
  <c r="O1000" i="11"/>
  <c r="O479" i="11"/>
  <c r="O958" i="11"/>
  <c r="O640" i="11"/>
  <c r="O902" i="11"/>
  <c r="O490" i="11"/>
  <c r="O632" i="11"/>
  <c r="O761" i="11"/>
  <c r="O613" i="11"/>
  <c r="O792" i="11"/>
  <c r="O853" i="11"/>
  <c r="O411" i="11"/>
  <c r="O907" i="11"/>
  <c r="O29" i="11"/>
  <c r="O747" i="11"/>
  <c r="O672" i="11"/>
  <c r="O732" i="11"/>
  <c r="O477" i="11"/>
  <c r="O175" i="11"/>
  <c r="O316" i="11"/>
  <c r="O657" i="11"/>
  <c r="O794" i="11"/>
  <c r="O996" i="11"/>
  <c r="O609" i="11"/>
  <c r="O451" i="11"/>
  <c r="O293" i="11"/>
  <c r="O682" i="11"/>
  <c r="O799" i="11"/>
  <c r="O436" i="11"/>
  <c r="O221" i="11"/>
  <c r="O102" i="11"/>
  <c r="O588" i="11"/>
  <c r="O10" i="11"/>
  <c r="O97" i="11"/>
  <c r="O472" i="11"/>
  <c r="O896" i="11"/>
  <c r="O903" i="11"/>
  <c r="O696" i="11"/>
  <c r="O93" i="11"/>
  <c r="O700" i="11"/>
  <c r="O441" i="11"/>
  <c r="O270" i="11"/>
  <c r="O856" i="11"/>
  <c r="O641" i="11"/>
  <c r="O315" i="11"/>
  <c r="O864" i="11"/>
  <c r="O405" i="11"/>
  <c r="O929" i="11"/>
  <c r="O135" i="11"/>
  <c r="O191" i="11"/>
  <c r="O654" i="11"/>
  <c r="O819" i="11"/>
  <c r="O709" i="11"/>
  <c r="O389" i="11"/>
  <c r="O440" i="11"/>
  <c r="O876" i="11"/>
  <c r="O282" i="11"/>
  <c r="O687" i="11"/>
  <c r="O269" i="11"/>
  <c r="O249" i="11"/>
  <c r="O759" i="11"/>
  <c r="O524" i="11"/>
  <c r="O547" i="11"/>
  <c r="O129" i="11"/>
  <c r="O264" i="11"/>
  <c r="O349" i="11"/>
  <c r="O136" i="11"/>
  <c r="O837" i="11"/>
  <c r="O115" i="11"/>
  <c r="O245" i="11"/>
  <c r="O964" i="11"/>
  <c r="O71" i="11"/>
  <c r="O494" i="11"/>
  <c r="O117" i="11"/>
  <c r="O15" i="11"/>
  <c r="O555" i="11"/>
  <c r="O108" i="11"/>
  <c r="O7" i="11"/>
  <c r="O6" i="11"/>
  <c r="O614" i="11"/>
  <c r="O202" i="11"/>
  <c r="O488" i="11"/>
  <c r="O617" i="11"/>
  <c r="O804" i="11"/>
  <c r="O312" i="11"/>
  <c r="O565" i="11"/>
  <c r="O123" i="11"/>
  <c r="O763" i="11"/>
  <c r="O904" i="11"/>
  <c r="O801" i="11"/>
  <c r="O984" i="11"/>
  <c r="O444" i="11"/>
  <c r="O333" i="11"/>
  <c r="O31" i="11"/>
  <c r="O172" i="11"/>
  <c r="O81" i="11"/>
  <c r="O576" i="11"/>
  <c r="O708" i="11"/>
  <c r="O465" i="11"/>
  <c r="O307" i="11"/>
  <c r="O149" i="11"/>
  <c r="O644" i="11"/>
  <c r="O420" i="11"/>
  <c r="O163" i="11"/>
  <c r="O750" i="11"/>
  <c r="O356" i="11"/>
  <c r="O177" i="11"/>
  <c r="O397" i="11"/>
  <c r="O978" i="11"/>
  <c r="O960" i="11"/>
  <c r="O237" i="11"/>
  <c r="O376" i="11"/>
  <c r="O637" i="11"/>
  <c r="O402" i="11"/>
  <c r="O165" i="11"/>
  <c r="O256" i="11"/>
  <c r="O262" i="11"/>
  <c r="O487" i="11"/>
  <c r="O143" i="11"/>
  <c r="O928" i="11"/>
  <c r="O66" i="11"/>
  <c r="O882" i="11"/>
  <c r="O381" i="11"/>
  <c r="O101" i="11"/>
  <c r="O664" i="11"/>
  <c r="O521" i="11"/>
  <c r="O580" i="11"/>
  <c r="O158" i="11"/>
  <c r="O439" i="11"/>
  <c r="O957" i="11"/>
  <c r="O862" i="11"/>
  <c r="O649" i="11"/>
  <c r="O195" i="11"/>
  <c r="O445" i="11"/>
  <c r="O713" i="11"/>
  <c r="O585" i="11"/>
  <c r="O190" i="11"/>
  <c r="O40" i="11"/>
  <c r="O704" i="11"/>
  <c r="O61" i="11"/>
  <c r="O546" i="11"/>
  <c r="O686" i="11"/>
  <c r="O533" i="11"/>
  <c r="O453" i="11"/>
  <c r="O362" i="11"/>
  <c r="O261" i="11"/>
  <c r="O46" i="11"/>
  <c r="O429" i="11"/>
  <c r="O227" i="11"/>
  <c r="O206" i="11"/>
  <c r="O508" i="11"/>
  <c r="O267" i="11"/>
  <c r="O847" i="11"/>
  <c r="O977" i="11"/>
  <c r="O365" i="11"/>
  <c r="O612" i="11"/>
  <c r="O263" i="11"/>
  <c r="O656" i="11"/>
  <c r="O574" i="11"/>
  <c r="O285" i="11"/>
  <c r="O491" i="11"/>
  <c r="O504" i="11"/>
  <c r="O962" i="11"/>
  <c r="O326" i="11"/>
  <c r="O886" i="11"/>
  <c r="O344" i="11"/>
  <c r="O473" i="11"/>
  <c r="O635" i="11"/>
  <c r="O770" i="11"/>
  <c r="O277" i="11"/>
  <c r="O921" i="11"/>
  <c r="O619" i="11"/>
  <c r="O760" i="11"/>
  <c r="O225" i="11"/>
  <c r="O503" i="11"/>
  <c r="O156" i="11"/>
  <c r="O189" i="11"/>
  <c r="O894" i="11"/>
  <c r="O28" i="11"/>
  <c r="O912" i="11"/>
  <c r="O321" i="11"/>
  <c r="O880" i="11"/>
  <c r="O910" i="11"/>
  <c r="O359" i="11"/>
  <c r="O448" i="11"/>
  <c r="O98" i="11"/>
  <c r="O743" i="11"/>
  <c r="O845" i="11"/>
  <c r="O701" i="11"/>
  <c r="O711" i="11"/>
  <c r="O562" i="11"/>
  <c r="O131" i="11"/>
  <c r="O948" i="11"/>
  <c r="O72" i="11"/>
  <c r="O358" i="11"/>
  <c r="O723" i="11"/>
  <c r="O499" i="11"/>
  <c r="O762" i="11"/>
  <c r="O63" i="11"/>
  <c r="O30" i="11"/>
  <c r="O33" i="11"/>
  <c r="O955" i="11"/>
  <c r="O399" i="11"/>
  <c r="O266" i="11"/>
  <c r="O970" i="11"/>
  <c r="O803" i="11"/>
  <c r="O205" i="11"/>
  <c r="O370" i="11"/>
  <c r="O114" i="11"/>
  <c r="O422" i="11"/>
  <c r="O404" i="11"/>
  <c r="O467" i="11"/>
  <c r="O676" i="11"/>
  <c r="O800" i="11"/>
  <c r="O812" i="11"/>
  <c r="O76" i="11"/>
  <c r="O968" i="11"/>
  <c r="O469" i="11"/>
  <c r="O22" i="11"/>
  <c r="O807" i="11"/>
  <c r="O797" i="11"/>
  <c r="O717" i="11"/>
  <c r="O480" i="11"/>
  <c r="O729" i="11"/>
  <c r="O124" i="11"/>
  <c r="O825" i="11"/>
  <c r="O925" i="11"/>
  <c r="O639" i="11"/>
  <c r="O868" i="11"/>
  <c r="O999" i="11"/>
  <c r="O152" i="11"/>
  <c r="O714" i="11"/>
  <c r="O677" i="11"/>
  <c r="O95" i="11"/>
  <c r="O564" i="11"/>
  <c r="O379" i="11"/>
  <c r="O710" i="11"/>
  <c r="O92" i="11"/>
  <c r="O826" i="11"/>
  <c r="O793" i="11"/>
  <c r="O889" i="11"/>
  <c r="O36" i="11"/>
  <c r="O87" i="11"/>
  <c r="O200" i="11"/>
  <c r="O329" i="11"/>
  <c r="O1006" i="11"/>
  <c r="O24" i="11"/>
  <c r="O767" i="11"/>
  <c r="O777" i="11"/>
  <c r="O475" i="11"/>
  <c r="O616" i="11"/>
  <c r="O500" i="11"/>
  <c r="O951" i="11"/>
  <c r="O45" i="11"/>
  <c r="O73" i="11"/>
  <c r="O132" i="11"/>
  <c r="O19" i="11"/>
  <c r="O914" i="11"/>
  <c r="O257" i="11"/>
  <c r="O1001" i="11"/>
  <c r="O769" i="11"/>
  <c r="O495" i="11"/>
  <c r="O848" i="11"/>
  <c r="O694" i="11"/>
  <c r="O192" i="11"/>
  <c r="O816" i="11"/>
  <c r="O185" i="11"/>
  <c r="O633" i="11"/>
  <c r="O543" i="11"/>
  <c r="O937" i="11"/>
  <c r="O575" i="11"/>
  <c r="O304" i="11"/>
  <c r="O351" i="11"/>
  <c r="O260" i="11"/>
  <c r="O314" i="11"/>
  <c r="O386" i="11"/>
  <c r="O849" i="11"/>
  <c r="O119" i="11"/>
  <c r="O34" i="11"/>
  <c r="O335" i="11"/>
  <c r="O385" i="11"/>
  <c r="O795" i="11"/>
  <c r="O946" i="11"/>
  <c r="O586" i="11"/>
  <c r="O991" i="11"/>
  <c r="O78" i="11"/>
  <c r="O403" i="11"/>
  <c r="O549" i="11"/>
  <c r="O140" i="11"/>
  <c r="O650" i="11"/>
  <c r="O139" i="11"/>
  <c r="O693" i="11"/>
  <c r="O309" i="11"/>
  <c r="O39" i="11"/>
  <c r="O228" i="11"/>
  <c r="O591" i="11"/>
  <c r="O213" i="11"/>
  <c r="O916" i="11"/>
  <c r="O64" i="11"/>
  <c r="O783" i="11"/>
  <c r="O330" i="11"/>
  <c r="O496" i="11"/>
  <c r="O599" i="11"/>
  <c r="O751" i="11"/>
  <c r="O454" i="11"/>
  <c r="O529" i="11"/>
  <c r="O478" i="11"/>
  <c r="O18" i="11"/>
  <c r="O926" i="11"/>
  <c r="O939" i="11"/>
  <c r="O869" i="11"/>
  <c r="O647" i="11"/>
  <c r="O802" i="11"/>
  <c r="O581" i="11"/>
  <c r="O137" i="11"/>
  <c r="O169" i="11"/>
  <c r="O89" i="11"/>
  <c r="O252" i="11"/>
  <c r="O224" i="11"/>
  <c r="O182" i="11"/>
  <c r="O540" i="11"/>
  <c r="O369" i="11"/>
  <c r="O590" i="11"/>
  <c r="O722" i="11"/>
  <c r="O881" i="11"/>
  <c r="O805" i="11"/>
  <c r="O437" i="11"/>
  <c r="O431" i="11"/>
  <c r="O989" i="11"/>
  <c r="O673" i="11"/>
  <c r="O458" i="11"/>
  <c r="O782" i="11"/>
  <c r="O204" i="11"/>
  <c r="O302" i="11"/>
  <c r="O598" i="11"/>
  <c r="O596" i="11"/>
  <c r="O286" i="11"/>
  <c r="O217" i="11"/>
  <c r="O985" i="11"/>
  <c r="O861" i="11"/>
  <c r="O531" i="11"/>
  <c r="O311" i="11"/>
  <c r="O476" i="11"/>
  <c r="O697" i="11"/>
  <c r="O229" i="11"/>
  <c r="O21" i="11"/>
  <c r="O956" i="11"/>
  <c r="O505" i="11"/>
  <c r="O144" i="11"/>
  <c r="O866" i="11"/>
  <c r="O600" i="11"/>
  <c r="O865" i="11"/>
  <c r="O354" i="11"/>
  <c r="O255" i="11"/>
  <c r="O449" i="11"/>
  <c r="O883" i="11"/>
  <c r="O284" i="11"/>
  <c r="O577" i="11"/>
  <c r="O726" i="11"/>
  <c r="O79" i="11"/>
  <c r="O322" i="11"/>
  <c r="O973" i="11"/>
  <c r="O734" i="11"/>
  <c r="O611" i="11"/>
  <c r="O875" i="11"/>
  <c r="O854" i="11"/>
  <c r="O994" i="11"/>
  <c r="O82" i="11"/>
  <c r="O587" i="11"/>
  <c r="O706" i="11"/>
  <c r="O636" i="11"/>
  <c r="O122" i="11"/>
  <c r="O953" i="11"/>
  <c r="O14" i="11"/>
  <c r="O486" i="11"/>
  <c r="O94" i="11"/>
  <c r="O418" i="11"/>
  <c r="O658" i="11"/>
  <c r="O398" i="11"/>
  <c r="O246" i="11"/>
  <c r="O627" i="11"/>
  <c r="O12" i="11"/>
  <c r="O573" i="11"/>
  <c r="O155" i="11"/>
  <c r="O731" i="11"/>
  <c r="O248" i="11"/>
  <c r="O810" i="11"/>
  <c r="O823" i="11"/>
  <c r="O291" i="11"/>
  <c r="O536" i="11"/>
  <c r="O482" i="11"/>
  <c r="O872" i="11"/>
  <c r="O668" i="11"/>
  <c r="O692" i="11"/>
  <c r="O80" i="11"/>
  <c r="O59" i="11"/>
  <c r="O303" i="11"/>
  <c r="O69" i="11"/>
  <c r="O772" i="11"/>
  <c r="O768" i="11"/>
  <c r="O754" i="11"/>
  <c r="O186" i="11"/>
  <c r="O208" i="11"/>
  <c r="O111" i="11"/>
  <c r="O607" i="11"/>
  <c r="O519" i="11"/>
  <c r="O818" i="11"/>
  <c r="O830" i="11"/>
  <c r="O670" i="11"/>
  <c r="O384" i="11"/>
  <c r="O207" i="11"/>
  <c r="O922" i="11"/>
  <c r="O297" i="11"/>
  <c r="O343" i="11"/>
  <c r="O345" i="11"/>
  <c r="O154" i="11"/>
  <c r="O740" i="11"/>
  <c r="O265" i="11"/>
  <c r="O167" i="11"/>
  <c r="O707" i="11"/>
  <c r="O561" i="11"/>
  <c r="O121" i="11"/>
  <c r="O669" i="11"/>
  <c r="O199" i="11"/>
  <c r="O328" i="11"/>
  <c r="O737" i="11"/>
  <c r="O160" i="11"/>
  <c r="O771" i="11"/>
  <c r="O258" i="11"/>
  <c r="O821" i="11"/>
  <c r="O181" i="11"/>
  <c r="O324" i="11"/>
  <c r="O288" i="11"/>
  <c r="O212" i="11"/>
  <c r="O786" i="11"/>
  <c r="O184" i="11"/>
  <c r="O963" i="11"/>
  <c r="O485" i="11"/>
  <c r="O334" i="11"/>
  <c r="O125" i="11"/>
  <c r="O943" i="11"/>
  <c r="O900" i="11"/>
  <c r="O86" i="11"/>
  <c r="O48" i="11"/>
  <c r="O659" i="11"/>
  <c r="O774" i="11"/>
  <c r="O188" i="11"/>
  <c r="O305" i="11"/>
  <c r="O739" i="11"/>
  <c r="O733" i="11"/>
  <c r="O361" i="11"/>
  <c r="O395" i="11"/>
  <c r="O157" i="11"/>
  <c r="O863" i="11"/>
  <c r="O44" i="11"/>
  <c r="O752" i="11"/>
  <c r="O595" i="11"/>
  <c r="O720" i="11"/>
  <c r="O705" i="11"/>
  <c r="O534" i="11"/>
  <c r="O13" i="11"/>
  <c r="O741" i="11"/>
  <c r="O74" i="11"/>
  <c r="O299" i="11"/>
  <c r="O608" i="11"/>
  <c r="O594" i="11"/>
  <c r="O421" i="11"/>
  <c r="O443" i="11"/>
  <c r="O151" i="11"/>
  <c r="O685" i="11"/>
  <c r="O416" i="11"/>
  <c r="O683" i="11"/>
  <c r="O623" i="11"/>
  <c r="O512" i="11"/>
  <c r="O271" i="11"/>
  <c r="O128" i="11"/>
  <c r="O298" i="11"/>
  <c r="O836" i="11"/>
  <c r="O456" i="11"/>
  <c r="O273" i="11"/>
  <c r="O391" i="11"/>
  <c r="O838" i="11"/>
  <c r="O49" i="11"/>
  <c r="O226" i="11"/>
  <c r="O38" i="11"/>
  <c r="O920" i="11"/>
  <c r="O52" i="11"/>
  <c r="O313" i="11"/>
  <c r="O466" i="11"/>
  <c r="O42" i="11"/>
  <c r="O911" i="11"/>
  <c r="O730" i="11"/>
  <c r="O463" i="11"/>
  <c r="O347" i="11"/>
  <c r="O231" i="11"/>
  <c r="O651" i="11"/>
  <c r="O725" i="11"/>
  <c r="O579" i="11"/>
  <c r="O776" i="11"/>
  <c r="O893" i="11"/>
  <c r="O319" i="11"/>
  <c r="O492" i="11"/>
  <c r="O419" i="11"/>
  <c r="O353" i="11"/>
  <c r="O852" i="11"/>
  <c r="O995" i="11"/>
  <c r="O242" i="11"/>
  <c r="O932" i="11"/>
  <c r="O638" i="11"/>
  <c r="O625" i="11"/>
  <c r="O459" i="11"/>
  <c r="O526" i="11"/>
  <c r="O885" i="11"/>
  <c r="O527" i="11"/>
  <c r="O554" i="11"/>
  <c r="O934" i="11"/>
  <c r="O105" i="11"/>
  <c r="O11" i="11"/>
  <c r="O593" i="11"/>
  <c r="O308" i="11"/>
  <c r="O295" i="11"/>
  <c r="O522" i="11"/>
  <c r="O372" i="11"/>
  <c r="O781" i="11"/>
  <c r="O406" i="11"/>
  <c r="O126" i="11"/>
  <c r="O918" i="11"/>
  <c r="O961" i="11"/>
  <c r="O53" i="11"/>
  <c r="O338" i="11"/>
  <c r="O408" i="11"/>
  <c r="O387" i="11"/>
  <c r="O938" i="11"/>
  <c r="O990" i="11"/>
  <c r="O85" i="11"/>
  <c r="O758" i="11"/>
  <c r="O950" i="11"/>
  <c r="O724" i="11"/>
  <c r="O435" i="11"/>
  <c r="O341" i="11"/>
  <c r="O566" i="11"/>
  <c r="O839" i="11"/>
  <c r="O974" i="11"/>
  <c r="O337" i="11"/>
  <c r="O728" i="11"/>
  <c r="O209" i="11"/>
  <c r="O414" i="11"/>
  <c r="O244" i="11"/>
  <c r="O197" i="11"/>
  <c r="O541" i="11"/>
  <c r="O744" i="11"/>
  <c r="O610" i="11"/>
  <c r="O393" i="11"/>
  <c r="O113" i="11"/>
  <c r="O84" i="11"/>
  <c r="O667" i="11"/>
  <c r="O622" i="11"/>
  <c r="O924" i="11"/>
  <c r="O716" i="11"/>
  <c r="O535" i="11"/>
  <c r="O428" i="11"/>
  <c r="O971" i="11"/>
  <c r="O141" i="11"/>
  <c r="O532" i="11"/>
  <c r="O168" i="11"/>
  <c r="O927" i="11"/>
  <c r="O194" i="11"/>
  <c r="O945" i="11"/>
  <c r="O780" i="11"/>
  <c r="O888" i="11"/>
  <c r="O489" i="11"/>
  <c r="O442" i="11"/>
  <c r="O884" i="11"/>
  <c r="O684" i="11"/>
  <c r="O785" i="11"/>
  <c r="O179" i="11"/>
  <c r="O218" i="11"/>
  <c r="O219" i="11"/>
  <c r="O170" i="11"/>
  <c r="O749" i="11"/>
  <c r="O735" i="11"/>
  <c r="O550" i="11"/>
  <c r="O201" i="11"/>
  <c r="O517" i="11"/>
  <c r="O55" i="11"/>
  <c r="O16" i="11"/>
  <c r="O954" i="11"/>
  <c r="O294" i="11"/>
  <c r="O166" i="11"/>
  <c r="O133" i="11"/>
  <c r="O790" i="11"/>
  <c r="O899" i="11"/>
  <c r="O332" i="11"/>
  <c r="O675" i="11"/>
  <c r="O383" i="11"/>
  <c r="O530" i="11"/>
  <c r="O755" i="11"/>
  <c r="O413" i="11"/>
  <c r="O773" i="11"/>
  <c r="O35" i="11"/>
  <c r="O352" i="11"/>
  <c r="O814" i="11"/>
  <c r="O833" i="11"/>
  <c r="O811" i="11"/>
  <c r="O844" i="11"/>
  <c r="O360" i="11"/>
  <c r="O470" i="11"/>
  <c r="O630" i="11"/>
  <c r="O407" i="11"/>
  <c r="O161" i="11"/>
  <c r="O148" i="11"/>
  <c r="O779" i="11"/>
  <c r="O147" i="11"/>
  <c r="O618" i="11"/>
  <c r="O17" i="11"/>
  <c r="O346" i="11"/>
  <c r="O83" i="11"/>
  <c r="O106" i="11"/>
  <c r="O289" i="11"/>
  <c r="O47" i="11"/>
  <c r="O515" i="11"/>
  <c r="O626" i="11"/>
  <c r="O969" i="11"/>
  <c r="O130" i="11"/>
  <c r="O992" i="11"/>
  <c r="O310" i="11"/>
  <c r="O162" i="11"/>
  <c r="O798" i="11"/>
  <c r="O933" i="11"/>
  <c r="O434" i="11"/>
  <c r="O41" i="11"/>
  <c r="O569" i="11"/>
  <c r="O784" i="11"/>
  <c r="O965" i="11"/>
  <c r="O815" i="11"/>
  <c r="O378" i="11"/>
  <c r="O474" i="11"/>
  <c r="O898" i="11"/>
  <c r="O514" i="11"/>
  <c r="O834" i="11"/>
  <c r="O253" i="11"/>
  <c r="O680" i="11"/>
  <c r="O464" i="11"/>
  <c r="O366" i="17"/>
  <c r="O123" i="17"/>
  <c r="O939" i="17"/>
  <c r="O728" i="17"/>
  <c r="O487" i="17"/>
  <c r="O630" i="17"/>
  <c r="O52" i="17"/>
  <c r="O749" i="17"/>
  <c r="O316" i="17"/>
  <c r="O151" i="17"/>
  <c r="O871" i="17"/>
  <c r="O869" i="17"/>
  <c r="O293" i="17"/>
  <c r="O676" i="17"/>
  <c r="O80" i="17"/>
  <c r="O579" i="17"/>
  <c r="O222" i="17"/>
  <c r="O512" i="17"/>
  <c r="O943" i="17"/>
  <c r="O367" i="17"/>
  <c r="O956" i="17"/>
  <c r="O668" i="17"/>
  <c r="O380" i="17"/>
  <c r="O92" i="17"/>
  <c r="O859" i="17"/>
  <c r="O571" i="17"/>
  <c r="O283" i="17"/>
  <c r="O1002" i="17"/>
  <c r="O714" i="17"/>
  <c r="O426" i="17"/>
  <c r="O138" i="17"/>
  <c r="O857" i="17"/>
  <c r="O569" i="17"/>
  <c r="O281" i="17"/>
  <c r="O1000" i="17"/>
  <c r="O712" i="17"/>
  <c r="O424" i="17"/>
  <c r="O136" i="17"/>
  <c r="O855" i="17"/>
  <c r="O567" i="17"/>
  <c r="O279" i="17"/>
  <c r="O5" i="17"/>
  <c r="O866" i="17"/>
  <c r="O722" i="17"/>
  <c r="O578" i="17"/>
  <c r="O434" i="17"/>
  <c r="O290" i="17"/>
  <c r="O146" i="17"/>
  <c r="O7" i="17"/>
  <c r="O865" i="17"/>
  <c r="O721" i="17"/>
  <c r="O577" i="17"/>
  <c r="O433" i="17"/>
  <c r="O289" i="17"/>
  <c r="O145" i="17"/>
  <c r="O6" i="17"/>
  <c r="O864" i="17"/>
  <c r="O720" i="17"/>
  <c r="O576" i="17"/>
  <c r="O432" i="17"/>
  <c r="O288" i="17"/>
  <c r="O144" i="17"/>
  <c r="O9" i="17"/>
  <c r="O863" i="17"/>
  <c r="O719" i="17"/>
  <c r="O575" i="17"/>
  <c r="O431" i="17"/>
  <c r="O287" i="17"/>
  <c r="O143" i="17"/>
  <c r="O1006" i="17"/>
  <c r="O862" i="17"/>
  <c r="O718" i="17"/>
  <c r="O574" i="17"/>
  <c r="O430" i="17"/>
  <c r="O286" i="17"/>
  <c r="O142" i="17"/>
  <c r="O1005" i="17"/>
  <c r="O861" i="17"/>
  <c r="O717" i="17"/>
  <c r="O573" i="17"/>
  <c r="O429" i="17"/>
  <c r="O285" i="17"/>
  <c r="O141" i="17"/>
  <c r="O270" i="17"/>
  <c r="O940" i="17"/>
  <c r="O843" i="17"/>
  <c r="O632" i="17"/>
  <c r="O391" i="17"/>
  <c r="O582" i="17"/>
  <c r="O942" i="17"/>
  <c r="O605" i="17"/>
  <c r="O220" i="17"/>
  <c r="O55" i="17"/>
  <c r="O775" i="17"/>
  <c r="O821" i="17"/>
  <c r="O245" i="17"/>
  <c r="O628" i="17"/>
  <c r="O31" i="17"/>
  <c r="O531" i="17"/>
  <c r="O221" i="17"/>
  <c r="O464" i="17"/>
  <c r="O895" i="17"/>
  <c r="O319" i="17"/>
  <c r="O932" i="17"/>
  <c r="O644" i="17"/>
  <c r="O356" i="17"/>
  <c r="O68" i="17"/>
  <c r="O835" i="17"/>
  <c r="O547" i="17"/>
  <c r="O259" i="17"/>
  <c r="O978" i="17"/>
  <c r="O690" i="17"/>
  <c r="O402" i="17"/>
  <c r="O114" i="17"/>
  <c r="O833" i="17"/>
  <c r="O545" i="17"/>
  <c r="O257" i="17"/>
  <c r="O976" i="17"/>
  <c r="O688" i="17"/>
  <c r="O400" i="17"/>
  <c r="O112" i="17"/>
  <c r="O831" i="17"/>
  <c r="O543" i="17"/>
  <c r="O255" i="17"/>
  <c r="O998" i="17"/>
  <c r="O854" i="17"/>
  <c r="O710" i="17"/>
  <c r="O566" i="17"/>
  <c r="O422" i="17"/>
  <c r="O278" i="17"/>
  <c r="O134" i="17"/>
  <c r="O997" i="17"/>
  <c r="O853" i="17"/>
  <c r="O709" i="17"/>
  <c r="O565" i="17"/>
  <c r="O421" i="17"/>
  <c r="O277" i="17"/>
  <c r="O133" i="17"/>
  <c r="O996" i="17"/>
  <c r="O852" i="17"/>
  <c r="O708" i="17"/>
  <c r="O564" i="17"/>
  <c r="O420" i="17"/>
  <c r="O276" i="17"/>
  <c r="O132" i="17"/>
  <c r="O995" i="17"/>
  <c r="O851" i="17"/>
  <c r="O707" i="17"/>
  <c r="O563" i="17"/>
  <c r="O419" i="17"/>
  <c r="O275" i="17"/>
  <c r="O131" i="17"/>
  <c r="O994" i="17"/>
  <c r="O850" i="17"/>
  <c r="O706" i="17"/>
  <c r="O562" i="17"/>
  <c r="O418" i="17"/>
  <c r="O274" i="17"/>
  <c r="O130" i="17"/>
  <c r="O993" i="17"/>
  <c r="O849" i="17"/>
  <c r="O705" i="17"/>
  <c r="O561" i="17"/>
  <c r="O417" i="17"/>
  <c r="O273" i="17"/>
  <c r="O129" i="17"/>
  <c r="O76" i="17"/>
  <c r="O844" i="17"/>
  <c r="O795" i="17"/>
  <c r="O536" i="17"/>
  <c r="O295" i="17"/>
  <c r="O534" i="17"/>
  <c r="O846" i="17"/>
  <c r="O509" i="17"/>
  <c r="O104" i="17"/>
  <c r="O872" i="17"/>
  <c r="O727" i="17"/>
  <c r="O773" i="17"/>
  <c r="O197" i="17"/>
  <c r="O580" i="17"/>
  <c r="O173" i="17"/>
  <c r="O483" i="17"/>
  <c r="O992" i="17"/>
  <c r="O416" i="17"/>
  <c r="O847" i="17"/>
  <c r="O271" i="17"/>
  <c r="O908" i="17"/>
  <c r="O620" i="17"/>
  <c r="O332" i="17"/>
  <c r="O44" i="17"/>
  <c r="O811" i="17"/>
  <c r="O523" i="17"/>
  <c r="O235" i="17"/>
  <c r="O954" i="17"/>
  <c r="O666" i="17"/>
  <c r="O378" i="17"/>
  <c r="O90" i="17"/>
  <c r="O809" i="17"/>
  <c r="O521" i="17"/>
  <c r="O233" i="17"/>
  <c r="O952" i="17"/>
  <c r="O664" i="17"/>
  <c r="O376" i="17"/>
  <c r="O88" i="17"/>
  <c r="O807" i="17"/>
  <c r="O519" i="17"/>
  <c r="O231" i="17"/>
  <c r="O986" i="17"/>
  <c r="O842" i="17"/>
  <c r="O698" i="17"/>
  <c r="O554" i="17"/>
  <c r="O410" i="17"/>
  <c r="O266" i="17"/>
  <c r="O122" i="17"/>
  <c r="O985" i="17"/>
  <c r="O841" i="17"/>
  <c r="O697" i="17"/>
  <c r="O553" i="17"/>
  <c r="O409" i="17"/>
  <c r="O265" i="17"/>
  <c r="O121" i="17"/>
  <c r="O984" i="17"/>
  <c r="O840" i="17"/>
  <c r="O696" i="17"/>
  <c r="O552" i="17"/>
  <c r="O408" i="17"/>
  <c r="O264" i="17"/>
  <c r="O120" i="17"/>
  <c r="O983" i="17"/>
  <c r="O839" i="17"/>
  <c r="O695" i="17"/>
  <c r="O551" i="17"/>
  <c r="O407" i="17"/>
  <c r="O263" i="17"/>
  <c r="O119" i="17"/>
  <c r="O982" i="17"/>
  <c r="O838" i="17"/>
  <c r="O694" i="17"/>
  <c r="O550" i="17"/>
  <c r="O406" i="17"/>
  <c r="O262" i="17"/>
  <c r="O118" i="17"/>
  <c r="O981" i="17"/>
  <c r="O837" i="17"/>
  <c r="O693" i="17"/>
  <c r="O549" i="17"/>
  <c r="O405" i="17"/>
  <c r="O261" i="17"/>
  <c r="O117" i="17"/>
  <c r="E13" i="1"/>
  <c r="C34" i="4"/>
  <c r="D12" i="1"/>
  <c r="L1005" i="3" l="1"/>
  <c r="M1005" i="3"/>
  <c r="P1005" i="3" s="1"/>
  <c r="L1006" i="3"/>
  <c r="M1006" i="3"/>
  <c r="P1006" i="3" s="1"/>
  <c r="B8" i="3"/>
  <c r="C31" i="3" s="1"/>
  <c r="L105" i="3"/>
  <c r="M105" i="3"/>
  <c r="P105" i="3" s="1"/>
  <c r="L106" i="3"/>
  <c r="M106" i="3"/>
  <c r="P106" i="3" s="1"/>
  <c r="L107" i="3"/>
  <c r="M107" i="3"/>
  <c r="P107" i="3" s="1"/>
  <c r="L108" i="3"/>
  <c r="M108" i="3"/>
  <c r="P108" i="3" s="1"/>
  <c r="L109" i="3"/>
  <c r="M109" i="3"/>
  <c r="P109" i="3"/>
  <c r="L110" i="3"/>
  <c r="M110" i="3"/>
  <c r="P110" i="3" s="1"/>
  <c r="L111" i="3"/>
  <c r="M111" i="3"/>
  <c r="P111" i="3" s="1"/>
  <c r="L112" i="3"/>
  <c r="M112" i="3"/>
  <c r="P112" i="3" s="1"/>
  <c r="L113" i="3"/>
  <c r="M113" i="3"/>
  <c r="P113" i="3" s="1"/>
  <c r="L114" i="3"/>
  <c r="M114" i="3"/>
  <c r="P114" i="3" s="1"/>
  <c r="L115" i="3"/>
  <c r="M115" i="3"/>
  <c r="P115" i="3" s="1"/>
  <c r="L116" i="3"/>
  <c r="M116" i="3"/>
  <c r="P116" i="3" s="1"/>
  <c r="L117" i="3"/>
  <c r="M117" i="3"/>
  <c r="P117" i="3" s="1"/>
  <c r="L118" i="3"/>
  <c r="M118" i="3"/>
  <c r="P118" i="3" s="1"/>
  <c r="L119" i="3"/>
  <c r="M119" i="3"/>
  <c r="P119" i="3" s="1"/>
  <c r="L120" i="3"/>
  <c r="M120" i="3"/>
  <c r="P120" i="3" s="1"/>
  <c r="L121" i="3"/>
  <c r="M121" i="3"/>
  <c r="P121" i="3" s="1"/>
  <c r="L122" i="3"/>
  <c r="M122" i="3"/>
  <c r="P122" i="3" s="1"/>
  <c r="L123" i="3"/>
  <c r="M123" i="3"/>
  <c r="P123" i="3" s="1"/>
  <c r="L124" i="3"/>
  <c r="M124" i="3"/>
  <c r="P124" i="3" s="1"/>
  <c r="L125" i="3"/>
  <c r="M125" i="3"/>
  <c r="P125" i="3" s="1"/>
  <c r="L126" i="3"/>
  <c r="M126" i="3"/>
  <c r="P126" i="3" s="1"/>
  <c r="L127" i="3"/>
  <c r="M127" i="3"/>
  <c r="P127" i="3" s="1"/>
  <c r="L128" i="3"/>
  <c r="M128" i="3"/>
  <c r="P128" i="3" s="1"/>
  <c r="L129" i="3"/>
  <c r="M129" i="3"/>
  <c r="P129" i="3"/>
  <c r="L130" i="3"/>
  <c r="M130" i="3"/>
  <c r="P130" i="3" s="1"/>
  <c r="L131" i="3"/>
  <c r="M131" i="3"/>
  <c r="P131" i="3" s="1"/>
  <c r="L132" i="3"/>
  <c r="M132" i="3"/>
  <c r="P132" i="3" s="1"/>
  <c r="L133" i="3"/>
  <c r="M133" i="3"/>
  <c r="P133" i="3" s="1"/>
  <c r="L134" i="3"/>
  <c r="M134" i="3"/>
  <c r="P134" i="3" s="1"/>
  <c r="L135" i="3"/>
  <c r="M135" i="3"/>
  <c r="P135" i="3" s="1"/>
  <c r="L136" i="3"/>
  <c r="M136" i="3"/>
  <c r="P136" i="3" s="1"/>
  <c r="L137" i="3"/>
  <c r="M137" i="3"/>
  <c r="P137" i="3" s="1"/>
  <c r="L138" i="3"/>
  <c r="M138" i="3"/>
  <c r="P138" i="3"/>
  <c r="L139" i="3"/>
  <c r="M139" i="3"/>
  <c r="P139" i="3" s="1"/>
  <c r="L140" i="3"/>
  <c r="M140" i="3"/>
  <c r="P140" i="3" s="1"/>
  <c r="L141" i="3"/>
  <c r="M141" i="3"/>
  <c r="P141" i="3" s="1"/>
  <c r="L142" i="3"/>
  <c r="M142" i="3"/>
  <c r="P142" i="3" s="1"/>
  <c r="L143" i="3"/>
  <c r="M143" i="3"/>
  <c r="P143" i="3" s="1"/>
  <c r="L144" i="3"/>
  <c r="M144" i="3"/>
  <c r="P144" i="3" s="1"/>
  <c r="L145" i="3"/>
  <c r="M145" i="3"/>
  <c r="P145" i="3" s="1"/>
  <c r="L146" i="3"/>
  <c r="M146" i="3"/>
  <c r="P146" i="3" s="1"/>
  <c r="L147" i="3"/>
  <c r="M147" i="3"/>
  <c r="P147" i="3" s="1"/>
  <c r="L148" i="3"/>
  <c r="M148" i="3"/>
  <c r="P148" i="3" s="1"/>
  <c r="L149" i="3"/>
  <c r="M149" i="3"/>
  <c r="P149" i="3" s="1"/>
  <c r="L150" i="3"/>
  <c r="M150" i="3"/>
  <c r="P150" i="3" s="1"/>
  <c r="L151" i="3"/>
  <c r="M151" i="3"/>
  <c r="P151" i="3" s="1"/>
  <c r="L152" i="3"/>
  <c r="M152" i="3"/>
  <c r="P152" i="3" s="1"/>
  <c r="L153" i="3"/>
  <c r="M153" i="3"/>
  <c r="P153" i="3" s="1"/>
  <c r="L154" i="3"/>
  <c r="M154" i="3"/>
  <c r="P154" i="3" s="1"/>
  <c r="L155" i="3"/>
  <c r="M155" i="3"/>
  <c r="P155" i="3" s="1"/>
  <c r="L156" i="3"/>
  <c r="M156" i="3"/>
  <c r="P156" i="3" s="1"/>
  <c r="L157" i="3"/>
  <c r="M157" i="3"/>
  <c r="P157" i="3" s="1"/>
  <c r="L158" i="3"/>
  <c r="M158" i="3"/>
  <c r="P158" i="3" s="1"/>
  <c r="L159" i="3"/>
  <c r="M159" i="3"/>
  <c r="P159" i="3" s="1"/>
  <c r="L160" i="3"/>
  <c r="M160" i="3"/>
  <c r="P160" i="3" s="1"/>
  <c r="L161" i="3"/>
  <c r="M161" i="3"/>
  <c r="P161" i="3" s="1"/>
  <c r="L162" i="3"/>
  <c r="M162" i="3"/>
  <c r="P162" i="3" s="1"/>
  <c r="L163" i="3"/>
  <c r="M163" i="3"/>
  <c r="P163" i="3" s="1"/>
  <c r="L164" i="3"/>
  <c r="M164" i="3"/>
  <c r="P164" i="3" s="1"/>
  <c r="L165" i="3"/>
  <c r="M165" i="3"/>
  <c r="P165" i="3" s="1"/>
  <c r="L166" i="3"/>
  <c r="M166" i="3"/>
  <c r="P166" i="3" s="1"/>
  <c r="L167" i="3"/>
  <c r="M167" i="3"/>
  <c r="P167" i="3" s="1"/>
  <c r="L168" i="3"/>
  <c r="M168" i="3"/>
  <c r="P168" i="3" s="1"/>
  <c r="L169" i="3"/>
  <c r="M169" i="3"/>
  <c r="P169" i="3"/>
  <c r="L170" i="3"/>
  <c r="M170" i="3"/>
  <c r="P170" i="3" s="1"/>
  <c r="L171" i="3"/>
  <c r="M171" i="3"/>
  <c r="P171" i="3" s="1"/>
  <c r="L172" i="3"/>
  <c r="M172" i="3"/>
  <c r="P172" i="3" s="1"/>
  <c r="L173" i="3"/>
  <c r="M173" i="3"/>
  <c r="P173" i="3" s="1"/>
  <c r="L174" i="3"/>
  <c r="M174" i="3"/>
  <c r="P174" i="3" s="1"/>
  <c r="L175" i="3"/>
  <c r="M175" i="3"/>
  <c r="P175" i="3" s="1"/>
  <c r="L176" i="3"/>
  <c r="M176" i="3"/>
  <c r="P176" i="3" s="1"/>
  <c r="L177" i="3"/>
  <c r="M177" i="3"/>
  <c r="P177" i="3" s="1"/>
  <c r="L178" i="3"/>
  <c r="M178" i="3"/>
  <c r="P178" i="3" s="1"/>
  <c r="L179" i="3"/>
  <c r="M179" i="3"/>
  <c r="P179" i="3" s="1"/>
  <c r="L180" i="3"/>
  <c r="M180" i="3"/>
  <c r="P180" i="3" s="1"/>
  <c r="L181" i="3"/>
  <c r="M181" i="3"/>
  <c r="P181" i="3" s="1"/>
  <c r="L182" i="3"/>
  <c r="M182" i="3"/>
  <c r="P182" i="3" s="1"/>
  <c r="L183" i="3"/>
  <c r="M183" i="3"/>
  <c r="P183" i="3" s="1"/>
  <c r="L184" i="3"/>
  <c r="M184" i="3"/>
  <c r="P184" i="3" s="1"/>
  <c r="L185" i="3"/>
  <c r="M185" i="3"/>
  <c r="P185" i="3" s="1"/>
  <c r="L186" i="3"/>
  <c r="M186" i="3"/>
  <c r="P186" i="3" s="1"/>
  <c r="L187" i="3"/>
  <c r="M187" i="3"/>
  <c r="P187" i="3" s="1"/>
  <c r="L188" i="3"/>
  <c r="M188" i="3"/>
  <c r="P188" i="3" s="1"/>
  <c r="L189" i="3"/>
  <c r="M189" i="3"/>
  <c r="P189" i="3" s="1"/>
  <c r="L190" i="3"/>
  <c r="M190" i="3"/>
  <c r="P190" i="3" s="1"/>
  <c r="L191" i="3"/>
  <c r="M191" i="3"/>
  <c r="P191" i="3" s="1"/>
  <c r="L192" i="3"/>
  <c r="M192" i="3"/>
  <c r="P192" i="3" s="1"/>
  <c r="L193" i="3"/>
  <c r="M193" i="3"/>
  <c r="P193" i="3" s="1"/>
  <c r="L194" i="3"/>
  <c r="M194" i="3"/>
  <c r="P194" i="3" s="1"/>
  <c r="L195" i="3"/>
  <c r="M195" i="3"/>
  <c r="P195" i="3" s="1"/>
  <c r="L196" i="3"/>
  <c r="M196" i="3"/>
  <c r="P196" i="3" s="1"/>
  <c r="L197" i="3"/>
  <c r="M197" i="3"/>
  <c r="P197" i="3" s="1"/>
  <c r="L198" i="3"/>
  <c r="M198" i="3"/>
  <c r="P198" i="3" s="1"/>
  <c r="L199" i="3"/>
  <c r="M199" i="3"/>
  <c r="P199" i="3" s="1"/>
  <c r="L200" i="3"/>
  <c r="M200" i="3"/>
  <c r="P200" i="3" s="1"/>
  <c r="L201" i="3"/>
  <c r="M201" i="3"/>
  <c r="P201" i="3"/>
  <c r="L202" i="3"/>
  <c r="M202" i="3"/>
  <c r="P202" i="3" s="1"/>
  <c r="L203" i="3"/>
  <c r="M203" i="3"/>
  <c r="P203" i="3" s="1"/>
  <c r="L204" i="3"/>
  <c r="M204" i="3"/>
  <c r="P204" i="3" s="1"/>
  <c r="L205" i="3"/>
  <c r="M205" i="3"/>
  <c r="P205" i="3" s="1"/>
  <c r="L206" i="3"/>
  <c r="M206" i="3"/>
  <c r="P206" i="3" s="1"/>
  <c r="L207" i="3"/>
  <c r="M207" i="3"/>
  <c r="P207" i="3" s="1"/>
  <c r="L208" i="3"/>
  <c r="M208" i="3"/>
  <c r="P208" i="3" s="1"/>
  <c r="L209" i="3"/>
  <c r="M209" i="3"/>
  <c r="P209" i="3" s="1"/>
  <c r="L210" i="3"/>
  <c r="M210" i="3"/>
  <c r="P210" i="3" s="1"/>
  <c r="L211" i="3"/>
  <c r="M211" i="3"/>
  <c r="P211" i="3" s="1"/>
  <c r="L212" i="3"/>
  <c r="M212" i="3"/>
  <c r="P212" i="3" s="1"/>
  <c r="L213" i="3"/>
  <c r="M213" i="3"/>
  <c r="P213" i="3" s="1"/>
  <c r="L214" i="3"/>
  <c r="M214" i="3"/>
  <c r="P214" i="3" s="1"/>
  <c r="L215" i="3"/>
  <c r="M215" i="3"/>
  <c r="P215" i="3" s="1"/>
  <c r="L216" i="3"/>
  <c r="M216" i="3"/>
  <c r="P216" i="3" s="1"/>
  <c r="L217" i="3"/>
  <c r="M217" i="3"/>
  <c r="P217" i="3" s="1"/>
  <c r="L218" i="3"/>
  <c r="M218" i="3"/>
  <c r="P218" i="3" s="1"/>
  <c r="L219" i="3"/>
  <c r="M219" i="3"/>
  <c r="P219" i="3" s="1"/>
  <c r="L220" i="3"/>
  <c r="M220" i="3"/>
  <c r="P220" i="3" s="1"/>
  <c r="L221" i="3"/>
  <c r="M221" i="3"/>
  <c r="P221" i="3"/>
  <c r="L222" i="3"/>
  <c r="M222" i="3"/>
  <c r="P222" i="3" s="1"/>
  <c r="L223" i="3"/>
  <c r="M223" i="3"/>
  <c r="P223" i="3" s="1"/>
  <c r="L224" i="3"/>
  <c r="M224" i="3"/>
  <c r="P224" i="3" s="1"/>
  <c r="L225" i="3"/>
  <c r="M225" i="3"/>
  <c r="P225" i="3" s="1"/>
  <c r="L226" i="3"/>
  <c r="M226" i="3"/>
  <c r="P226" i="3"/>
  <c r="L227" i="3"/>
  <c r="M227" i="3"/>
  <c r="P227" i="3" s="1"/>
  <c r="L228" i="3"/>
  <c r="M228" i="3"/>
  <c r="P228" i="3" s="1"/>
  <c r="L229" i="3"/>
  <c r="M229" i="3"/>
  <c r="P229" i="3" s="1"/>
  <c r="L230" i="3"/>
  <c r="M230" i="3"/>
  <c r="P230" i="3" s="1"/>
  <c r="L231" i="3"/>
  <c r="M231" i="3"/>
  <c r="P231" i="3" s="1"/>
  <c r="L232" i="3"/>
  <c r="M232" i="3"/>
  <c r="P232" i="3" s="1"/>
  <c r="L233" i="3"/>
  <c r="M233" i="3"/>
  <c r="P233" i="3" s="1"/>
  <c r="L234" i="3"/>
  <c r="M234" i="3"/>
  <c r="P234" i="3" s="1"/>
  <c r="L235" i="3"/>
  <c r="M235" i="3"/>
  <c r="P235" i="3" s="1"/>
  <c r="L236" i="3"/>
  <c r="M236" i="3"/>
  <c r="P236" i="3" s="1"/>
  <c r="L237" i="3"/>
  <c r="M237" i="3"/>
  <c r="P237" i="3" s="1"/>
  <c r="L238" i="3"/>
  <c r="M238" i="3"/>
  <c r="P238" i="3" s="1"/>
  <c r="L239" i="3"/>
  <c r="M239" i="3"/>
  <c r="P239" i="3" s="1"/>
  <c r="L240" i="3"/>
  <c r="M240" i="3"/>
  <c r="P240" i="3" s="1"/>
  <c r="L241" i="3"/>
  <c r="M241" i="3"/>
  <c r="P241" i="3" s="1"/>
  <c r="L242" i="3"/>
  <c r="M242" i="3"/>
  <c r="P242" i="3" s="1"/>
  <c r="L243" i="3"/>
  <c r="M243" i="3"/>
  <c r="P243" i="3" s="1"/>
  <c r="L244" i="3"/>
  <c r="M244" i="3"/>
  <c r="P244" i="3" s="1"/>
  <c r="L245" i="3"/>
  <c r="M245" i="3"/>
  <c r="P245" i="3" s="1"/>
  <c r="L246" i="3"/>
  <c r="M246" i="3"/>
  <c r="P246" i="3" s="1"/>
  <c r="L247" i="3"/>
  <c r="M247" i="3"/>
  <c r="P247" i="3" s="1"/>
  <c r="L248" i="3"/>
  <c r="M248" i="3"/>
  <c r="P248" i="3" s="1"/>
  <c r="L249" i="3"/>
  <c r="M249" i="3"/>
  <c r="P249" i="3" s="1"/>
  <c r="L250" i="3"/>
  <c r="M250" i="3"/>
  <c r="P250" i="3" s="1"/>
  <c r="L251" i="3"/>
  <c r="M251" i="3"/>
  <c r="P251" i="3" s="1"/>
  <c r="L252" i="3"/>
  <c r="M252" i="3"/>
  <c r="P252" i="3" s="1"/>
  <c r="L253" i="3"/>
  <c r="M253" i="3"/>
  <c r="P253" i="3" s="1"/>
  <c r="L254" i="3"/>
  <c r="M254" i="3"/>
  <c r="P254" i="3" s="1"/>
  <c r="L255" i="3"/>
  <c r="M255" i="3"/>
  <c r="P255" i="3" s="1"/>
  <c r="L256" i="3"/>
  <c r="M256" i="3"/>
  <c r="P256" i="3" s="1"/>
  <c r="L257" i="3"/>
  <c r="M257" i="3"/>
  <c r="P257" i="3" s="1"/>
  <c r="L258" i="3"/>
  <c r="M258" i="3"/>
  <c r="P258" i="3" s="1"/>
  <c r="L259" i="3"/>
  <c r="M259" i="3"/>
  <c r="P259" i="3" s="1"/>
  <c r="L260" i="3"/>
  <c r="M260" i="3"/>
  <c r="P260" i="3" s="1"/>
  <c r="L261" i="3"/>
  <c r="M261" i="3"/>
  <c r="P261" i="3" s="1"/>
  <c r="L262" i="3"/>
  <c r="M262" i="3"/>
  <c r="P262" i="3" s="1"/>
  <c r="L263" i="3"/>
  <c r="M263" i="3"/>
  <c r="P263" i="3" s="1"/>
  <c r="L264" i="3"/>
  <c r="M264" i="3"/>
  <c r="P264" i="3" s="1"/>
  <c r="L265" i="3"/>
  <c r="M265" i="3"/>
  <c r="P265" i="3" s="1"/>
  <c r="L266" i="3"/>
  <c r="M266" i="3"/>
  <c r="P266" i="3" s="1"/>
  <c r="L267" i="3"/>
  <c r="M267" i="3"/>
  <c r="P267" i="3" s="1"/>
  <c r="L268" i="3"/>
  <c r="M268" i="3"/>
  <c r="P268" i="3" s="1"/>
  <c r="L269" i="3"/>
  <c r="M269" i="3"/>
  <c r="P269" i="3" s="1"/>
  <c r="L270" i="3"/>
  <c r="M270" i="3"/>
  <c r="P270" i="3" s="1"/>
  <c r="L271" i="3"/>
  <c r="M271" i="3"/>
  <c r="P271" i="3" s="1"/>
  <c r="L272" i="3"/>
  <c r="M272" i="3"/>
  <c r="P272" i="3" s="1"/>
  <c r="L273" i="3"/>
  <c r="M273" i="3"/>
  <c r="P273" i="3" s="1"/>
  <c r="L274" i="3"/>
  <c r="M274" i="3"/>
  <c r="P274" i="3" s="1"/>
  <c r="L275" i="3"/>
  <c r="M275" i="3"/>
  <c r="P275" i="3" s="1"/>
  <c r="L276" i="3"/>
  <c r="M276" i="3"/>
  <c r="P276" i="3" s="1"/>
  <c r="L277" i="3"/>
  <c r="M277" i="3"/>
  <c r="P277" i="3" s="1"/>
  <c r="L278" i="3"/>
  <c r="M278" i="3"/>
  <c r="P278" i="3" s="1"/>
  <c r="L279" i="3"/>
  <c r="M279" i="3"/>
  <c r="P279" i="3" s="1"/>
  <c r="L280" i="3"/>
  <c r="M280" i="3"/>
  <c r="P280" i="3" s="1"/>
  <c r="L281" i="3"/>
  <c r="M281" i="3"/>
  <c r="P281" i="3" s="1"/>
  <c r="L282" i="3"/>
  <c r="M282" i="3"/>
  <c r="P282" i="3" s="1"/>
  <c r="L283" i="3"/>
  <c r="M283" i="3"/>
  <c r="P283" i="3" s="1"/>
  <c r="L284" i="3"/>
  <c r="M284" i="3"/>
  <c r="P284" i="3" s="1"/>
  <c r="L285" i="3"/>
  <c r="M285" i="3"/>
  <c r="P285" i="3" s="1"/>
  <c r="L286" i="3"/>
  <c r="M286" i="3"/>
  <c r="P286" i="3" s="1"/>
  <c r="L287" i="3"/>
  <c r="M287" i="3"/>
  <c r="P287" i="3" s="1"/>
  <c r="L288" i="3"/>
  <c r="M288" i="3"/>
  <c r="P288" i="3" s="1"/>
  <c r="L289" i="3"/>
  <c r="M289" i="3"/>
  <c r="P289" i="3" s="1"/>
  <c r="L290" i="3"/>
  <c r="M290" i="3"/>
  <c r="P290" i="3"/>
  <c r="L291" i="3"/>
  <c r="M291" i="3"/>
  <c r="P291" i="3" s="1"/>
  <c r="L292" i="3"/>
  <c r="M292" i="3"/>
  <c r="P292" i="3" s="1"/>
  <c r="L293" i="3"/>
  <c r="M293" i="3"/>
  <c r="P293" i="3" s="1"/>
  <c r="L294" i="3"/>
  <c r="M294" i="3"/>
  <c r="P294" i="3" s="1"/>
  <c r="L295" i="3"/>
  <c r="M295" i="3"/>
  <c r="P295" i="3" s="1"/>
  <c r="L296" i="3"/>
  <c r="M296" i="3"/>
  <c r="P296" i="3" s="1"/>
  <c r="L297" i="3"/>
  <c r="M297" i="3"/>
  <c r="P297" i="3" s="1"/>
  <c r="L298" i="3"/>
  <c r="M298" i="3"/>
  <c r="P298" i="3" s="1"/>
  <c r="L299" i="3"/>
  <c r="M299" i="3"/>
  <c r="P299" i="3" s="1"/>
  <c r="L300" i="3"/>
  <c r="M300" i="3"/>
  <c r="P300" i="3" s="1"/>
  <c r="L301" i="3"/>
  <c r="M301" i="3"/>
  <c r="P301" i="3" s="1"/>
  <c r="L302" i="3"/>
  <c r="M302" i="3"/>
  <c r="P302" i="3" s="1"/>
  <c r="L303" i="3"/>
  <c r="M303" i="3"/>
  <c r="P303" i="3" s="1"/>
  <c r="L304" i="3"/>
  <c r="M304" i="3"/>
  <c r="P304" i="3" s="1"/>
  <c r="L305" i="3"/>
  <c r="M305" i="3"/>
  <c r="P305" i="3" s="1"/>
  <c r="L306" i="3"/>
  <c r="M306" i="3"/>
  <c r="P306" i="3" s="1"/>
  <c r="L307" i="3"/>
  <c r="M307" i="3"/>
  <c r="P307" i="3" s="1"/>
  <c r="L308" i="3"/>
  <c r="M308" i="3"/>
  <c r="P308" i="3" s="1"/>
  <c r="L309" i="3"/>
  <c r="M309" i="3"/>
  <c r="P309" i="3" s="1"/>
  <c r="L310" i="3"/>
  <c r="M310" i="3"/>
  <c r="P310" i="3" s="1"/>
  <c r="L311" i="3"/>
  <c r="M311" i="3"/>
  <c r="P311" i="3" s="1"/>
  <c r="L312" i="3"/>
  <c r="M312" i="3"/>
  <c r="P312" i="3" s="1"/>
  <c r="L313" i="3"/>
  <c r="M313" i="3"/>
  <c r="P313" i="3"/>
  <c r="L314" i="3"/>
  <c r="M314" i="3"/>
  <c r="P314" i="3"/>
  <c r="L315" i="3"/>
  <c r="M315" i="3"/>
  <c r="P315" i="3" s="1"/>
  <c r="L316" i="3"/>
  <c r="M316" i="3"/>
  <c r="P316" i="3" s="1"/>
  <c r="L317" i="3"/>
  <c r="M317" i="3"/>
  <c r="P317" i="3" s="1"/>
  <c r="L318" i="3"/>
  <c r="M318" i="3"/>
  <c r="P318" i="3" s="1"/>
  <c r="L319" i="3"/>
  <c r="M319" i="3"/>
  <c r="P319" i="3" s="1"/>
  <c r="L320" i="3"/>
  <c r="M320" i="3"/>
  <c r="P320" i="3" s="1"/>
  <c r="L321" i="3"/>
  <c r="M321" i="3"/>
  <c r="P321" i="3"/>
  <c r="L322" i="3"/>
  <c r="M322" i="3"/>
  <c r="P322" i="3" s="1"/>
  <c r="L323" i="3"/>
  <c r="M323" i="3"/>
  <c r="P323" i="3" s="1"/>
  <c r="L324" i="3"/>
  <c r="M324" i="3"/>
  <c r="P324" i="3" s="1"/>
  <c r="L325" i="3"/>
  <c r="M325" i="3"/>
  <c r="P325" i="3" s="1"/>
  <c r="L326" i="3"/>
  <c r="M326" i="3"/>
  <c r="P326" i="3" s="1"/>
  <c r="L327" i="3"/>
  <c r="M327" i="3"/>
  <c r="P327" i="3" s="1"/>
  <c r="L328" i="3"/>
  <c r="M328" i="3"/>
  <c r="P328" i="3" s="1"/>
  <c r="L329" i="3"/>
  <c r="M329" i="3"/>
  <c r="P329" i="3"/>
  <c r="L330" i="3"/>
  <c r="M330" i="3"/>
  <c r="P330" i="3" s="1"/>
  <c r="L331" i="3"/>
  <c r="M331" i="3"/>
  <c r="P331" i="3" s="1"/>
  <c r="L332" i="3"/>
  <c r="M332" i="3"/>
  <c r="P332" i="3" s="1"/>
  <c r="L333" i="3"/>
  <c r="M333" i="3"/>
  <c r="P333" i="3" s="1"/>
  <c r="L334" i="3"/>
  <c r="M334" i="3"/>
  <c r="P334" i="3" s="1"/>
  <c r="L335" i="3"/>
  <c r="M335" i="3"/>
  <c r="P335" i="3" s="1"/>
  <c r="L336" i="3"/>
  <c r="M336" i="3"/>
  <c r="P336" i="3" s="1"/>
  <c r="L337" i="3"/>
  <c r="M337" i="3"/>
  <c r="P337" i="3" s="1"/>
  <c r="L338" i="3"/>
  <c r="M338" i="3"/>
  <c r="P338" i="3" s="1"/>
  <c r="L339" i="3"/>
  <c r="M339" i="3"/>
  <c r="P339" i="3" s="1"/>
  <c r="L340" i="3"/>
  <c r="M340" i="3"/>
  <c r="P340" i="3" s="1"/>
  <c r="L341" i="3"/>
  <c r="M341" i="3"/>
  <c r="P341" i="3"/>
  <c r="L342" i="3"/>
  <c r="M342" i="3"/>
  <c r="P342" i="3" s="1"/>
  <c r="L343" i="3"/>
  <c r="M343" i="3"/>
  <c r="P343" i="3" s="1"/>
  <c r="L344" i="3"/>
  <c r="M344" i="3"/>
  <c r="P344" i="3" s="1"/>
  <c r="L345" i="3"/>
  <c r="M345" i="3"/>
  <c r="P345" i="3" s="1"/>
  <c r="L346" i="3"/>
  <c r="M346" i="3"/>
  <c r="P346" i="3" s="1"/>
  <c r="L347" i="3"/>
  <c r="M347" i="3"/>
  <c r="P347" i="3" s="1"/>
  <c r="L348" i="3"/>
  <c r="M348" i="3"/>
  <c r="P348" i="3" s="1"/>
  <c r="L349" i="3"/>
  <c r="M349" i="3"/>
  <c r="P349" i="3" s="1"/>
  <c r="L350" i="3"/>
  <c r="M350" i="3"/>
  <c r="P350" i="3" s="1"/>
  <c r="L351" i="3"/>
  <c r="M351" i="3"/>
  <c r="P351" i="3" s="1"/>
  <c r="L352" i="3"/>
  <c r="M352" i="3"/>
  <c r="P352" i="3" s="1"/>
  <c r="L353" i="3"/>
  <c r="M353" i="3"/>
  <c r="P353" i="3" s="1"/>
  <c r="L354" i="3"/>
  <c r="M354" i="3"/>
  <c r="P354" i="3" s="1"/>
  <c r="L355" i="3"/>
  <c r="M355" i="3"/>
  <c r="P355" i="3" s="1"/>
  <c r="L356" i="3"/>
  <c r="M356" i="3"/>
  <c r="P356" i="3" s="1"/>
  <c r="L357" i="3"/>
  <c r="M357" i="3"/>
  <c r="P357" i="3"/>
  <c r="L358" i="3"/>
  <c r="M358" i="3"/>
  <c r="P358" i="3" s="1"/>
  <c r="L359" i="3"/>
  <c r="M359" i="3"/>
  <c r="P359" i="3" s="1"/>
  <c r="L360" i="3"/>
  <c r="M360" i="3"/>
  <c r="P360" i="3" s="1"/>
  <c r="L361" i="3"/>
  <c r="M361" i="3"/>
  <c r="P361" i="3" s="1"/>
  <c r="L362" i="3"/>
  <c r="M362" i="3"/>
  <c r="P362" i="3"/>
  <c r="L363" i="3"/>
  <c r="M363" i="3"/>
  <c r="P363" i="3" s="1"/>
  <c r="L364" i="3"/>
  <c r="M364" i="3"/>
  <c r="P364" i="3" s="1"/>
  <c r="L365" i="3"/>
  <c r="M365" i="3"/>
  <c r="P365" i="3" s="1"/>
  <c r="L366" i="3"/>
  <c r="M366" i="3"/>
  <c r="P366" i="3" s="1"/>
  <c r="L367" i="3"/>
  <c r="M367" i="3"/>
  <c r="P367" i="3" s="1"/>
  <c r="L368" i="3"/>
  <c r="M368" i="3"/>
  <c r="P368" i="3" s="1"/>
  <c r="L369" i="3"/>
  <c r="M369" i="3"/>
  <c r="P369" i="3" s="1"/>
  <c r="L370" i="3"/>
  <c r="M370" i="3"/>
  <c r="P370" i="3" s="1"/>
  <c r="L371" i="3"/>
  <c r="M371" i="3"/>
  <c r="P371" i="3" s="1"/>
  <c r="L372" i="3"/>
  <c r="M372" i="3"/>
  <c r="P372" i="3" s="1"/>
  <c r="L373" i="3"/>
  <c r="M373" i="3"/>
  <c r="P373" i="3" s="1"/>
  <c r="L374" i="3"/>
  <c r="M374" i="3"/>
  <c r="P374" i="3" s="1"/>
  <c r="L375" i="3"/>
  <c r="M375" i="3"/>
  <c r="P375" i="3" s="1"/>
  <c r="L376" i="3"/>
  <c r="M376" i="3"/>
  <c r="P376" i="3" s="1"/>
  <c r="L377" i="3"/>
  <c r="M377" i="3"/>
  <c r="P377" i="3" s="1"/>
  <c r="L378" i="3"/>
  <c r="M378" i="3"/>
  <c r="P378" i="3" s="1"/>
  <c r="L379" i="3"/>
  <c r="M379" i="3"/>
  <c r="P379" i="3" s="1"/>
  <c r="L380" i="3"/>
  <c r="M380" i="3"/>
  <c r="P380" i="3" s="1"/>
  <c r="L381" i="3"/>
  <c r="M381" i="3"/>
  <c r="P381" i="3" s="1"/>
  <c r="L382" i="3"/>
  <c r="M382" i="3"/>
  <c r="P382" i="3" s="1"/>
  <c r="L383" i="3"/>
  <c r="M383" i="3"/>
  <c r="P383" i="3" s="1"/>
  <c r="L384" i="3"/>
  <c r="M384" i="3"/>
  <c r="P384" i="3" s="1"/>
  <c r="L385" i="3"/>
  <c r="M385" i="3"/>
  <c r="P385" i="3" s="1"/>
  <c r="L386" i="3"/>
  <c r="M386" i="3"/>
  <c r="P386" i="3" s="1"/>
  <c r="L387" i="3"/>
  <c r="M387" i="3"/>
  <c r="P387" i="3" s="1"/>
  <c r="L388" i="3"/>
  <c r="M388" i="3"/>
  <c r="P388" i="3" s="1"/>
  <c r="L389" i="3"/>
  <c r="M389" i="3"/>
  <c r="P389" i="3" s="1"/>
  <c r="L390" i="3"/>
  <c r="M390" i="3"/>
  <c r="P390" i="3" s="1"/>
  <c r="L391" i="3"/>
  <c r="M391" i="3"/>
  <c r="P391" i="3" s="1"/>
  <c r="L392" i="3"/>
  <c r="M392" i="3"/>
  <c r="P392" i="3" s="1"/>
  <c r="L393" i="3"/>
  <c r="M393" i="3"/>
  <c r="P393" i="3" s="1"/>
  <c r="L394" i="3"/>
  <c r="M394" i="3"/>
  <c r="P394" i="3"/>
  <c r="L395" i="3"/>
  <c r="M395" i="3"/>
  <c r="P395" i="3" s="1"/>
  <c r="L396" i="3"/>
  <c r="M396" i="3"/>
  <c r="P396" i="3" s="1"/>
  <c r="L397" i="3"/>
  <c r="M397" i="3"/>
  <c r="P397" i="3" s="1"/>
  <c r="L398" i="3"/>
  <c r="M398" i="3"/>
  <c r="P398" i="3" s="1"/>
  <c r="L399" i="3"/>
  <c r="M399" i="3"/>
  <c r="P399" i="3" s="1"/>
  <c r="L400" i="3"/>
  <c r="M400" i="3"/>
  <c r="P400" i="3" s="1"/>
  <c r="L401" i="3"/>
  <c r="M401" i="3"/>
  <c r="P401" i="3"/>
  <c r="L402" i="3"/>
  <c r="M402" i="3"/>
  <c r="P402" i="3" s="1"/>
  <c r="L403" i="3"/>
  <c r="M403" i="3"/>
  <c r="P403" i="3" s="1"/>
  <c r="L404" i="3"/>
  <c r="M404" i="3"/>
  <c r="P404" i="3" s="1"/>
  <c r="L405" i="3"/>
  <c r="M405" i="3"/>
  <c r="P405" i="3" s="1"/>
  <c r="L406" i="3"/>
  <c r="M406" i="3"/>
  <c r="P406" i="3" s="1"/>
  <c r="L407" i="3"/>
  <c r="M407" i="3"/>
  <c r="P407" i="3" s="1"/>
  <c r="L408" i="3"/>
  <c r="M408" i="3"/>
  <c r="P408" i="3" s="1"/>
  <c r="L409" i="3"/>
  <c r="M409" i="3"/>
  <c r="P409" i="3" s="1"/>
  <c r="L410" i="3"/>
  <c r="M410" i="3"/>
  <c r="P410" i="3"/>
  <c r="L411" i="3"/>
  <c r="M411" i="3"/>
  <c r="P411" i="3" s="1"/>
  <c r="L412" i="3"/>
  <c r="M412" i="3"/>
  <c r="P412" i="3" s="1"/>
  <c r="L413" i="3"/>
  <c r="M413" i="3"/>
  <c r="P413" i="3" s="1"/>
  <c r="L414" i="3"/>
  <c r="M414" i="3"/>
  <c r="P414" i="3" s="1"/>
  <c r="L415" i="3"/>
  <c r="M415" i="3"/>
  <c r="P415" i="3" s="1"/>
  <c r="L416" i="3"/>
  <c r="M416" i="3"/>
  <c r="P416" i="3" s="1"/>
  <c r="L417" i="3"/>
  <c r="M417" i="3"/>
  <c r="P417" i="3" s="1"/>
  <c r="L418" i="3"/>
  <c r="M418" i="3"/>
  <c r="P418" i="3"/>
  <c r="L419" i="3"/>
  <c r="M419" i="3"/>
  <c r="P419" i="3" s="1"/>
  <c r="L420" i="3"/>
  <c r="M420" i="3"/>
  <c r="P420" i="3" s="1"/>
  <c r="L421" i="3"/>
  <c r="M421" i="3"/>
  <c r="P421" i="3" s="1"/>
  <c r="L422" i="3"/>
  <c r="M422" i="3"/>
  <c r="P422" i="3" s="1"/>
  <c r="L423" i="3"/>
  <c r="M423" i="3"/>
  <c r="P423" i="3" s="1"/>
  <c r="L424" i="3"/>
  <c r="M424" i="3"/>
  <c r="P424" i="3" s="1"/>
  <c r="L425" i="3"/>
  <c r="M425" i="3"/>
  <c r="P425" i="3" s="1"/>
  <c r="L426" i="3"/>
  <c r="M426" i="3"/>
  <c r="P426" i="3" s="1"/>
  <c r="L427" i="3"/>
  <c r="M427" i="3"/>
  <c r="P427" i="3" s="1"/>
  <c r="L428" i="3"/>
  <c r="M428" i="3"/>
  <c r="P428" i="3" s="1"/>
  <c r="L429" i="3"/>
  <c r="M429" i="3"/>
  <c r="P429" i="3" s="1"/>
  <c r="L430" i="3"/>
  <c r="M430" i="3"/>
  <c r="P430" i="3" s="1"/>
  <c r="L431" i="3"/>
  <c r="M431" i="3"/>
  <c r="P431" i="3" s="1"/>
  <c r="L432" i="3"/>
  <c r="M432" i="3"/>
  <c r="P432" i="3" s="1"/>
  <c r="L433" i="3"/>
  <c r="M433" i="3"/>
  <c r="P433" i="3" s="1"/>
  <c r="L434" i="3"/>
  <c r="M434" i="3"/>
  <c r="P434" i="3" s="1"/>
  <c r="L435" i="3"/>
  <c r="M435" i="3"/>
  <c r="P435" i="3" s="1"/>
  <c r="L436" i="3"/>
  <c r="M436" i="3"/>
  <c r="P436" i="3" s="1"/>
  <c r="L437" i="3"/>
  <c r="M437" i="3"/>
  <c r="P437" i="3"/>
  <c r="L438" i="3"/>
  <c r="M438" i="3"/>
  <c r="P438" i="3" s="1"/>
  <c r="L439" i="3"/>
  <c r="M439" i="3"/>
  <c r="P439" i="3" s="1"/>
  <c r="L440" i="3"/>
  <c r="M440" i="3"/>
  <c r="P440" i="3" s="1"/>
  <c r="L441" i="3"/>
  <c r="M441" i="3"/>
  <c r="P441" i="3" s="1"/>
  <c r="L442" i="3"/>
  <c r="M442" i="3"/>
  <c r="P442" i="3" s="1"/>
  <c r="L443" i="3"/>
  <c r="M443" i="3"/>
  <c r="P443" i="3" s="1"/>
  <c r="L444" i="3"/>
  <c r="M444" i="3"/>
  <c r="P444" i="3" s="1"/>
  <c r="L445" i="3"/>
  <c r="M445" i="3"/>
  <c r="P445" i="3"/>
  <c r="L446" i="3"/>
  <c r="M446" i="3"/>
  <c r="P446" i="3" s="1"/>
  <c r="L447" i="3"/>
  <c r="M447" i="3"/>
  <c r="P447" i="3" s="1"/>
  <c r="L448" i="3"/>
  <c r="M448" i="3"/>
  <c r="P448" i="3" s="1"/>
  <c r="L449" i="3"/>
  <c r="M449" i="3"/>
  <c r="P449" i="3" s="1"/>
  <c r="L450" i="3"/>
  <c r="M450" i="3"/>
  <c r="P450" i="3" s="1"/>
  <c r="L451" i="3"/>
  <c r="M451" i="3"/>
  <c r="P451" i="3" s="1"/>
  <c r="L452" i="3"/>
  <c r="M452" i="3"/>
  <c r="P452" i="3" s="1"/>
  <c r="L453" i="3"/>
  <c r="M453" i="3"/>
  <c r="P453" i="3" s="1"/>
  <c r="L454" i="3"/>
  <c r="M454" i="3"/>
  <c r="P454" i="3" s="1"/>
  <c r="L455" i="3"/>
  <c r="M455" i="3"/>
  <c r="P455" i="3" s="1"/>
  <c r="L456" i="3"/>
  <c r="M456" i="3"/>
  <c r="P456" i="3" s="1"/>
  <c r="L457" i="3"/>
  <c r="M457" i="3"/>
  <c r="P457" i="3" s="1"/>
  <c r="L458" i="3"/>
  <c r="M458" i="3"/>
  <c r="P458" i="3" s="1"/>
  <c r="L459" i="3"/>
  <c r="M459" i="3"/>
  <c r="P459" i="3" s="1"/>
  <c r="L460" i="3"/>
  <c r="M460" i="3"/>
  <c r="P460" i="3" s="1"/>
  <c r="L461" i="3"/>
  <c r="M461" i="3"/>
  <c r="P461" i="3" s="1"/>
  <c r="L462" i="3"/>
  <c r="M462" i="3"/>
  <c r="P462" i="3" s="1"/>
  <c r="L463" i="3"/>
  <c r="M463" i="3"/>
  <c r="P463" i="3" s="1"/>
  <c r="L464" i="3"/>
  <c r="M464" i="3"/>
  <c r="P464" i="3" s="1"/>
  <c r="L465" i="3"/>
  <c r="M465" i="3"/>
  <c r="P465" i="3"/>
  <c r="L466" i="3"/>
  <c r="M466" i="3"/>
  <c r="P466" i="3" s="1"/>
  <c r="L467" i="3"/>
  <c r="M467" i="3"/>
  <c r="P467" i="3" s="1"/>
  <c r="L468" i="3"/>
  <c r="M468" i="3"/>
  <c r="P468" i="3" s="1"/>
  <c r="L469" i="3"/>
  <c r="M469" i="3"/>
  <c r="P469" i="3" s="1"/>
  <c r="L470" i="3"/>
  <c r="M470" i="3"/>
  <c r="P470" i="3" s="1"/>
  <c r="L471" i="3"/>
  <c r="M471" i="3"/>
  <c r="P471" i="3" s="1"/>
  <c r="L472" i="3"/>
  <c r="M472" i="3"/>
  <c r="P472" i="3" s="1"/>
  <c r="L473" i="3"/>
  <c r="M473" i="3"/>
  <c r="P473" i="3" s="1"/>
  <c r="L474" i="3"/>
  <c r="M474" i="3"/>
  <c r="P474" i="3"/>
  <c r="L475" i="3"/>
  <c r="M475" i="3"/>
  <c r="P475" i="3" s="1"/>
  <c r="L476" i="3"/>
  <c r="M476" i="3"/>
  <c r="P476" i="3" s="1"/>
  <c r="L477" i="3"/>
  <c r="M477" i="3"/>
  <c r="P477" i="3" s="1"/>
  <c r="L478" i="3"/>
  <c r="M478" i="3"/>
  <c r="P478" i="3" s="1"/>
  <c r="L479" i="3"/>
  <c r="M479" i="3"/>
  <c r="P479" i="3" s="1"/>
  <c r="L480" i="3"/>
  <c r="M480" i="3"/>
  <c r="P480" i="3" s="1"/>
  <c r="L481" i="3"/>
  <c r="M481" i="3"/>
  <c r="P481" i="3" s="1"/>
  <c r="L482" i="3"/>
  <c r="M482" i="3"/>
  <c r="P482" i="3"/>
  <c r="L483" i="3"/>
  <c r="M483" i="3"/>
  <c r="P483" i="3" s="1"/>
  <c r="L484" i="3"/>
  <c r="M484" i="3"/>
  <c r="P484" i="3" s="1"/>
  <c r="L485" i="3"/>
  <c r="M485" i="3"/>
  <c r="P485" i="3" s="1"/>
  <c r="L486" i="3"/>
  <c r="M486" i="3"/>
  <c r="P486" i="3" s="1"/>
  <c r="L487" i="3"/>
  <c r="M487" i="3"/>
  <c r="P487" i="3" s="1"/>
  <c r="L488" i="3"/>
  <c r="M488" i="3"/>
  <c r="P488" i="3" s="1"/>
  <c r="L489" i="3"/>
  <c r="M489" i="3"/>
  <c r="P489" i="3" s="1"/>
  <c r="L490" i="3"/>
  <c r="M490" i="3"/>
  <c r="P490" i="3" s="1"/>
  <c r="L491" i="3"/>
  <c r="M491" i="3"/>
  <c r="P491" i="3" s="1"/>
  <c r="L492" i="3"/>
  <c r="M492" i="3"/>
  <c r="P492" i="3" s="1"/>
  <c r="L493" i="3"/>
  <c r="M493" i="3"/>
  <c r="P493" i="3" s="1"/>
  <c r="L494" i="3"/>
  <c r="M494" i="3"/>
  <c r="P494" i="3" s="1"/>
  <c r="L495" i="3"/>
  <c r="M495" i="3"/>
  <c r="P495" i="3" s="1"/>
  <c r="L496" i="3"/>
  <c r="M496" i="3"/>
  <c r="P496" i="3" s="1"/>
  <c r="L497" i="3"/>
  <c r="M497" i="3"/>
  <c r="P497" i="3"/>
  <c r="L498" i="3"/>
  <c r="M498" i="3"/>
  <c r="P498" i="3" s="1"/>
  <c r="L499" i="3"/>
  <c r="M499" i="3"/>
  <c r="P499" i="3" s="1"/>
  <c r="L500" i="3"/>
  <c r="M500" i="3"/>
  <c r="P500" i="3" s="1"/>
  <c r="L501" i="3"/>
  <c r="M501" i="3"/>
  <c r="P501" i="3" s="1"/>
  <c r="L502" i="3"/>
  <c r="M502" i="3"/>
  <c r="P502" i="3" s="1"/>
  <c r="L503" i="3"/>
  <c r="M503" i="3"/>
  <c r="P503" i="3" s="1"/>
  <c r="L504" i="3"/>
  <c r="M504" i="3"/>
  <c r="P504" i="3" s="1"/>
  <c r="L505" i="3"/>
  <c r="M505" i="3"/>
  <c r="P505" i="3" s="1"/>
  <c r="L506" i="3"/>
  <c r="M506" i="3"/>
  <c r="P506" i="3" s="1"/>
  <c r="L507" i="3"/>
  <c r="M507" i="3"/>
  <c r="P507" i="3" s="1"/>
  <c r="L508" i="3"/>
  <c r="M508" i="3"/>
  <c r="P508" i="3" s="1"/>
  <c r="L509" i="3"/>
  <c r="M509" i="3"/>
  <c r="P509" i="3" s="1"/>
  <c r="L510" i="3"/>
  <c r="M510" i="3"/>
  <c r="P510" i="3" s="1"/>
  <c r="L511" i="3"/>
  <c r="M511" i="3"/>
  <c r="P511" i="3" s="1"/>
  <c r="L512" i="3"/>
  <c r="M512" i="3"/>
  <c r="P512" i="3" s="1"/>
  <c r="L513" i="3"/>
  <c r="M513" i="3"/>
  <c r="P513" i="3" s="1"/>
  <c r="L514" i="3"/>
  <c r="M514" i="3"/>
  <c r="P514" i="3" s="1"/>
  <c r="L515" i="3"/>
  <c r="M515" i="3"/>
  <c r="P515" i="3" s="1"/>
  <c r="L516" i="3"/>
  <c r="M516" i="3"/>
  <c r="P516" i="3"/>
  <c r="L517" i="3"/>
  <c r="M517" i="3"/>
  <c r="P517" i="3" s="1"/>
  <c r="L518" i="3"/>
  <c r="M518" i="3"/>
  <c r="P518" i="3" s="1"/>
  <c r="L519" i="3"/>
  <c r="M519" i="3"/>
  <c r="P519" i="3" s="1"/>
  <c r="L520" i="3"/>
  <c r="M520" i="3"/>
  <c r="P520" i="3" s="1"/>
  <c r="L521" i="3"/>
  <c r="M521" i="3"/>
  <c r="P521" i="3" s="1"/>
  <c r="L522" i="3"/>
  <c r="M522" i="3"/>
  <c r="P522" i="3" s="1"/>
  <c r="L523" i="3"/>
  <c r="M523" i="3"/>
  <c r="P523" i="3" s="1"/>
  <c r="L524" i="3"/>
  <c r="M524" i="3"/>
  <c r="P524" i="3" s="1"/>
  <c r="L525" i="3"/>
  <c r="M525" i="3"/>
  <c r="P525" i="3" s="1"/>
  <c r="L526" i="3"/>
  <c r="M526" i="3"/>
  <c r="P526" i="3" s="1"/>
  <c r="L527" i="3"/>
  <c r="M527" i="3"/>
  <c r="P527" i="3" s="1"/>
  <c r="L528" i="3"/>
  <c r="M528" i="3"/>
  <c r="P528" i="3" s="1"/>
  <c r="L529" i="3"/>
  <c r="M529" i="3"/>
  <c r="P529" i="3" s="1"/>
  <c r="L530" i="3"/>
  <c r="M530" i="3"/>
  <c r="P530" i="3" s="1"/>
  <c r="L531" i="3"/>
  <c r="M531" i="3"/>
  <c r="P531" i="3" s="1"/>
  <c r="L532" i="3"/>
  <c r="M532" i="3"/>
  <c r="P532" i="3" s="1"/>
  <c r="L533" i="3"/>
  <c r="M533" i="3"/>
  <c r="P533" i="3" s="1"/>
  <c r="L534" i="3"/>
  <c r="M534" i="3"/>
  <c r="P534" i="3" s="1"/>
  <c r="L535" i="3"/>
  <c r="M535" i="3"/>
  <c r="P535" i="3" s="1"/>
  <c r="L536" i="3"/>
  <c r="M536" i="3"/>
  <c r="P536" i="3"/>
  <c r="L537" i="3"/>
  <c r="M537" i="3"/>
  <c r="P537" i="3" s="1"/>
  <c r="L538" i="3"/>
  <c r="M538" i="3"/>
  <c r="P538" i="3" s="1"/>
  <c r="L539" i="3"/>
  <c r="M539" i="3"/>
  <c r="P539" i="3" s="1"/>
  <c r="L540" i="3"/>
  <c r="M540" i="3"/>
  <c r="P540" i="3" s="1"/>
  <c r="L541" i="3"/>
  <c r="M541" i="3"/>
  <c r="P541" i="3" s="1"/>
  <c r="L542" i="3"/>
  <c r="M542" i="3"/>
  <c r="P542" i="3" s="1"/>
  <c r="L543" i="3"/>
  <c r="M543" i="3"/>
  <c r="P543" i="3" s="1"/>
  <c r="L544" i="3"/>
  <c r="M544" i="3"/>
  <c r="P544" i="3" s="1"/>
  <c r="L545" i="3"/>
  <c r="M545" i="3"/>
  <c r="P545" i="3" s="1"/>
  <c r="L546" i="3"/>
  <c r="M546" i="3"/>
  <c r="P546" i="3" s="1"/>
  <c r="L547" i="3"/>
  <c r="M547" i="3"/>
  <c r="P547" i="3" s="1"/>
  <c r="L548" i="3"/>
  <c r="M548" i="3"/>
  <c r="P548" i="3" s="1"/>
  <c r="L549" i="3"/>
  <c r="M549" i="3"/>
  <c r="P549" i="3" s="1"/>
  <c r="L550" i="3"/>
  <c r="M550" i="3"/>
  <c r="P550" i="3" s="1"/>
  <c r="L551" i="3"/>
  <c r="M551" i="3"/>
  <c r="P551" i="3" s="1"/>
  <c r="L552" i="3"/>
  <c r="M552" i="3"/>
  <c r="P552" i="3" s="1"/>
  <c r="L553" i="3"/>
  <c r="M553" i="3"/>
  <c r="P553" i="3" s="1"/>
  <c r="L554" i="3"/>
  <c r="M554" i="3"/>
  <c r="P554" i="3" s="1"/>
  <c r="L555" i="3"/>
  <c r="M555" i="3"/>
  <c r="P555" i="3" s="1"/>
  <c r="L556" i="3"/>
  <c r="M556" i="3"/>
  <c r="P556" i="3" s="1"/>
  <c r="L557" i="3"/>
  <c r="M557" i="3"/>
  <c r="P557" i="3" s="1"/>
  <c r="L558" i="3"/>
  <c r="M558" i="3"/>
  <c r="P558" i="3" s="1"/>
  <c r="L559" i="3"/>
  <c r="M559" i="3"/>
  <c r="P559" i="3" s="1"/>
  <c r="L560" i="3"/>
  <c r="M560" i="3"/>
  <c r="P560" i="3" s="1"/>
  <c r="L561" i="3"/>
  <c r="M561" i="3"/>
  <c r="P561" i="3" s="1"/>
  <c r="L562" i="3"/>
  <c r="M562" i="3"/>
  <c r="P562" i="3" s="1"/>
  <c r="L563" i="3"/>
  <c r="M563" i="3"/>
  <c r="P563" i="3" s="1"/>
  <c r="L564" i="3"/>
  <c r="M564" i="3"/>
  <c r="P564" i="3" s="1"/>
  <c r="L565" i="3"/>
  <c r="M565" i="3"/>
  <c r="P565" i="3"/>
  <c r="L566" i="3"/>
  <c r="M566" i="3"/>
  <c r="P566" i="3" s="1"/>
  <c r="L567" i="3"/>
  <c r="M567" i="3"/>
  <c r="P567" i="3" s="1"/>
  <c r="L568" i="3"/>
  <c r="M568" i="3"/>
  <c r="P568" i="3" s="1"/>
  <c r="L569" i="3"/>
  <c r="M569" i="3"/>
  <c r="P569" i="3" s="1"/>
  <c r="L570" i="3"/>
  <c r="M570" i="3"/>
  <c r="P570" i="3" s="1"/>
  <c r="L571" i="3"/>
  <c r="M571" i="3"/>
  <c r="P571" i="3" s="1"/>
  <c r="L572" i="3"/>
  <c r="M572" i="3"/>
  <c r="P572" i="3" s="1"/>
  <c r="L573" i="3"/>
  <c r="M573" i="3"/>
  <c r="P573" i="3" s="1"/>
  <c r="L574" i="3"/>
  <c r="M574" i="3"/>
  <c r="P574" i="3" s="1"/>
  <c r="L575" i="3"/>
  <c r="M575" i="3"/>
  <c r="P575" i="3" s="1"/>
  <c r="L576" i="3"/>
  <c r="M576" i="3"/>
  <c r="P576" i="3" s="1"/>
  <c r="L577" i="3"/>
  <c r="M577" i="3"/>
  <c r="P577" i="3" s="1"/>
  <c r="L578" i="3"/>
  <c r="M578" i="3"/>
  <c r="P578" i="3" s="1"/>
  <c r="L579" i="3"/>
  <c r="M579" i="3"/>
  <c r="P579" i="3" s="1"/>
  <c r="L580" i="3"/>
  <c r="M580" i="3"/>
  <c r="P580" i="3" s="1"/>
  <c r="L581" i="3"/>
  <c r="M581" i="3"/>
  <c r="P581" i="3" s="1"/>
  <c r="L582" i="3"/>
  <c r="M582" i="3"/>
  <c r="P582" i="3" s="1"/>
  <c r="L583" i="3"/>
  <c r="M583" i="3"/>
  <c r="P583" i="3" s="1"/>
  <c r="L584" i="3"/>
  <c r="M584" i="3"/>
  <c r="P584" i="3" s="1"/>
  <c r="L585" i="3"/>
  <c r="M585" i="3"/>
  <c r="P585" i="3" s="1"/>
  <c r="L586" i="3"/>
  <c r="M586" i="3"/>
  <c r="P586" i="3" s="1"/>
  <c r="L587" i="3"/>
  <c r="M587" i="3"/>
  <c r="P587" i="3" s="1"/>
  <c r="L588" i="3"/>
  <c r="M588" i="3"/>
  <c r="P588" i="3"/>
  <c r="L589" i="3"/>
  <c r="M589" i="3"/>
  <c r="P589" i="3" s="1"/>
  <c r="L590" i="3"/>
  <c r="M590" i="3"/>
  <c r="P590" i="3" s="1"/>
  <c r="L591" i="3"/>
  <c r="M591" i="3"/>
  <c r="P591" i="3" s="1"/>
  <c r="L592" i="3"/>
  <c r="M592" i="3"/>
  <c r="P592" i="3" s="1"/>
  <c r="L593" i="3"/>
  <c r="M593" i="3"/>
  <c r="P593" i="3" s="1"/>
  <c r="L594" i="3"/>
  <c r="M594" i="3"/>
  <c r="P594" i="3" s="1"/>
  <c r="L595" i="3"/>
  <c r="M595" i="3"/>
  <c r="P595" i="3" s="1"/>
  <c r="L596" i="3"/>
  <c r="M596" i="3"/>
  <c r="P596" i="3" s="1"/>
  <c r="L597" i="3"/>
  <c r="M597" i="3"/>
  <c r="P597" i="3" s="1"/>
  <c r="L598" i="3"/>
  <c r="M598" i="3"/>
  <c r="P598" i="3" s="1"/>
  <c r="L599" i="3"/>
  <c r="M599" i="3"/>
  <c r="P599" i="3" s="1"/>
  <c r="L600" i="3"/>
  <c r="M600" i="3"/>
  <c r="P600" i="3" s="1"/>
  <c r="L601" i="3"/>
  <c r="M601" i="3"/>
  <c r="P601" i="3" s="1"/>
  <c r="L602" i="3"/>
  <c r="M602" i="3"/>
  <c r="P602" i="3" s="1"/>
  <c r="L603" i="3"/>
  <c r="M603" i="3"/>
  <c r="P603" i="3" s="1"/>
  <c r="L604" i="3"/>
  <c r="M604" i="3"/>
  <c r="P604" i="3" s="1"/>
  <c r="L605" i="3"/>
  <c r="M605" i="3"/>
  <c r="P605" i="3" s="1"/>
  <c r="L606" i="3"/>
  <c r="M606" i="3"/>
  <c r="P606" i="3" s="1"/>
  <c r="L607" i="3"/>
  <c r="M607" i="3"/>
  <c r="P607" i="3" s="1"/>
  <c r="L608" i="3"/>
  <c r="M608" i="3"/>
  <c r="P608" i="3"/>
  <c r="L609" i="3"/>
  <c r="M609" i="3"/>
  <c r="P609" i="3" s="1"/>
  <c r="L610" i="3"/>
  <c r="M610" i="3"/>
  <c r="P610" i="3" s="1"/>
  <c r="L611" i="3"/>
  <c r="M611" i="3"/>
  <c r="P611" i="3" s="1"/>
  <c r="L612" i="3"/>
  <c r="M612" i="3"/>
  <c r="P612" i="3" s="1"/>
  <c r="L613" i="3"/>
  <c r="M613" i="3"/>
  <c r="P613" i="3"/>
  <c r="L614" i="3"/>
  <c r="M614" i="3"/>
  <c r="P614" i="3" s="1"/>
  <c r="L615" i="3"/>
  <c r="M615" i="3"/>
  <c r="P615" i="3" s="1"/>
  <c r="L616" i="3"/>
  <c r="M616" i="3"/>
  <c r="P616" i="3" s="1"/>
  <c r="L617" i="3"/>
  <c r="M617" i="3"/>
  <c r="P617" i="3" s="1"/>
  <c r="L618" i="3"/>
  <c r="M618" i="3"/>
  <c r="P618" i="3" s="1"/>
  <c r="L619" i="3"/>
  <c r="M619" i="3"/>
  <c r="P619" i="3" s="1"/>
  <c r="L620" i="3"/>
  <c r="M620" i="3"/>
  <c r="P620" i="3" s="1"/>
  <c r="L621" i="3"/>
  <c r="M621" i="3"/>
  <c r="P621" i="3" s="1"/>
  <c r="L622" i="3"/>
  <c r="M622" i="3"/>
  <c r="P622" i="3" s="1"/>
  <c r="L623" i="3"/>
  <c r="M623" i="3"/>
  <c r="P623" i="3" s="1"/>
  <c r="L624" i="3"/>
  <c r="M624" i="3"/>
  <c r="P624" i="3" s="1"/>
  <c r="L625" i="3"/>
  <c r="M625" i="3"/>
  <c r="P625" i="3" s="1"/>
  <c r="L626" i="3"/>
  <c r="M626" i="3"/>
  <c r="P626" i="3" s="1"/>
  <c r="L627" i="3"/>
  <c r="M627" i="3"/>
  <c r="P627" i="3" s="1"/>
  <c r="L628" i="3"/>
  <c r="M628" i="3"/>
  <c r="P628" i="3" s="1"/>
  <c r="L629" i="3"/>
  <c r="M629" i="3"/>
  <c r="P629" i="3" s="1"/>
  <c r="L630" i="3"/>
  <c r="M630" i="3"/>
  <c r="P630" i="3" s="1"/>
  <c r="L631" i="3"/>
  <c r="M631" i="3"/>
  <c r="P631" i="3" s="1"/>
  <c r="L632" i="3"/>
  <c r="M632" i="3"/>
  <c r="P632" i="3" s="1"/>
  <c r="L633" i="3"/>
  <c r="M633" i="3"/>
  <c r="P633" i="3" s="1"/>
  <c r="L634" i="3"/>
  <c r="M634" i="3"/>
  <c r="P634" i="3" s="1"/>
  <c r="L635" i="3"/>
  <c r="M635" i="3"/>
  <c r="P635" i="3" s="1"/>
  <c r="L636" i="3"/>
  <c r="M636" i="3"/>
  <c r="P636" i="3" s="1"/>
  <c r="L637" i="3"/>
  <c r="M637" i="3"/>
  <c r="P637" i="3" s="1"/>
  <c r="L638" i="3"/>
  <c r="M638" i="3"/>
  <c r="P638" i="3" s="1"/>
  <c r="L639" i="3"/>
  <c r="M639" i="3"/>
  <c r="P639" i="3" s="1"/>
  <c r="L640" i="3"/>
  <c r="M640" i="3"/>
  <c r="P640" i="3" s="1"/>
  <c r="L641" i="3"/>
  <c r="M641" i="3"/>
  <c r="P641" i="3" s="1"/>
  <c r="L642" i="3"/>
  <c r="M642" i="3"/>
  <c r="P642" i="3" s="1"/>
  <c r="L643" i="3"/>
  <c r="M643" i="3"/>
  <c r="P643" i="3" s="1"/>
  <c r="L644" i="3"/>
  <c r="M644" i="3"/>
  <c r="P644" i="3" s="1"/>
  <c r="L645" i="3"/>
  <c r="M645" i="3"/>
  <c r="P645" i="3" s="1"/>
  <c r="L646" i="3"/>
  <c r="M646" i="3"/>
  <c r="P646" i="3" s="1"/>
  <c r="L647" i="3"/>
  <c r="M647" i="3"/>
  <c r="P647" i="3" s="1"/>
  <c r="L648" i="3"/>
  <c r="M648" i="3"/>
  <c r="P648" i="3" s="1"/>
  <c r="L649" i="3"/>
  <c r="M649" i="3"/>
  <c r="P649" i="3" s="1"/>
  <c r="L650" i="3"/>
  <c r="M650" i="3"/>
  <c r="P650" i="3" s="1"/>
  <c r="L651" i="3"/>
  <c r="M651" i="3"/>
  <c r="P651" i="3" s="1"/>
  <c r="L652" i="3"/>
  <c r="M652" i="3"/>
  <c r="P652" i="3" s="1"/>
  <c r="L653" i="3"/>
  <c r="M653" i="3"/>
  <c r="P653" i="3" s="1"/>
  <c r="L654" i="3"/>
  <c r="M654" i="3"/>
  <c r="P654" i="3" s="1"/>
  <c r="L655" i="3"/>
  <c r="M655" i="3"/>
  <c r="P655" i="3" s="1"/>
  <c r="L656" i="3"/>
  <c r="M656" i="3"/>
  <c r="P656" i="3" s="1"/>
  <c r="L657" i="3"/>
  <c r="M657" i="3"/>
  <c r="P657" i="3" s="1"/>
  <c r="L658" i="3"/>
  <c r="M658" i="3"/>
  <c r="P658" i="3" s="1"/>
  <c r="L659" i="3"/>
  <c r="M659" i="3"/>
  <c r="P659" i="3" s="1"/>
  <c r="L660" i="3"/>
  <c r="M660" i="3"/>
  <c r="P660" i="3"/>
  <c r="L661" i="3"/>
  <c r="M661" i="3"/>
  <c r="P661" i="3" s="1"/>
  <c r="L662" i="3"/>
  <c r="M662" i="3"/>
  <c r="P662" i="3" s="1"/>
  <c r="L663" i="3"/>
  <c r="M663" i="3"/>
  <c r="P663" i="3" s="1"/>
  <c r="L664" i="3"/>
  <c r="M664" i="3"/>
  <c r="P664" i="3" s="1"/>
  <c r="L665" i="3"/>
  <c r="M665" i="3"/>
  <c r="P665" i="3" s="1"/>
  <c r="L666" i="3"/>
  <c r="M666" i="3"/>
  <c r="P666" i="3" s="1"/>
  <c r="L667" i="3"/>
  <c r="M667" i="3"/>
  <c r="P667" i="3" s="1"/>
  <c r="L668" i="3"/>
  <c r="M668" i="3"/>
  <c r="P668" i="3" s="1"/>
  <c r="L669" i="3"/>
  <c r="M669" i="3"/>
  <c r="P669" i="3" s="1"/>
  <c r="L670" i="3"/>
  <c r="M670" i="3"/>
  <c r="P670" i="3" s="1"/>
  <c r="L671" i="3"/>
  <c r="M671" i="3"/>
  <c r="P671" i="3" s="1"/>
  <c r="L672" i="3"/>
  <c r="M672" i="3"/>
  <c r="P672" i="3" s="1"/>
  <c r="L673" i="3"/>
  <c r="M673" i="3"/>
  <c r="P673" i="3" s="1"/>
  <c r="L674" i="3"/>
  <c r="M674" i="3"/>
  <c r="P674" i="3" s="1"/>
  <c r="L675" i="3"/>
  <c r="M675" i="3"/>
  <c r="P675" i="3" s="1"/>
  <c r="L676" i="3"/>
  <c r="M676" i="3"/>
  <c r="P676" i="3"/>
  <c r="L677" i="3"/>
  <c r="M677" i="3"/>
  <c r="P677" i="3" s="1"/>
  <c r="L678" i="3"/>
  <c r="M678" i="3"/>
  <c r="P678" i="3" s="1"/>
  <c r="L679" i="3"/>
  <c r="M679" i="3"/>
  <c r="P679" i="3" s="1"/>
  <c r="L680" i="3"/>
  <c r="M680" i="3"/>
  <c r="P680" i="3"/>
  <c r="L681" i="3"/>
  <c r="M681" i="3"/>
  <c r="P681" i="3" s="1"/>
  <c r="L682" i="3"/>
  <c r="M682" i="3"/>
  <c r="P682" i="3" s="1"/>
  <c r="L683" i="3"/>
  <c r="M683" i="3"/>
  <c r="P683" i="3" s="1"/>
  <c r="L684" i="3"/>
  <c r="M684" i="3"/>
  <c r="P684" i="3" s="1"/>
  <c r="L685" i="3"/>
  <c r="M685" i="3"/>
  <c r="P685" i="3" s="1"/>
  <c r="L686" i="3"/>
  <c r="M686" i="3"/>
  <c r="P686" i="3" s="1"/>
  <c r="L687" i="3"/>
  <c r="M687" i="3"/>
  <c r="P687" i="3" s="1"/>
  <c r="L688" i="3"/>
  <c r="M688" i="3"/>
  <c r="P688" i="3" s="1"/>
  <c r="L689" i="3"/>
  <c r="M689" i="3"/>
  <c r="P689" i="3" s="1"/>
  <c r="L690" i="3"/>
  <c r="M690" i="3"/>
  <c r="P690" i="3" s="1"/>
  <c r="L691" i="3"/>
  <c r="M691" i="3"/>
  <c r="P691" i="3" s="1"/>
  <c r="L692" i="3"/>
  <c r="M692" i="3"/>
  <c r="P692" i="3"/>
  <c r="L693" i="3"/>
  <c r="M693" i="3"/>
  <c r="P693" i="3" s="1"/>
  <c r="L694" i="3"/>
  <c r="M694" i="3"/>
  <c r="P694" i="3" s="1"/>
  <c r="L695" i="3"/>
  <c r="M695" i="3"/>
  <c r="P695" i="3" s="1"/>
  <c r="L696" i="3"/>
  <c r="M696" i="3"/>
  <c r="P696" i="3" s="1"/>
  <c r="L697" i="3"/>
  <c r="M697" i="3"/>
  <c r="P697" i="3" s="1"/>
  <c r="L698" i="3"/>
  <c r="M698" i="3"/>
  <c r="P698" i="3" s="1"/>
  <c r="L699" i="3"/>
  <c r="M699" i="3"/>
  <c r="P699" i="3" s="1"/>
  <c r="L700" i="3"/>
  <c r="M700" i="3"/>
  <c r="P700" i="3" s="1"/>
  <c r="L701" i="3"/>
  <c r="M701" i="3"/>
  <c r="P701" i="3" s="1"/>
  <c r="L702" i="3"/>
  <c r="M702" i="3"/>
  <c r="P702" i="3" s="1"/>
  <c r="L703" i="3"/>
  <c r="M703" i="3"/>
  <c r="P703" i="3" s="1"/>
  <c r="L704" i="3"/>
  <c r="M704" i="3"/>
  <c r="P704" i="3" s="1"/>
  <c r="L705" i="3"/>
  <c r="M705" i="3"/>
  <c r="P705" i="3" s="1"/>
  <c r="L706" i="3"/>
  <c r="M706" i="3"/>
  <c r="P706" i="3" s="1"/>
  <c r="L707" i="3"/>
  <c r="M707" i="3"/>
  <c r="P707" i="3" s="1"/>
  <c r="L708" i="3"/>
  <c r="M708" i="3"/>
  <c r="P708" i="3" s="1"/>
  <c r="L709" i="3"/>
  <c r="M709" i="3"/>
  <c r="P709" i="3" s="1"/>
  <c r="L710" i="3"/>
  <c r="M710" i="3"/>
  <c r="P710" i="3" s="1"/>
  <c r="L711" i="3"/>
  <c r="M711" i="3"/>
  <c r="P711" i="3" s="1"/>
  <c r="L712" i="3"/>
  <c r="M712" i="3"/>
  <c r="P712" i="3"/>
  <c r="L713" i="3"/>
  <c r="M713" i="3"/>
  <c r="P713" i="3" s="1"/>
  <c r="L714" i="3"/>
  <c r="M714" i="3"/>
  <c r="P714" i="3" s="1"/>
  <c r="L715" i="3"/>
  <c r="M715" i="3"/>
  <c r="P715" i="3" s="1"/>
  <c r="L716" i="3"/>
  <c r="M716" i="3"/>
  <c r="P716" i="3" s="1"/>
  <c r="L717" i="3"/>
  <c r="M717" i="3"/>
  <c r="P717" i="3" s="1"/>
  <c r="L718" i="3"/>
  <c r="M718" i="3"/>
  <c r="P718" i="3" s="1"/>
  <c r="L719" i="3"/>
  <c r="M719" i="3"/>
  <c r="P719" i="3" s="1"/>
  <c r="L720" i="3"/>
  <c r="M720" i="3"/>
  <c r="P720" i="3" s="1"/>
  <c r="L721" i="3"/>
  <c r="M721" i="3"/>
  <c r="P721" i="3" s="1"/>
  <c r="L722" i="3"/>
  <c r="M722" i="3"/>
  <c r="P722" i="3" s="1"/>
  <c r="L723" i="3"/>
  <c r="M723" i="3"/>
  <c r="P723" i="3"/>
  <c r="L724" i="3"/>
  <c r="M724" i="3"/>
  <c r="P724" i="3" s="1"/>
  <c r="L725" i="3"/>
  <c r="M725" i="3"/>
  <c r="P725" i="3" s="1"/>
  <c r="L726" i="3"/>
  <c r="M726" i="3"/>
  <c r="P726" i="3" s="1"/>
  <c r="L727" i="3"/>
  <c r="M727" i="3"/>
  <c r="P727" i="3" s="1"/>
  <c r="L728" i="3"/>
  <c r="M728" i="3"/>
  <c r="P728" i="3" s="1"/>
  <c r="L729" i="3"/>
  <c r="M729" i="3"/>
  <c r="P729" i="3" s="1"/>
  <c r="L730" i="3"/>
  <c r="M730" i="3"/>
  <c r="P730" i="3" s="1"/>
  <c r="L731" i="3"/>
  <c r="M731" i="3"/>
  <c r="P731" i="3" s="1"/>
  <c r="L732" i="3"/>
  <c r="M732" i="3"/>
  <c r="P732" i="3" s="1"/>
  <c r="L733" i="3"/>
  <c r="M733" i="3"/>
  <c r="P733" i="3" s="1"/>
  <c r="L734" i="3"/>
  <c r="M734" i="3"/>
  <c r="P734" i="3" s="1"/>
  <c r="L735" i="3"/>
  <c r="M735" i="3"/>
  <c r="P735" i="3" s="1"/>
  <c r="L736" i="3"/>
  <c r="M736" i="3"/>
  <c r="P736" i="3" s="1"/>
  <c r="L737" i="3"/>
  <c r="M737" i="3"/>
  <c r="P737" i="3" s="1"/>
  <c r="L738" i="3"/>
  <c r="M738" i="3"/>
  <c r="P738" i="3" s="1"/>
  <c r="L739" i="3"/>
  <c r="M739" i="3"/>
  <c r="P739" i="3" s="1"/>
  <c r="L740" i="3"/>
  <c r="M740" i="3"/>
  <c r="P740" i="3" s="1"/>
  <c r="L741" i="3"/>
  <c r="M741" i="3"/>
  <c r="P741" i="3" s="1"/>
  <c r="L742" i="3"/>
  <c r="M742" i="3"/>
  <c r="P742" i="3" s="1"/>
  <c r="L743" i="3"/>
  <c r="M743" i="3"/>
  <c r="P743" i="3" s="1"/>
  <c r="L744" i="3"/>
  <c r="M744" i="3"/>
  <c r="P744" i="3" s="1"/>
  <c r="L745" i="3"/>
  <c r="M745" i="3"/>
  <c r="P745" i="3" s="1"/>
  <c r="L746" i="3"/>
  <c r="M746" i="3"/>
  <c r="P746" i="3"/>
  <c r="L747" i="3"/>
  <c r="M747" i="3"/>
  <c r="P747" i="3" s="1"/>
  <c r="L748" i="3"/>
  <c r="M748" i="3"/>
  <c r="P748" i="3" s="1"/>
  <c r="L749" i="3"/>
  <c r="M749" i="3"/>
  <c r="P749" i="3" s="1"/>
  <c r="L750" i="3"/>
  <c r="M750" i="3"/>
  <c r="P750" i="3" s="1"/>
  <c r="L751" i="3"/>
  <c r="M751" i="3"/>
  <c r="P751" i="3" s="1"/>
  <c r="L752" i="3"/>
  <c r="M752" i="3"/>
  <c r="P752" i="3" s="1"/>
  <c r="L753" i="3"/>
  <c r="M753" i="3"/>
  <c r="P753" i="3" s="1"/>
  <c r="L754" i="3"/>
  <c r="M754" i="3"/>
  <c r="P754" i="3" s="1"/>
  <c r="L755" i="3"/>
  <c r="M755" i="3"/>
  <c r="P755" i="3" s="1"/>
  <c r="L756" i="3"/>
  <c r="M756" i="3"/>
  <c r="P756" i="3" s="1"/>
  <c r="L757" i="3"/>
  <c r="M757" i="3"/>
  <c r="P757" i="3" s="1"/>
  <c r="L758" i="3"/>
  <c r="M758" i="3"/>
  <c r="P758" i="3" s="1"/>
  <c r="L759" i="3"/>
  <c r="M759" i="3"/>
  <c r="P759" i="3" s="1"/>
  <c r="L760" i="3"/>
  <c r="M760" i="3"/>
  <c r="P760" i="3" s="1"/>
  <c r="L761" i="3"/>
  <c r="M761" i="3"/>
  <c r="P761" i="3" s="1"/>
  <c r="L762" i="3"/>
  <c r="M762" i="3"/>
  <c r="P762" i="3" s="1"/>
  <c r="L763" i="3"/>
  <c r="M763" i="3"/>
  <c r="P763" i="3"/>
  <c r="L764" i="3"/>
  <c r="M764" i="3"/>
  <c r="P764" i="3" s="1"/>
  <c r="L765" i="3"/>
  <c r="M765" i="3"/>
  <c r="P765" i="3" s="1"/>
  <c r="L766" i="3"/>
  <c r="M766" i="3"/>
  <c r="P766" i="3" s="1"/>
  <c r="L767" i="3"/>
  <c r="M767" i="3"/>
  <c r="P767" i="3" s="1"/>
  <c r="L768" i="3"/>
  <c r="M768" i="3"/>
  <c r="P768" i="3" s="1"/>
  <c r="L769" i="3"/>
  <c r="M769" i="3"/>
  <c r="P769" i="3" s="1"/>
  <c r="L770" i="3"/>
  <c r="M770" i="3"/>
  <c r="P770" i="3" s="1"/>
  <c r="L771" i="3"/>
  <c r="M771" i="3"/>
  <c r="P771" i="3" s="1"/>
  <c r="L772" i="3"/>
  <c r="M772" i="3"/>
  <c r="P772" i="3" s="1"/>
  <c r="L773" i="3"/>
  <c r="M773" i="3"/>
  <c r="P773" i="3" s="1"/>
  <c r="L774" i="3"/>
  <c r="M774" i="3"/>
  <c r="P774" i="3" s="1"/>
  <c r="L775" i="3"/>
  <c r="M775" i="3"/>
  <c r="P775" i="3" s="1"/>
  <c r="L776" i="3"/>
  <c r="M776" i="3"/>
  <c r="P776" i="3" s="1"/>
  <c r="L777" i="3"/>
  <c r="M777" i="3"/>
  <c r="P777" i="3" s="1"/>
  <c r="L778" i="3"/>
  <c r="M778" i="3"/>
  <c r="P778" i="3" s="1"/>
  <c r="L779" i="3"/>
  <c r="M779" i="3"/>
  <c r="P779" i="3" s="1"/>
  <c r="L780" i="3"/>
  <c r="M780" i="3"/>
  <c r="P780" i="3"/>
  <c r="L781" i="3"/>
  <c r="M781" i="3"/>
  <c r="P781" i="3" s="1"/>
  <c r="L782" i="3"/>
  <c r="M782" i="3"/>
  <c r="P782" i="3" s="1"/>
  <c r="L783" i="3"/>
  <c r="M783" i="3"/>
  <c r="P783" i="3" s="1"/>
  <c r="L784" i="3"/>
  <c r="M784" i="3"/>
  <c r="P784" i="3" s="1"/>
  <c r="L785" i="3"/>
  <c r="M785" i="3"/>
  <c r="P785" i="3" s="1"/>
  <c r="L786" i="3"/>
  <c r="M786" i="3"/>
  <c r="P786" i="3" s="1"/>
  <c r="L787" i="3"/>
  <c r="M787" i="3"/>
  <c r="P787" i="3" s="1"/>
  <c r="L788" i="3"/>
  <c r="M788" i="3"/>
  <c r="P788" i="3" s="1"/>
  <c r="L789" i="3"/>
  <c r="M789" i="3"/>
  <c r="P789" i="3" s="1"/>
  <c r="L790" i="3"/>
  <c r="M790" i="3"/>
  <c r="P790" i="3" s="1"/>
  <c r="L791" i="3"/>
  <c r="M791" i="3"/>
  <c r="P791" i="3" s="1"/>
  <c r="L792" i="3"/>
  <c r="M792" i="3"/>
  <c r="P792" i="3" s="1"/>
  <c r="L793" i="3"/>
  <c r="M793" i="3"/>
  <c r="P793" i="3" s="1"/>
  <c r="L794" i="3"/>
  <c r="M794" i="3"/>
  <c r="P794" i="3" s="1"/>
  <c r="L795" i="3"/>
  <c r="M795" i="3"/>
  <c r="P795" i="3" s="1"/>
  <c r="L796" i="3"/>
  <c r="M796" i="3"/>
  <c r="P796" i="3" s="1"/>
  <c r="L797" i="3"/>
  <c r="M797" i="3"/>
  <c r="P797" i="3"/>
  <c r="L798" i="3"/>
  <c r="M798" i="3"/>
  <c r="P798" i="3" s="1"/>
  <c r="L799" i="3"/>
  <c r="M799" i="3"/>
  <c r="P799" i="3" s="1"/>
  <c r="L800" i="3"/>
  <c r="M800" i="3"/>
  <c r="P800" i="3" s="1"/>
  <c r="L801" i="3"/>
  <c r="M801" i="3"/>
  <c r="P801" i="3" s="1"/>
  <c r="L802" i="3"/>
  <c r="M802" i="3"/>
  <c r="P802" i="3" s="1"/>
  <c r="L803" i="3"/>
  <c r="M803" i="3"/>
  <c r="P803" i="3" s="1"/>
  <c r="L804" i="3"/>
  <c r="M804" i="3"/>
  <c r="P804" i="3"/>
  <c r="L805" i="3"/>
  <c r="M805" i="3"/>
  <c r="P805" i="3" s="1"/>
  <c r="L806" i="3"/>
  <c r="M806" i="3"/>
  <c r="P806" i="3" s="1"/>
  <c r="L807" i="3"/>
  <c r="M807" i="3"/>
  <c r="P807" i="3"/>
  <c r="L808" i="3"/>
  <c r="M808" i="3"/>
  <c r="P808" i="3" s="1"/>
  <c r="L809" i="3"/>
  <c r="M809" i="3"/>
  <c r="P809" i="3" s="1"/>
  <c r="L810" i="3"/>
  <c r="M810" i="3"/>
  <c r="P810" i="3" s="1"/>
  <c r="L811" i="3"/>
  <c r="M811" i="3"/>
  <c r="P811" i="3" s="1"/>
  <c r="L812" i="3"/>
  <c r="M812" i="3"/>
  <c r="P812" i="3" s="1"/>
  <c r="L813" i="3"/>
  <c r="M813" i="3"/>
  <c r="P813" i="3" s="1"/>
  <c r="L814" i="3"/>
  <c r="M814" i="3"/>
  <c r="P814" i="3" s="1"/>
  <c r="L815" i="3"/>
  <c r="M815" i="3"/>
  <c r="P815" i="3" s="1"/>
  <c r="L816" i="3"/>
  <c r="M816" i="3"/>
  <c r="P816" i="3" s="1"/>
  <c r="L817" i="3"/>
  <c r="M817" i="3"/>
  <c r="P817" i="3" s="1"/>
  <c r="L818" i="3"/>
  <c r="M818" i="3"/>
  <c r="P818" i="3" s="1"/>
  <c r="L819" i="3"/>
  <c r="M819" i="3"/>
  <c r="P819" i="3" s="1"/>
  <c r="L820" i="3"/>
  <c r="M820" i="3"/>
  <c r="P820" i="3" s="1"/>
  <c r="L821" i="3"/>
  <c r="M821" i="3"/>
  <c r="P821" i="3" s="1"/>
  <c r="L822" i="3"/>
  <c r="M822" i="3"/>
  <c r="P822" i="3" s="1"/>
  <c r="L823" i="3"/>
  <c r="M823" i="3"/>
  <c r="P823" i="3" s="1"/>
  <c r="L824" i="3"/>
  <c r="M824" i="3"/>
  <c r="P824" i="3" s="1"/>
  <c r="L825" i="3"/>
  <c r="M825" i="3"/>
  <c r="P825" i="3"/>
  <c r="L826" i="3"/>
  <c r="M826" i="3"/>
  <c r="P826" i="3" s="1"/>
  <c r="L827" i="3"/>
  <c r="M827" i="3"/>
  <c r="P827" i="3" s="1"/>
  <c r="L828" i="3"/>
  <c r="M828" i="3"/>
  <c r="P828" i="3" s="1"/>
  <c r="L829" i="3"/>
  <c r="M829" i="3"/>
  <c r="P829" i="3" s="1"/>
  <c r="L830" i="3"/>
  <c r="M830" i="3"/>
  <c r="P830" i="3" s="1"/>
  <c r="L831" i="3"/>
  <c r="M831" i="3"/>
  <c r="P831" i="3"/>
  <c r="L832" i="3"/>
  <c r="M832" i="3"/>
  <c r="P832" i="3" s="1"/>
  <c r="L833" i="3"/>
  <c r="M833" i="3"/>
  <c r="P833" i="3" s="1"/>
  <c r="L834" i="3"/>
  <c r="M834" i="3"/>
  <c r="P834" i="3" s="1"/>
  <c r="L835" i="3"/>
  <c r="M835" i="3"/>
  <c r="P835" i="3" s="1"/>
  <c r="L836" i="3"/>
  <c r="M836" i="3"/>
  <c r="P836" i="3"/>
  <c r="L837" i="3"/>
  <c r="M837" i="3"/>
  <c r="P837" i="3" s="1"/>
  <c r="L838" i="3"/>
  <c r="M838" i="3"/>
  <c r="P838" i="3" s="1"/>
  <c r="L839" i="3"/>
  <c r="M839" i="3"/>
  <c r="P839" i="3" s="1"/>
  <c r="L840" i="3"/>
  <c r="M840" i="3"/>
  <c r="P840" i="3" s="1"/>
  <c r="L841" i="3"/>
  <c r="M841" i="3"/>
  <c r="P841" i="3" s="1"/>
  <c r="L842" i="3"/>
  <c r="M842" i="3"/>
  <c r="P842" i="3" s="1"/>
  <c r="L843" i="3"/>
  <c r="M843" i="3"/>
  <c r="P843" i="3" s="1"/>
  <c r="L844" i="3"/>
  <c r="M844" i="3"/>
  <c r="P844" i="3" s="1"/>
  <c r="L845" i="3"/>
  <c r="M845" i="3"/>
  <c r="P845" i="3" s="1"/>
  <c r="L846" i="3"/>
  <c r="M846" i="3"/>
  <c r="P846" i="3" s="1"/>
  <c r="L847" i="3"/>
  <c r="M847" i="3"/>
  <c r="P847" i="3" s="1"/>
  <c r="L848" i="3"/>
  <c r="M848" i="3"/>
  <c r="P848" i="3" s="1"/>
  <c r="L849" i="3"/>
  <c r="M849" i="3"/>
  <c r="P849" i="3" s="1"/>
  <c r="L850" i="3"/>
  <c r="M850" i="3"/>
  <c r="P850" i="3" s="1"/>
  <c r="L851" i="3"/>
  <c r="M851" i="3"/>
  <c r="P851" i="3" s="1"/>
  <c r="L852" i="3"/>
  <c r="M852" i="3"/>
  <c r="P852" i="3" s="1"/>
  <c r="L853" i="3"/>
  <c r="M853" i="3"/>
  <c r="P853" i="3" s="1"/>
  <c r="L854" i="3"/>
  <c r="M854" i="3"/>
  <c r="P854" i="3" s="1"/>
  <c r="L855" i="3"/>
  <c r="M855" i="3"/>
  <c r="P855" i="3" s="1"/>
  <c r="L856" i="3"/>
  <c r="M856" i="3"/>
  <c r="P856" i="3"/>
  <c r="L857" i="3"/>
  <c r="M857" i="3"/>
  <c r="P857" i="3" s="1"/>
  <c r="L858" i="3"/>
  <c r="M858" i="3"/>
  <c r="P858" i="3" s="1"/>
  <c r="L859" i="3"/>
  <c r="M859" i="3"/>
  <c r="P859" i="3" s="1"/>
  <c r="L860" i="3"/>
  <c r="M860" i="3"/>
  <c r="P860" i="3" s="1"/>
  <c r="L861" i="3"/>
  <c r="M861" i="3"/>
  <c r="P861" i="3" s="1"/>
  <c r="L862" i="3"/>
  <c r="M862" i="3"/>
  <c r="P862" i="3" s="1"/>
  <c r="L863" i="3"/>
  <c r="M863" i="3"/>
  <c r="P863" i="3" s="1"/>
  <c r="L864" i="3"/>
  <c r="M864" i="3"/>
  <c r="P864" i="3" s="1"/>
  <c r="L865" i="3"/>
  <c r="M865" i="3"/>
  <c r="P865" i="3" s="1"/>
  <c r="L866" i="3"/>
  <c r="M866" i="3"/>
  <c r="P866" i="3" s="1"/>
  <c r="L867" i="3"/>
  <c r="M867" i="3"/>
  <c r="P867" i="3" s="1"/>
  <c r="L868" i="3"/>
  <c r="M868" i="3"/>
  <c r="P868" i="3" s="1"/>
  <c r="L869" i="3"/>
  <c r="M869" i="3"/>
  <c r="P869" i="3"/>
  <c r="L870" i="3"/>
  <c r="M870" i="3"/>
  <c r="P870" i="3" s="1"/>
  <c r="L871" i="3"/>
  <c r="M871" i="3"/>
  <c r="P871" i="3" s="1"/>
  <c r="L872" i="3"/>
  <c r="M872" i="3"/>
  <c r="P872" i="3" s="1"/>
  <c r="L873" i="3"/>
  <c r="M873" i="3"/>
  <c r="P873" i="3" s="1"/>
  <c r="L874" i="3"/>
  <c r="M874" i="3"/>
  <c r="P874" i="3" s="1"/>
  <c r="L875" i="3"/>
  <c r="M875" i="3"/>
  <c r="P875" i="3" s="1"/>
  <c r="L876" i="3"/>
  <c r="M876" i="3"/>
  <c r="P876" i="3" s="1"/>
  <c r="L877" i="3"/>
  <c r="M877" i="3"/>
  <c r="P877" i="3" s="1"/>
  <c r="L878" i="3"/>
  <c r="M878" i="3"/>
  <c r="P878" i="3" s="1"/>
  <c r="L879" i="3"/>
  <c r="M879" i="3"/>
  <c r="P879" i="3" s="1"/>
  <c r="L880" i="3"/>
  <c r="M880" i="3"/>
  <c r="P880" i="3" s="1"/>
  <c r="L881" i="3"/>
  <c r="M881" i="3"/>
  <c r="P881" i="3" s="1"/>
  <c r="L882" i="3"/>
  <c r="M882" i="3"/>
  <c r="P882" i="3" s="1"/>
  <c r="L883" i="3"/>
  <c r="M883" i="3"/>
  <c r="P883" i="3"/>
  <c r="L884" i="3"/>
  <c r="M884" i="3"/>
  <c r="P884" i="3"/>
  <c r="L885" i="3"/>
  <c r="M885" i="3"/>
  <c r="P885" i="3" s="1"/>
  <c r="L886" i="3"/>
  <c r="M886" i="3"/>
  <c r="P886" i="3" s="1"/>
  <c r="L887" i="3"/>
  <c r="M887" i="3"/>
  <c r="P887" i="3" s="1"/>
  <c r="L888" i="3"/>
  <c r="M888" i="3"/>
  <c r="P888" i="3" s="1"/>
  <c r="L889" i="3"/>
  <c r="M889" i="3"/>
  <c r="P889" i="3" s="1"/>
  <c r="L890" i="3"/>
  <c r="M890" i="3"/>
  <c r="P890" i="3" s="1"/>
  <c r="L891" i="3"/>
  <c r="M891" i="3"/>
  <c r="P891" i="3" s="1"/>
  <c r="L892" i="3"/>
  <c r="M892" i="3"/>
  <c r="P892" i="3" s="1"/>
  <c r="L893" i="3"/>
  <c r="M893" i="3"/>
  <c r="P893" i="3" s="1"/>
  <c r="L894" i="3"/>
  <c r="M894" i="3"/>
  <c r="P894" i="3" s="1"/>
  <c r="L895" i="3"/>
  <c r="M895" i="3"/>
  <c r="P895" i="3" s="1"/>
  <c r="L896" i="3"/>
  <c r="M896" i="3"/>
  <c r="P896" i="3" s="1"/>
  <c r="L897" i="3"/>
  <c r="M897" i="3"/>
  <c r="P897" i="3" s="1"/>
  <c r="L898" i="3"/>
  <c r="M898" i="3"/>
  <c r="P898" i="3" s="1"/>
  <c r="L899" i="3"/>
  <c r="M899" i="3"/>
  <c r="P899" i="3" s="1"/>
  <c r="L900" i="3"/>
  <c r="M900" i="3"/>
  <c r="P900" i="3" s="1"/>
  <c r="L901" i="3"/>
  <c r="M901" i="3"/>
  <c r="P901" i="3" s="1"/>
  <c r="L902" i="3"/>
  <c r="M902" i="3"/>
  <c r="P902" i="3" s="1"/>
  <c r="L903" i="3"/>
  <c r="M903" i="3"/>
  <c r="P903" i="3" s="1"/>
  <c r="L904" i="3"/>
  <c r="M904" i="3"/>
  <c r="P904" i="3"/>
  <c r="L905" i="3"/>
  <c r="M905" i="3"/>
  <c r="P905" i="3" s="1"/>
  <c r="L906" i="3"/>
  <c r="M906" i="3"/>
  <c r="P906" i="3" s="1"/>
  <c r="L907" i="3"/>
  <c r="M907" i="3"/>
  <c r="P907" i="3" s="1"/>
  <c r="L908" i="3"/>
  <c r="M908" i="3"/>
  <c r="P908" i="3" s="1"/>
  <c r="L909" i="3"/>
  <c r="M909" i="3"/>
  <c r="P909" i="3" s="1"/>
  <c r="L910" i="3"/>
  <c r="M910" i="3"/>
  <c r="P910" i="3" s="1"/>
  <c r="L911" i="3"/>
  <c r="M911" i="3"/>
  <c r="P911" i="3" s="1"/>
  <c r="L912" i="3"/>
  <c r="M912" i="3"/>
  <c r="P912" i="3" s="1"/>
  <c r="L913" i="3"/>
  <c r="M913" i="3"/>
  <c r="P913" i="3" s="1"/>
  <c r="L914" i="3"/>
  <c r="M914" i="3"/>
  <c r="P914" i="3" s="1"/>
  <c r="L915" i="3"/>
  <c r="M915" i="3"/>
  <c r="P915" i="3" s="1"/>
  <c r="L916" i="3"/>
  <c r="M916" i="3"/>
  <c r="P916" i="3"/>
  <c r="L917" i="3"/>
  <c r="M917" i="3"/>
  <c r="P917" i="3" s="1"/>
  <c r="L918" i="3"/>
  <c r="M918" i="3"/>
  <c r="P918" i="3" s="1"/>
  <c r="L919" i="3"/>
  <c r="M919" i="3"/>
  <c r="P919" i="3"/>
  <c r="L920" i="3"/>
  <c r="M920" i="3"/>
  <c r="P920" i="3" s="1"/>
  <c r="L921" i="3"/>
  <c r="M921" i="3"/>
  <c r="P921" i="3" s="1"/>
  <c r="L922" i="3"/>
  <c r="M922" i="3"/>
  <c r="P922" i="3" s="1"/>
  <c r="L923" i="3"/>
  <c r="M923" i="3"/>
  <c r="P923" i="3" s="1"/>
  <c r="L924" i="3"/>
  <c r="M924" i="3"/>
  <c r="P924" i="3" s="1"/>
  <c r="L925" i="3"/>
  <c r="M925" i="3"/>
  <c r="P925" i="3" s="1"/>
  <c r="L926" i="3"/>
  <c r="M926" i="3"/>
  <c r="P926" i="3" s="1"/>
  <c r="L927" i="3"/>
  <c r="M927" i="3"/>
  <c r="P927" i="3" s="1"/>
  <c r="L928" i="3"/>
  <c r="M928" i="3"/>
  <c r="P928" i="3" s="1"/>
  <c r="L929" i="3"/>
  <c r="M929" i="3"/>
  <c r="P929" i="3" s="1"/>
  <c r="L930" i="3"/>
  <c r="M930" i="3"/>
  <c r="P930" i="3" s="1"/>
  <c r="L931" i="3"/>
  <c r="M931" i="3"/>
  <c r="P931" i="3" s="1"/>
  <c r="L932" i="3"/>
  <c r="M932" i="3"/>
  <c r="P932" i="3" s="1"/>
  <c r="L933" i="3"/>
  <c r="M933" i="3"/>
  <c r="P933" i="3"/>
  <c r="L934" i="3"/>
  <c r="M934" i="3"/>
  <c r="P934" i="3" s="1"/>
  <c r="L935" i="3"/>
  <c r="M935" i="3"/>
  <c r="P935" i="3" s="1"/>
  <c r="L936" i="3"/>
  <c r="M936" i="3"/>
  <c r="P936" i="3" s="1"/>
  <c r="L937" i="3"/>
  <c r="M937" i="3"/>
  <c r="P937" i="3" s="1"/>
  <c r="L938" i="3"/>
  <c r="M938" i="3"/>
  <c r="P938" i="3" s="1"/>
  <c r="L939" i="3"/>
  <c r="M939" i="3"/>
  <c r="P939" i="3"/>
  <c r="L940" i="3"/>
  <c r="M940" i="3"/>
  <c r="P940" i="3" s="1"/>
  <c r="L941" i="3"/>
  <c r="M941" i="3"/>
  <c r="P941" i="3" s="1"/>
  <c r="L942" i="3"/>
  <c r="M942" i="3"/>
  <c r="P942" i="3" s="1"/>
  <c r="L943" i="3"/>
  <c r="M943" i="3"/>
  <c r="P943" i="3" s="1"/>
  <c r="L944" i="3"/>
  <c r="M944" i="3"/>
  <c r="P944" i="3"/>
  <c r="L945" i="3"/>
  <c r="M945" i="3"/>
  <c r="P945" i="3"/>
  <c r="L946" i="3"/>
  <c r="M946" i="3"/>
  <c r="P946" i="3" s="1"/>
  <c r="L947" i="3"/>
  <c r="M947" i="3"/>
  <c r="P947" i="3" s="1"/>
  <c r="L948" i="3"/>
  <c r="M948" i="3"/>
  <c r="P948" i="3" s="1"/>
  <c r="L949" i="3"/>
  <c r="M949" i="3"/>
  <c r="P949" i="3" s="1"/>
  <c r="L950" i="3"/>
  <c r="M950" i="3"/>
  <c r="P950" i="3" s="1"/>
  <c r="L951" i="3"/>
  <c r="M951" i="3"/>
  <c r="P951" i="3" s="1"/>
  <c r="L952" i="3"/>
  <c r="M952" i="3"/>
  <c r="P952" i="3" s="1"/>
  <c r="L953" i="3"/>
  <c r="M953" i="3"/>
  <c r="P953" i="3" s="1"/>
  <c r="L954" i="3"/>
  <c r="M954" i="3"/>
  <c r="P954" i="3" s="1"/>
  <c r="L955" i="3"/>
  <c r="M955" i="3"/>
  <c r="P955" i="3"/>
  <c r="L956" i="3"/>
  <c r="M956" i="3"/>
  <c r="P956" i="3" s="1"/>
  <c r="L957" i="3"/>
  <c r="M957" i="3"/>
  <c r="P957" i="3" s="1"/>
  <c r="L958" i="3"/>
  <c r="M958" i="3"/>
  <c r="P958" i="3" s="1"/>
  <c r="L959" i="3"/>
  <c r="M959" i="3"/>
  <c r="P959" i="3" s="1"/>
  <c r="L960" i="3"/>
  <c r="M960" i="3"/>
  <c r="P960" i="3" s="1"/>
  <c r="L961" i="3"/>
  <c r="M961" i="3"/>
  <c r="P961" i="3" s="1"/>
  <c r="L962" i="3"/>
  <c r="M962" i="3"/>
  <c r="P962" i="3" s="1"/>
  <c r="L963" i="3"/>
  <c r="M963" i="3"/>
  <c r="P963" i="3" s="1"/>
  <c r="L964" i="3"/>
  <c r="M964" i="3"/>
  <c r="P964" i="3" s="1"/>
  <c r="L965" i="3"/>
  <c r="M965" i="3"/>
  <c r="P965" i="3" s="1"/>
  <c r="L966" i="3"/>
  <c r="M966" i="3"/>
  <c r="P966" i="3" s="1"/>
  <c r="L967" i="3"/>
  <c r="M967" i="3"/>
  <c r="P967" i="3" s="1"/>
  <c r="L968" i="3"/>
  <c r="M968" i="3"/>
  <c r="P968" i="3"/>
  <c r="L969" i="3"/>
  <c r="M969" i="3"/>
  <c r="P969" i="3" s="1"/>
  <c r="L970" i="3"/>
  <c r="M970" i="3"/>
  <c r="P970" i="3" s="1"/>
  <c r="L971" i="3"/>
  <c r="M971" i="3"/>
  <c r="P971" i="3"/>
  <c r="L972" i="3"/>
  <c r="M972" i="3"/>
  <c r="P972" i="3" s="1"/>
  <c r="L973" i="3"/>
  <c r="M973" i="3"/>
  <c r="P973" i="3"/>
  <c r="L974" i="3"/>
  <c r="M974" i="3"/>
  <c r="P974" i="3" s="1"/>
  <c r="L975" i="3"/>
  <c r="M975" i="3"/>
  <c r="P975" i="3" s="1"/>
  <c r="L976" i="3"/>
  <c r="M976" i="3"/>
  <c r="P976" i="3"/>
  <c r="L977" i="3"/>
  <c r="M977" i="3"/>
  <c r="P977" i="3"/>
  <c r="L978" i="3"/>
  <c r="M978" i="3"/>
  <c r="P978" i="3" s="1"/>
  <c r="L979" i="3"/>
  <c r="M979" i="3"/>
  <c r="P979" i="3" s="1"/>
  <c r="L980" i="3"/>
  <c r="M980" i="3"/>
  <c r="P980" i="3" s="1"/>
  <c r="L981" i="3"/>
  <c r="M981" i="3"/>
  <c r="P981" i="3" s="1"/>
  <c r="L982" i="3"/>
  <c r="M982" i="3"/>
  <c r="P982" i="3" s="1"/>
  <c r="L983" i="3"/>
  <c r="M983" i="3"/>
  <c r="P983" i="3"/>
  <c r="L984" i="3"/>
  <c r="M984" i="3"/>
  <c r="P984" i="3"/>
  <c r="L985" i="3"/>
  <c r="M985" i="3"/>
  <c r="P985" i="3" s="1"/>
  <c r="L986" i="3"/>
  <c r="M986" i="3"/>
  <c r="P986" i="3" s="1"/>
  <c r="L987" i="3"/>
  <c r="M987" i="3"/>
  <c r="P987" i="3" s="1"/>
  <c r="L988" i="3"/>
  <c r="M988" i="3"/>
  <c r="P988" i="3" s="1"/>
  <c r="L989" i="3"/>
  <c r="M989" i="3"/>
  <c r="P989" i="3" s="1"/>
  <c r="L990" i="3"/>
  <c r="M990" i="3"/>
  <c r="P990" i="3" s="1"/>
  <c r="L991" i="3"/>
  <c r="M991" i="3"/>
  <c r="P991" i="3" s="1"/>
  <c r="L992" i="3"/>
  <c r="M992" i="3"/>
  <c r="P992" i="3" s="1"/>
  <c r="L993" i="3"/>
  <c r="M993" i="3"/>
  <c r="P993" i="3" s="1"/>
  <c r="L994" i="3"/>
  <c r="M994" i="3"/>
  <c r="P994" i="3" s="1"/>
  <c r="L995" i="3"/>
  <c r="M995" i="3"/>
  <c r="P995" i="3" s="1"/>
  <c r="L996" i="3"/>
  <c r="M996" i="3"/>
  <c r="P996" i="3" s="1"/>
  <c r="L997" i="3"/>
  <c r="M997" i="3"/>
  <c r="P997" i="3" s="1"/>
  <c r="L998" i="3"/>
  <c r="M998" i="3"/>
  <c r="P998" i="3" s="1"/>
  <c r="L999" i="3"/>
  <c r="M999" i="3"/>
  <c r="P999" i="3" s="1"/>
  <c r="L1000" i="3"/>
  <c r="M1000" i="3"/>
  <c r="P1000" i="3"/>
  <c r="L1001" i="3"/>
  <c r="M1001" i="3"/>
  <c r="P1001" i="3" s="1"/>
  <c r="L1002" i="3"/>
  <c r="M1002" i="3"/>
  <c r="P1002" i="3" s="1"/>
  <c r="L1003" i="3"/>
  <c r="M1003" i="3"/>
  <c r="P1003" i="3" s="1"/>
  <c r="L1004" i="3"/>
  <c r="M1004" i="3"/>
  <c r="P1004" i="3" s="1"/>
  <c r="M42" i="3"/>
  <c r="P42" i="3" s="1"/>
  <c r="G3" i="3"/>
  <c r="D38" i="3" s="1"/>
  <c r="D42" i="3"/>
  <c r="B28" i="3"/>
  <c r="D28" i="3" s="1"/>
  <c r="B29" i="3"/>
  <c r="B30" i="3"/>
  <c r="B31" i="3"/>
  <c r="B32" i="3"/>
  <c r="B33" i="3"/>
  <c r="B27" i="3"/>
  <c r="A33" i="3"/>
  <c r="A28" i="3"/>
  <c r="A29" i="3"/>
  <c r="A30" i="3"/>
  <c r="A31" i="3"/>
  <c r="A32" i="3"/>
  <c r="A27" i="3"/>
  <c r="C22" i="3"/>
  <c r="C19" i="3"/>
  <c r="B19" i="3"/>
  <c r="C20" i="3"/>
  <c r="B20" i="3"/>
  <c r="C21" i="3"/>
  <c r="B21" i="3"/>
  <c r="B22" i="3"/>
  <c r="B10" i="3"/>
  <c r="B11" i="3"/>
  <c r="B12" i="3"/>
  <c r="B13" i="3"/>
  <c r="B14" i="3"/>
  <c r="B15" i="3"/>
  <c r="B16" i="3"/>
  <c r="B17" i="3"/>
  <c r="B18" i="3"/>
  <c r="C11" i="3"/>
  <c r="C12" i="3"/>
  <c r="C13" i="3"/>
  <c r="C14" i="3"/>
  <c r="C15" i="3"/>
  <c r="C16" i="3"/>
  <c r="C17" i="3"/>
  <c r="C18" i="3"/>
  <c r="C10" i="3"/>
  <c r="L96" i="3"/>
  <c r="M96" i="3"/>
  <c r="P96" i="3" s="1"/>
  <c r="L97" i="3"/>
  <c r="M97" i="3"/>
  <c r="P97" i="3" s="1"/>
  <c r="L98" i="3"/>
  <c r="M98" i="3"/>
  <c r="P98" i="3" s="1"/>
  <c r="L99" i="3"/>
  <c r="M99" i="3"/>
  <c r="P99" i="3" s="1"/>
  <c r="L100" i="3"/>
  <c r="M100" i="3"/>
  <c r="P100" i="3" s="1"/>
  <c r="L101" i="3"/>
  <c r="M101" i="3"/>
  <c r="P101" i="3" s="1"/>
  <c r="L102" i="3"/>
  <c r="M102" i="3"/>
  <c r="P102" i="3" s="1"/>
  <c r="L103" i="3"/>
  <c r="M103" i="3"/>
  <c r="P103" i="3" s="1"/>
  <c r="L104" i="3"/>
  <c r="M104" i="3"/>
  <c r="P104" i="3" s="1"/>
  <c r="L79" i="3"/>
  <c r="M79" i="3"/>
  <c r="P79" i="3" s="1"/>
  <c r="L80" i="3"/>
  <c r="M80" i="3"/>
  <c r="P80" i="3" s="1"/>
  <c r="L81" i="3"/>
  <c r="M81" i="3"/>
  <c r="P81" i="3" s="1"/>
  <c r="L82" i="3"/>
  <c r="M82" i="3"/>
  <c r="P82" i="3" s="1"/>
  <c r="L83" i="3"/>
  <c r="M83" i="3"/>
  <c r="P83" i="3" s="1"/>
  <c r="L84" i="3"/>
  <c r="M84" i="3"/>
  <c r="P84" i="3" s="1"/>
  <c r="L85" i="3"/>
  <c r="M85" i="3"/>
  <c r="P85" i="3" s="1"/>
  <c r="L86" i="3"/>
  <c r="M86" i="3"/>
  <c r="P86" i="3" s="1"/>
  <c r="L87" i="3"/>
  <c r="M87" i="3"/>
  <c r="P87" i="3" s="1"/>
  <c r="L88" i="3"/>
  <c r="M88" i="3"/>
  <c r="P88" i="3" s="1"/>
  <c r="L89" i="3"/>
  <c r="M89" i="3"/>
  <c r="P89" i="3" s="1"/>
  <c r="L90" i="3"/>
  <c r="M90" i="3"/>
  <c r="P90" i="3" s="1"/>
  <c r="L91" i="3"/>
  <c r="M91" i="3"/>
  <c r="P91" i="3" s="1"/>
  <c r="L92" i="3"/>
  <c r="M92" i="3"/>
  <c r="P92" i="3" s="1"/>
  <c r="L93" i="3"/>
  <c r="M93" i="3"/>
  <c r="P93" i="3" s="1"/>
  <c r="L94" i="3"/>
  <c r="M94" i="3"/>
  <c r="P94" i="3" s="1"/>
  <c r="L95" i="3"/>
  <c r="M95" i="3"/>
  <c r="P95" i="3" s="1"/>
  <c r="L5" i="3"/>
  <c r="M5" i="3"/>
  <c r="P5" i="3" s="1"/>
  <c r="L6" i="3"/>
  <c r="M6" i="3"/>
  <c r="P6" i="3" s="1"/>
  <c r="L7" i="3"/>
  <c r="M7" i="3"/>
  <c r="P7" i="3" s="1"/>
  <c r="L9" i="3"/>
  <c r="M9" i="3"/>
  <c r="P9" i="3" s="1"/>
  <c r="L10" i="3"/>
  <c r="M10" i="3"/>
  <c r="P10" i="3" s="1"/>
  <c r="L11" i="3"/>
  <c r="M11" i="3"/>
  <c r="P11" i="3" s="1"/>
  <c r="L12" i="3"/>
  <c r="M12" i="3"/>
  <c r="P12" i="3" s="1"/>
  <c r="L13" i="3"/>
  <c r="M13" i="3"/>
  <c r="P13" i="3" s="1"/>
  <c r="L14" i="3"/>
  <c r="M14" i="3"/>
  <c r="P14" i="3" s="1"/>
  <c r="L15" i="3"/>
  <c r="M15" i="3"/>
  <c r="P15" i="3" s="1"/>
  <c r="L16" i="3"/>
  <c r="M16" i="3"/>
  <c r="P16" i="3" s="1"/>
  <c r="L17" i="3"/>
  <c r="M17" i="3"/>
  <c r="P17" i="3" s="1"/>
  <c r="L18" i="3"/>
  <c r="M18" i="3"/>
  <c r="P18" i="3" s="1"/>
  <c r="L19" i="3"/>
  <c r="M19" i="3"/>
  <c r="P19" i="3" s="1"/>
  <c r="L20" i="3"/>
  <c r="M20" i="3"/>
  <c r="P20" i="3" s="1"/>
  <c r="L21" i="3"/>
  <c r="M21" i="3"/>
  <c r="P21" i="3" s="1"/>
  <c r="L22" i="3"/>
  <c r="M22" i="3"/>
  <c r="P22" i="3" s="1"/>
  <c r="L23" i="3"/>
  <c r="M23" i="3"/>
  <c r="P23" i="3" s="1"/>
  <c r="L24" i="3"/>
  <c r="M24" i="3"/>
  <c r="P24" i="3" s="1"/>
  <c r="L25" i="3"/>
  <c r="M25" i="3"/>
  <c r="P25" i="3" s="1"/>
  <c r="L26" i="3"/>
  <c r="M26" i="3"/>
  <c r="P26" i="3" s="1"/>
  <c r="L27" i="3"/>
  <c r="M27" i="3"/>
  <c r="P27" i="3" s="1"/>
  <c r="L28" i="3"/>
  <c r="M28" i="3"/>
  <c r="P28" i="3" s="1"/>
  <c r="L29" i="3"/>
  <c r="M29" i="3"/>
  <c r="P29" i="3" s="1"/>
  <c r="L30" i="3"/>
  <c r="M30" i="3"/>
  <c r="P30" i="3" s="1"/>
  <c r="L31" i="3"/>
  <c r="M31" i="3"/>
  <c r="P31" i="3" s="1"/>
  <c r="L32" i="3"/>
  <c r="M32" i="3"/>
  <c r="P32" i="3" s="1"/>
  <c r="L33" i="3"/>
  <c r="M33" i="3"/>
  <c r="P33" i="3" s="1"/>
  <c r="L34" i="3"/>
  <c r="M34" i="3"/>
  <c r="P34" i="3" s="1"/>
  <c r="L35" i="3"/>
  <c r="M35" i="3"/>
  <c r="P35" i="3" s="1"/>
  <c r="L36" i="3"/>
  <c r="M36" i="3"/>
  <c r="P36" i="3" s="1"/>
  <c r="L37" i="3"/>
  <c r="M37" i="3"/>
  <c r="P37" i="3" s="1"/>
  <c r="L38" i="3"/>
  <c r="M38" i="3"/>
  <c r="P38" i="3" s="1"/>
  <c r="L39" i="3"/>
  <c r="M39" i="3"/>
  <c r="P39" i="3" s="1"/>
  <c r="L40" i="3"/>
  <c r="M40" i="3"/>
  <c r="P40" i="3" s="1"/>
  <c r="L41" i="3"/>
  <c r="M41" i="3"/>
  <c r="P41" i="3" s="1"/>
  <c r="L42" i="3"/>
  <c r="L43" i="3"/>
  <c r="M43" i="3"/>
  <c r="P43" i="3" s="1"/>
  <c r="L44" i="3"/>
  <c r="M44" i="3"/>
  <c r="P44" i="3" s="1"/>
  <c r="L45" i="3"/>
  <c r="M45" i="3"/>
  <c r="P45" i="3" s="1"/>
  <c r="L46" i="3"/>
  <c r="M46" i="3"/>
  <c r="P46" i="3" s="1"/>
  <c r="L47" i="3"/>
  <c r="M47" i="3"/>
  <c r="P47" i="3" s="1"/>
  <c r="L48" i="3"/>
  <c r="M48" i="3"/>
  <c r="P48" i="3" s="1"/>
  <c r="L49" i="3"/>
  <c r="M49" i="3"/>
  <c r="P49" i="3" s="1"/>
  <c r="L50" i="3"/>
  <c r="M50" i="3"/>
  <c r="P50" i="3" s="1"/>
  <c r="L51" i="3"/>
  <c r="M51" i="3"/>
  <c r="P51" i="3" s="1"/>
  <c r="L52" i="3"/>
  <c r="M52" i="3"/>
  <c r="P52" i="3" s="1"/>
  <c r="L53" i="3"/>
  <c r="M53" i="3"/>
  <c r="P53" i="3" s="1"/>
  <c r="L54" i="3"/>
  <c r="M54" i="3"/>
  <c r="P54" i="3" s="1"/>
  <c r="L55" i="3"/>
  <c r="M55" i="3"/>
  <c r="P55" i="3" s="1"/>
  <c r="L56" i="3"/>
  <c r="M56" i="3"/>
  <c r="P56" i="3" s="1"/>
  <c r="L57" i="3"/>
  <c r="M57" i="3"/>
  <c r="P57" i="3" s="1"/>
  <c r="L58" i="3"/>
  <c r="M58" i="3"/>
  <c r="P58" i="3" s="1"/>
  <c r="L59" i="3"/>
  <c r="M59" i="3"/>
  <c r="P59" i="3" s="1"/>
  <c r="L60" i="3"/>
  <c r="M60" i="3"/>
  <c r="P60" i="3" s="1"/>
  <c r="L61" i="3"/>
  <c r="M61" i="3"/>
  <c r="P61" i="3" s="1"/>
  <c r="L62" i="3"/>
  <c r="M62" i="3"/>
  <c r="P62" i="3" s="1"/>
  <c r="L63" i="3"/>
  <c r="M63" i="3"/>
  <c r="P63" i="3" s="1"/>
  <c r="L64" i="3"/>
  <c r="M64" i="3"/>
  <c r="P64" i="3" s="1"/>
  <c r="L65" i="3"/>
  <c r="M65" i="3"/>
  <c r="P65" i="3" s="1"/>
  <c r="L66" i="3"/>
  <c r="M66" i="3"/>
  <c r="P66" i="3" s="1"/>
  <c r="L67" i="3"/>
  <c r="M67" i="3"/>
  <c r="P67" i="3" s="1"/>
  <c r="L68" i="3"/>
  <c r="M68" i="3"/>
  <c r="P68" i="3" s="1"/>
  <c r="L69" i="3"/>
  <c r="M69" i="3"/>
  <c r="P69" i="3" s="1"/>
  <c r="L70" i="3"/>
  <c r="M70" i="3"/>
  <c r="P70" i="3" s="1"/>
  <c r="L71" i="3"/>
  <c r="M71" i="3"/>
  <c r="P71" i="3" s="1"/>
  <c r="L72" i="3"/>
  <c r="M72" i="3"/>
  <c r="P72" i="3" s="1"/>
  <c r="L73" i="3"/>
  <c r="M73" i="3"/>
  <c r="P73" i="3" s="1"/>
  <c r="L74" i="3"/>
  <c r="M74" i="3"/>
  <c r="P74" i="3" s="1"/>
  <c r="L75" i="3"/>
  <c r="M75" i="3"/>
  <c r="P75" i="3" s="1"/>
  <c r="L76" i="3"/>
  <c r="M76" i="3"/>
  <c r="P76" i="3" s="1"/>
  <c r="L77" i="3"/>
  <c r="M77" i="3"/>
  <c r="P77" i="3" s="1"/>
  <c r="L78" i="3"/>
  <c r="M78" i="3"/>
  <c r="P78" i="3" s="1"/>
  <c r="M4" i="3"/>
  <c r="L4" i="3"/>
  <c r="D31" i="3" l="1"/>
  <c r="C29" i="3"/>
  <c r="D29" i="3" s="1"/>
  <c r="C30" i="3"/>
  <c r="D30" i="3" s="1"/>
  <c r="C32" i="3"/>
  <c r="D32" i="3" s="1"/>
  <c r="C33" i="3"/>
  <c r="D33" i="3" s="1"/>
  <c r="G20" i="3" a="1"/>
  <c r="G20" i="3" s="1"/>
  <c r="G21" i="3" s="1"/>
  <c r="D39" i="3" s="1"/>
  <c r="E12" i="1"/>
  <c r="D35" i="3" l="1"/>
  <c r="G34" i="3" s="1"/>
  <c r="D40" i="3" s="1"/>
  <c r="D41" i="3" s="1"/>
  <c r="I39" i="3" l="1"/>
  <c r="I38" i="3"/>
  <c r="C34" i="2" s="1"/>
  <c r="A42" i="3"/>
  <c r="I1" i="2" s="1"/>
  <c r="G13" i="1" l="1"/>
  <c r="J34" i="2"/>
  <c r="F12" i="1" s="1"/>
  <c r="G12" i="1"/>
  <c r="O20" i="6" l="1"/>
  <c r="O32" i="6"/>
  <c r="O44" i="6"/>
  <c r="O56" i="6"/>
  <c r="O68" i="6"/>
  <c r="O80" i="6"/>
  <c r="O92" i="6"/>
  <c r="O104" i="6"/>
  <c r="O116" i="6"/>
  <c r="O128" i="6"/>
  <c r="O140" i="6"/>
  <c r="O152" i="6"/>
  <c r="O164" i="6"/>
  <c r="O176" i="6"/>
  <c r="O188" i="6"/>
  <c r="O200" i="6"/>
  <c r="O212" i="6"/>
  <c r="O224" i="6"/>
  <c r="O236" i="6"/>
  <c r="O248" i="6"/>
  <c r="O260" i="6"/>
  <c r="O272" i="6"/>
  <c r="O284" i="6"/>
  <c r="O296" i="6"/>
  <c r="O308" i="6"/>
  <c r="O320" i="6"/>
  <c r="O332" i="6"/>
  <c r="O344" i="6"/>
  <c r="O356" i="6"/>
  <c r="O368" i="6"/>
  <c r="O380" i="6"/>
  <c r="O392" i="6"/>
  <c r="O404" i="6"/>
  <c r="O416" i="6"/>
  <c r="O428" i="6"/>
  <c r="O440" i="6"/>
  <c r="O452" i="6"/>
  <c r="O464" i="6"/>
  <c r="O476" i="6"/>
  <c r="O488" i="6"/>
  <c r="O500" i="6"/>
  <c r="O512" i="6"/>
  <c r="O524" i="6"/>
  <c r="O536" i="6"/>
  <c r="O548" i="6"/>
  <c r="O560" i="6"/>
  <c r="O572" i="6"/>
  <c r="O584" i="6"/>
  <c r="O596" i="6"/>
  <c r="O608" i="6"/>
  <c r="O620" i="6"/>
  <c r="O632" i="6"/>
  <c r="O644" i="6"/>
  <c r="O656" i="6"/>
  <c r="O668" i="6"/>
  <c r="O680" i="6"/>
  <c r="O692" i="6"/>
  <c r="O704" i="6"/>
  <c r="O716" i="6"/>
  <c r="O728" i="6"/>
  <c r="O740" i="6"/>
  <c r="O752" i="6"/>
  <c r="O764" i="6"/>
  <c r="O776" i="6"/>
  <c r="O788" i="6"/>
  <c r="O800" i="6"/>
  <c r="O812" i="6"/>
  <c r="O824" i="6"/>
  <c r="O836" i="6"/>
  <c r="O848" i="6"/>
  <c r="O860" i="6"/>
  <c r="O872" i="6"/>
  <c r="O884" i="6"/>
  <c r="O896" i="6"/>
  <c r="O908" i="6"/>
  <c r="O920" i="6"/>
  <c r="O932" i="6"/>
  <c r="O944" i="6"/>
  <c r="O956" i="6"/>
  <c r="O968" i="6"/>
  <c r="O980" i="6"/>
  <c r="O992" i="6"/>
  <c r="O1004" i="6"/>
  <c r="O10" i="6"/>
  <c r="O22" i="6"/>
  <c r="O34" i="6"/>
  <c r="O46" i="6"/>
  <c r="O58" i="6"/>
  <c r="O70" i="6"/>
  <c r="O82" i="6"/>
  <c r="O94" i="6"/>
  <c r="O106" i="6"/>
  <c r="O118" i="6"/>
  <c r="O130" i="6"/>
  <c r="O142" i="6"/>
  <c r="O154" i="6"/>
  <c r="O166" i="6"/>
  <c r="O178" i="6"/>
  <c r="O190" i="6"/>
  <c r="O202" i="6"/>
  <c r="O214" i="6"/>
  <c r="O226" i="6"/>
  <c r="O238" i="6"/>
  <c r="O250" i="6"/>
  <c r="O262" i="6"/>
  <c r="O274" i="6"/>
  <c r="O286" i="6"/>
  <c r="O298" i="6"/>
  <c r="O310" i="6"/>
  <c r="O322" i="6"/>
  <c r="O334" i="6"/>
  <c r="O346" i="6"/>
  <c r="O358" i="6"/>
  <c r="O370" i="6"/>
  <c r="O382" i="6"/>
  <c r="O394" i="6"/>
  <c r="O406" i="6"/>
  <c r="O418" i="6"/>
  <c r="O430" i="6"/>
  <c r="O442" i="6"/>
  <c r="O454" i="6"/>
  <c r="O466" i="6"/>
  <c r="O478" i="6"/>
  <c r="O490" i="6"/>
  <c r="O502" i="6"/>
  <c r="O514" i="6"/>
  <c r="O526" i="6"/>
  <c r="O538" i="6"/>
  <c r="O550" i="6"/>
  <c r="O562" i="6"/>
  <c r="O574" i="6"/>
  <c r="O586" i="6"/>
  <c r="O598" i="6"/>
  <c r="O610" i="6"/>
  <c r="O622" i="6"/>
  <c r="O634" i="6"/>
  <c r="O646" i="6"/>
  <c r="O658" i="6"/>
  <c r="O670" i="6"/>
  <c r="O682" i="6"/>
  <c r="O694" i="6"/>
  <c r="O706" i="6"/>
  <c r="O718" i="6"/>
  <c r="O730" i="6"/>
  <c r="O742" i="6"/>
  <c r="O754" i="6"/>
  <c r="O766" i="6"/>
  <c r="O778" i="6"/>
  <c r="O790" i="6"/>
  <c r="O802" i="6"/>
  <c r="O814" i="6"/>
  <c r="O826" i="6"/>
  <c r="O838" i="6"/>
  <c r="O850" i="6"/>
  <c r="O862" i="6"/>
  <c r="O874" i="6"/>
  <c r="O886" i="6"/>
  <c r="O898" i="6"/>
  <c r="O910" i="6"/>
  <c r="O922" i="6"/>
  <c r="O934" i="6"/>
  <c r="O946" i="6"/>
  <c r="O958" i="6"/>
  <c r="O970" i="6"/>
  <c r="O982" i="6"/>
  <c r="O994" i="6"/>
  <c r="O1006" i="6"/>
  <c r="O23" i="6"/>
  <c r="O37" i="6"/>
  <c r="O51" i="6"/>
  <c r="O65" i="6"/>
  <c r="O79" i="6"/>
  <c r="O95" i="6"/>
  <c r="O109" i="6"/>
  <c r="O123" i="6"/>
  <c r="O137" i="6"/>
  <c r="O151" i="6"/>
  <c r="O167" i="6"/>
  <c r="O181" i="6"/>
  <c r="O195" i="6"/>
  <c r="O209" i="6"/>
  <c r="O223" i="6"/>
  <c r="O239" i="6"/>
  <c r="O253" i="6"/>
  <c r="O267" i="6"/>
  <c r="O281" i="6"/>
  <c r="O295" i="6"/>
  <c r="O311" i="6"/>
  <c r="O325" i="6"/>
  <c r="O339" i="6"/>
  <c r="O353" i="6"/>
  <c r="O367" i="6"/>
  <c r="O383" i="6"/>
  <c r="O397" i="6"/>
  <c r="O411" i="6"/>
  <c r="O425" i="6"/>
  <c r="O439" i="6"/>
  <c r="O455" i="6"/>
  <c r="O469" i="6"/>
  <c r="O483" i="6"/>
  <c r="O497" i="6"/>
  <c r="O511" i="6"/>
  <c r="O527" i="6"/>
  <c r="O541" i="6"/>
  <c r="O555" i="6"/>
  <c r="O569" i="6"/>
  <c r="O583" i="6"/>
  <c r="O599" i="6"/>
  <c r="O613" i="6"/>
  <c r="O627" i="6"/>
  <c r="O641" i="6"/>
  <c r="O655" i="6"/>
  <c r="O671" i="6"/>
  <c r="O685" i="6"/>
  <c r="O699" i="6"/>
  <c r="O713" i="6"/>
  <c r="O727" i="6"/>
  <c r="O743" i="6"/>
  <c r="O757" i="6"/>
  <c r="O771" i="6"/>
  <c r="O785" i="6"/>
  <c r="O799" i="6"/>
  <c r="O815" i="6"/>
  <c r="O829" i="6"/>
  <c r="O843" i="6"/>
  <c r="O857" i="6"/>
  <c r="O871" i="6"/>
  <c r="O887" i="6"/>
  <c r="O901" i="6"/>
  <c r="O915" i="6"/>
  <c r="O929" i="6"/>
  <c r="O943" i="6"/>
  <c r="O959" i="6"/>
  <c r="O973" i="6"/>
  <c r="O987" i="6"/>
  <c r="O1001" i="6"/>
  <c r="O25" i="6"/>
  <c r="O139" i="6"/>
  <c r="O169" i="6"/>
  <c r="O211" i="6"/>
  <c r="O241" i="6"/>
  <c r="O255" i="6"/>
  <c r="O283" i="6"/>
  <c r="O299" i="6"/>
  <c r="O327" i="6"/>
  <c r="O371" i="6"/>
  <c r="O24" i="6"/>
  <c r="O38" i="6"/>
  <c r="O52" i="6"/>
  <c r="O66" i="6"/>
  <c r="O81" i="6"/>
  <c r="O96" i="6"/>
  <c r="O110" i="6"/>
  <c r="O124" i="6"/>
  <c r="O138" i="6"/>
  <c r="O153" i="6"/>
  <c r="O168" i="6"/>
  <c r="O182" i="6"/>
  <c r="O196" i="6"/>
  <c r="O210" i="6"/>
  <c r="O225" i="6"/>
  <c r="O240" i="6"/>
  <c r="O254" i="6"/>
  <c r="O268" i="6"/>
  <c r="O282" i="6"/>
  <c r="O297" i="6"/>
  <c r="O312" i="6"/>
  <c r="O326" i="6"/>
  <c r="O340" i="6"/>
  <c r="O354" i="6"/>
  <c r="O369" i="6"/>
  <c r="O384" i="6"/>
  <c r="O398" i="6"/>
  <c r="O412" i="6"/>
  <c r="O426" i="6"/>
  <c r="O441" i="6"/>
  <c r="O456" i="6"/>
  <c r="O470" i="6"/>
  <c r="O484" i="6"/>
  <c r="O498" i="6"/>
  <c r="O513" i="6"/>
  <c r="O528" i="6"/>
  <c r="O542" i="6"/>
  <c r="O556" i="6"/>
  <c r="O570" i="6"/>
  <c r="O585" i="6"/>
  <c r="O600" i="6"/>
  <c r="O614" i="6"/>
  <c r="O628" i="6"/>
  <c r="O642" i="6"/>
  <c r="O657" i="6"/>
  <c r="O672" i="6"/>
  <c r="O686" i="6"/>
  <c r="O700" i="6"/>
  <c r="O714" i="6"/>
  <c r="O729" i="6"/>
  <c r="O744" i="6"/>
  <c r="O758" i="6"/>
  <c r="O772" i="6"/>
  <c r="O786" i="6"/>
  <c r="O801" i="6"/>
  <c r="O816" i="6"/>
  <c r="O830" i="6"/>
  <c r="O844" i="6"/>
  <c r="O858" i="6"/>
  <c r="O873" i="6"/>
  <c r="O888" i="6"/>
  <c r="O902" i="6"/>
  <c r="O916" i="6"/>
  <c r="O930" i="6"/>
  <c r="O945" i="6"/>
  <c r="O960" i="6"/>
  <c r="O974" i="6"/>
  <c r="O988" i="6"/>
  <c r="O1002" i="6"/>
  <c r="O11" i="6"/>
  <c r="O39" i="6"/>
  <c r="O53" i="6"/>
  <c r="O67" i="6"/>
  <c r="O83" i="6"/>
  <c r="O97" i="6"/>
  <c r="O111" i="6"/>
  <c r="O125" i="6"/>
  <c r="O155" i="6"/>
  <c r="O183" i="6"/>
  <c r="O197" i="6"/>
  <c r="O227" i="6"/>
  <c r="O269" i="6"/>
  <c r="O313" i="6"/>
  <c r="O341" i="6"/>
  <c r="O355" i="6"/>
  <c r="O27" i="6"/>
  <c r="O45" i="6"/>
  <c r="O63" i="6"/>
  <c r="O85" i="6"/>
  <c r="O102" i="6"/>
  <c r="O121" i="6"/>
  <c r="O143" i="6"/>
  <c r="O160" i="6"/>
  <c r="O179" i="6"/>
  <c r="O199" i="6"/>
  <c r="O218" i="6"/>
  <c r="O235" i="6"/>
  <c r="O257" i="6"/>
  <c r="O276" i="6"/>
  <c r="O293" i="6"/>
  <c r="O315" i="6"/>
  <c r="O333" i="6"/>
  <c r="O351" i="6"/>
  <c r="O373" i="6"/>
  <c r="O389" i="6"/>
  <c r="O407" i="6"/>
  <c r="O423" i="6"/>
  <c r="O443" i="6"/>
  <c r="O459" i="6"/>
  <c r="O475" i="6"/>
  <c r="O493" i="6"/>
  <c r="O509" i="6"/>
  <c r="O529" i="6"/>
  <c r="O545" i="6"/>
  <c r="O563" i="6"/>
  <c r="O579" i="6"/>
  <c r="O595" i="6"/>
  <c r="O615" i="6"/>
  <c r="O631" i="6"/>
  <c r="O649" i="6"/>
  <c r="O665" i="6"/>
  <c r="O683" i="6"/>
  <c r="O701" i="6"/>
  <c r="O719" i="6"/>
  <c r="O735" i="6"/>
  <c r="O751" i="6"/>
  <c r="O769" i="6"/>
  <c r="O787" i="6"/>
  <c r="O805" i="6"/>
  <c r="O821" i="6"/>
  <c r="O839" i="6"/>
  <c r="O855" i="6"/>
  <c r="O875" i="6"/>
  <c r="O891" i="6"/>
  <c r="O907" i="6"/>
  <c r="O925" i="6"/>
  <c r="O941" i="6"/>
  <c r="O961" i="6"/>
  <c r="O977" i="6"/>
  <c r="O995" i="6"/>
  <c r="O29" i="6"/>
  <c r="O220" i="6"/>
  <c r="O278" i="6"/>
  <c r="O317" i="6"/>
  <c r="O375" i="6"/>
  <c r="O409" i="6"/>
  <c r="O445" i="6"/>
  <c r="O495" i="6"/>
  <c r="O531" i="6"/>
  <c r="O565" i="6"/>
  <c r="O617" i="6"/>
  <c r="O635" i="6"/>
  <c r="O687" i="6"/>
  <c r="O721" i="6"/>
  <c r="O755" i="6"/>
  <c r="O791" i="6"/>
  <c r="O823" i="6"/>
  <c r="O859" i="6"/>
  <c r="O893" i="6"/>
  <c r="O927" i="6"/>
  <c r="O963" i="6"/>
  <c r="O997" i="6"/>
  <c r="O30" i="6"/>
  <c r="O49" i="6"/>
  <c r="O88" i="6"/>
  <c r="O107" i="6"/>
  <c r="O146" i="6"/>
  <c r="O204" i="6"/>
  <c r="O261" i="6"/>
  <c r="O301" i="6"/>
  <c r="O28" i="6"/>
  <c r="O47" i="6"/>
  <c r="O64" i="6"/>
  <c r="O86" i="6"/>
  <c r="O103" i="6"/>
  <c r="O122" i="6"/>
  <c r="O144" i="6"/>
  <c r="O161" i="6"/>
  <c r="O180" i="6"/>
  <c r="O201" i="6"/>
  <c r="O219" i="6"/>
  <c r="O237" i="6"/>
  <c r="O258" i="6"/>
  <c r="O277" i="6"/>
  <c r="O294" i="6"/>
  <c r="O316" i="6"/>
  <c r="O335" i="6"/>
  <c r="O352" i="6"/>
  <c r="O374" i="6"/>
  <c r="O390" i="6"/>
  <c r="O408" i="6"/>
  <c r="O424" i="6"/>
  <c r="O444" i="6"/>
  <c r="O460" i="6"/>
  <c r="O477" i="6"/>
  <c r="O494" i="6"/>
  <c r="O510" i="6"/>
  <c r="O530" i="6"/>
  <c r="O546" i="6"/>
  <c r="O564" i="6"/>
  <c r="O580" i="6"/>
  <c r="O597" i="6"/>
  <c r="O616" i="6"/>
  <c r="O633" i="6"/>
  <c r="O650" i="6"/>
  <c r="O666" i="6"/>
  <c r="O684" i="6"/>
  <c r="O702" i="6"/>
  <c r="O720" i="6"/>
  <c r="O736" i="6"/>
  <c r="O753" i="6"/>
  <c r="O770" i="6"/>
  <c r="O789" i="6"/>
  <c r="O806" i="6"/>
  <c r="O822" i="6"/>
  <c r="O840" i="6"/>
  <c r="O856" i="6"/>
  <c r="O876" i="6"/>
  <c r="O892" i="6"/>
  <c r="O909" i="6"/>
  <c r="O926" i="6"/>
  <c r="O942" i="6"/>
  <c r="O962" i="6"/>
  <c r="O978" i="6"/>
  <c r="O996" i="6"/>
  <c r="O12" i="6"/>
  <c r="O48" i="6"/>
  <c r="O69" i="6"/>
  <c r="O87" i="6"/>
  <c r="O105" i="6"/>
  <c r="O126" i="6"/>
  <c r="O145" i="6"/>
  <c r="O162" i="6"/>
  <c r="O184" i="6"/>
  <c r="O203" i="6"/>
  <c r="O242" i="6"/>
  <c r="O259" i="6"/>
  <c r="O300" i="6"/>
  <c r="O336" i="6"/>
  <c r="O357" i="6"/>
  <c r="O391" i="6"/>
  <c r="O427" i="6"/>
  <c r="O461" i="6"/>
  <c r="O479" i="6"/>
  <c r="O515" i="6"/>
  <c r="O547" i="6"/>
  <c r="O581" i="6"/>
  <c r="O601" i="6"/>
  <c r="O651" i="6"/>
  <c r="O667" i="6"/>
  <c r="O703" i="6"/>
  <c r="O737" i="6"/>
  <c r="O773" i="6"/>
  <c r="O807" i="6"/>
  <c r="O841" i="6"/>
  <c r="O877" i="6"/>
  <c r="O911" i="6"/>
  <c r="O947" i="6"/>
  <c r="O979" i="6"/>
  <c r="O13" i="6"/>
  <c r="O71" i="6"/>
  <c r="O127" i="6"/>
  <c r="O163" i="6"/>
  <c r="O185" i="6"/>
  <c r="O221" i="6"/>
  <c r="O243" i="6"/>
  <c r="O279" i="6"/>
  <c r="O318" i="6"/>
  <c r="O35" i="6"/>
  <c r="O61" i="6"/>
  <c r="O91" i="6"/>
  <c r="O119" i="6"/>
  <c r="O149" i="6"/>
  <c r="O175" i="6"/>
  <c r="O207" i="6"/>
  <c r="O233" i="6"/>
  <c r="O265" i="6"/>
  <c r="O291" i="6"/>
  <c r="O323" i="6"/>
  <c r="O348" i="6"/>
  <c r="O376" i="6"/>
  <c r="O399" i="6"/>
  <c r="O420" i="6"/>
  <c r="O446" i="6"/>
  <c r="O467" i="6"/>
  <c r="O489" i="6"/>
  <c r="O516" i="6"/>
  <c r="O535" i="6"/>
  <c r="O558" i="6"/>
  <c r="O582" i="6"/>
  <c r="O605" i="6"/>
  <c r="O626" i="6"/>
  <c r="O652" i="6"/>
  <c r="O675" i="6"/>
  <c r="O696" i="6"/>
  <c r="O722" i="6"/>
  <c r="O745" i="6"/>
  <c r="O765" i="6"/>
  <c r="O792" i="6"/>
  <c r="O811" i="6"/>
  <c r="O834" i="6"/>
  <c r="O861" i="6"/>
  <c r="O881" i="6"/>
  <c r="O904" i="6"/>
  <c r="O928" i="6"/>
  <c r="O951" i="6"/>
  <c r="O972" i="6"/>
  <c r="O998" i="6"/>
  <c r="O40" i="6"/>
  <c r="O270" i="6"/>
  <c r="O328" i="6"/>
  <c r="O378" i="6"/>
  <c r="O401" i="6"/>
  <c r="O448" i="6"/>
  <c r="O471" i="6"/>
  <c r="O518" i="6"/>
  <c r="O561" i="6"/>
  <c r="O607" i="6"/>
  <c r="O630" i="6"/>
  <c r="O677" i="6"/>
  <c r="O724" i="6"/>
  <c r="O747" i="6"/>
  <c r="O794" i="6"/>
  <c r="O837" i="6"/>
  <c r="O906" i="6"/>
  <c r="O933" i="6"/>
  <c r="O976" i="6"/>
  <c r="O15" i="6"/>
  <c r="O99" i="6"/>
  <c r="O157" i="6"/>
  <c r="O215" i="6"/>
  <c r="O271" i="6"/>
  <c r="O329" i="6"/>
  <c r="O379" i="6"/>
  <c r="O429" i="6"/>
  <c r="O472" i="6"/>
  <c r="O540" i="6"/>
  <c r="O589" i="6"/>
  <c r="O636" i="6"/>
  <c r="O678" i="6"/>
  <c r="O705" i="6"/>
  <c r="O774" i="6"/>
  <c r="O818" i="6"/>
  <c r="O865" i="6"/>
  <c r="O935" i="6"/>
  <c r="O1003" i="6"/>
  <c r="O16" i="6"/>
  <c r="O100" i="6"/>
  <c r="O132" i="6"/>
  <c r="O216" i="6"/>
  <c r="O273" i="6"/>
  <c r="O360" i="6"/>
  <c r="O403" i="6"/>
  <c r="O450" i="6"/>
  <c r="O499" i="6"/>
  <c r="O543" i="6"/>
  <c r="O567" i="6"/>
  <c r="O611" i="6"/>
  <c r="O660" i="6"/>
  <c r="O749" i="6"/>
  <c r="O796" i="6"/>
  <c r="O819" i="6"/>
  <c r="O845" i="6"/>
  <c r="O889" i="6"/>
  <c r="O936" i="6"/>
  <c r="O983" i="6"/>
  <c r="O43" i="6"/>
  <c r="O75" i="6"/>
  <c r="O101" i="6"/>
  <c r="O159" i="6"/>
  <c r="O217" i="6"/>
  <c r="O275" i="6"/>
  <c r="O361" i="6"/>
  <c r="O432" i="6"/>
  <c r="O451" i="6"/>
  <c r="O501" i="6"/>
  <c r="O544" i="6"/>
  <c r="O591" i="6"/>
  <c r="O612" i="6"/>
  <c r="O661" i="6"/>
  <c r="O708" i="6"/>
  <c r="O777" i="6"/>
  <c r="O846" i="6"/>
  <c r="O890" i="6"/>
  <c r="O957" i="6"/>
  <c r="O9" i="6"/>
  <c r="O18" i="6"/>
  <c r="O108" i="6"/>
  <c r="O134" i="6"/>
  <c r="O192" i="6"/>
  <c r="O249" i="6"/>
  <c r="O306" i="6"/>
  <c r="O362" i="6"/>
  <c r="O410" i="6"/>
  <c r="O453" i="6"/>
  <c r="O503" i="6"/>
  <c r="O571" i="6"/>
  <c r="O592" i="6"/>
  <c r="O639" i="6"/>
  <c r="O709" i="6"/>
  <c r="O756" i="6"/>
  <c r="O798" i="6"/>
  <c r="O847" i="6"/>
  <c r="O917" i="6"/>
  <c r="O964" i="6"/>
  <c r="O6" i="6"/>
  <c r="O54" i="6"/>
  <c r="O112" i="6"/>
  <c r="O170" i="6"/>
  <c r="O228" i="6"/>
  <c r="O251" i="6"/>
  <c r="O307" i="6"/>
  <c r="O363" i="6"/>
  <c r="O413" i="6"/>
  <c r="O481" i="6"/>
  <c r="O504" i="6"/>
  <c r="O551" i="6"/>
  <c r="O593" i="6"/>
  <c r="O663" i="6"/>
  <c r="O710" i="6"/>
  <c r="O759" i="6"/>
  <c r="O803" i="6"/>
  <c r="O849" i="6"/>
  <c r="O918" i="6"/>
  <c r="O939" i="6"/>
  <c r="O7" i="6"/>
  <c r="O21" i="6"/>
  <c r="O78" i="6"/>
  <c r="O136" i="6"/>
  <c r="O171" i="6"/>
  <c r="O36" i="6"/>
  <c r="O62" i="6"/>
  <c r="O93" i="6"/>
  <c r="O120" i="6"/>
  <c r="O150" i="6"/>
  <c r="O177" i="6"/>
  <c r="O208" i="6"/>
  <c r="O234" i="6"/>
  <c r="O266" i="6"/>
  <c r="O292" i="6"/>
  <c r="O324" i="6"/>
  <c r="O349" i="6"/>
  <c r="O377" i="6"/>
  <c r="O400" i="6"/>
  <c r="O421" i="6"/>
  <c r="O447" i="6"/>
  <c r="O468" i="6"/>
  <c r="O491" i="6"/>
  <c r="O517" i="6"/>
  <c r="O537" i="6"/>
  <c r="O559" i="6"/>
  <c r="O587" i="6"/>
  <c r="O606" i="6"/>
  <c r="O629" i="6"/>
  <c r="O653" i="6"/>
  <c r="O676" i="6"/>
  <c r="O697" i="6"/>
  <c r="O723" i="6"/>
  <c r="O746" i="6"/>
  <c r="O767" i="6"/>
  <c r="O793" i="6"/>
  <c r="O813" i="6"/>
  <c r="O835" i="6"/>
  <c r="O863" i="6"/>
  <c r="O882" i="6"/>
  <c r="O905" i="6"/>
  <c r="O931" i="6"/>
  <c r="O952" i="6"/>
  <c r="O975" i="6"/>
  <c r="O999" i="6"/>
  <c r="O14" i="6"/>
  <c r="O72" i="6"/>
  <c r="O98" i="6"/>
  <c r="O129" i="6"/>
  <c r="O156" i="6"/>
  <c r="O186" i="6"/>
  <c r="O213" i="6"/>
  <c r="O244" i="6"/>
  <c r="O302" i="6"/>
  <c r="O350" i="6"/>
  <c r="O422" i="6"/>
  <c r="O492" i="6"/>
  <c r="O539" i="6"/>
  <c r="O588" i="6"/>
  <c r="O654" i="6"/>
  <c r="O698" i="6"/>
  <c r="O768" i="6"/>
  <c r="O817" i="6"/>
  <c r="O864" i="6"/>
  <c r="O883" i="6"/>
  <c r="O953" i="6"/>
  <c r="O1000" i="6"/>
  <c r="O41" i="6"/>
  <c r="O73" i="6"/>
  <c r="O131" i="6"/>
  <c r="O187" i="6"/>
  <c r="O245" i="6"/>
  <c r="O303" i="6"/>
  <c r="O359" i="6"/>
  <c r="O402" i="6"/>
  <c r="O449" i="6"/>
  <c r="O496" i="6"/>
  <c r="O519" i="6"/>
  <c r="O566" i="6"/>
  <c r="O609" i="6"/>
  <c r="O659" i="6"/>
  <c r="O725" i="6"/>
  <c r="O748" i="6"/>
  <c r="O795" i="6"/>
  <c r="O842" i="6"/>
  <c r="O885" i="6"/>
  <c r="O912" i="6"/>
  <c r="O954" i="6"/>
  <c r="O981" i="6"/>
  <c r="O42" i="6"/>
  <c r="O74" i="6"/>
  <c r="O158" i="6"/>
  <c r="O189" i="6"/>
  <c r="O246" i="6"/>
  <c r="O304" i="6"/>
  <c r="O330" i="6"/>
  <c r="O381" i="6"/>
  <c r="O431" i="6"/>
  <c r="O473" i="6"/>
  <c r="O520" i="6"/>
  <c r="O590" i="6"/>
  <c r="O637" i="6"/>
  <c r="O679" i="6"/>
  <c r="O707" i="6"/>
  <c r="O726" i="6"/>
  <c r="O775" i="6"/>
  <c r="O866" i="6"/>
  <c r="O913" i="6"/>
  <c r="O955" i="6"/>
  <c r="O1005" i="6"/>
  <c r="O17" i="6"/>
  <c r="O133" i="6"/>
  <c r="O191" i="6"/>
  <c r="O247" i="6"/>
  <c r="O305" i="6"/>
  <c r="O331" i="6"/>
  <c r="O385" i="6"/>
  <c r="O405" i="6"/>
  <c r="O474" i="6"/>
  <c r="O521" i="6"/>
  <c r="O568" i="6"/>
  <c r="O638" i="6"/>
  <c r="O681" i="6"/>
  <c r="O731" i="6"/>
  <c r="O750" i="6"/>
  <c r="O797" i="6"/>
  <c r="O820" i="6"/>
  <c r="O867" i="6"/>
  <c r="O914" i="6"/>
  <c r="O937" i="6"/>
  <c r="O984" i="6"/>
  <c r="O50" i="6"/>
  <c r="O76" i="6"/>
  <c r="O165" i="6"/>
  <c r="O222" i="6"/>
  <c r="O280" i="6"/>
  <c r="O337" i="6"/>
  <c r="O386" i="6"/>
  <c r="O433" i="6"/>
  <c r="O480" i="6"/>
  <c r="O522" i="6"/>
  <c r="O549" i="6"/>
  <c r="O618" i="6"/>
  <c r="O662" i="6"/>
  <c r="O688" i="6"/>
  <c r="O732" i="6"/>
  <c r="O779" i="6"/>
  <c r="O825" i="6"/>
  <c r="O868" i="6"/>
  <c r="O894" i="6"/>
  <c r="O938" i="6"/>
  <c r="O985" i="6"/>
  <c r="O19" i="6"/>
  <c r="O77" i="6"/>
  <c r="O135" i="6"/>
  <c r="O193" i="6"/>
  <c r="O285" i="6"/>
  <c r="O338" i="6"/>
  <c r="O387" i="6"/>
  <c r="O434" i="6"/>
  <c r="O457" i="6"/>
  <c r="O523" i="6"/>
  <c r="O573" i="6"/>
  <c r="O619" i="6"/>
  <c r="O640" i="6"/>
  <c r="O689" i="6"/>
  <c r="O733" i="6"/>
  <c r="O780" i="6"/>
  <c r="O827" i="6"/>
  <c r="O869" i="6"/>
  <c r="O895" i="6"/>
  <c r="O965" i="6"/>
  <c r="O986" i="6"/>
  <c r="O55" i="6"/>
  <c r="O113" i="6"/>
  <c r="O115" i="6"/>
  <c r="O229" i="6"/>
  <c r="O309" i="6"/>
  <c r="O388" i="6"/>
  <c r="O458" i="6"/>
  <c r="O525" i="6"/>
  <c r="O594" i="6"/>
  <c r="O664" i="6"/>
  <c r="O734" i="6"/>
  <c r="O804" i="6"/>
  <c r="O870" i="6"/>
  <c r="O940" i="6"/>
  <c r="O5" i="6"/>
  <c r="O141" i="6"/>
  <c r="O879" i="6"/>
  <c r="O31" i="6"/>
  <c r="O232" i="6"/>
  <c r="O534" i="6"/>
  <c r="O674" i="6"/>
  <c r="O810" i="6"/>
  <c r="O950" i="6"/>
  <c r="O33" i="6"/>
  <c r="O252" i="6"/>
  <c r="O414" i="6"/>
  <c r="O552" i="6"/>
  <c r="O690" i="6"/>
  <c r="O828" i="6"/>
  <c r="O966" i="6"/>
  <c r="O57" i="6"/>
  <c r="O256" i="6"/>
  <c r="O415" i="6"/>
  <c r="O553" i="6"/>
  <c r="O691" i="6"/>
  <c r="O831" i="6"/>
  <c r="O967" i="6"/>
  <c r="O59" i="6"/>
  <c r="O263" i="6"/>
  <c r="O486" i="6"/>
  <c r="O624" i="6"/>
  <c r="O693" i="6"/>
  <c r="O832" i="6"/>
  <c r="O969" i="6"/>
  <c r="O174" i="6"/>
  <c r="O347" i="6"/>
  <c r="O487" i="6"/>
  <c r="O557" i="6"/>
  <c r="O695" i="6"/>
  <c r="O833" i="6"/>
  <c r="O84" i="6"/>
  <c r="O364" i="6"/>
  <c r="O505" i="6"/>
  <c r="O643" i="6"/>
  <c r="O851" i="6"/>
  <c r="O198" i="6"/>
  <c r="O288" i="6"/>
  <c r="O365" i="6"/>
  <c r="O436" i="6"/>
  <c r="O506" i="6"/>
  <c r="O645" i="6"/>
  <c r="O782" i="6"/>
  <c r="O990" i="6"/>
  <c r="O90" i="6"/>
  <c r="O366" i="6"/>
  <c r="O507" i="6"/>
  <c r="O647" i="6"/>
  <c r="O783" i="6"/>
  <c r="O923" i="6"/>
  <c r="O206" i="6"/>
  <c r="O372" i="6"/>
  <c r="O508" i="6"/>
  <c r="O648" i="6"/>
  <c r="O784" i="6"/>
  <c r="O854" i="6"/>
  <c r="O993" i="6"/>
  <c r="O117" i="6"/>
  <c r="O230" i="6"/>
  <c r="O314" i="6"/>
  <c r="O393" i="6"/>
  <c r="O462" i="6"/>
  <c r="O532" i="6"/>
  <c r="O602" i="6"/>
  <c r="O669" i="6"/>
  <c r="O738" i="6"/>
  <c r="O808" i="6"/>
  <c r="O878" i="6"/>
  <c r="O948" i="6"/>
  <c r="O26" i="6"/>
  <c r="O231" i="6"/>
  <c r="O319" i="6"/>
  <c r="O395" i="6"/>
  <c r="O463" i="6"/>
  <c r="O533" i="6"/>
  <c r="O603" i="6"/>
  <c r="O673" i="6"/>
  <c r="O739" i="6"/>
  <c r="O809" i="6"/>
  <c r="O949" i="6"/>
  <c r="O147" i="6"/>
  <c r="O321" i="6"/>
  <c r="O396" i="6"/>
  <c r="O465" i="6"/>
  <c r="O604" i="6"/>
  <c r="O741" i="6"/>
  <c r="O880" i="6"/>
  <c r="O148" i="6"/>
  <c r="O342" i="6"/>
  <c r="O482" i="6"/>
  <c r="O621" i="6"/>
  <c r="O760" i="6"/>
  <c r="O897" i="6"/>
  <c r="O172" i="6"/>
  <c r="O343" i="6"/>
  <c r="O485" i="6"/>
  <c r="O623" i="6"/>
  <c r="O761" i="6"/>
  <c r="O899" i="6"/>
  <c r="O173" i="6"/>
  <c r="O345" i="6"/>
  <c r="O417" i="6"/>
  <c r="O554" i="6"/>
  <c r="O762" i="6"/>
  <c r="O900" i="6"/>
  <c r="O60" i="6"/>
  <c r="O264" i="6"/>
  <c r="O419" i="6"/>
  <c r="O625" i="6"/>
  <c r="O763" i="6"/>
  <c r="O903" i="6"/>
  <c r="O971" i="6"/>
  <c r="O194" i="6"/>
  <c r="O287" i="6"/>
  <c r="O435" i="6"/>
  <c r="O575" i="6"/>
  <c r="O711" i="6"/>
  <c r="O781" i="6"/>
  <c r="O919" i="6"/>
  <c r="O989" i="6"/>
  <c r="O89" i="6"/>
  <c r="O576" i="6"/>
  <c r="O712" i="6"/>
  <c r="O852" i="6"/>
  <c r="O921" i="6"/>
  <c r="O205" i="6"/>
  <c r="O289" i="6"/>
  <c r="O437" i="6"/>
  <c r="O577" i="6"/>
  <c r="O715" i="6"/>
  <c r="O853" i="6"/>
  <c r="O991" i="6"/>
  <c r="O114" i="6"/>
  <c r="O290" i="6"/>
  <c r="O438" i="6"/>
  <c r="O578" i="6"/>
  <c r="O717" i="6"/>
  <c r="O924" i="6"/>
  <c r="O1006" i="3"/>
  <c r="O1005" i="3"/>
  <c r="O57" i="3"/>
  <c r="O607" i="3"/>
  <c r="O507" i="3"/>
  <c r="O509" i="3"/>
  <c r="O511" i="3"/>
  <c r="O513" i="3"/>
  <c r="O515" i="3"/>
  <c r="O517" i="3"/>
  <c r="O519" i="3"/>
  <c r="O521" i="3"/>
  <c r="O523" i="3"/>
  <c r="O525" i="3"/>
  <c r="O527" i="3"/>
  <c r="O529" i="3"/>
  <c r="O531" i="3"/>
  <c r="O533" i="3"/>
  <c r="O535" i="3"/>
  <c r="O537" i="3"/>
  <c r="O539" i="3"/>
  <c r="O541" i="3"/>
  <c r="O543" i="3"/>
  <c r="O545" i="3"/>
  <c r="O547" i="3"/>
  <c r="O549" i="3"/>
  <c r="O551" i="3"/>
  <c r="O553" i="3"/>
  <c r="O555" i="3"/>
  <c r="O557" i="3"/>
  <c r="O559" i="3"/>
  <c r="O561" i="3"/>
  <c r="O563" i="3"/>
  <c r="O565" i="3"/>
  <c r="O567" i="3"/>
  <c r="O569" i="3"/>
  <c r="O571" i="3"/>
  <c r="O573" i="3"/>
  <c r="O575" i="3"/>
  <c r="O577" i="3"/>
  <c r="O579" i="3"/>
  <c r="O581" i="3"/>
  <c r="O583" i="3"/>
  <c r="O585" i="3"/>
  <c r="O587" i="3"/>
  <c r="O589" i="3"/>
  <c r="O591" i="3"/>
  <c r="O593" i="3"/>
  <c r="O595" i="3"/>
  <c r="O597" i="3"/>
  <c r="O599" i="3"/>
  <c r="O601" i="3"/>
  <c r="O603" i="3"/>
  <c r="O605" i="3"/>
  <c r="O609" i="3"/>
  <c r="O611" i="3"/>
  <c r="O613" i="3"/>
  <c r="O615" i="3"/>
  <c r="O617" i="3"/>
  <c r="O619" i="3"/>
  <c r="O621" i="3"/>
  <c r="O623" i="3"/>
  <c r="O625" i="3"/>
  <c r="O627" i="3"/>
  <c r="O629" i="3"/>
  <c r="O631" i="3"/>
  <c r="O633" i="3"/>
  <c r="O635" i="3"/>
  <c r="O637" i="3"/>
  <c r="O639" i="3"/>
  <c r="O641" i="3"/>
  <c r="O643" i="3"/>
  <c r="O645" i="3"/>
  <c r="O647" i="3"/>
  <c r="O649" i="3"/>
  <c r="O651" i="3"/>
  <c r="O653" i="3"/>
  <c r="O655" i="3"/>
  <c r="O657" i="3"/>
  <c r="O659" i="3"/>
  <c r="O661" i="3"/>
  <c r="O663" i="3"/>
  <c r="O665" i="3"/>
  <c r="O667" i="3"/>
  <c r="O669" i="3"/>
  <c r="O671" i="3"/>
  <c r="O673" i="3"/>
  <c r="O675" i="3"/>
  <c r="O677" i="3"/>
  <c r="O107" i="3"/>
  <c r="O105" i="3"/>
  <c r="O510" i="3"/>
  <c r="O512" i="3"/>
  <c r="O514" i="3"/>
  <c r="O516" i="3"/>
  <c r="O518" i="3"/>
  <c r="O520" i="3"/>
  <c r="O522" i="3"/>
  <c r="O524" i="3"/>
  <c r="O526" i="3"/>
  <c r="O528" i="3"/>
  <c r="O530" i="3"/>
  <c r="O532" i="3"/>
  <c r="O534" i="3"/>
  <c r="O536" i="3"/>
  <c r="O538" i="3"/>
  <c r="O508" i="3"/>
  <c r="O506" i="3"/>
  <c r="O109" i="3"/>
  <c r="O111" i="3"/>
  <c r="O113" i="3"/>
  <c r="O115" i="3"/>
  <c r="O117" i="3"/>
  <c r="O119" i="3"/>
  <c r="O121" i="3"/>
  <c r="O123" i="3"/>
  <c r="O125" i="3"/>
  <c r="O127" i="3"/>
  <c r="O129" i="3"/>
  <c r="O131" i="3"/>
  <c r="O133" i="3"/>
  <c r="O135" i="3"/>
  <c r="O137" i="3"/>
  <c r="O139" i="3"/>
  <c r="O141" i="3"/>
  <c r="O143" i="3"/>
  <c r="O145" i="3"/>
  <c r="O147" i="3"/>
  <c r="O149" i="3"/>
  <c r="O151" i="3"/>
  <c r="O153" i="3"/>
  <c r="O155" i="3"/>
  <c r="O157" i="3"/>
  <c r="O159" i="3"/>
  <c r="O161" i="3"/>
  <c r="O163" i="3"/>
  <c r="O165" i="3"/>
  <c r="O167" i="3"/>
  <c r="O169" i="3"/>
  <c r="O171" i="3"/>
  <c r="O173" i="3"/>
  <c r="O175" i="3"/>
  <c r="O177" i="3"/>
  <c r="O179" i="3"/>
  <c r="O181" i="3"/>
  <c r="O183" i="3"/>
  <c r="O185" i="3"/>
  <c r="O187" i="3"/>
  <c r="O189" i="3"/>
  <c r="O191" i="3"/>
  <c r="O193" i="3"/>
  <c r="O195" i="3"/>
  <c r="O197" i="3"/>
  <c r="O199" i="3"/>
  <c r="O201" i="3"/>
  <c r="O203" i="3"/>
  <c r="O205" i="3"/>
  <c r="O207" i="3"/>
  <c r="O209" i="3"/>
  <c r="O211" i="3"/>
  <c r="O213" i="3"/>
  <c r="O215" i="3"/>
  <c r="O217" i="3"/>
  <c r="O219" i="3"/>
  <c r="O221" i="3"/>
  <c r="O223" i="3"/>
  <c r="O225" i="3"/>
  <c r="O227" i="3"/>
  <c r="O229" i="3"/>
  <c r="O231" i="3"/>
  <c r="O233" i="3"/>
  <c r="O235" i="3"/>
  <c r="O237" i="3"/>
  <c r="O239" i="3"/>
  <c r="O241" i="3"/>
  <c r="O243" i="3"/>
  <c r="O245" i="3"/>
  <c r="O247" i="3"/>
  <c r="O249" i="3"/>
  <c r="O251" i="3"/>
  <c r="O253" i="3"/>
  <c r="O255" i="3"/>
  <c r="O257" i="3"/>
  <c r="O259" i="3"/>
  <c r="O261" i="3"/>
  <c r="O263" i="3"/>
  <c r="O265" i="3"/>
  <c r="O267" i="3"/>
  <c r="O269" i="3"/>
  <c r="O271" i="3"/>
  <c r="O273" i="3"/>
  <c r="O275" i="3"/>
  <c r="O277" i="3"/>
  <c r="O540" i="3"/>
  <c r="O556" i="3"/>
  <c r="O572" i="3"/>
  <c r="O588" i="3"/>
  <c r="O554" i="3"/>
  <c r="O570" i="3"/>
  <c r="O586" i="3"/>
  <c r="O108" i="3"/>
  <c r="O110" i="3"/>
  <c r="O112" i="3"/>
  <c r="O114" i="3"/>
  <c r="O116" i="3"/>
  <c r="O118" i="3"/>
  <c r="O120" i="3"/>
  <c r="O122" i="3"/>
  <c r="O124" i="3"/>
  <c r="O130" i="3"/>
  <c r="O146" i="3"/>
  <c r="O162" i="3"/>
  <c r="O178" i="3"/>
  <c r="O194" i="3"/>
  <c r="O210" i="3"/>
  <c r="O226" i="3"/>
  <c r="O242" i="3"/>
  <c r="O258" i="3"/>
  <c r="O274" i="3"/>
  <c r="O544" i="3"/>
  <c r="O584" i="3"/>
  <c r="O596" i="3"/>
  <c r="O612" i="3"/>
  <c r="O628" i="3"/>
  <c r="O644" i="3"/>
  <c r="O660" i="3"/>
  <c r="O676" i="3"/>
  <c r="O128" i="3"/>
  <c r="O144" i="3"/>
  <c r="O160" i="3"/>
  <c r="O176" i="3"/>
  <c r="O192" i="3"/>
  <c r="O208" i="3"/>
  <c r="O224" i="3"/>
  <c r="O240" i="3"/>
  <c r="O256" i="3"/>
  <c r="O272" i="3"/>
  <c r="O542" i="3"/>
  <c r="O582" i="3"/>
  <c r="O594" i="3"/>
  <c r="O610" i="3"/>
  <c r="O626" i="3"/>
  <c r="O642" i="3"/>
  <c r="O658" i="3"/>
  <c r="O674" i="3"/>
  <c r="O126" i="3"/>
  <c r="O142" i="3"/>
  <c r="O158" i="3"/>
  <c r="O174" i="3"/>
  <c r="O190" i="3"/>
  <c r="O206" i="3"/>
  <c r="O222" i="3"/>
  <c r="O238" i="3"/>
  <c r="O254" i="3"/>
  <c r="O270" i="3"/>
  <c r="O279" i="3"/>
  <c r="O281" i="3"/>
  <c r="O283" i="3"/>
  <c r="O285" i="3"/>
  <c r="O287" i="3"/>
  <c r="O289" i="3"/>
  <c r="O291" i="3"/>
  <c r="O293" i="3"/>
  <c r="O295" i="3"/>
  <c r="O297" i="3"/>
  <c r="O299" i="3"/>
  <c r="O301" i="3"/>
  <c r="O303" i="3"/>
  <c r="O305" i="3"/>
  <c r="O307" i="3"/>
  <c r="O309" i="3"/>
  <c r="O311" i="3"/>
  <c r="O313" i="3"/>
  <c r="O315" i="3"/>
  <c r="O317" i="3"/>
  <c r="O319" i="3"/>
  <c r="O321" i="3"/>
  <c r="O323" i="3"/>
  <c r="O325" i="3"/>
  <c r="O327" i="3"/>
  <c r="O329" i="3"/>
  <c r="O331" i="3"/>
  <c r="O333" i="3"/>
  <c r="O335" i="3"/>
  <c r="O337" i="3"/>
  <c r="O339" i="3"/>
  <c r="O341" i="3"/>
  <c r="O343" i="3"/>
  <c r="O345" i="3"/>
  <c r="O347" i="3"/>
  <c r="O349" i="3"/>
  <c r="O351" i="3"/>
  <c r="O353" i="3"/>
  <c r="O355" i="3"/>
  <c r="O357" i="3"/>
  <c r="O359" i="3"/>
  <c r="O361" i="3"/>
  <c r="O363" i="3"/>
  <c r="O365" i="3"/>
  <c r="O367" i="3"/>
  <c r="O369" i="3"/>
  <c r="O371" i="3"/>
  <c r="O373" i="3"/>
  <c r="O375" i="3"/>
  <c r="O377" i="3"/>
  <c r="O379" i="3"/>
  <c r="O381" i="3"/>
  <c r="O383" i="3"/>
  <c r="O385" i="3"/>
  <c r="O387" i="3"/>
  <c r="O389" i="3"/>
  <c r="O391" i="3"/>
  <c r="O393" i="3"/>
  <c r="O395" i="3"/>
  <c r="O397" i="3"/>
  <c r="O399" i="3"/>
  <c r="O401" i="3"/>
  <c r="O403" i="3"/>
  <c r="O405" i="3"/>
  <c r="O407" i="3"/>
  <c r="O411" i="3"/>
  <c r="O413" i="3"/>
  <c r="O415" i="3"/>
  <c r="O417" i="3"/>
  <c r="O419" i="3"/>
  <c r="O423" i="3"/>
  <c r="O425" i="3"/>
  <c r="O427" i="3"/>
  <c r="O429" i="3"/>
  <c r="O431" i="3"/>
  <c r="O140" i="3"/>
  <c r="O156" i="3"/>
  <c r="O172" i="3"/>
  <c r="O188" i="3"/>
  <c r="O204" i="3"/>
  <c r="O220" i="3"/>
  <c r="O236" i="3"/>
  <c r="O252" i="3"/>
  <c r="O268" i="3"/>
  <c r="O566" i="3"/>
  <c r="O578" i="3"/>
  <c r="O590" i="3"/>
  <c r="O606" i="3"/>
  <c r="O622" i="3"/>
  <c r="O638" i="3"/>
  <c r="O654" i="3"/>
  <c r="O670" i="3"/>
  <c r="O679" i="3"/>
  <c r="O681" i="3"/>
  <c r="O683" i="3"/>
  <c r="O685" i="3"/>
  <c r="O687" i="3"/>
  <c r="O689" i="3"/>
  <c r="O691" i="3"/>
  <c r="O693" i="3"/>
  <c r="O695" i="3"/>
  <c r="O697" i="3"/>
  <c r="O699" i="3"/>
  <c r="O701" i="3"/>
  <c r="O703" i="3"/>
  <c r="O705" i="3"/>
  <c r="O707" i="3"/>
  <c r="O709" i="3"/>
  <c r="O711" i="3"/>
  <c r="O713" i="3"/>
  <c r="O715" i="3"/>
  <c r="O138" i="3"/>
  <c r="O154" i="3"/>
  <c r="O170" i="3"/>
  <c r="O186" i="3"/>
  <c r="O202" i="3"/>
  <c r="O218" i="3"/>
  <c r="O234" i="3"/>
  <c r="O250" i="3"/>
  <c r="O266" i="3"/>
  <c r="O552" i="3"/>
  <c r="O564" i="3"/>
  <c r="O576" i="3"/>
  <c r="O604" i="3"/>
  <c r="O620" i="3"/>
  <c r="O636" i="3"/>
  <c r="O652" i="3"/>
  <c r="O668" i="3"/>
  <c r="O168" i="3"/>
  <c r="O196" i="3"/>
  <c r="O246" i="3"/>
  <c r="O290" i="3"/>
  <c r="O306" i="3"/>
  <c r="O322" i="3"/>
  <c r="O338" i="3"/>
  <c r="O354" i="3"/>
  <c r="O370" i="3"/>
  <c r="O386" i="3"/>
  <c r="O402" i="3"/>
  <c r="O420" i="3"/>
  <c r="O422" i="3"/>
  <c r="O550" i="3"/>
  <c r="O560" i="3"/>
  <c r="O580" i="3"/>
  <c r="O598" i="3"/>
  <c r="O630" i="3"/>
  <c r="O662" i="3"/>
  <c r="O686" i="3"/>
  <c r="O702" i="3"/>
  <c r="O718" i="3"/>
  <c r="O724" i="3"/>
  <c r="O728" i="3"/>
  <c r="O732" i="3"/>
  <c r="O736" i="3"/>
  <c r="O740" i="3"/>
  <c r="O742" i="3"/>
  <c r="O746" i="3"/>
  <c r="O748" i="3"/>
  <c r="O752" i="3"/>
  <c r="O756" i="3"/>
  <c r="O758" i="3"/>
  <c r="O762" i="3"/>
  <c r="O764" i="3"/>
  <c r="O768" i="3"/>
  <c r="O772" i="3"/>
  <c r="O774" i="3"/>
  <c r="O778" i="3"/>
  <c r="O782" i="3"/>
  <c r="O786" i="3"/>
  <c r="O790" i="3"/>
  <c r="O794" i="3"/>
  <c r="O798" i="3"/>
  <c r="O800" i="3"/>
  <c r="O804" i="3"/>
  <c r="O806" i="3"/>
  <c r="O810" i="3"/>
  <c r="O814" i="3"/>
  <c r="O818" i="3"/>
  <c r="O822" i="3"/>
  <c r="O824" i="3"/>
  <c r="O828" i="3"/>
  <c r="O832" i="3"/>
  <c r="O836" i="3"/>
  <c r="O838" i="3"/>
  <c r="O842" i="3"/>
  <c r="O846" i="3"/>
  <c r="O850" i="3"/>
  <c r="O854" i="3"/>
  <c r="O858" i="3"/>
  <c r="O860" i="3"/>
  <c r="O864" i="3"/>
  <c r="O868" i="3"/>
  <c r="O870" i="3"/>
  <c r="O874" i="3"/>
  <c r="O876" i="3"/>
  <c r="O880" i="3"/>
  <c r="O884" i="3"/>
  <c r="O886" i="3"/>
  <c r="O890" i="3"/>
  <c r="O892" i="3"/>
  <c r="O896" i="3"/>
  <c r="O898" i="3"/>
  <c r="O902" i="3"/>
  <c r="O904" i="3"/>
  <c r="O908" i="3"/>
  <c r="O912" i="3"/>
  <c r="O916" i="3"/>
  <c r="O918" i="3"/>
  <c r="O922" i="3"/>
  <c r="O166" i="3"/>
  <c r="O216" i="3"/>
  <c r="O244" i="3"/>
  <c r="O288" i="3"/>
  <c r="O304" i="3"/>
  <c r="O320" i="3"/>
  <c r="O336" i="3"/>
  <c r="O352" i="3"/>
  <c r="O368" i="3"/>
  <c r="O384" i="3"/>
  <c r="O400" i="3"/>
  <c r="O409" i="3"/>
  <c r="O418" i="3"/>
  <c r="O548" i="3"/>
  <c r="O558" i="3"/>
  <c r="O608" i="3"/>
  <c r="O640" i="3"/>
  <c r="O672" i="3"/>
  <c r="O684" i="3"/>
  <c r="O700" i="3"/>
  <c r="O716" i="3"/>
  <c r="O720" i="3"/>
  <c r="O722" i="3"/>
  <c r="O726" i="3"/>
  <c r="O730" i="3"/>
  <c r="O734" i="3"/>
  <c r="O738" i="3"/>
  <c r="O744" i="3"/>
  <c r="O750" i="3"/>
  <c r="O754" i="3"/>
  <c r="O760" i="3"/>
  <c r="O766" i="3"/>
  <c r="O770" i="3"/>
  <c r="O776" i="3"/>
  <c r="O780" i="3"/>
  <c r="O784" i="3"/>
  <c r="O788" i="3"/>
  <c r="O792" i="3"/>
  <c r="O796" i="3"/>
  <c r="O802" i="3"/>
  <c r="O808" i="3"/>
  <c r="O812" i="3"/>
  <c r="O816" i="3"/>
  <c r="O820" i="3"/>
  <c r="O826" i="3"/>
  <c r="O830" i="3"/>
  <c r="O834" i="3"/>
  <c r="O840" i="3"/>
  <c r="O844" i="3"/>
  <c r="O848" i="3"/>
  <c r="O852" i="3"/>
  <c r="O856" i="3"/>
  <c r="O862" i="3"/>
  <c r="O866" i="3"/>
  <c r="O872" i="3"/>
  <c r="O878" i="3"/>
  <c r="O882" i="3"/>
  <c r="O888" i="3"/>
  <c r="O894" i="3"/>
  <c r="O900" i="3"/>
  <c r="O906" i="3"/>
  <c r="O910" i="3"/>
  <c r="O914" i="3"/>
  <c r="O920" i="3"/>
  <c r="O136" i="3"/>
  <c r="O164" i="3"/>
  <c r="O214" i="3"/>
  <c r="O264" i="3"/>
  <c r="O286" i="3"/>
  <c r="O302" i="3"/>
  <c r="O318" i="3"/>
  <c r="O334" i="3"/>
  <c r="O350" i="3"/>
  <c r="O366" i="3"/>
  <c r="O382" i="3"/>
  <c r="O398" i="3"/>
  <c r="O416" i="3"/>
  <c r="O546" i="3"/>
  <c r="O568" i="3"/>
  <c r="O618" i="3"/>
  <c r="O650" i="3"/>
  <c r="O682" i="3"/>
  <c r="O698" i="3"/>
  <c r="O714" i="3"/>
  <c r="O861" i="3"/>
  <c r="O895" i="3"/>
  <c r="O134" i="3"/>
  <c r="O184" i="3"/>
  <c r="O212" i="3"/>
  <c r="O262" i="3"/>
  <c r="O284" i="3"/>
  <c r="O300" i="3"/>
  <c r="O316" i="3"/>
  <c r="O332" i="3"/>
  <c r="O348" i="3"/>
  <c r="O364" i="3"/>
  <c r="O380" i="3"/>
  <c r="O396" i="3"/>
  <c r="O414" i="3"/>
  <c r="O432" i="3"/>
  <c r="O434" i="3"/>
  <c r="O436" i="3"/>
  <c r="O438" i="3"/>
  <c r="O440" i="3"/>
  <c r="O442" i="3"/>
  <c r="O444" i="3"/>
  <c r="O446" i="3"/>
  <c r="O448" i="3"/>
  <c r="O450" i="3"/>
  <c r="O452" i="3"/>
  <c r="O454" i="3"/>
  <c r="O456" i="3"/>
  <c r="O458" i="3"/>
  <c r="O460" i="3"/>
  <c r="O462" i="3"/>
  <c r="O464" i="3"/>
  <c r="O466" i="3"/>
  <c r="O468" i="3"/>
  <c r="O470" i="3"/>
  <c r="O472" i="3"/>
  <c r="O474" i="3"/>
  <c r="O476" i="3"/>
  <c r="O478" i="3"/>
  <c r="O480" i="3"/>
  <c r="O482" i="3"/>
  <c r="O484" i="3"/>
  <c r="O486" i="3"/>
  <c r="O488" i="3"/>
  <c r="O490" i="3"/>
  <c r="O492" i="3"/>
  <c r="O494" i="3"/>
  <c r="O496" i="3"/>
  <c r="O498" i="3"/>
  <c r="O500" i="3"/>
  <c r="O502" i="3"/>
  <c r="O504" i="3"/>
  <c r="O616" i="3"/>
  <c r="O648" i="3"/>
  <c r="O680" i="3"/>
  <c r="O696" i="3"/>
  <c r="O712" i="3"/>
  <c r="O839" i="3"/>
  <c r="O887" i="3"/>
  <c r="O132" i="3"/>
  <c r="O182" i="3"/>
  <c r="O232" i="3"/>
  <c r="O260" i="3"/>
  <c r="O282" i="3"/>
  <c r="O298" i="3"/>
  <c r="O314" i="3"/>
  <c r="O330" i="3"/>
  <c r="O346" i="3"/>
  <c r="O362" i="3"/>
  <c r="O378" i="3"/>
  <c r="O394" i="3"/>
  <c r="O412" i="3"/>
  <c r="O421" i="3"/>
  <c r="O430" i="3"/>
  <c r="O614" i="3"/>
  <c r="O646" i="3"/>
  <c r="O678" i="3"/>
  <c r="O694" i="3"/>
  <c r="O710" i="3"/>
  <c r="O757" i="3"/>
  <c r="O793" i="3"/>
  <c r="O801" i="3"/>
  <c r="O805" i="3"/>
  <c r="O811" i="3"/>
  <c r="O815" i="3"/>
  <c r="O819" i="3"/>
  <c r="O823" i="3"/>
  <c r="O829" i="3"/>
  <c r="O833" i="3"/>
  <c r="O837" i="3"/>
  <c r="O843" i="3"/>
  <c r="O847" i="3"/>
  <c r="O849" i="3"/>
  <c r="O853" i="3"/>
  <c r="O857" i="3"/>
  <c r="O865" i="3"/>
  <c r="O869" i="3"/>
  <c r="O875" i="3"/>
  <c r="O879" i="3"/>
  <c r="O883" i="3"/>
  <c r="O891" i="3"/>
  <c r="O897" i="3"/>
  <c r="O152" i="3"/>
  <c r="O180" i="3"/>
  <c r="O230" i="3"/>
  <c r="O280" i="3"/>
  <c r="O296" i="3"/>
  <c r="O312" i="3"/>
  <c r="O328" i="3"/>
  <c r="O344" i="3"/>
  <c r="O360" i="3"/>
  <c r="O376" i="3"/>
  <c r="O392" i="3"/>
  <c r="O408" i="3"/>
  <c r="O410" i="3"/>
  <c r="O428" i="3"/>
  <c r="O574" i="3"/>
  <c r="O592" i="3"/>
  <c r="O624" i="3"/>
  <c r="O656" i="3"/>
  <c r="O692" i="3"/>
  <c r="O708" i="3"/>
  <c r="O717" i="3"/>
  <c r="O719" i="3"/>
  <c r="O721" i="3"/>
  <c r="O723" i="3"/>
  <c r="O725" i="3"/>
  <c r="O727" i="3"/>
  <c r="O729" i="3"/>
  <c r="O731" i="3"/>
  <c r="O733" i="3"/>
  <c r="O735" i="3"/>
  <c r="O737" i="3"/>
  <c r="O739" i="3"/>
  <c r="O741" i="3"/>
  <c r="O743" i="3"/>
  <c r="O745" i="3"/>
  <c r="O747" i="3"/>
  <c r="O749" i="3"/>
  <c r="O751" i="3"/>
  <c r="O753" i="3"/>
  <c r="O755" i="3"/>
  <c r="O759" i="3"/>
  <c r="O761" i="3"/>
  <c r="O763" i="3"/>
  <c r="O765" i="3"/>
  <c r="O767" i="3"/>
  <c r="O769" i="3"/>
  <c r="O771" i="3"/>
  <c r="O773" i="3"/>
  <c r="O775" i="3"/>
  <c r="O777" i="3"/>
  <c r="O779" i="3"/>
  <c r="O781" i="3"/>
  <c r="O783" i="3"/>
  <c r="O785" i="3"/>
  <c r="O787" i="3"/>
  <c r="O789" i="3"/>
  <c r="O791" i="3"/>
  <c r="O795" i="3"/>
  <c r="O797" i="3"/>
  <c r="O799" i="3"/>
  <c r="O803" i="3"/>
  <c r="O807" i="3"/>
  <c r="O809" i="3"/>
  <c r="O813" i="3"/>
  <c r="O817" i="3"/>
  <c r="O821" i="3"/>
  <c r="O825" i="3"/>
  <c r="O827" i="3"/>
  <c r="O831" i="3"/>
  <c r="O835" i="3"/>
  <c r="O841" i="3"/>
  <c r="O845" i="3"/>
  <c r="O851" i="3"/>
  <c r="O855" i="3"/>
  <c r="O859" i="3"/>
  <c r="O863" i="3"/>
  <c r="O867" i="3"/>
  <c r="O871" i="3"/>
  <c r="O873" i="3"/>
  <c r="O877" i="3"/>
  <c r="O881" i="3"/>
  <c r="O885" i="3"/>
  <c r="O889" i="3"/>
  <c r="O893" i="3"/>
  <c r="O899" i="3"/>
  <c r="O228" i="3"/>
  <c r="O324" i="3"/>
  <c r="O388" i="3"/>
  <c r="O424" i="3"/>
  <c r="O443" i="3"/>
  <c r="O459" i="3"/>
  <c r="O475" i="3"/>
  <c r="O491" i="3"/>
  <c r="O634" i="3"/>
  <c r="O901" i="3"/>
  <c r="O917" i="3"/>
  <c r="O278" i="3"/>
  <c r="O342" i="3"/>
  <c r="O406" i="3"/>
  <c r="O441" i="3"/>
  <c r="O457" i="3"/>
  <c r="O473" i="3"/>
  <c r="O489" i="3"/>
  <c r="O505" i="3"/>
  <c r="O632" i="3"/>
  <c r="O915" i="3"/>
  <c r="O924" i="3"/>
  <c r="O926" i="3"/>
  <c r="O928" i="3"/>
  <c r="O930" i="3"/>
  <c r="O932" i="3"/>
  <c r="O934" i="3"/>
  <c r="O936" i="3"/>
  <c r="O938" i="3"/>
  <c r="O940" i="3"/>
  <c r="O942" i="3"/>
  <c r="O944" i="3"/>
  <c r="O946" i="3"/>
  <c r="O948" i="3"/>
  <c r="O950" i="3"/>
  <c r="O952" i="3"/>
  <c r="O954" i="3"/>
  <c r="O956" i="3"/>
  <c r="O958" i="3"/>
  <c r="O960" i="3"/>
  <c r="O962" i="3"/>
  <c r="O964" i="3"/>
  <c r="O966" i="3"/>
  <c r="O968" i="3"/>
  <c r="O970" i="3"/>
  <c r="O972" i="3"/>
  <c r="O974" i="3"/>
  <c r="O976" i="3"/>
  <c r="O978" i="3"/>
  <c r="O980" i="3"/>
  <c r="O982" i="3"/>
  <c r="O984" i="3"/>
  <c r="O986" i="3"/>
  <c r="O988" i="3"/>
  <c r="O990" i="3"/>
  <c r="O992" i="3"/>
  <c r="O994" i="3"/>
  <c r="O996" i="3"/>
  <c r="O1000" i="3"/>
  <c r="O1002" i="3"/>
  <c r="O1004" i="3"/>
  <c r="O963" i="3"/>
  <c r="O977" i="3"/>
  <c r="O989" i="3"/>
  <c r="O999" i="3"/>
  <c r="O998" i="3"/>
  <c r="O965" i="3"/>
  <c r="O981" i="3"/>
  <c r="O997" i="3"/>
  <c r="O106" i="3"/>
  <c r="O276" i="3"/>
  <c r="O340" i="3"/>
  <c r="O404" i="3"/>
  <c r="O439" i="3"/>
  <c r="O455" i="3"/>
  <c r="O471" i="3"/>
  <c r="O487" i="3"/>
  <c r="O503" i="3"/>
  <c r="O666" i="3"/>
  <c r="O913" i="3"/>
  <c r="O967" i="3"/>
  <c r="O987" i="3"/>
  <c r="O1001" i="3"/>
  <c r="O463" i="3"/>
  <c r="O921" i="3"/>
  <c r="O426" i="3"/>
  <c r="O704" i="3"/>
  <c r="O903" i="3"/>
  <c r="O150" i="3"/>
  <c r="O200" i="3"/>
  <c r="O294" i="3"/>
  <c r="O358" i="3"/>
  <c r="O437" i="3"/>
  <c r="O453" i="3"/>
  <c r="O469" i="3"/>
  <c r="O485" i="3"/>
  <c r="O501" i="3"/>
  <c r="O664" i="3"/>
  <c r="O911" i="3"/>
  <c r="O971" i="3"/>
  <c r="O985" i="3"/>
  <c r="O995" i="3"/>
  <c r="O308" i="3"/>
  <c r="O495" i="3"/>
  <c r="O706" i="3"/>
  <c r="O461" i="3"/>
  <c r="O493" i="3"/>
  <c r="O600" i="3"/>
  <c r="O148" i="3"/>
  <c r="O198" i="3"/>
  <c r="O292" i="3"/>
  <c r="O356" i="3"/>
  <c r="O435" i="3"/>
  <c r="O451" i="3"/>
  <c r="O467" i="3"/>
  <c r="O483" i="3"/>
  <c r="O499" i="3"/>
  <c r="O562" i="3"/>
  <c r="O690" i="3"/>
  <c r="O909" i="3"/>
  <c r="O973" i="3"/>
  <c r="O983" i="3"/>
  <c r="O993" i="3"/>
  <c r="O447" i="3"/>
  <c r="O326" i="3"/>
  <c r="O390" i="3"/>
  <c r="O477" i="3"/>
  <c r="O919" i="3"/>
  <c r="O248" i="3"/>
  <c r="O310" i="3"/>
  <c r="O374" i="3"/>
  <c r="O433" i="3"/>
  <c r="O449" i="3"/>
  <c r="O465" i="3"/>
  <c r="O481" i="3"/>
  <c r="O497" i="3"/>
  <c r="O688" i="3"/>
  <c r="O907" i="3"/>
  <c r="O923" i="3"/>
  <c r="O925" i="3"/>
  <c r="O927" i="3"/>
  <c r="O929" i="3"/>
  <c r="O931" i="3"/>
  <c r="O933" i="3"/>
  <c r="O935" i="3"/>
  <c r="O937" i="3"/>
  <c r="O939" i="3"/>
  <c r="O941" i="3"/>
  <c r="O943" i="3"/>
  <c r="O945" i="3"/>
  <c r="O947" i="3"/>
  <c r="O949" i="3"/>
  <c r="O951" i="3"/>
  <c r="O953" i="3"/>
  <c r="O955" i="3"/>
  <c r="O957" i="3"/>
  <c r="O959" i="3"/>
  <c r="O961" i="3"/>
  <c r="O969" i="3"/>
  <c r="O975" i="3"/>
  <c r="O979" i="3"/>
  <c r="O991" i="3"/>
  <c r="O1003" i="3"/>
  <c r="O372" i="3"/>
  <c r="O479" i="3"/>
  <c r="O602" i="3"/>
  <c r="O905" i="3"/>
  <c r="O445" i="3"/>
  <c r="O85" i="3"/>
  <c r="O95" i="3"/>
  <c r="O97" i="3"/>
  <c r="O79" i="3"/>
  <c r="O96" i="3"/>
  <c r="O58" i="3"/>
  <c r="O91" i="3"/>
  <c r="O36" i="3"/>
  <c r="O30" i="3"/>
  <c r="O61" i="3"/>
  <c r="O42" i="3"/>
  <c r="O56" i="3"/>
  <c r="O81" i="3"/>
  <c r="O39" i="3"/>
  <c r="O92" i="3"/>
  <c r="O75" i="3"/>
  <c r="O9" i="3"/>
  <c r="O65" i="3"/>
  <c r="O7" i="3"/>
  <c r="O101" i="3"/>
  <c r="O55" i="3"/>
  <c r="O83" i="3"/>
  <c r="O53" i="3"/>
  <c r="O40" i="3"/>
  <c r="O6" i="3"/>
  <c r="O88" i="3"/>
  <c r="O74" i="3"/>
  <c r="O12" i="3"/>
  <c r="O32" i="3"/>
  <c r="O41" i="3"/>
  <c r="O78" i="3"/>
  <c r="O43" i="3"/>
  <c r="O68" i="3"/>
  <c r="O16" i="3"/>
  <c r="O34" i="3"/>
  <c r="O99" i="3"/>
  <c r="O13" i="3"/>
  <c r="O54" i="3"/>
  <c r="O50" i="3"/>
  <c r="O25" i="3"/>
  <c r="O17" i="3"/>
  <c r="O19" i="3"/>
  <c r="O10" i="3"/>
  <c r="O87" i="3"/>
  <c r="O51" i="3"/>
  <c r="O49" i="3"/>
  <c r="O38" i="3"/>
  <c r="O71" i="3"/>
  <c r="O64" i="3"/>
  <c r="O63" i="3"/>
  <c r="O70" i="3"/>
  <c r="O86" i="3"/>
  <c r="O31" i="3"/>
  <c r="O5" i="3"/>
  <c r="O52" i="3"/>
  <c r="O46" i="3"/>
  <c r="O44" i="3"/>
  <c r="O73" i="3"/>
  <c r="O35" i="3"/>
  <c r="O100" i="3"/>
  <c r="O26" i="3"/>
  <c r="O45" i="3"/>
  <c r="O22" i="3"/>
  <c r="O11" i="3"/>
  <c r="O104" i="3"/>
  <c r="O20" i="3"/>
  <c r="O14" i="3"/>
  <c r="O98" i="3"/>
  <c r="O28" i="3"/>
  <c r="O67" i="3"/>
  <c r="O24" i="3"/>
  <c r="O21" i="3"/>
  <c r="O60" i="3"/>
  <c r="O84" i="3"/>
  <c r="O102" i="3"/>
  <c r="O72" i="3"/>
  <c r="O80" i="3"/>
  <c r="O82" i="3"/>
  <c r="O59" i="3"/>
  <c r="O29" i="3"/>
  <c r="O15" i="3"/>
  <c r="O18" i="3"/>
  <c r="O48" i="3"/>
  <c r="O62" i="3"/>
  <c r="O27" i="3"/>
  <c r="O33" i="3"/>
  <c r="O94" i="3"/>
  <c r="O103" i="3"/>
  <c r="O77" i="3"/>
  <c r="O47" i="3"/>
  <c r="O66" i="3"/>
  <c r="O93" i="3"/>
  <c r="O89" i="3"/>
  <c r="O37" i="3"/>
  <c r="O90" i="3"/>
  <c r="O23" i="3"/>
  <c r="O76" i="3"/>
  <c r="O69" i="3"/>
  <c r="T5" i="3" l="1"/>
  <c r="T6" i="3" s="1"/>
</calcChain>
</file>

<file path=xl/sharedStrings.xml><?xml version="1.0" encoding="utf-8"?>
<sst xmlns="http://schemas.openxmlformats.org/spreadsheetml/2006/main" count="498" uniqueCount="72">
  <si>
    <t>Residual</t>
  </si>
  <si>
    <t/>
  </si>
  <si>
    <t>Predicted test score:</t>
  </si>
  <si>
    <t>Predicted test score</t>
  </si>
  <si>
    <t>Determine SD(residual) to use; DO NOT MAKE CHANGES HERE</t>
  </si>
  <si>
    <t>ONLY MAKE CHANGES IN THE GREY HIGHLIGHTED CELLS</t>
  </si>
  <si>
    <t>[SPECIFY THE APPROPRIATE FORMULA IN CELL B27 TO COMPUTE</t>
  </si>
  <si>
    <t xml:space="preserve">THE PREDICTED TEST SCORE BASED ON THE INPUT PROVIDED   </t>
  </si>
  <si>
    <t xml:space="preserve"> IN SHEET 1 (E.G. SPECIFIED GENDER) + COPY-PASTED STAGE 1 MODEL]</t>
  </si>
  <si>
    <t>Computed residual:</t>
  </si>
  <si>
    <t>Percentile</t>
  </si>
  <si>
    <t>Delta</t>
  </si>
  <si>
    <t>Std. Residual:</t>
  </si>
  <si>
    <t>Determine percentile</t>
  </si>
  <si>
    <t>Abs diff delta</t>
  </si>
  <si>
    <t>Min abs delta</t>
  </si>
  <si>
    <t>Predicted score:</t>
  </si>
  <si>
    <t>Estimate</t>
  </si>
  <si>
    <t>Assuming homoscedasticity</t>
  </si>
  <si>
    <t>https://www.excel-easy.com/examples/closest-match.html</t>
  </si>
  <si>
    <t>Formula, see:</t>
  </si>
  <si>
    <t>Res. Std error</t>
  </si>
  <si>
    <t>Checks</t>
  </si>
  <si>
    <t>Overall resid std error entered</t>
  </si>
  <si>
    <t>Resid std per group</t>
  </si>
  <si>
    <t>Variance function</t>
  </si>
  <si>
    <t>Som</t>
  </si>
  <si>
    <r>
      <t xml:space="preserve">Not assuming homoscedasticity, </t>
    </r>
    <r>
      <rPr>
        <b/>
        <sz val="12"/>
        <color theme="4"/>
        <rFont val="Calibri (Hoofdtekst)"/>
      </rPr>
      <t>variance function</t>
    </r>
  </si>
  <si>
    <r>
      <t xml:space="preserve">Not assuming homoscedasticity, </t>
    </r>
    <r>
      <rPr>
        <b/>
        <sz val="12"/>
        <color theme="4"/>
        <rFont val="Calibri (Hoofdtekst)"/>
      </rPr>
      <t>residual std.error per group</t>
    </r>
    <r>
      <rPr>
        <b/>
        <sz val="12"/>
        <color theme="1"/>
        <rFont val="Calibri"/>
        <family val="2"/>
        <scheme val="minor"/>
      </rPr>
      <t>:</t>
    </r>
  </si>
  <si>
    <t>X</t>
  </si>
  <si>
    <t>Beta x X</t>
  </si>
  <si>
    <t>Predicted VARIANCE</t>
  </si>
  <si>
    <t>(check should be 1 to be OK)</t>
  </si>
  <si>
    <t>A</t>
  </si>
  <si>
    <t>B</t>
  </si>
  <si>
    <t>C</t>
  </si>
  <si>
    <t>Residual variance</t>
  </si>
  <si>
    <t>Not assuming homoscedasticity, prediction-specific residual variances:</t>
  </si>
  <si>
    <t>Residual std. Error</t>
  </si>
  <si>
    <t>COPY-PASTE FINAL STAGE 1 MEAN PREDICTION FUNCTION HERE:</t>
  </si>
  <si>
    <t>COPY-PASTE FINAL STAGE 1 VARIANCE PREDICTION FUNCTION HERE:</t>
  </si>
  <si>
    <t xml:space="preserve">Residual Std.Error to be used: </t>
  </si>
  <si>
    <t>Not assuming homoscedasticity, continuous variance prediction function:</t>
  </si>
  <si>
    <t>COPY-PASTE PERCENTILE RANKS DELTA HERE:</t>
  </si>
  <si>
    <t>Percentile rank</t>
  </si>
  <si>
    <t>Please fill in the raw test score:</t>
  </si>
  <si>
    <t xml:space="preserve">Please fill in the relevant independent variables: </t>
  </si>
  <si>
    <t>Age</t>
  </si>
  <si>
    <t>Sex</t>
  </si>
  <si>
    <t>Years of Education</t>
  </si>
  <si>
    <t>Years</t>
  </si>
  <si>
    <t>RAVLT Learning</t>
  </si>
  <si>
    <t>RAVLT Delayed</t>
  </si>
  <si>
    <t>Digit Span Forward</t>
  </si>
  <si>
    <t>Digit Span Backward</t>
  </si>
  <si>
    <t>Trail Making Test A</t>
  </si>
  <si>
    <t>Trail Making Test B</t>
  </si>
  <si>
    <t>Semantic Fluency</t>
  </si>
  <si>
    <t>Phonological Fluency</t>
  </si>
  <si>
    <t>Predicted Test score</t>
  </si>
  <si>
    <t>Regression Based Normative Data</t>
  </si>
  <si>
    <t>Residual Standard Error</t>
  </si>
  <si>
    <t>(Intercept)</t>
  </si>
  <si>
    <t>ageC</t>
  </si>
  <si>
    <t>sexM</t>
  </si>
  <si>
    <t>years_education</t>
  </si>
  <si>
    <t>Pred.Y</t>
  </si>
  <si>
    <t>Pred.Y.2</t>
  </si>
  <si>
    <t>Pred.Y.3</t>
  </si>
  <si>
    <t>Standardarized Residual (z-score)</t>
  </si>
  <si>
    <t>sex1</t>
  </si>
  <si>
    <t>Male = 1; Female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</si>
</sst>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 tint="4.9989318521683403E-2"/>
      <name val="Calibri (Hoofdtekst)"/>
    </font>
    <font>
      <sz val="12"/>
      <color theme="1" tint="4.9989318521683403E-2"/>
      <name val="Calibri (Hoofdtekst)"/>
    </font>
    <font>
      <b/>
      <sz val="24"/>
      <color theme="1" tint="4.9989318521683403E-2"/>
      <name val="Calibri"/>
      <family val="2"/>
      <scheme val="minor"/>
    </font>
    <font>
      <b/>
      <sz val="12"/>
      <color theme="1" tint="4.9989318521683403E-2"/>
      <name val="Calibri (Hoofdtekst)"/>
    </font>
    <font>
      <sz val="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4"/>
      <name val="Calibri (Hoofdtekst)"/>
    </font>
    <font>
      <b/>
      <sz val="12"/>
      <color theme="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theme="1" tint="4.9989318521683403E-2"/>
      <name val="Calibri"/>
      <family val="2"/>
      <scheme val="minor"/>
    </font>
    <font>
      <b/>
      <sz val="12"/>
      <color theme="0"/>
      <name val="Calibri (Hoofdtekst)"/>
    </font>
    <font>
      <sz val="7"/>
      <color rgb="FF4D4D4C"/>
      <name val="Consolas"/>
      <family val="3"/>
    </font>
    <font>
      <sz val="7"/>
      <color rgb="FFF8F8F2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2" fillId="0" borderId="1" xfId="0" applyFont="1" applyBorder="1"/>
    <xf numFmtId="0" fontId="4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5" xfId="0" applyFill="1" applyBorder="1"/>
    <xf numFmtId="0" fontId="0" fillId="3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7" fillId="0" borderId="0" xfId="0" applyFont="1"/>
    <xf numFmtId="0" fontId="0" fillId="4" borderId="0" xfId="0" applyFill="1" applyAlignment="1">
      <alignment horizontal="center"/>
    </xf>
    <xf numFmtId="0" fontId="8" fillId="0" borderId="0" xfId="0" applyFont="1"/>
    <xf numFmtId="0" fontId="10" fillId="0" borderId="0" xfId="0" applyFont="1"/>
    <xf numFmtId="0" fontId="0" fillId="5" borderId="0" xfId="0" applyFill="1"/>
    <xf numFmtId="0" fontId="0" fillId="5" borderId="0" xfId="0" applyFill="1" applyAlignment="1">
      <alignment horizontal="center"/>
    </xf>
    <xf numFmtId="0" fontId="8" fillId="5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6" xfId="0" applyFill="1" applyBorder="1"/>
    <xf numFmtId="0" fontId="0" fillId="2" borderId="1" xfId="0" applyFill="1" applyBorder="1"/>
    <xf numFmtId="0" fontId="0" fillId="2" borderId="4" xfId="0" applyFill="1" applyBorder="1"/>
    <xf numFmtId="0" fontId="0" fillId="2" borderId="8" xfId="0" applyFill="1" applyBorder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2" borderId="4" xfId="0" applyFill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6" fillId="0" borderId="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/>
    </xf>
    <xf numFmtId="0" fontId="14" fillId="7" borderId="0" xfId="0" applyFont="1" applyFill="1" applyAlignment="1">
      <alignment vertical="center"/>
    </xf>
    <xf numFmtId="0" fontId="6" fillId="8" borderId="8" xfId="0" applyFont="1" applyFill="1" applyBorder="1"/>
    <xf numFmtId="0" fontId="5" fillId="0" borderId="10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0" fillId="0" borderId="3" xfId="0" applyBorder="1"/>
    <xf numFmtId="0" fontId="0" fillId="9" borderId="0" xfId="0" applyFill="1"/>
    <xf numFmtId="3" fontId="15" fillId="0" borderId="0" xfId="0" applyNumberFormat="1" applyFont="1" applyAlignment="1">
      <alignment vertical="center"/>
    </xf>
    <xf numFmtId="0" fontId="0" fillId="9" borderId="6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8" xfId="0" applyFill="1" applyBorder="1"/>
    <xf numFmtId="0" fontId="4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358206</xdr:colOff>
      <xdr:row>1</xdr:row>
      <xdr:rowOff>97694</xdr:rowOff>
    </xdr:from>
    <xdr:to>
      <xdr:col>6</xdr:col>
      <xdr:colOff>1351411</xdr:colOff>
      <xdr:row>3</xdr:row>
      <xdr:rowOff>142048</xdr:rowOff>
    </xdr:to>
    <xdr:pic>
      <xdr:nvPicPr>
        <xdr:cNvPr id="2" name="1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71" t="28667" r="14249" b="39482"/>
        <a:stretch/>
      </xdr:blipFill>
      <xdr:spPr>
        <a:xfrm>
          <a:off x="5356796" y="179104"/>
          <a:ext cx="3126153" cy="646790"/>
        </a:xfrm>
        <a:prstGeom prst="rect">
          <a:avLst/>
        </a:prstGeom>
      </xdr:spPr>
    </xdr:pic>
    <xdr:clientData/>
  </xdr:twoCellAnchor>
  <xdr:twoCellAnchor editAs="oneCell">
    <xdr:from>
      <xdr:col>5</xdr:col>
      <xdr:colOff>32565</xdr:colOff>
      <xdr:row>3</xdr:row>
      <xdr:rowOff>162822</xdr:rowOff>
    </xdr:from>
    <xdr:to>
      <xdr:col>6</xdr:col>
      <xdr:colOff>729977</xdr:colOff>
      <xdr:row>8</xdr:row>
      <xdr:rowOff>81411</xdr:rowOff>
    </xdr:to>
    <xdr:pic>
      <xdr:nvPicPr>
        <xdr:cNvPr id="4" name="3 Imagen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80" t="39148" r="69729" b="39879"/>
        <a:stretch/>
      </xdr:blipFill>
      <xdr:spPr>
        <a:xfrm>
          <a:off x="5747565" y="846668"/>
          <a:ext cx="1999976" cy="895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1"/>
  <dimension ref="A1:I20"/>
  <sheetViews>
    <sheetView showGridLines="0" tabSelected="1" zoomScale="96" zoomScaleNormal="96" workbookViewId="0">
      <selection activeCell="D19" sqref="D19"/>
    </sheetView>
  </sheetViews>
  <sheetFormatPr baseColWidth="10" defaultColWidth="10.83203125" defaultRowHeight="15.5"/>
  <cols>
    <col min="1" max="1" width="1.83203125" style="4" customWidth="1"/>
    <col min="2" max="2" width="35" style="4" customWidth="1"/>
    <col min="3" max="3" width="10.33203125" style="4" customWidth="1"/>
    <col min="4" max="4" width="18.4140625" style="4" customWidth="1"/>
    <col min="5" max="5" width="10.9140625" style="4" customWidth="1"/>
    <col min="6" max="6" width="17" style="4" customWidth="1"/>
    <col min="7" max="7" width="20.1640625" style="4" customWidth="1"/>
    <col min="8" max="16384" width="10.83203125" style="4"/>
  </cols>
  <sheetData>
    <row r="1" spans="1:9" ht="15.5" customHeight="1" thickBot="1"/>
    <row r="2" spans="1:9" ht="31.5" thickBot="1">
      <c r="A2" s="3"/>
      <c r="B2" s="47" t="s">
        <v>60</v>
      </c>
      <c r="C2" s="48"/>
      <c r="D2" s="49"/>
    </row>
    <row r="4" spans="1:9">
      <c r="A4" s="3"/>
      <c r="B4" s="50" t="s">
        <v>46</v>
      </c>
      <c r="C4" s="51"/>
      <c r="D4" s="52"/>
    </row>
    <row r="5" spans="1:9">
      <c r="A5" s="3"/>
      <c r="B5" s="53"/>
      <c r="C5" s="54"/>
      <c r="D5" s="55"/>
    </row>
    <row r="6" spans="1:9">
      <c r="A6" s="3"/>
      <c r="B6" s="44" t="s">
        <v>47</v>
      </c>
      <c r="C6" s="39"/>
      <c r="D6" s="36" t="s">
        <v>50</v>
      </c>
    </row>
    <row r="7" spans="1:9">
      <c r="A7" s="3"/>
      <c r="B7" s="44" t="s">
        <v>48</v>
      </c>
      <c r="C7" s="39"/>
      <c r="D7" s="36" t="s">
        <v>71</v>
      </c>
    </row>
    <row r="8" spans="1:9">
      <c r="A8" s="3"/>
      <c r="B8" s="44" t="s">
        <v>49</v>
      </c>
      <c r="C8" s="39"/>
      <c r="D8" s="36" t="s">
        <v>50</v>
      </c>
    </row>
    <row r="9" spans="1:9">
      <c r="A9" s="3"/>
      <c r="B9" s="8"/>
    </row>
    <row r="10" spans="1:9">
      <c r="A10" s="3"/>
    </row>
    <row r="11" spans="1:9" ht="31">
      <c r="A11" s="3"/>
      <c r="B11" s="56" t="s">
        <v>45</v>
      </c>
      <c r="C11" s="56"/>
      <c r="D11" s="38" t="s">
        <v>59</v>
      </c>
      <c r="E11" s="38" t="s">
        <v>0</v>
      </c>
      <c r="F11" s="38" t="s">
        <v>61</v>
      </c>
      <c r="G11" s="38" t="s">
        <v>69</v>
      </c>
      <c r="H11" s="37"/>
    </row>
    <row r="12" spans="1:9">
      <c r="A12" s="3"/>
      <c r="B12" s="46" t="s">
        <v>51</v>
      </c>
      <c r="C12" s="64"/>
      <c r="D12" s="40">
        <f>RAVLT_Learning!C27</f>
        <v>65.717593848999229</v>
      </c>
      <c r="E12" s="40">
        <f>RAVLT_Learning!C33</f>
        <v>-65.717593848999229</v>
      </c>
      <c r="F12" s="40">
        <f>RAVLT_Learning!J34</f>
        <v>7.7926799999999998</v>
      </c>
      <c r="G12" s="41">
        <f>RAVLT_Learning!C34</f>
        <v>-8.4332468225307888</v>
      </c>
    </row>
    <row r="13" spans="1:9">
      <c r="A13" s="3"/>
      <c r="B13" s="46" t="s">
        <v>52</v>
      </c>
      <c r="C13" s="64"/>
      <c r="D13" s="40">
        <f>RAVLT_Delayed!C27</f>
        <v>15.50033701796572</v>
      </c>
      <c r="E13" s="40">
        <f>RAVLT_Delayed!C33</f>
        <v>-15.50033701796572</v>
      </c>
      <c r="F13" s="40">
        <f>RAVLT_Delayed!J34</f>
        <v>10.14388109104622</v>
      </c>
      <c r="G13" s="42">
        <f>RAVLT_Delayed!C34</f>
        <v>-1.5280479807326928</v>
      </c>
    </row>
    <row r="14" spans="1:9">
      <c r="A14" s="3"/>
      <c r="B14" s="46" t="s">
        <v>53</v>
      </c>
      <c r="C14" s="64"/>
      <c r="D14" s="40">
        <f>DigDir!C27</f>
        <v>5.2287602081587403</v>
      </c>
      <c r="E14" s="40">
        <f>DigDir!C33</f>
        <v>-5.2287602081587403</v>
      </c>
      <c r="F14" s="40">
        <f>DigDir!J34</f>
        <v>1.040915</v>
      </c>
      <c r="G14" s="42">
        <f>(C14-6.103542234)/1.019033876</f>
        <v>-5.9895381083484214</v>
      </c>
      <c r="I14" s="45"/>
    </row>
    <row r="15" spans="1:9">
      <c r="A15" s="3"/>
      <c r="B15" s="46" t="s">
        <v>54</v>
      </c>
      <c r="C15" s="64"/>
      <c r="D15" s="40">
        <f>DigInv!C27</f>
        <v>4.7129470693248834</v>
      </c>
      <c r="E15" s="40">
        <f>DigInv!C33</f>
        <v>-4.7129470693248834</v>
      </c>
      <c r="F15" s="40">
        <f>DigInv!J34</f>
        <v>1.0698893336330393</v>
      </c>
      <c r="G15" s="42">
        <f>DigInv!C34</f>
        <v>-4.4050790312312564</v>
      </c>
    </row>
    <row r="16" spans="1:9">
      <c r="A16" s="3"/>
      <c r="B16" s="46" t="s">
        <v>55</v>
      </c>
      <c r="C16" s="64"/>
      <c r="D16" s="40">
        <f>TMTA!C27</f>
        <v>-11.618446178571205</v>
      </c>
      <c r="E16" s="40">
        <f>TMTA!C33</f>
        <v>11.618446178571205</v>
      </c>
      <c r="F16" s="40">
        <f>TMTA!J34</f>
        <v>13.675132</v>
      </c>
      <c r="G16" s="42">
        <f>TMTA!C34</f>
        <v>-0.8496039510676171</v>
      </c>
    </row>
    <row r="17" spans="1:7">
      <c r="A17" s="3"/>
      <c r="B17" s="46" t="s">
        <v>56</v>
      </c>
      <c r="C17" s="64"/>
      <c r="D17" s="40">
        <f>TMTB!C27</f>
        <v>-16.515673590144388</v>
      </c>
      <c r="E17" s="40">
        <f>TMTB!C33</f>
        <v>16.515673590144388</v>
      </c>
      <c r="F17" s="40">
        <f>TMTB!J34</f>
        <v>147.40575957721637</v>
      </c>
      <c r="G17" s="42">
        <f>TMTB!C34</f>
        <v>-0.112042254234258</v>
      </c>
    </row>
    <row r="18" spans="1:7">
      <c r="A18" s="3"/>
      <c r="B18" s="46" t="s">
        <v>57</v>
      </c>
      <c r="C18" s="64"/>
      <c r="D18" s="7">
        <f>SEM!C27</f>
        <v>32.679671897798144</v>
      </c>
      <c r="E18" s="40">
        <f>SEM!C33</f>
        <v>-32.679671897798144</v>
      </c>
      <c r="F18" s="40">
        <f>SEM!J34</f>
        <v>4.2123119999999998</v>
      </c>
      <c r="G18" s="42">
        <f>SEM!C34</f>
        <v>-7.7581318520086224</v>
      </c>
    </row>
    <row r="19" spans="1:7">
      <c r="A19" s="3"/>
      <c r="B19" s="46" t="s">
        <v>58</v>
      </c>
      <c r="C19" s="64"/>
      <c r="D19" s="40">
        <f>FONO!C27</f>
        <v>19.496085041041713</v>
      </c>
      <c r="E19" s="40">
        <f>FONO!C33</f>
        <v>-19.496085041041713</v>
      </c>
      <c r="F19" s="40">
        <f>FONO!J34</f>
        <v>4.3235900000000003</v>
      </c>
      <c r="G19" s="43">
        <f>FONO!C34</f>
        <v>-4.5092353902756068</v>
      </c>
    </row>
    <row r="20" spans="1:7">
      <c r="C20" s="7"/>
      <c r="D20" s="7"/>
      <c r="E20" s="7"/>
      <c r="F20" s="7"/>
      <c r="G20" s="7"/>
    </row>
  </sheetData>
  <mergeCells count="3">
    <mergeCell ref="B2:D2"/>
    <mergeCell ref="B4:D5"/>
    <mergeCell ref="B11:C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topLeftCell="A13" zoomScale="70" zoomScaleNormal="70" workbookViewId="0">
      <selection activeCell="M6" sqref="M6:N1006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str">
        <f>SD_PERC_SEM!A42</f>
        <v xml:space="preserve"> 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7" t="s">
        <v>18</v>
      </c>
      <c r="J5" s="58"/>
      <c r="M5" s="27" t="s">
        <v>11</v>
      </c>
      <c r="N5" s="28" t="s">
        <v>44</v>
      </c>
    </row>
    <row r="6" spans="1:14">
      <c r="B6" t="s">
        <v>62</v>
      </c>
      <c r="C6" s="59">
        <v>18.092831774100699</v>
      </c>
      <c r="I6" s="10" t="s">
        <v>36</v>
      </c>
      <c r="J6" s="59">
        <v>17.743572385343999</v>
      </c>
      <c r="M6" s="59">
        <v>-2.3778320000000002</v>
      </c>
      <c r="N6" s="59">
        <v>0</v>
      </c>
    </row>
    <row r="7" spans="1:14">
      <c r="B7" t="s">
        <v>63</v>
      </c>
      <c r="C7" s="59">
        <v>-0.204641415876788</v>
      </c>
      <c r="M7" s="59">
        <v>-2.3707491709999999</v>
      </c>
      <c r="N7" s="59">
        <v>0.1</v>
      </c>
    </row>
    <row r="8" spans="1:14">
      <c r="B8" t="s">
        <v>65</v>
      </c>
      <c r="C8" s="59">
        <v>0.17360781306046399</v>
      </c>
      <c r="I8" s="9"/>
      <c r="J8" s="9"/>
      <c r="M8" s="59">
        <v>-2.3636663420000001</v>
      </c>
      <c r="N8" s="59">
        <v>0.2</v>
      </c>
    </row>
    <row r="9" spans="1:14">
      <c r="H9" s="9" t="s">
        <v>34</v>
      </c>
      <c r="I9" s="57" t="s">
        <v>37</v>
      </c>
      <c r="J9" s="58"/>
      <c r="M9" s="59">
        <v>-2.352791893</v>
      </c>
      <c r="N9" s="59">
        <v>0.3</v>
      </c>
    </row>
    <row r="10" spans="1:14">
      <c r="B10" s="29"/>
      <c r="C10" s="30"/>
      <c r="I10" s="12" t="s">
        <v>3</v>
      </c>
      <c r="J10" s="13" t="s">
        <v>36</v>
      </c>
      <c r="M10" s="59">
        <v>-2.3205985240000002</v>
      </c>
      <c r="N10" s="59">
        <v>0.4</v>
      </c>
    </row>
    <row r="11" spans="1:14">
      <c r="B11" s="29"/>
      <c r="C11" s="30"/>
      <c r="I11" s="14"/>
      <c r="J11" s="15"/>
      <c r="M11" s="59">
        <v>-2.288405155</v>
      </c>
      <c r="N11" s="59">
        <v>0.5</v>
      </c>
    </row>
    <row r="12" spans="1:14">
      <c r="B12" s="29"/>
      <c r="C12" s="30"/>
      <c r="I12" s="14"/>
      <c r="J12" s="15"/>
      <c r="M12" s="59">
        <v>-2.252567612</v>
      </c>
      <c r="N12" s="59">
        <v>0.6</v>
      </c>
    </row>
    <row r="13" spans="1:14">
      <c r="B13" s="29"/>
      <c r="C13" s="30"/>
      <c r="I13" s="14"/>
      <c r="J13" s="15"/>
      <c r="M13" s="59">
        <v>-2.208307214</v>
      </c>
      <c r="N13" s="59">
        <v>0.7</v>
      </c>
    </row>
    <row r="14" spans="1:14">
      <c r="B14" s="29"/>
      <c r="C14" s="30"/>
      <c r="I14" s="14"/>
      <c r="J14" s="15"/>
      <c r="M14" s="59">
        <v>-2.1640468159999999</v>
      </c>
      <c r="N14" s="59">
        <v>0.8</v>
      </c>
    </row>
    <row r="15" spans="1:14">
      <c r="B15" s="29"/>
      <c r="C15" s="30"/>
      <c r="I15" s="14"/>
      <c r="J15" s="15"/>
      <c r="M15" s="59">
        <v>-2.1383588900000001</v>
      </c>
      <c r="N15" s="59">
        <v>0.9</v>
      </c>
    </row>
    <row r="16" spans="1:14">
      <c r="B16" s="29"/>
      <c r="C16" s="30"/>
      <c r="I16" s="14"/>
      <c r="J16" s="15"/>
      <c r="M16" s="59">
        <v>-2.1350981</v>
      </c>
      <c r="N16" s="59">
        <v>1</v>
      </c>
    </row>
    <row r="17" spans="1:14">
      <c r="B17" s="29"/>
      <c r="C17" s="30"/>
      <c r="I17" s="14"/>
      <c r="J17" s="15"/>
      <c r="M17" s="59">
        <v>-2.1318373099999999</v>
      </c>
      <c r="N17" s="59">
        <v>1.1000000000000001</v>
      </c>
    </row>
    <row r="18" spans="1:14">
      <c r="B18" s="29"/>
      <c r="C18" s="30"/>
      <c r="I18" s="14"/>
      <c r="J18" s="15"/>
      <c r="M18" s="59">
        <v>-2.1211747519999999</v>
      </c>
      <c r="N18" s="59">
        <v>1.2</v>
      </c>
    </row>
    <row r="19" spans="1:14">
      <c r="B19" s="29"/>
      <c r="C19" s="30"/>
      <c r="I19" s="14"/>
      <c r="J19" s="15"/>
      <c r="M19" s="59">
        <v>-2.105659148</v>
      </c>
      <c r="N19" s="59">
        <v>1.3</v>
      </c>
    </row>
    <row r="20" spans="1:14">
      <c r="B20" s="29"/>
      <c r="C20" s="30"/>
      <c r="I20" s="14"/>
      <c r="J20" s="15"/>
      <c r="M20" s="59">
        <v>-2.090143544</v>
      </c>
      <c r="N20" s="59">
        <v>1.4</v>
      </c>
    </row>
    <row r="21" spans="1:14">
      <c r="B21" s="29"/>
      <c r="C21" s="30"/>
      <c r="I21" s="14"/>
      <c r="J21" s="15"/>
      <c r="M21" s="59">
        <v>-2.0392422250000002</v>
      </c>
      <c r="N21" s="59">
        <v>1.5</v>
      </c>
    </row>
    <row r="22" spans="1:14">
      <c r="B22" s="29"/>
      <c r="C22" s="30"/>
      <c r="I22" s="16"/>
      <c r="J22" s="17"/>
      <c r="M22" s="59">
        <v>-1.97685724</v>
      </c>
      <c r="N22" s="59">
        <v>1.6</v>
      </c>
    </row>
    <row r="23" spans="1:14">
      <c r="B23" s="29"/>
      <c r="C23" s="30"/>
      <c r="M23" s="59">
        <v>-1.914472255</v>
      </c>
      <c r="N23" s="59">
        <v>1.7</v>
      </c>
    </row>
    <row r="24" spans="1:14">
      <c r="B24" s="31"/>
      <c r="C24" s="11"/>
      <c r="M24" s="59">
        <v>-1.8794610279999999</v>
      </c>
      <c r="N24" s="59">
        <v>1.8</v>
      </c>
    </row>
    <row r="25" spans="1:14">
      <c r="H25" s="9" t="s">
        <v>35</v>
      </c>
      <c r="I25" s="57" t="s">
        <v>42</v>
      </c>
      <c r="J25" s="58"/>
      <c r="M25" s="59">
        <v>-1.847290474</v>
      </c>
      <c r="N25" s="59">
        <v>1.9</v>
      </c>
    </row>
    <row r="26" spans="1:14">
      <c r="I26" s="12" t="s">
        <v>1</v>
      </c>
      <c r="J26" s="13" t="s">
        <v>17</v>
      </c>
      <c r="M26" s="59">
        <v>-1.8162017399999999</v>
      </c>
      <c r="N26" s="59">
        <v>2</v>
      </c>
    </row>
    <row r="27" spans="1:14">
      <c r="A27" s="34">
        <v>4</v>
      </c>
      <c r="B27" s="2" t="s">
        <v>2</v>
      </c>
      <c r="C27" s="32">
        <f>C6+(C7*('Normative data'!C6-71.28))+(SEM!C8*'Normative data'!C8)</f>
        <v>32.679671897798144</v>
      </c>
      <c r="M27" s="59">
        <v>-1.8030171269999999</v>
      </c>
      <c r="N27" s="59">
        <v>2.1</v>
      </c>
    </row>
    <row r="28" spans="1:14">
      <c r="B28" s="2" t="s">
        <v>6</v>
      </c>
      <c r="C28" s="2"/>
      <c r="D28" s="2"/>
      <c r="E28" s="2"/>
      <c r="F28" s="2"/>
      <c r="M28" s="59">
        <v>-1.789832514</v>
      </c>
      <c r="N28" s="59">
        <v>2.2000000000000002</v>
      </c>
    </row>
    <row r="29" spans="1:14">
      <c r="B29" s="2" t="s">
        <v>7</v>
      </c>
      <c r="C29" s="2"/>
      <c r="D29" s="2"/>
      <c r="E29" s="2"/>
      <c r="F29" s="2"/>
      <c r="M29" s="59">
        <v>-1.7759792210000001</v>
      </c>
      <c r="N29" s="59">
        <v>2.2999999999999998</v>
      </c>
    </row>
    <row r="30" spans="1:14">
      <c r="B30" s="2" t="s">
        <v>8</v>
      </c>
      <c r="M30" s="59">
        <v>-1.759579448</v>
      </c>
      <c r="N30" s="59">
        <v>2.4</v>
      </c>
    </row>
    <row r="31" spans="1:14">
      <c r="I31" s="14"/>
      <c r="J31" s="15"/>
      <c r="M31" s="59">
        <v>-1.7431796749999999</v>
      </c>
      <c r="N31" s="59">
        <v>2.5</v>
      </c>
    </row>
    <row r="32" spans="1:14">
      <c r="I32" s="35"/>
      <c r="J32" s="17"/>
      <c r="M32" s="59">
        <v>-1.7317468220000001</v>
      </c>
      <c r="N32" s="59">
        <v>2.6</v>
      </c>
    </row>
    <row r="33" spans="2:14">
      <c r="B33" t="s">
        <v>9</v>
      </c>
      <c r="C33">
        <f>'Normative data'!C18-SEM!C27</f>
        <v>-32.679671897798144</v>
      </c>
      <c r="M33" s="59">
        <v>-1.7291834690000001</v>
      </c>
      <c r="N33" s="59">
        <v>2.7</v>
      </c>
    </row>
    <row r="34" spans="2:14">
      <c r="B34" t="s">
        <v>12</v>
      </c>
      <c r="C34">
        <f>(C33/SD_PERC_SEM!I38)</f>
        <v>-7.7581318520086224</v>
      </c>
      <c r="I34" t="s">
        <v>41</v>
      </c>
      <c r="J34">
        <f>SD_PERC_SEM!I38</f>
        <v>4.2123119999999998</v>
      </c>
      <c r="M34" s="59">
        <v>-1.7266201160000001</v>
      </c>
      <c r="N34" s="59">
        <v>2.8</v>
      </c>
    </row>
    <row r="35" spans="2:14">
      <c r="M35" s="59">
        <v>-1.717654112</v>
      </c>
      <c r="N35" s="59">
        <v>2.9</v>
      </c>
    </row>
    <row r="36" spans="2:14">
      <c r="M36" s="59">
        <v>-1.7025358399999999</v>
      </c>
      <c r="N36" s="59">
        <v>3</v>
      </c>
    </row>
    <row r="37" spans="2:14">
      <c r="M37" s="59">
        <v>-1.6874175680000001</v>
      </c>
      <c r="N37" s="59">
        <v>3.1</v>
      </c>
    </row>
    <row r="38" spans="2:14">
      <c r="M38" s="59">
        <v>-1.6727150399999999</v>
      </c>
      <c r="N38" s="59">
        <v>3.2</v>
      </c>
    </row>
    <row r="39" spans="2:14">
      <c r="M39" s="59">
        <v>-1.6582257600000001</v>
      </c>
      <c r="N39" s="59">
        <v>3.3</v>
      </c>
    </row>
    <row r="40" spans="2:14">
      <c r="M40" s="59">
        <v>-1.6437364800000001</v>
      </c>
      <c r="N40" s="59">
        <v>3.4</v>
      </c>
    </row>
    <row r="41" spans="2:14">
      <c r="M41" s="59">
        <v>-1.6342019249999999</v>
      </c>
      <c r="N41" s="59">
        <v>3.5</v>
      </c>
    </row>
    <row r="42" spans="2:14">
      <c r="M42" s="59">
        <v>-1.62581478</v>
      </c>
      <c r="N42" s="59">
        <v>3.6</v>
      </c>
    </row>
    <row r="43" spans="2:14">
      <c r="M43" s="59">
        <v>-1.6174276350000001</v>
      </c>
      <c r="N43" s="59">
        <v>3.7</v>
      </c>
    </row>
    <row r="44" spans="2:14">
      <c r="M44" s="59">
        <v>-1.615860992</v>
      </c>
      <c r="N44" s="59">
        <v>3.8</v>
      </c>
    </row>
    <row r="45" spans="2:14">
      <c r="M45" s="59">
        <v>-1.6145566760000001</v>
      </c>
      <c r="N45" s="59">
        <v>3.9</v>
      </c>
    </row>
    <row r="46" spans="2:14">
      <c r="M46" s="59">
        <v>-1.6095144800000001</v>
      </c>
      <c r="N46" s="59">
        <v>4</v>
      </c>
    </row>
    <row r="47" spans="2:14">
      <c r="M47" s="59">
        <v>-1.5754102670000001</v>
      </c>
      <c r="N47" s="59">
        <v>4.0999999999999996</v>
      </c>
    </row>
    <row r="48" spans="2:14">
      <c r="M48" s="59">
        <v>-1.5413060540000001</v>
      </c>
      <c r="N48" s="59">
        <v>4.2</v>
      </c>
    </row>
    <row r="49" spans="13:14">
      <c r="M49" s="59">
        <v>-1.515658052</v>
      </c>
      <c r="N49" s="59">
        <v>4.3</v>
      </c>
    </row>
    <row r="50" spans="13:14">
      <c r="M50" s="59">
        <v>-1.5134692160000001</v>
      </c>
      <c r="N50" s="59">
        <v>4.4000000000000004</v>
      </c>
    </row>
    <row r="51" spans="13:14">
      <c r="M51" s="59">
        <v>-1.5112803800000001</v>
      </c>
      <c r="N51" s="59">
        <v>4.5</v>
      </c>
    </row>
    <row r="52" spans="13:14">
      <c r="M52" s="59">
        <v>-1.5100020000000001</v>
      </c>
      <c r="N52" s="59">
        <v>4.5999999999999996</v>
      </c>
    </row>
    <row r="53" spans="13:14">
      <c r="M53" s="59">
        <v>-1.5100020000000001</v>
      </c>
      <c r="N53" s="59">
        <v>4.7</v>
      </c>
    </row>
    <row r="54" spans="13:14">
      <c r="M54" s="59">
        <v>-1.5100020000000001</v>
      </c>
      <c r="N54" s="59">
        <v>4.8</v>
      </c>
    </row>
    <row r="55" spans="13:14">
      <c r="M55" s="59">
        <v>-1.5086804410000001</v>
      </c>
      <c r="N55" s="59">
        <v>4.9000000000000004</v>
      </c>
    </row>
    <row r="56" spans="13:14">
      <c r="M56" s="59">
        <v>-1.5063494500000001</v>
      </c>
      <c r="N56" s="59">
        <v>5</v>
      </c>
    </row>
    <row r="57" spans="13:14">
      <c r="M57" s="59">
        <v>-1.5040184590000001</v>
      </c>
      <c r="N57" s="59">
        <v>5.0999999999999996</v>
      </c>
    </row>
    <row r="58" spans="13:14">
      <c r="M58" s="59">
        <v>-1.493895124</v>
      </c>
      <c r="N58" s="59">
        <v>5.2</v>
      </c>
    </row>
    <row r="59" spans="13:14">
      <c r="M59" s="59">
        <v>-1.4807105110000001</v>
      </c>
      <c r="N59" s="59">
        <v>5.3</v>
      </c>
    </row>
    <row r="60" spans="13:14">
      <c r="M60" s="59">
        <v>-1.4675258980000001</v>
      </c>
      <c r="N60" s="59">
        <v>5.4</v>
      </c>
    </row>
    <row r="61" spans="13:14">
      <c r="M61" s="59">
        <v>-1.4513257500000001</v>
      </c>
      <c r="N61" s="59">
        <v>5.5</v>
      </c>
    </row>
    <row r="62" spans="13:14">
      <c r="M62" s="59">
        <v>-1.4346707999999999</v>
      </c>
      <c r="N62" s="59">
        <v>5.6</v>
      </c>
    </row>
    <row r="63" spans="13:14">
      <c r="M63" s="59">
        <v>-1.418262943</v>
      </c>
      <c r="N63" s="59">
        <v>5.7</v>
      </c>
    </row>
    <row r="64" spans="13:14">
      <c r="M64" s="59">
        <v>-1.413997942</v>
      </c>
      <c r="N64" s="59">
        <v>5.8</v>
      </c>
    </row>
    <row r="65" spans="13:14">
      <c r="M65" s="59">
        <v>-1.4097329409999999</v>
      </c>
      <c r="N65" s="59">
        <v>5.9</v>
      </c>
    </row>
    <row r="66" spans="13:14">
      <c r="M66" s="59">
        <v>-1.40505028</v>
      </c>
      <c r="N66" s="59">
        <v>6</v>
      </c>
    </row>
    <row r="67" spans="13:14">
      <c r="M67" s="59">
        <v>-1.398341968</v>
      </c>
      <c r="N67" s="59">
        <v>6.1</v>
      </c>
    </row>
    <row r="68" spans="13:14">
      <c r="M68" s="59">
        <v>-1.391633656</v>
      </c>
      <c r="N68" s="59">
        <v>6.2</v>
      </c>
    </row>
    <row r="69" spans="13:14">
      <c r="M69" s="59">
        <v>-1.378887754</v>
      </c>
      <c r="N69" s="59">
        <v>6.3</v>
      </c>
    </row>
    <row r="70" spans="13:14">
      <c r="M70" s="59">
        <v>-1.3534255120000001</v>
      </c>
      <c r="N70" s="59">
        <v>6.4</v>
      </c>
    </row>
    <row r="71" spans="13:14">
      <c r="M71" s="59">
        <v>-1.3279632699999999</v>
      </c>
      <c r="N71" s="59">
        <v>6.5</v>
      </c>
    </row>
    <row r="72" spans="13:14">
      <c r="M72" s="59">
        <v>-1.310753552</v>
      </c>
      <c r="N72" s="59">
        <v>6.6</v>
      </c>
    </row>
    <row r="73" spans="13:14">
      <c r="M73" s="59">
        <v>-1.3027409240000001</v>
      </c>
      <c r="N73" s="59">
        <v>6.7</v>
      </c>
    </row>
    <row r="74" spans="13:14">
      <c r="M74" s="59">
        <v>-1.2947282959999999</v>
      </c>
      <c r="N74" s="59">
        <v>6.8</v>
      </c>
    </row>
    <row r="75" spans="13:14">
      <c r="M75" s="59">
        <v>-1.2896947249999999</v>
      </c>
      <c r="N75" s="59">
        <v>6.9</v>
      </c>
    </row>
    <row r="76" spans="13:14">
      <c r="M76" s="59">
        <v>-1.2864567499999999</v>
      </c>
      <c r="N76" s="59">
        <v>7</v>
      </c>
    </row>
    <row r="77" spans="13:14">
      <c r="M77" s="59">
        <v>-1.2832187749999999</v>
      </c>
      <c r="N77" s="59">
        <v>7.1</v>
      </c>
    </row>
    <row r="78" spans="13:14">
      <c r="M78" s="59">
        <v>-1.2809912800000001</v>
      </c>
      <c r="N78" s="59">
        <v>7.2</v>
      </c>
    </row>
    <row r="79" spans="13:14">
      <c r="M79" s="59">
        <v>-1.27905727</v>
      </c>
      <c r="N79" s="59">
        <v>7.3</v>
      </c>
    </row>
    <row r="80" spans="13:14">
      <c r="M80" s="59">
        <v>-1.27712326</v>
      </c>
      <c r="N80" s="59">
        <v>7.4</v>
      </c>
    </row>
    <row r="81" spans="13:14">
      <c r="M81" s="59">
        <v>-1.276765175</v>
      </c>
      <c r="N81" s="59">
        <v>7.5</v>
      </c>
    </row>
    <row r="82" spans="13:14">
      <c r="M82" s="59">
        <v>-1.2765331639999999</v>
      </c>
      <c r="N82" s="59">
        <v>7.6</v>
      </c>
    </row>
    <row r="83" spans="13:14">
      <c r="M83" s="59">
        <v>-1.276039361</v>
      </c>
      <c r="N83" s="59">
        <v>7.7</v>
      </c>
    </row>
    <row r="84" spans="13:14">
      <c r="M84" s="59">
        <v>-1.2724040539999999</v>
      </c>
      <c r="N84" s="59">
        <v>7.8</v>
      </c>
    </row>
    <row r="85" spans="13:14">
      <c r="M85" s="59">
        <v>-1.268768747</v>
      </c>
      <c r="N85" s="59">
        <v>7.9</v>
      </c>
    </row>
    <row r="86" spans="13:14">
      <c r="M86" s="59">
        <v>-1.26531448</v>
      </c>
      <c r="N86" s="59">
        <v>8</v>
      </c>
    </row>
    <row r="87" spans="13:14">
      <c r="M87" s="59">
        <v>-1.262473486</v>
      </c>
      <c r="N87" s="59">
        <v>8.1</v>
      </c>
    </row>
    <row r="88" spans="13:14">
      <c r="M88" s="59">
        <v>-1.2596324919999999</v>
      </c>
      <c r="N88" s="59">
        <v>8.1999999999999993</v>
      </c>
    </row>
    <row r="89" spans="13:14">
      <c r="M89" s="59">
        <v>-1.2571353030000001</v>
      </c>
      <c r="N89" s="59">
        <v>8.3000000000000007</v>
      </c>
    </row>
    <row r="90" spans="13:14">
      <c r="M90" s="59">
        <v>-1.255201644</v>
      </c>
      <c r="N90" s="59">
        <v>8.4</v>
      </c>
    </row>
    <row r="91" spans="13:14">
      <c r="M91" s="59">
        <v>-1.2532679849999999</v>
      </c>
      <c r="N91" s="59">
        <v>8.5</v>
      </c>
    </row>
    <row r="92" spans="13:14">
      <c r="M92" s="59">
        <v>-1.2506429640000001</v>
      </c>
      <c r="N92" s="59">
        <v>8.6</v>
      </c>
    </row>
    <row r="93" spans="13:14">
      <c r="M93" s="59">
        <v>-1.2474046379999999</v>
      </c>
      <c r="N93" s="59">
        <v>8.6999999999999993</v>
      </c>
    </row>
    <row r="94" spans="13:14">
      <c r="M94" s="59">
        <v>-1.2441663119999999</v>
      </c>
      <c r="N94" s="59">
        <v>8.8000000000000007</v>
      </c>
    </row>
    <row r="95" spans="13:14">
      <c r="M95" s="59">
        <v>-1.239897418</v>
      </c>
      <c r="N95" s="59">
        <v>8.9</v>
      </c>
    </row>
    <row r="96" spans="13:14">
      <c r="M96" s="59">
        <v>-1.23514558</v>
      </c>
      <c r="N96" s="59">
        <v>9</v>
      </c>
    </row>
    <row r="97" spans="13:14">
      <c r="M97" s="59">
        <v>-1.230393742</v>
      </c>
      <c r="N97" s="59">
        <v>9.1</v>
      </c>
    </row>
    <row r="98" spans="13:14">
      <c r="M98" s="59">
        <v>-1.229245768</v>
      </c>
      <c r="N98" s="59">
        <v>9.1999999999999993</v>
      </c>
    </row>
    <row r="99" spans="13:14">
      <c r="M99" s="59">
        <v>-1.2288259720000001</v>
      </c>
      <c r="N99" s="59">
        <v>9.3000000000000007</v>
      </c>
    </row>
    <row r="100" spans="13:14">
      <c r="M100" s="59">
        <v>-1.228406176</v>
      </c>
      <c r="N100" s="59">
        <v>9.4</v>
      </c>
    </row>
    <row r="101" spans="13:14">
      <c r="M101" s="59">
        <v>-1.226911015</v>
      </c>
      <c r="N101" s="59">
        <v>9.5</v>
      </c>
    </row>
    <row r="102" spans="13:14">
      <c r="M102" s="59">
        <v>-1.225397152</v>
      </c>
      <c r="N102" s="59">
        <v>9.6</v>
      </c>
    </row>
    <row r="103" spans="13:14">
      <c r="M103" s="59">
        <v>-1.223770818</v>
      </c>
      <c r="N103" s="59">
        <v>9.6999999999999993</v>
      </c>
    </row>
    <row r="104" spans="13:14">
      <c r="M104" s="59">
        <v>-1.2214170120000001</v>
      </c>
      <c r="N104" s="59">
        <v>9.8000000000000007</v>
      </c>
    </row>
    <row r="105" spans="13:14">
      <c r="M105" s="59">
        <v>-1.219063206</v>
      </c>
      <c r="N105" s="59">
        <v>9.9</v>
      </c>
    </row>
    <row r="106" spans="13:14">
      <c r="M106" s="59">
        <v>-1.2163913</v>
      </c>
      <c r="N106" s="59">
        <v>10</v>
      </c>
    </row>
    <row r="107" spans="13:14">
      <c r="M107" s="59">
        <v>-1.212920963</v>
      </c>
      <c r="N107" s="59">
        <v>10.1</v>
      </c>
    </row>
    <row r="108" spans="13:14">
      <c r="M108" s="59">
        <v>-1.209450626</v>
      </c>
      <c r="N108" s="59">
        <v>10.199999999999999</v>
      </c>
    </row>
    <row r="109" spans="13:14">
      <c r="M109" s="59">
        <v>-1.2074929999999999</v>
      </c>
      <c r="N109" s="59">
        <v>10.3</v>
      </c>
    </row>
    <row r="110" spans="13:14">
      <c r="M110" s="59">
        <v>-1.2074929999999999</v>
      </c>
      <c r="N110" s="59">
        <v>10.4</v>
      </c>
    </row>
    <row r="111" spans="13:14">
      <c r="M111" s="59">
        <v>-1.2074929999999999</v>
      </c>
      <c r="N111" s="59">
        <v>10.5</v>
      </c>
    </row>
    <row r="112" spans="13:14">
      <c r="M112" s="59">
        <v>-1.2017917440000001</v>
      </c>
      <c r="N112" s="59">
        <v>10.6</v>
      </c>
    </row>
    <row r="113" spans="13:14">
      <c r="M113" s="59">
        <v>-1.1920774679999999</v>
      </c>
      <c r="N113" s="59">
        <v>10.7</v>
      </c>
    </row>
    <row r="114" spans="13:14">
      <c r="M114" s="59">
        <v>-1.182363192</v>
      </c>
      <c r="N114" s="59">
        <v>10.8</v>
      </c>
    </row>
    <row r="115" spans="13:14">
      <c r="M115" s="59">
        <v>-1.1798169999999999</v>
      </c>
      <c r="N115" s="59">
        <v>10.9</v>
      </c>
    </row>
    <row r="116" spans="13:14">
      <c r="M116" s="59">
        <v>-1.1798169999999999</v>
      </c>
      <c r="N116" s="59">
        <v>11</v>
      </c>
    </row>
    <row r="117" spans="13:14">
      <c r="M117" s="59">
        <v>-1.1798169999999999</v>
      </c>
      <c r="N117" s="59">
        <v>11.1</v>
      </c>
    </row>
    <row r="118" spans="13:14">
      <c r="M118" s="59">
        <v>-1.178657608</v>
      </c>
      <c r="N118" s="59">
        <v>11.2</v>
      </c>
    </row>
    <row r="119" spans="13:14">
      <c r="M119" s="59">
        <v>-1.1773532920000001</v>
      </c>
      <c r="N119" s="59">
        <v>11.3</v>
      </c>
    </row>
    <row r="120" spans="13:14">
      <c r="M120" s="59">
        <v>-1.175998758</v>
      </c>
      <c r="N120" s="59">
        <v>11.4</v>
      </c>
    </row>
    <row r="121" spans="13:14">
      <c r="M121" s="59">
        <v>-1.173435405</v>
      </c>
      <c r="N121" s="59">
        <v>11.5</v>
      </c>
    </row>
    <row r="122" spans="13:14">
      <c r="M122" s="59">
        <v>-1.170872052</v>
      </c>
      <c r="N122" s="59">
        <v>11.6</v>
      </c>
    </row>
    <row r="123" spans="13:14">
      <c r="M123" s="59">
        <v>-1.168504674</v>
      </c>
      <c r="N123" s="59">
        <v>11.7</v>
      </c>
    </row>
    <row r="124" spans="13:14">
      <c r="M124" s="59">
        <v>-1.1669679959999999</v>
      </c>
      <c r="N124" s="59">
        <v>11.8</v>
      </c>
    </row>
    <row r="125" spans="13:14">
      <c r="M125" s="59">
        <v>-1.165431318</v>
      </c>
      <c r="N125" s="59">
        <v>11.9</v>
      </c>
    </row>
    <row r="126" spans="13:14">
      <c r="M126" s="59">
        <v>-1.16442</v>
      </c>
      <c r="N126" s="59">
        <v>12</v>
      </c>
    </row>
    <row r="127" spans="13:14">
      <c r="M127" s="59">
        <v>-1.16442</v>
      </c>
      <c r="N127" s="59">
        <v>12.1</v>
      </c>
    </row>
    <row r="128" spans="13:14">
      <c r="M128" s="59">
        <v>-1.16442</v>
      </c>
      <c r="N128" s="59">
        <v>12.2</v>
      </c>
    </row>
    <row r="129" spans="13:14">
      <c r="M129" s="59">
        <v>-1.159000429</v>
      </c>
      <c r="N129" s="59">
        <v>12.3</v>
      </c>
    </row>
    <row r="130" spans="13:14">
      <c r="M130" s="59">
        <v>-1.148004652</v>
      </c>
      <c r="N130" s="59">
        <v>12.4</v>
      </c>
    </row>
    <row r="131" spans="13:14">
      <c r="M131" s="59">
        <v>-1.137008875</v>
      </c>
      <c r="N131" s="59">
        <v>12.5</v>
      </c>
    </row>
    <row r="132" spans="13:14">
      <c r="M132" s="59">
        <v>-1.124198544</v>
      </c>
      <c r="N132" s="59">
        <v>12.6</v>
      </c>
    </row>
    <row r="133" spans="13:14">
      <c r="M133" s="59">
        <v>-1.1103845880000001</v>
      </c>
      <c r="N133" s="59">
        <v>12.7</v>
      </c>
    </row>
    <row r="134" spans="13:14">
      <c r="M134" s="59">
        <v>-1.0965706319999999</v>
      </c>
      <c r="N134" s="59">
        <v>12.8</v>
      </c>
    </row>
    <row r="135" spans="13:14">
      <c r="M135" s="59">
        <v>-1.090644564</v>
      </c>
      <c r="N135" s="59">
        <v>12.9</v>
      </c>
    </row>
    <row r="136" spans="13:14">
      <c r="M136" s="59">
        <v>-1.08675408</v>
      </c>
      <c r="N136" s="59">
        <v>13</v>
      </c>
    </row>
    <row r="137" spans="13:14">
      <c r="M137" s="59">
        <v>-1.0828635959999999</v>
      </c>
      <c r="N137" s="59">
        <v>13.1</v>
      </c>
    </row>
    <row r="138" spans="13:14">
      <c r="M138" s="59">
        <v>-1.0808240119999999</v>
      </c>
      <c r="N138" s="59">
        <v>13.2</v>
      </c>
    </row>
    <row r="139" spans="13:14">
      <c r="M139" s="59">
        <v>-1.078890353</v>
      </c>
      <c r="N139" s="59">
        <v>13.3</v>
      </c>
    </row>
    <row r="140" spans="13:14">
      <c r="M140" s="59">
        <v>-1.0771440000000001</v>
      </c>
      <c r="N140" s="59">
        <v>13.4</v>
      </c>
    </row>
    <row r="141" spans="13:14">
      <c r="M141" s="59">
        <v>-1.0771440000000001</v>
      </c>
      <c r="N141" s="59">
        <v>13.5</v>
      </c>
    </row>
    <row r="142" spans="13:14">
      <c r="M142" s="59">
        <v>-1.0771440000000001</v>
      </c>
      <c r="N142" s="59">
        <v>13.6</v>
      </c>
    </row>
    <row r="143" spans="13:14">
      <c r="M143" s="59">
        <v>-1.076445477</v>
      </c>
      <c r="N143" s="59">
        <v>13.7</v>
      </c>
    </row>
    <row r="144" spans="13:14">
      <c r="M144" s="59">
        <v>-1.0736272979999999</v>
      </c>
      <c r="N144" s="59">
        <v>13.8</v>
      </c>
    </row>
    <row r="145" spans="13:14">
      <c r="M145" s="59">
        <v>-1.070809119</v>
      </c>
      <c r="N145" s="59">
        <v>13.9</v>
      </c>
    </row>
    <row r="146" spans="13:14">
      <c r="M146" s="59">
        <v>-1.06721058</v>
      </c>
      <c r="N146" s="59">
        <v>14</v>
      </c>
    </row>
    <row r="147" spans="13:14">
      <c r="M147" s="59">
        <v>-1.0624359269999999</v>
      </c>
      <c r="N147" s="59">
        <v>14.1</v>
      </c>
    </row>
    <row r="148" spans="13:14">
      <c r="M148" s="59">
        <v>-1.057661274</v>
      </c>
      <c r="N148" s="59">
        <v>14.2</v>
      </c>
    </row>
    <row r="149" spans="13:14">
      <c r="M149" s="59">
        <v>-1.0524373170000001</v>
      </c>
      <c r="N149" s="59">
        <v>14.3</v>
      </c>
    </row>
    <row r="150" spans="13:14">
      <c r="M150" s="59">
        <v>-1.046845536</v>
      </c>
      <c r="N150" s="59">
        <v>14.4</v>
      </c>
    </row>
    <row r="151" spans="13:14">
      <c r="M151" s="59">
        <v>-1.0412537550000001</v>
      </c>
      <c r="N151" s="59">
        <v>14.5</v>
      </c>
    </row>
    <row r="152" spans="13:14">
      <c r="M152" s="59">
        <v>-1.0368703260000001</v>
      </c>
      <c r="N152" s="59">
        <v>14.6</v>
      </c>
    </row>
    <row r="153" spans="13:14">
      <c r="M153" s="59">
        <v>-1.0330026569999999</v>
      </c>
      <c r="N153" s="59">
        <v>14.7</v>
      </c>
    </row>
    <row r="154" spans="13:14">
      <c r="M154" s="59">
        <v>-1.029134988</v>
      </c>
      <c r="N154" s="59">
        <v>14.8</v>
      </c>
    </row>
    <row r="155" spans="13:14">
      <c r="M155" s="59">
        <v>-1.0274703510000001</v>
      </c>
      <c r="N155" s="59">
        <v>14.9</v>
      </c>
    </row>
    <row r="156" spans="13:14">
      <c r="M156" s="59">
        <v>-1.02618885</v>
      </c>
      <c r="N156" s="59">
        <v>15</v>
      </c>
    </row>
    <row r="157" spans="13:14">
      <c r="M157" s="59">
        <v>-1.024910274</v>
      </c>
      <c r="N157" s="59">
        <v>15.1</v>
      </c>
    </row>
    <row r="158" spans="13:14">
      <c r="M158" s="59">
        <v>-1.0246554480000001</v>
      </c>
      <c r="N158" s="59">
        <v>15.2</v>
      </c>
    </row>
    <row r="159" spans="13:14">
      <c r="M159" s="59">
        <v>-1.0244006219999999</v>
      </c>
      <c r="N159" s="59">
        <v>15.3</v>
      </c>
    </row>
    <row r="160" spans="13:14">
      <c r="M160" s="59">
        <v>-1.023088314</v>
      </c>
      <c r="N160" s="59">
        <v>15.4</v>
      </c>
    </row>
    <row r="161" spans="13:14">
      <c r="M161" s="59">
        <v>-1.015959855</v>
      </c>
      <c r="N161" s="59">
        <v>15.5</v>
      </c>
    </row>
    <row r="162" spans="13:14">
      <c r="M162" s="59">
        <v>-1.0088313959999999</v>
      </c>
      <c r="N162" s="59">
        <v>15.6</v>
      </c>
    </row>
    <row r="163" spans="13:14">
      <c r="M163" s="59">
        <v>-1.0036840419999999</v>
      </c>
      <c r="N163" s="59">
        <v>15.7</v>
      </c>
    </row>
    <row r="164" spans="13:14">
      <c r="M164" s="59">
        <v>-1.003054348</v>
      </c>
      <c r="N164" s="59">
        <v>15.8</v>
      </c>
    </row>
    <row r="165" spans="13:14">
      <c r="M165" s="59">
        <v>-1.0024246539999999</v>
      </c>
      <c r="N165" s="59">
        <v>15.9</v>
      </c>
    </row>
    <row r="166" spans="13:14">
      <c r="M166" s="59">
        <v>-1.00178488</v>
      </c>
      <c r="N166" s="59">
        <v>16</v>
      </c>
    </row>
    <row r="167" spans="13:14">
      <c r="M167" s="59">
        <v>-1.0011330730000001</v>
      </c>
      <c r="N167" s="59">
        <v>16.100000000000001</v>
      </c>
    </row>
    <row r="168" spans="13:14">
      <c r="M168" s="59">
        <v>-1.000481266</v>
      </c>
      <c r="N168" s="59">
        <v>16.2</v>
      </c>
    </row>
    <row r="169" spans="13:14">
      <c r="M169" s="59">
        <v>-0.99967439499999999</v>
      </c>
      <c r="N169" s="59">
        <v>16.3</v>
      </c>
    </row>
    <row r="170" spans="13:14">
      <c r="M170" s="59">
        <v>-0.99876706000000004</v>
      </c>
      <c r="N170" s="59">
        <v>16.399999999999999</v>
      </c>
    </row>
    <row r="171" spans="13:14">
      <c r="M171" s="59">
        <v>-0.99785972499999998</v>
      </c>
      <c r="N171" s="59">
        <v>16.5</v>
      </c>
    </row>
    <row r="172" spans="13:14">
      <c r="M172" s="59">
        <v>-0.99225509599999995</v>
      </c>
      <c r="N172" s="59">
        <v>16.600000000000001</v>
      </c>
    </row>
    <row r="173" spans="13:14">
      <c r="M173" s="59">
        <v>-0.98514945200000004</v>
      </c>
      <c r="N173" s="59">
        <v>16.7</v>
      </c>
    </row>
    <row r="174" spans="13:14">
      <c r="M174" s="59">
        <v>-0.97804380800000001</v>
      </c>
      <c r="N174" s="59">
        <v>16.8</v>
      </c>
    </row>
    <row r="175" spans="13:14">
      <c r="M175" s="59">
        <v>-0.97682403299999998</v>
      </c>
      <c r="N175" s="59">
        <v>16.899999999999999</v>
      </c>
    </row>
    <row r="176" spans="13:14">
      <c r="M176" s="59">
        <v>-0.97619469000000003</v>
      </c>
      <c r="N176" s="59">
        <v>17</v>
      </c>
    </row>
    <row r="177" spans="13:14">
      <c r="M177" s="59">
        <v>-0.97548731099999997</v>
      </c>
      <c r="N177" s="59">
        <v>17.100000000000001</v>
      </c>
    </row>
    <row r="178" spans="13:14">
      <c r="M178" s="59">
        <v>-0.97355365199999999</v>
      </c>
      <c r="N178" s="59">
        <v>17.2</v>
      </c>
    </row>
    <row r="179" spans="13:14">
      <c r="M179" s="59">
        <v>-0.97161999300000002</v>
      </c>
      <c r="N179" s="59">
        <v>17.3</v>
      </c>
    </row>
    <row r="180" spans="13:14">
      <c r="M180" s="59">
        <v>-0.96913629199999995</v>
      </c>
      <c r="N180" s="59">
        <v>17.399999999999999</v>
      </c>
    </row>
    <row r="181" spans="13:14">
      <c r="M181" s="59">
        <v>-0.96459364999999997</v>
      </c>
      <c r="N181" s="59">
        <v>17.5</v>
      </c>
    </row>
    <row r="182" spans="13:14">
      <c r="M182" s="59">
        <v>-0.96005100799999998</v>
      </c>
      <c r="N182" s="59">
        <v>17.600000000000001</v>
      </c>
    </row>
    <row r="183" spans="13:14">
      <c r="M183" s="59">
        <v>-0.95575258699999999</v>
      </c>
      <c r="N183" s="59">
        <v>17.7</v>
      </c>
    </row>
    <row r="184" spans="13:14">
      <c r="M184" s="59">
        <v>-0.95188491799999997</v>
      </c>
      <c r="N184" s="59">
        <v>17.8</v>
      </c>
    </row>
    <row r="185" spans="13:14">
      <c r="M185" s="59">
        <v>-0.94801724899999995</v>
      </c>
      <c r="N185" s="59">
        <v>17.899999999999999</v>
      </c>
    </row>
    <row r="186" spans="13:14">
      <c r="M186" s="59">
        <v>-0.94566788000000002</v>
      </c>
      <c r="N186" s="59">
        <v>18</v>
      </c>
    </row>
    <row r="187" spans="13:14">
      <c r="M187" s="59">
        <v>-0.94476089600000002</v>
      </c>
      <c r="N187" s="59">
        <v>18.100000000000001</v>
      </c>
    </row>
    <row r="188" spans="13:14">
      <c r="M188" s="59">
        <v>-0.94385391200000002</v>
      </c>
      <c r="N188" s="59">
        <v>18.2</v>
      </c>
    </row>
    <row r="189" spans="13:14">
      <c r="M189" s="59">
        <v>-0.94328524400000002</v>
      </c>
      <c r="N189" s="59">
        <v>18.3</v>
      </c>
    </row>
    <row r="190" spans="13:14">
      <c r="M190" s="59">
        <v>-0.94288791199999999</v>
      </c>
      <c r="N190" s="59">
        <v>18.399999999999999</v>
      </c>
    </row>
    <row r="191" spans="13:14">
      <c r="M191" s="59">
        <v>-0.94249057999999997</v>
      </c>
      <c r="N191" s="59">
        <v>18.5</v>
      </c>
    </row>
    <row r="192" spans="13:14">
      <c r="M192" s="59">
        <v>-0.94116517799999999</v>
      </c>
      <c r="N192" s="59">
        <v>18.600000000000001</v>
      </c>
    </row>
    <row r="193" spans="13:14">
      <c r="M193" s="59">
        <v>-0.93962885100000004</v>
      </c>
      <c r="N193" s="59">
        <v>18.7</v>
      </c>
    </row>
    <row r="194" spans="13:14">
      <c r="M194" s="59">
        <v>-0.93809252399999998</v>
      </c>
      <c r="N194" s="59">
        <v>18.8</v>
      </c>
    </row>
    <row r="195" spans="13:14">
      <c r="M195" s="59">
        <v>-0.93617244899999996</v>
      </c>
      <c r="N195" s="59">
        <v>18.899999999999999</v>
      </c>
    </row>
    <row r="196" spans="13:14">
      <c r="M196" s="59">
        <v>-0.93423878999999999</v>
      </c>
      <c r="N196" s="59">
        <v>19</v>
      </c>
    </row>
    <row r="197" spans="13:14">
      <c r="M197" s="59">
        <v>-0.932484588</v>
      </c>
      <c r="N197" s="59">
        <v>19.100000000000001</v>
      </c>
    </row>
    <row r="198" spans="13:14">
      <c r="M198" s="59">
        <v>-0.93208725599999998</v>
      </c>
      <c r="N198" s="59">
        <v>19.2</v>
      </c>
    </row>
    <row r="199" spans="13:14">
      <c r="M199" s="59">
        <v>-0.93168992399999995</v>
      </c>
      <c r="N199" s="59">
        <v>19.3</v>
      </c>
    </row>
    <row r="200" spans="13:14">
      <c r="M200" s="59">
        <v>-0.92890987999999997</v>
      </c>
      <c r="N200" s="59">
        <v>19.399999999999999</v>
      </c>
    </row>
    <row r="201" spans="13:14">
      <c r="M201" s="59">
        <v>-0.91961539999999997</v>
      </c>
      <c r="N201" s="59">
        <v>19.5</v>
      </c>
    </row>
    <row r="202" spans="13:14">
      <c r="M202" s="59">
        <v>-0.91032091999999998</v>
      </c>
      <c r="N202" s="59">
        <v>19.600000000000001</v>
      </c>
    </row>
    <row r="203" spans="13:14">
      <c r="M203" s="59">
        <v>-0.90409962200000005</v>
      </c>
      <c r="N203" s="59">
        <v>19.7</v>
      </c>
    </row>
    <row r="204" spans="13:14">
      <c r="M204" s="59">
        <v>-0.90214314799999995</v>
      </c>
      <c r="N204" s="59">
        <v>19.8</v>
      </c>
    </row>
    <row r="205" spans="13:14">
      <c r="M205" s="59">
        <v>-0.90018667399999996</v>
      </c>
      <c r="N205" s="59">
        <v>19.899999999999999</v>
      </c>
    </row>
    <row r="206" spans="13:14">
      <c r="M206" s="59">
        <v>-0.89861480000000005</v>
      </c>
      <c r="N206" s="59">
        <v>20</v>
      </c>
    </row>
    <row r="207" spans="13:14">
      <c r="M207" s="59">
        <v>-0.89733329900000003</v>
      </c>
      <c r="N207" s="59">
        <v>20.100000000000001</v>
      </c>
    </row>
    <row r="208" spans="13:14">
      <c r="M208" s="59">
        <v>-0.89605179800000001</v>
      </c>
      <c r="N208" s="59">
        <v>20.2</v>
      </c>
    </row>
    <row r="209" spans="13:14">
      <c r="M209" s="59">
        <v>-0.89382989599999996</v>
      </c>
      <c r="N209" s="59">
        <v>20.3</v>
      </c>
    </row>
    <row r="210" spans="13:14">
      <c r="M210" s="59">
        <v>-0.89124372799999996</v>
      </c>
      <c r="N210" s="59">
        <v>20.399999999999999</v>
      </c>
    </row>
    <row r="211" spans="13:14">
      <c r="M211" s="59">
        <v>-0.88865755999999996</v>
      </c>
      <c r="N211" s="59">
        <v>20.5</v>
      </c>
    </row>
    <row r="212" spans="13:14">
      <c r="M212" s="59">
        <v>-0.88664024600000002</v>
      </c>
      <c r="N212" s="59">
        <v>20.6</v>
      </c>
    </row>
    <row r="213" spans="13:14">
      <c r="M213" s="59">
        <v>-0.88470658700000004</v>
      </c>
      <c r="N213" s="59">
        <v>20.7</v>
      </c>
    </row>
    <row r="214" spans="13:14">
      <c r="M214" s="59">
        <v>-0.882663584</v>
      </c>
      <c r="N214" s="59">
        <v>20.8</v>
      </c>
    </row>
    <row r="215" spans="13:14">
      <c r="M215" s="59">
        <v>-0.875932457</v>
      </c>
      <c r="N215" s="59">
        <v>20.9</v>
      </c>
    </row>
    <row r="216" spans="13:14">
      <c r="M216" s="59">
        <v>-0.86920132999999999</v>
      </c>
      <c r="N216" s="59">
        <v>21</v>
      </c>
    </row>
    <row r="217" spans="13:14">
      <c r="M217" s="59">
        <v>-0.86319451700000005</v>
      </c>
      <c r="N217" s="59">
        <v>21.1</v>
      </c>
    </row>
    <row r="218" spans="13:14">
      <c r="M218" s="59">
        <v>-0.86063116399999995</v>
      </c>
      <c r="N218" s="59">
        <v>21.2</v>
      </c>
    </row>
    <row r="219" spans="13:14">
      <c r="M219" s="59">
        <v>-0.85806781099999996</v>
      </c>
      <c r="N219" s="59">
        <v>21.3</v>
      </c>
    </row>
    <row r="220" spans="13:14">
      <c r="M220" s="59">
        <v>-0.85633700000000001</v>
      </c>
      <c r="N220" s="59">
        <v>21.4</v>
      </c>
    </row>
    <row r="221" spans="13:14">
      <c r="M221" s="59">
        <v>-0.85633700000000001</v>
      </c>
      <c r="N221" s="59">
        <v>21.5</v>
      </c>
    </row>
    <row r="222" spans="13:14">
      <c r="M222" s="59">
        <v>-0.85633700000000001</v>
      </c>
      <c r="N222" s="59">
        <v>21.6</v>
      </c>
    </row>
    <row r="223" spans="13:14">
      <c r="M223" s="59">
        <v>-0.85632631199999998</v>
      </c>
      <c r="N223" s="59">
        <v>21.7</v>
      </c>
    </row>
    <row r="224" spans="13:14">
      <c r="M224" s="59">
        <v>-0.85630384800000003</v>
      </c>
      <c r="N224" s="59">
        <v>21.8</v>
      </c>
    </row>
    <row r="225" spans="13:14">
      <c r="M225" s="59">
        <v>-0.85628138399999998</v>
      </c>
      <c r="N225" s="59">
        <v>21.9</v>
      </c>
    </row>
    <row r="226" spans="13:14">
      <c r="M226" s="59">
        <v>-0.85546955999999996</v>
      </c>
      <c r="N226" s="59">
        <v>22</v>
      </c>
    </row>
    <row r="227" spans="13:14">
      <c r="M227" s="59">
        <v>-0.85418770799999999</v>
      </c>
      <c r="N227" s="59">
        <v>22.1</v>
      </c>
    </row>
    <row r="228" spans="13:14">
      <c r="M228" s="59">
        <v>-0.85290585600000002</v>
      </c>
      <c r="N228" s="59">
        <v>22.2</v>
      </c>
    </row>
    <row r="229" spans="13:14">
      <c r="M229" s="59">
        <v>-0.84640670100000004</v>
      </c>
      <c r="N229" s="59">
        <v>22.3</v>
      </c>
    </row>
    <row r="230" spans="13:14">
      <c r="M230" s="59">
        <v>-0.83841688800000003</v>
      </c>
      <c r="N230" s="59">
        <v>22.4</v>
      </c>
    </row>
    <row r="231" spans="13:14">
      <c r="M231" s="59">
        <v>-0.83042707500000001</v>
      </c>
      <c r="N231" s="59">
        <v>22.5</v>
      </c>
    </row>
    <row r="232" spans="13:14">
      <c r="M232" s="59">
        <v>-0.82806173999999999</v>
      </c>
      <c r="N232" s="59">
        <v>22.6</v>
      </c>
    </row>
    <row r="233" spans="13:14">
      <c r="M233" s="59">
        <v>-0.82612772999999995</v>
      </c>
      <c r="N233" s="59">
        <v>22.7</v>
      </c>
    </row>
    <row r="234" spans="13:14">
      <c r="M234" s="59">
        <v>-0.82434620800000002</v>
      </c>
      <c r="N234" s="59">
        <v>22.8</v>
      </c>
    </row>
    <row r="235" spans="13:14">
      <c r="M235" s="59">
        <v>-0.82432374399999997</v>
      </c>
      <c r="N235" s="59">
        <v>22.9</v>
      </c>
    </row>
    <row r="236" spans="13:14">
      <c r="M236" s="59">
        <v>-0.82430128000000003</v>
      </c>
      <c r="N236" s="59">
        <v>23</v>
      </c>
    </row>
    <row r="237" spans="13:14">
      <c r="M237" s="59">
        <v>-0.82115497000000004</v>
      </c>
      <c r="N237" s="59">
        <v>23.1</v>
      </c>
    </row>
    <row r="238" spans="13:14">
      <c r="M238" s="59">
        <v>-0.80759583999999995</v>
      </c>
      <c r="N238" s="59">
        <v>23.2</v>
      </c>
    </row>
    <row r="239" spans="13:14">
      <c r="M239" s="59">
        <v>-0.79403670999999998</v>
      </c>
      <c r="N239" s="59">
        <v>23.3</v>
      </c>
    </row>
    <row r="240" spans="13:14">
      <c r="M240" s="59">
        <v>-0.78505863799999998</v>
      </c>
      <c r="N240" s="59">
        <v>23.4</v>
      </c>
    </row>
    <row r="241" spans="13:14">
      <c r="M241" s="59">
        <v>-0.78349914499999995</v>
      </c>
      <c r="N241" s="59">
        <v>23.5</v>
      </c>
    </row>
    <row r="242" spans="13:14">
      <c r="M242" s="59">
        <v>-0.78193965200000004</v>
      </c>
      <c r="N242" s="59">
        <v>23.6</v>
      </c>
    </row>
    <row r="243" spans="13:14">
      <c r="M243" s="59">
        <v>-0.77777281799999998</v>
      </c>
      <c r="N243" s="59">
        <v>23.7</v>
      </c>
    </row>
    <row r="244" spans="13:14">
      <c r="M244" s="59">
        <v>-0.77131933200000002</v>
      </c>
      <c r="N244" s="59">
        <v>23.8</v>
      </c>
    </row>
    <row r="245" spans="13:14">
      <c r="M245" s="59">
        <v>-0.76486584599999996</v>
      </c>
      <c r="N245" s="59">
        <v>23.9</v>
      </c>
    </row>
    <row r="246" spans="13:14">
      <c r="M246" s="59">
        <v>-0.76061100000000004</v>
      </c>
      <c r="N246" s="59">
        <v>24</v>
      </c>
    </row>
    <row r="247" spans="13:14">
      <c r="M247" s="59">
        <v>-0.75737302500000003</v>
      </c>
      <c r="N247" s="59">
        <v>24.1</v>
      </c>
    </row>
    <row r="248" spans="13:14">
      <c r="M248" s="59">
        <v>-0.75413505000000003</v>
      </c>
      <c r="N248" s="59">
        <v>24.2</v>
      </c>
    </row>
    <row r="249" spans="13:14">
      <c r="M249" s="59">
        <v>-0.75360000000000005</v>
      </c>
      <c r="N249" s="59">
        <v>24.3</v>
      </c>
    </row>
    <row r="250" spans="13:14">
      <c r="M250" s="59">
        <v>-0.75360000000000005</v>
      </c>
      <c r="N250" s="59">
        <v>24.4</v>
      </c>
    </row>
    <row r="251" spans="13:14">
      <c r="M251" s="59">
        <v>-0.75360000000000005</v>
      </c>
      <c r="N251" s="59">
        <v>24.5</v>
      </c>
    </row>
    <row r="252" spans="13:14">
      <c r="M252" s="59">
        <v>-0.752085212</v>
      </c>
      <c r="N252" s="59">
        <v>24.6</v>
      </c>
    </row>
    <row r="253" spans="13:14">
      <c r="M253" s="59">
        <v>-0.75054853399999999</v>
      </c>
      <c r="N253" s="59">
        <v>24.7</v>
      </c>
    </row>
    <row r="254" spans="13:14">
      <c r="M254" s="59">
        <v>-0.74789979200000001</v>
      </c>
      <c r="N254" s="59">
        <v>24.8</v>
      </c>
    </row>
    <row r="255" spans="13:14">
      <c r="M255" s="59">
        <v>-0.73823114599999995</v>
      </c>
      <c r="N255" s="59">
        <v>24.9</v>
      </c>
    </row>
    <row r="256" spans="13:14">
      <c r="M256" s="59">
        <v>-0.7285625</v>
      </c>
      <c r="N256" s="59">
        <v>25</v>
      </c>
    </row>
    <row r="257" spans="13:14">
      <c r="M257" s="59">
        <v>-0.72018119999999997</v>
      </c>
      <c r="N257" s="59">
        <v>25.1</v>
      </c>
    </row>
    <row r="258" spans="13:14">
      <c r="M258" s="59">
        <v>-0.71498640000000002</v>
      </c>
      <c r="N258" s="59">
        <v>25.2</v>
      </c>
    </row>
    <row r="259" spans="13:14">
      <c r="M259" s="59">
        <v>-0.70979159999999997</v>
      </c>
      <c r="N259" s="59">
        <v>25.3</v>
      </c>
    </row>
    <row r="260" spans="13:14">
      <c r="M260" s="59">
        <v>-0.70354467200000004</v>
      </c>
      <c r="N260" s="59">
        <v>25.4</v>
      </c>
    </row>
    <row r="261" spans="13:14">
      <c r="M261" s="59">
        <v>-0.69595183999999999</v>
      </c>
      <c r="N261" s="59">
        <v>25.5</v>
      </c>
    </row>
    <row r="262" spans="13:14">
      <c r="M262" s="59">
        <v>-0.68835900800000005</v>
      </c>
      <c r="N262" s="59">
        <v>25.6</v>
      </c>
    </row>
    <row r="263" spans="13:14">
      <c r="M263" s="59">
        <v>-0.68410363699999999</v>
      </c>
      <c r="N263" s="59">
        <v>25.7</v>
      </c>
    </row>
    <row r="264" spans="13:14">
      <c r="M264" s="59">
        <v>-0.68216997800000001</v>
      </c>
      <c r="N264" s="59">
        <v>25.8</v>
      </c>
    </row>
    <row r="265" spans="13:14">
      <c r="M265" s="59">
        <v>-0.68023631900000003</v>
      </c>
      <c r="N265" s="59">
        <v>25.9</v>
      </c>
    </row>
    <row r="266" spans="13:14">
      <c r="M266" s="59">
        <v>-0.67942404000000001</v>
      </c>
      <c r="N266" s="59">
        <v>26</v>
      </c>
    </row>
    <row r="267" spans="13:14">
      <c r="M267" s="59">
        <v>-0.67900424400000003</v>
      </c>
      <c r="N267" s="59">
        <v>26.1</v>
      </c>
    </row>
    <row r="268" spans="13:14">
      <c r="M268" s="59">
        <v>-0.67858444799999995</v>
      </c>
      <c r="N268" s="59">
        <v>26.2</v>
      </c>
    </row>
    <row r="269" spans="13:14">
      <c r="M269" s="59">
        <v>-0.67220262799999997</v>
      </c>
      <c r="N269" s="59">
        <v>26.3</v>
      </c>
    </row>
    <row r="270" spans="13:14">
      <c r="M270" s="59">
        <v>-0.66509698399999995</v>
      </c>
      <c r="N270" s="59">
        <v>26.4</v>
      </c>
    </row>
    <row r="271" spans="13:14">
      <c r="M271" s="59">
        <v>-0.65820146000000002</v>
      </c>
      <c r="N271" s="59">
        <v>26.5</v>
      </c>
    </row>
    <row r="272" spans="13:14">
      <c r="M272" s="59">
        <v>-0.65601262400000004</v>
      </c>
      <c r="N272" s="59">
        <v>26.6</v>
      </c>
    </row>
    <row r="273" spans="13:14">
      <c r="M273" s="59">
        <v>-0.65382378799999996</v>
      </c>
      <c r="N273" s="59">
        <v>26.7</v>
      </c>
    </row>
    <row r="274" spans="13:14">
      <c r="M274" s="59">
        <v>-0.65186010000000005</v>
      </c>
      <c r="N274" s="59">
        <v>26.8</v>
      </c>
    </row>
    <row r="275" spans="13:14">
      <c r="M275" s="59">
        <v>-0.65083342499999997</v>
      </c>
      <c r="N275" s="59">
        <v>26.9</v>
      </c>
    </row>
    <row r="276" spans="13:14">
      <c r="M276" s="59">
        <v>-0.64980674999999999</v>
      </c>
      <c r="N276" s="59">
        <v>27</v>
      </c>
    </row>
    <row r="277" spans="13:14">
      <c r="M277" s="59">
        <v>-0.64881347099999997</v>
      </c>
      <c r="N277" s="59">
        <v>27.1</v>
      </c>
    </row>
    <row r="278" spans="13:14">
      <c r="M278" s="59">
        <v>-0.64788367199999997</v>
      </c>
      <c r="N278" s="59">
        <v>27.2</v>
      </c>
    </row>
    <row r="279" spans="13:14">
      <c r="M279" s="59">
        <v>-0.64695387299999996</v>
      </c>
      <c r="N279" s="59">
        <v>27.3</v>
      </c>
    </row>
    <row r="280" spans="13:14">
      <c r="M280" s="59">
        <v>-0.64553757</v>
      </c>
      <c r="N280" s="59">
        <v>27.4</v>
      </c>
    </row>
    <row r="281" spans="13:14">
      <c r="M281" s="59">
        <v>-0.64362637499999997</v>
      </c>
      <c r="N281" s="59">
        <v>27.5</v>
      </c>
    </row>
    <row r="282" spans="13:14">
      <c r="M282" s="59">
        <v>-0.64171518000000005</v>
      </c>
      <c r="N282" s="59">
        <v>27.6</v>
      </c>
    </row>
    <row r="283" spans="13:14">
      <c r="M283" s="59">
        <v>-0.63810239300000005</v>
      </c>
      <c r="N283" s="59">
        <v>27.7</v>
      </c>
    </row>
    <row r="284" spans="13:14">
      <c r="M284" s="59">
        <v>-0.63356010200000001</v>
      </c>
      <c r="N284" s="59">
        <v>27.8</v>
      </c>
    </row>
    <row r="285" spans="13:14">
      <c r="M285" s="59">
        <v>-0.62901781099999998</v>
      </c>
      <c r="N285" s="59">
        <v>27.9</v>
      </c>
    </row>
    <row r="286" spans="13:14">
      <c r="M286" s="59">
        <v>-0.62378783999999998</v>
      </c>
      <c r="N286" s="59">
        <v>28</v>
      </c>
    </row>
    <row r="287" spans="13:14">
      <c r="M287" s="59">
        <v>-0.61838349299999995</v>
      </c>
      <c r="N287" s="59">
        <v>28.1</v>
      </c>
    </row>
    <row r="288" spans="13:14">
      <c r="M288" s="59">
        <v>-0.61297914600000003</v>
      </c>
      <c r="N288" s="59">
        <v>28.2</v>
      </c>
    </row>
    <row r="289" spans="13:14">
      <c r="M289" s="59">
        <v>-0.61146457200000004</v>
      </c>
      <c r="N289" s="59">
        <v>28.3</v>
      </c>
    </row>
    <row r="290" spans="13:14">
      <c r="M290" s="59">
        <v>-0.61016025600000001</v>
      </c>
      <c r="N290" s="59">
        <v>28.4</v>
      </c>
    </row>
    <row r="291" spans="13:14">
      <c r="M291" s="59">
        <v>-0.60821243000000003</v>
      </c>
      <c r="N291" s="59">
        <v>28.5</v>
      </c>
    </row>
    <row r="292" spans="13:14">
      <c r="M292" s="59">
        <v>-0.60045462800000005</v>
      </c>
      <c r="N292" s="59">
        <v>28.6</v>
      </c>
    </row>
    <row r="293" spans="13:14">
      <c r="M293" s="59">
        <v>-0.59269682599999995</v>
      </c>
      <c r="N293" s="59">
        <v>28.7</v>
      </c>
    </row>
    <row r="294" spans="13:14">
      <c r="M294" s="59">
        <v>-0.58682583200000005</v>
      </c>
      <c r="N294" s="59">
        <v>28.8</v>
      </c>
    </row>
    <row r="295" spans="13:14">
      <c r="M295" s="59">
        <v>-0.58659382100000002</v>
      </c>
      <c r="N295" s="59">
        <v>28.9</v>
      </c>
    </row>
    <row r="296" spans="13:14">
      <c r="M296" s="59">
        <v>-0.58636180999999998</v>
      </c>
      <c r="N296" s="59">
        <v>29</v>
      </c>
    </row>
    <row r="297" spans="13:14">
      <c r="M297" s="59">
        <v>-0.58553943200000003</v>
      </c>
      <c r="N297" s="59">
        <v>29.1</v>
      </c>
    </row>
    <row r="298" spans="13:14">
      <c r="M298" s="59">
        <v>-0.58383778399999997</v>
      </c>
      <c r="N298" s="59">
        <v>29.2</v>
      </c>
    </row>
    <row r="299" spans="13:14">
      <c r="M299" s="59">
        <v>-0.58213613600000003</v>
      </c>
      <c r="N299" s="59">
        <v>29.3</v>
      </c>
    </row>
    <row r="300" spans="13:14">
      <c r="M300" s="59">
        <v>-0.58137499999999998</v>
      </c>
      <c r="N300" s="59">
        <v>29.4</v>
      </c>
    </row>
    <row r="301" spans="13:14">
      <c r="M301" s="59">
        <v>-0.58137499999999998</v>
      </c>
      <c r="N301" s="59">
        <v>29.5</v>
      </c>
    </row>
    <row r="302" spans="13:14">
      <c r="M302" s="59">
        <v>-0.58137499999999998</v>
      </c>
      <c r="N302" s="59">
        <v>29.6</v>
      </c>
    </row>
    <row r="303" spans="13:14">
      <c r="M303" s="59">
        <v>-0.58001427699999997</v>
      </c>
      <c r="N303" s="59">
        <v>29.7</v>
      </c>
    </row>
    <row r="304" spans="13:14">
      <c r="M304" s="59">
        <v>-0.57808061799999999</v>
      </c>
      <c r="N304" s="59">
        <v>29.8</v>
      </c>
    </row>
    <row r="305" spans="13:14">
      <c r="M305" s="59">
        <v>-0.57614695900000001</v>
      </c>
      <c r="N305" s="59">
        <v>29.9</v>
      </c>
    </row>
    <row r="306" spans="13:14">
      <c r="M306" s="59">
        <v>-0.57584650000000004</v>
      </c>
      <c r="N306" s="59">
        <v>30</v>
      </c>
    </row>
    <row r="307" spans="13:14">
      <c r="M307" s="59">
        <v>-0.57582368500000003</v>
      </c>
      <c r="N307" s="59">
        <v>30.1</v>
      </c>
    </row>
    <row r="308" spans="13:14">
      <c r="M308" s="59">
        <v>-0.575788788</v>
      </c>
      <c r="N308" s="59">
        <v>30.2</v>
      </c>
    </row>
    <row r="309" spans="13:14">
      <c r="M309" s="59">
        <v>-0.57364558200000004</v>
      </c>
      <c r="N309" s="59">
        <v>30.3</v>
      </c>
    </row>
    <row r="310" spans="13:14">
      <c r="M310" s="59">
        <v>-0.57150237599999998</v>
      </c>
      <c r="N310" s="59">
        <v>30.4</v>
      </c>
    </row>
    <row r="311" spans="13:14">
      <c r="M311" s="59">
        <v>-0.56932616999999996</v>
      </c>
      <c r="N311" s="59">
        <v>30.5</v>
      </c>
    </row>
    <row r="312" spans="13:14">
      <c r="M312" s="59">
        <v>-0.56697236399999995</v>
      </c>
      <c r="N312" s="59">
        <v>30.6</v>
      </c>
    </row>
    <row r="313" spans="13:14">
      <c r="M313" s="59">
        <v>-0.56461855800000005</v>
      </c>
      <c r="N313" s="59">
        <v>30.7</v>
      </c>
    </row>
    <row r="314" spans="13:14">
      <c r="M314" s="59">
        <v>-0.56239402800000005</v>
      </c>
      <c r="N314" s="59">
        <v>30.8</v>
      </c>
    </row>
    <row r="315" spans="13:14">
      <c r="M315" s="59">
        <v>-0.56046036899999996</v>
      </c>
      <c r="N315" s="59">
        <v>30.9</v>
      </c>
    </row>
    <row r="316" spans="13:14">
      <c r="M316" s="59">
        <v>-0.55852670999999998</v>
      </c>
      <c r="N316" s="59">
        <v>31</v>
      </c>
    </row>
    <row r="317" spans="13:14">
      <c r="M317" s="59">
        <v>-0.55231930600000001</v>
      </c>
      <c r="N317" s="59">
        <v>31.1</v>
      </c>
    </row>
    <row r="318" spans="13:14">
      <c r="M318" s="59">
        <v>-0.54106835200000003</v>
      </c>
      <c r="N318" s="59">
        <v>31.2</v>
      </c>
    </row>
    <row r="319" spans="13:14">
      <c r="M319" s="59">
        <v>-0.52981739800000005</v>
      </c>
      <c r="N319" s="59">
        <v>31.3</v>
      </c>
    </row>
    <row r="320" spans="13:14">
      <c r="M320" s="59">
        <v>-0.52502838799999996</v>
      </c>
      <c r="N320" s="59">
        <v>31.4</v>
      </c>
    </row>
    <row r="321" spans="13:14">
      <c r="M321" s="59">
        <v>-0.52437623</v>
      </c>
      <c r="N321" s="59">
        <v>31.5</v>
      </c>
    </row>
    <row r="322" spans="13:14">
      <c r="M322" s="59">
        <v>-0.52372407200000004</v>
      </c>
      <c r="N322" s="59">
        <v>31.6</v>
      </c>
    </row>
    <row r="323" spans="13:14">
      <c r="M323" s="59">
        <v>-0.52307191399999997</v>
      </c>
      <c r="N323" s="59">
        <v>31.7</v>
      </c>
    </row>
    <row r="324" spans="13:14">
      <c r="M324" s="59">
        <v>-0.52241975600000001</v>
      </c>
      <c r="N324" s="59">
        <v>31.8</v>
      </c>
    </row>
    <row r="325" spans="13:14">
      <c r="M325" s="59">
        <v>-0.52176759800000005</v>
      </c>
      <c r="N325" s="59">
        <v>31.9</v>
      </c>
    </row>
    <row r="326" spans="13:14">
      <c r="M326" s="59">
        <v>-0.51994711999999998</v>
      </c>
      <c r="N326" s="59">
        <v>32</v>
      </c>
    </row>
    <row r="327" spans="13:14">
      <c r="M327" s="59">
        <v>-0.51801346100000001</v>
      </c>
      <c r="N327" s="59">
        <v>32.1</v>
      </c>
    </row>
    <row r="328" spans="13:14">
      <c r="M328" s="59">
        <v>-0.51583738400000001</v>
      </c>
      <c r="N328" s="59">
        <v>32.200000000000003</v>
      </c>
    </row>
    <row r="329" spans="13:14">
      <c r="M329" s="59">
        <v>-0.51003605600000002</v>
      </c>
      <c r="N329" s="59">
        <v>32.299999999999997</v>
      </c>
    </row>
    <row r="330" spans="13:14">
      <c r="M330" s="59">
        <v>-0.50423472800000002</v>
      </c>
      <c r="N330" s="59">
        <v>32.4</v>
      </c>
    </row>
    <row r="331" spans="13:14">
      <c r="M331" s="59">
        <v>-0.49953365</v>
      </c>
      <c r="N331" s="59">
        <v>32.5</v>
      </c>
    </row>
    <row r="332" spans="13:14">
      <c r="M332" s="59">
        <v>-0.49888149199999998</v>
      </c>
      <c r="N332" s="59">
        <v>32.6</v>
      </c>
    </row>
    <row r="333" spans="13:14">
      <c r="M333" s="59">
        <v>-0.49822933400000002</v>
      </c>
      <c r="N333" s="59">
        <v>32.700000000000003</v>
      </c>
    </row>
    <row r="334" spans="13:14">
      <c r="M334" s="59">
        <v>-0.49678728799999999</v>
      </c>
      <c r="N334" s="59">
        <v>32.799999999999997</v>
      </c>
    </row>
    <row r="335" spans="13:14">
      <c r="M335" s="59">
        <v>-0.49396910900000002</v>
      </c>
      <c r="N335" s="59">
        <v>32.9</v>
      </c>
    </row>
    <row r="336" spans="13:14">
      <c r="M336" s="59">
        <v>-0.49115092999999999</v>
      </c>
      <c r="N336" s="59">
        <v>33</v>
      </c>
    </row>
    <row r="337" spans="13:14">
      <c r="M337" s="59">
        <v>-0.48611007099999998</v>
      </c>
      <c r="N337" s="59">
        <v>33.1</v>
      </c>
    </row>
    <row r="338" spans="13:14">
      <c r="M338" s="59">
        <v>-0.478981612</v>
      </c>
      <c r="N338" s="59">
        <v>33.200000000000003</v>
      </c>
    </row>
    <row r="339" spans="13:14">
      <c r="M339" s="59">
        <v>-0.47185315300000003</v>
      </c>
      <c r="N339" s="59">
        <v>33.299999999999997</v>
      </c>
    </row>
    <row r="340" spans="13:14">
      <c r="M340" s="59">
        <v>-0.46947699999999998</v>
      </c>
      <c r="N340" s="59">
        <v>33.4</v>
      </c>
    </row>
    <row r="341" spans="13:14">
      <c r="M341" s="59">
        <v>-0.46947699999999998</v>
      </c>
      <c r="N341" s="59">
        <v>33.5</v>
      </c>
    </row>
    <row r="342" spans="13:14">
      <c r="M342" s="59">
        <v>-0.46947699999999998</v>
      </c>
      <c r="N342" s="59">
        <v>33.6</v>
      </c>
    </row>
    <row r="343" spans="13:14">
      <c r="M343" s="59">
        <v>-0.46768726799999999</v>
      </c>
      <c r="N343" s="59">
        <v>33.700000000000003</v>
      </c>
    </row>
    <row r="344" spans="13:14">
      <c r="M344" s="59">
        <v>-0.46549843200000002</v>
      </c>
      <c r="N344" s="59">
        <v>33.799999999999997</v>
      </c>
    </row>
    <row r="345" spans="13:14">
      <c r="M345" s="59">
        <v>-0.46330959599999999</v>
      </c>
      <c r="N345" s="59">
        <v>33.9</v>
      </c>
    </row>
    <row r="346" spans="13:14">
      <c r="M346" s="59">
        <v>-0.45448497999999998</v>
      </c>
      <c r="N346" s="59">
        <v>34</v>
      </c>
    </row>
    <row r="347" spans="13:14">
      <c r="M347" s="59">
        <v>-0.44544567699999998</v>
      </c>
      <c r="N347" s="59">
        <v>34.1</v>
      </c>
    </row>
    <row r="348" spans="13:14">
      <c r="M348" s="59">
        <v>-0.43733192799999998</v>
      </c>
      <c r="N348" s="59">
        <v>34.200000000000003</v>
      </c>
    </row>
    <row r="349" spans="13:14">
      <c r="M349" s="59">
        <v>-0.43602761200000001</v>
      </c>
      <c r="N349" s="59">
        <v>34.299999999999997</v>
      </c>
    </row>
    <row r="350" spans="13:14">
      <c r="M350" s="59">
        <v>-0.43472329599999998</v>
      </c>
      <c r="N350" s="59">
        <v>34.4</v>
      </c>
    </row>
    <row r="351" spans="13:14">
      <c r="M351" s="59">
        <v>-0.43237217500000003</v>
      </c>
      <c r="N351" s="59">
        <v>34.5</v>
      </c>
    </row>
    <row r="352" spans="13:14">
      <c r="M352" s="59">
        <v>-0.42720018999999998</v>
      </c>
      <c r="N352" s="59">
        <v>34.6</v>
      </c>
    </row>
    <row r="353" spans="13:14">
      <c r="M353" s="59">
        <v>-0.42202820499999999</v>
      </c>
      <c r="N353" s="59">
        <v>34.700000000000003</v>
      </c>
    </row>
    <row r="354" spans="13:14">
      <c r="M354" s="59">
        <v>-0.41675839199999998</v>
      </c>
      <c r="N354" s="59">
        <v>34.799999999999997</v>
      </c>
    </row>
    <row r="355" spans="13:14">
      <c r="M355" s="59">
        <v>-0.41135439600000001</v>
      </c>
      <c r="N355" s="59">
        <v>34.9</v>
      </c>
    </row>
    <row r="356" spans="13:14">
      <c r="M356" s="59">
        <v>-0.40595039999999999</v>
      </c>
      <c r="N356" s="59">
        <v>35</v>
      </c>
    </row>
    <row r="357" spans="13:14">
      <c r="M357" s="59">
        <v>-0.40030580700000001</v>
      </c>
      <c r="N357" s="59">
        <v>35.1</v>
      </c>
    </row>
    <row r="358" spans="13:14">
      <c r="M358" s="59">
        <v>-0.39448166400000001</v>
      </c>
      <c r="N358" s="59">
        <v>35.200000000000003</v>
      </c>
    </row>
    <row r="359" spans="13:14">
      <c r="M359" s="59">
        <v>-0.38865752100000001</v>
      </c>
      <c r="N359" s="59">
        <v>35.299999999999997</v>
      </c>
    </row>
    <row r="360" spans="13:14">
      <c r="M360" s="59">
        <v>-0.38610413599999999</v>
      </c>
      <c r="N360" s="59">
        <v>35.4</v>
      </c>
    </row>
    <row r="361" spans="13:14">
      <c r="M361" s="59">
        <v>-0.38479982000000001</v>
      </c>
      <c r="N361" s="59">
        <v>35.5</v>
      </c>
    </row>
    <row r="362" spans="13:14">
      <c r="M362" s="59">
        <v>-0.38349550399999999</v>
      </c>
      <c r="N362" s="59">
        <v>35.6</v>
      </c>
    </row>
    <row r="363" spans="13:14">
      <c r="M363" s="59">
        <v>-0.38164073700000001</v>
      </c>
      <c r="N363" s="59">
        <v>35.700000000000003</v>
      </c>
    </row>
    <row r="364" spans="13:14">
      <c r="M364" s="59">
        <v>-0.37970707799999998</v>
      </c>
      <c r="N364" s="59">
        <v>35.799999999999997</v>
      </c>
    </row>
    <row r="365" spans="13:14">
      <c r="M365" s="59">
        <v>-0.37771729500000001</v>
      </c>
      <c r="N365" s="59">
        <v>35.9</v>
      </c>
    </row>
    <row r="366" spans="13:14">
      <c r="M366" s="59">
        <v>-0.3735948</v>
      </c>
      <c r="N366" s="59">
        <v>36</v>
      </c>
    </row>
    <row r="367" spans="13:14">
      <c r="M367" s="59">
        <v>-0.369472305</v>
      </c>
      <c r="N367" s="59">
        <v>36.1</v>
      </c>
    </row>
    <row r="368" spans="13:14">
      <c r="M368" s="59">
        <v>-0.36470767599999998</v>
      </c>
      <c r="N368" s="59">
        <v>36.200000000000003</v>
      </c>
    </row>
    <row r="369" spans="13:14">
      <c r="M369" s="59">
        <v>-0.356949874</v>
      </c>
      <c r="N369" s="59">
        <v>36.299999999999997</v>
      </c>
    </row>
    <row r="370" spans="13:14">
      <c r="M370" s="59">
        <v>-0.34919207200000002</v>
      </c>
      <c r="N370" s="59">
        <v>36.4</v>
      </c>
    </row>
    <row r="371" spans="13:14">
      <c r="M371" s="59">
        <v>-0.34376233</v>
      </c>
      <c r="N371" s="59">
        <v>36.5</v>
      </c>
    </row>
    <row r="372" spans="13:14">
      <c r="M372" s="59">
        <v>-0.34311017199999999</v>
      </c>
      <c r="N372" s="59">
        <v>36.6</v>
      </c>
    </row>
    <row r="373" spans="13:14">
      <c r="M373" s="59">
        <v>-0.34245801399999998</v>
      </c>
      <c r="N373" s="59">
        <v>36.700000000000003</v>
      </c>
    </row>
    <row r="374" spans="13:14">
      <c r="M374" s="59">
        <v>-0.341493712</v>
      </c>
      <c r="N374" s="59">
        <v>36.799999999999997</v>
      </c>
    </row>
    <row r="375" spans="13:14">
      <c r="M375" s="59">
        <v>-0.34018939599999998</v>
      </c>
      <c r="N375" s="59">
        <v>36.9</v>
      </c>
    </row>
    <row r="376" spans="13:14">
      <c r="M376" s="59">
        <v>-0.33888508000000001</v>
      </c>
      <c r="N376" s="59">
        <v>37</v>
      </c>
    </row>
    <row r="377" spans="13:14">
      <c r="M377" s="59">
        <v>-0.33719865500000001</v>
      </c>
      <c r="N377" s="59">
        <v>37.1</v>
      </c>
    </row>
    <row r="378" spans="13:14">
      <c r="M378" s="59">
        <v>-0.33528745999999998</v>
      </c>
      <c r="N378" s="59">
        <v>37.200000000000003</v>
      </c>
    </row>
    <row r="379" spans="13:14">
      <c r="M379" s="59">
        <v>-0.333376265</v>
      </c>
      <c r="N379" s="59">
        <v>37.299999999999997</v>
      </c>
    </row>
    <row r="380" spans="13:14">
      <c r="M380" s="59">
        <v>-0.33142972399999998</v>
      </c>
      <c r="N380" s="59">
        <v>37.4</v>
      </c>
    </row>
    <row r="381" spans="13:14">
      <c r="M381" s="59">
        <v>-0.32947325</v>
      </c>
      <c r="N381" s="59">
        <v>37.5</v>
      </c>
    </row>
    <row r="382" spans="13:14">
      <c r="M382" s="59">
        <v>-0.32751677600000001</v>
      </c>
      <c r="N382" s="59">
        <v>37.6</v>
      </c>
    </row>
    <row r="383" spans="13:14">
      <c r="M383" s="59">
        <v>-0.32234850799999998</v>
      </c>
      <c r="N383" s="59">
        <v>37.700000000000003</v>
      </c>
    </row>
    <row r="384" spans="13:14">
      <c r="M384" s="59">
        <v>-0.31694451200000001</v>
      </c>
      <c r="N384" s="59">
        <v>37.799999999999997</v>
      </c>
    </row>
    <row r="385" spans="13:14">
      <c r="M385" s="59">
        <v>-0.31198511499999998</v>
      </c>
      <c r="N385" s="59">
        <v>37.9</v>
      </c>
    </row>
    <row r="386" spans="13:14">
      <c r="M386" s="59">
        <v>-0.31196230000000003</v>
      </c>
      <c r="N386" s="59">
        <v>38</v>
      </c>
    </row>
    <row r="387" spans="13:14">
      <c r="M387" s="59">
        <v>-0.31193948500000002</v>
      </c>
      <c r="N387" s="59">
        <v>38.1</v>
      </c>
    </row>
    <row r="388" spans="13:14">
      <c r="M388" s="59">
        <v>-0.311470262</v>
      </c>
      <c r="N388" s="59">
        <v>38.200000000000003</v>
      </c>
    </row>
    <row r="389" spans="13:14">
      <c r="M389" s="59">
        <v>-0.30953660300000002</v>
      </c>
      <c r="N389" s="59">
        <v>38.299999999999997</v>
      </c>
    </row>
    <row r="390" spans="13:14">
      <c r="M390" s="59">
        <v>-0.30760294399999999</v>
      </c>
      <c r="N390" s="59">
        <v>38.4</v>
      </c>
    </row>
    <row r="391" spans="13:14">
      <c r="M391" s="59">
        <v>-0.30566915</v>
      </c>
      <c r="N391" s="59">
        <v>38.5</v>
      </c>
    </row>
    <row r="392" spans="13:14">
      <c r="M392" s="59">
        <v>-0.30373514000000001</v>
      </c>
      <c r="N392" s="59">
        <v>38.6</v>
      </c>
    </row>
    <row r="393" spans="13:14">
      <c r="M393" s="59">
        <v>-0.30180112999999997</v>
      </c>
      <c r="N393" s="59">
        <v>38.700000000000003</v>
      </c>
    </row>
    <row r="394" spans="13:14">
      <c r="M394" s="59">
        <v>-0.30020439199999999</v>
      </c>
      <c r="N394" s="59">
        <v>38.799999999999997</v>
      </c>
    </row>
    <row r="395" spans="13:14">
      <c r="M395" s="59">
        <v>-0.29890007600000001</v>
      </c>
      <c r="N395" s="59">
        <v>38.9</v>
      </c>
    </row>
    <row r="396" spans="13:14">
      <c r="M396" s="59">
        <v>-0.29759575999999999</v>
      </c>
      <c r="N396" s="59">
        <v>39</v>
      </c>
    </row>
    <row r="397" spans="13:14">
      <c r="M397" s="59">
        <v>-0.29675488700000002</v>
      </c>
      <c r="N397" s="59">
        <v>39.1</v>
      </c>
    </row>
    <row r="398" spans="13:14">
      <c r="M398" s="59">
        <v>-0.29612554400000002</v>
      </c>
      <c r="N398" s="59">
        <v>39.200000000000003</v>
      </c>
    </row>
    <row r="399" spans="13:14">
      <c r="M399" s="59">
        <v>-0.29549620100000001</v>
      </c>
      <c r="N399" s="59">
        <v>39.299999999999997</v>
      </c>
    </row>
    <row r="400" spans="13:14">
      <c r="M400" s="59">
        <v>-0.29377435400000002</v>
      </c>
      <c r="N400" s="59">
        <v>39.4</v>
      </c>
    </row>
    <row r="401" spans="13:14">
      <c r="M401" s="59">
        <v>-0.29184069499999998</v>
      </c>
      <c r="N401" s="59">
        <v>39.5</v>
      </c>
    </row>
    <row r="402" spans="13:14">
      <c r="M402" s="59">
        <v>-0.28990703600000001</v>
      </c>
      <c r="N402" s="59">
        <v>39.6</v>
      </c>
    </row>
    <row r="403" spans="13:14">
      <c r="M403" s="59">
        <v>-0.287950822</v>
      </c>
      <c r="N403" s="59">
        <v>39.700000000000003</v>
      </c>
    </row>
    <row r="404" spans="13:14">
      <c r="M404" s="59">
        <v>-0.28599434800000001</v>
      </c>
      <c r="N404" s="59">
        <v>39.799999999999997</v>
      </c>
    </row>
    <row r="405" spans="13:14">
      <c r="M405" s="59">
        <v>-0.28409647799999999</v>
      </c>
      <c r="N405" s="59">
        <v>39.9</v>
      </c>
    </row>
    <row r="406" spans="13:14">
      <c r="M406" s="59">
        <v>-0.28255980000000003</v>
      </c>
      <c r="N406" s="59">
        <v>40</v>
      </c>
    </row>
    <row r="407" spans="13:14">
      <c r="M407" s="59">
        <v>-0.28102312200000001</v>
      </c>
      <c r="N407" s="59">
        <v>40.1</v>
      </c>
    </row>
    <row r="408" spans="13:14">
      <c r="M408" s="59">
        <v>-0.27937108199999999</v>
      </c>
      <c r="N408" s="59">
        <v>40.200000000000003</v>
      </c>
    </row>
    <row r="409" spans="13:14">
      <c r="M409" s="59">
        <v>-0.27743742300000002</v>
      </c>
      <c r="N409" s="59">
        <v>40.299999999999997</v>
      </c>
    </row>
    <row r="410" spans="13:14">
      <c r="M410" s="59">
        <v>-0.27550376399999998</v>
      </c>
      <c r="N410" s="59">
        <v>40.4</v>
      </c>
    </row>
    <row r="411" spans="13:14">
      <c r="M411" s="59">
        <v>-0.27356995000000001</v>
      </c>
      <c r="N411" s="59">
        <v>40.5</v>
      </c>
    </row>
    <row r="412" spans="13:14">
      <c r="M412" s="59">
        <v>-0.27163594000000002</v>
      </c>
      <c r="N412" s="59">
        <v>40.6</v>
      </c>
    </row>
    <row r="413" spans="13:14">
      <c r="M413" s="59">
        <v>-0.26970192999999998</v>
      </c>
      <c r="N413" s="59">
        <v>40.700000000000003</v>
      </c>
    </row>
    <row r="414" spans="13:14">
      <c r="M414" s="59">
        <v>-0.26867875200000002</v>
      </c>
      <c r="N414" s="59">
        <v>40.799999999999997</v>
      </c>
    </row>
    <row r="415" spans="13:14">
      <c r="M415" s="59">
        <v>-0.268281771</v>
      </c>
      <c r="N415" s="59">
        <v>40.9</v>
      </c>
    </row>
    <row r="416" spans="13:14">
      <c r="M416" s="59">
        <v>-0.26788478999999998</v>
      </c>
      <c r="N416" s="59">
        <v>41</v>
      </c>
    </row>
    <row r="417" spans="13:14">
      <c r="M417" s="59">
        <v>-0.26778299999999999</v>
      </c>
      <c r="N417" s="59">
        <v>41.1</v>
      </c>
    </row>
    <row r="418" spans="13:14">
      <c r="M418" s="59">
        <v>-0.26778299999999999</v>
      </c>
      <c r="N418" s="59">
        <v>41.2</v>
      </c>
    </row>
    <row r="419" spans="13:14">
      <c r="M419" s="59">
        <v>-0.26778299999999999</v>
      </c>
      <c r="N419" s="59">
        <v>41.3</v>
      </c>
    </row>
    <row r="420" spans="13:14">
      <c r="M420" s="59">
        <v>-0.26640830799999998</v>
      </c>
      <c r="N420" s="59">
        <v>41.4</v>
      </c>
    </row>
    <row r="421" spans="13:14">
      <c r="M421" s="59">
        <v>-0.26487163000000002</v>
      </c>
      <c r="N421" s="59">
        <v>41.5</v>
      </c>
    </row>
    <row r="422" spans="13:14">
      <c r="M422" s="59">
        <v>-0.26331685599999999</v>
      </c>
      <c r="N422" s="59">
        <v>41.6</v>
      </c>
    </row>
    <row r="423" spans="13:14">
      <c r="M423" s="59">
        <v>-0.26138319700000001</v>
      </c>
      <c r="N423" s="59">
        <v>41.7</v>
      </c>
    </row>
    <row r="424" spans="13:14">
      <c r="M424" s="59">
        <v>-0.25944953799999998</v>
      </c>
      <c r="N424" s="59">
        <v>41.8</v>
      </c>
    </row>
    <row r="425" spans="13:14">
      <c r="M425" s="59">
        <v>-0.25789151500000002</v>
      </c>
      <c r="N425" s="59">
        <v>41.9</v>
      </c>
    </row>
    <row r="426" spans="13:14">
      <c r="M426" s="59">
        <v>-0.25786870000000001</v>
      </c>
      <c r="N426" s="59">
        <v>42</v>
      </c>
    </row>
    <row r="427" spans="13:14">
      <c r="M427" s="59">
        <v>-0.257845885</v>
      </c>
      <c r="N427" s="59">
        <v>42.1</v>
      </c>
    </row>
    <row r="428" spans="13:14">
      <c r="M428" s="59">
        <v>-0.25603333</v>
      </c>
      <c r="N428" s="59">
        <v>42.2</v>
      </c>
    </row>
    <row r="429" spans="13:14">
      <c r="M429" s="59">
        <v>-0.25086134500000001</v>
      </c>
      <c r="N429" s="59">
        <v>42.3</v>
      </c>
    </row>
    <row r="430" spans="13:14">
      <c r="M430" s="59">
        <v>-0.24568936</v>
      </c>
      <c r="N430" s="59">
        <v>42.4</v>
      </c>
    </row>
    <row r="431" spans="13:14">
      <c r="M431" s="59">
        <v>-0.24181815000000001</v>
      </c>
      <c r="N431" s="59">
        <v>42.5</v>
      </c>
    </row>
    <row r="432" spans="13:14">
      <c r="M432" s="59">
        <v>-0.239255148</v>
      </c>
      <c r="N432" s="59">
        <v>42.6</v>
      </c>
    </row>
    <row r="433" spans="13:14">
      <c r="M433" s="59">
        <v>-0.23669214599999999</v>
      </c>
      <c r="N433" s="59">
        <v>42.7</v>
      </c>
    </row>
    <row r="434" spans="13:14">
      <c r="M434" s="59">
        <v>-0.23520462</v>
      </c>
      <c r="N434" s="59">
        <v>42.8</v>
      </c>
    </row>
    <row r="435" spans="13:14">
      <c r="M435" s="59">
        <v>-0.23429728499999999</v>
      </c>
      <c r="N435" s="59">
        <v>42.9</v>
      </c>
    </row>
    <row r="436" spans="13:14">
      <c r="M436" s="59">
        <v>-0.23338995000000001</v>
      </c>
      <c r="N436" s="59">
        <v>43</v>
      </c>
    </row>
    <row r="437" spans="13:14">
      <c r="M437" s="59">
        <v>-0.232686902</v>
      </c>
      <c r="N437" s="59">
        <v>43.1</v>
      </c>
    </row>
    <row r="438" spans="13:14">
      <c r="M438" s="59">
        <v>-0.23203474399999999</v>
      </c>
      <c r="N438" s="59">
        <v>43.2</v>
      </c>
    </row>
    <row r="439" spans="13:14">
      <c r="M439" s="59">
        <v>-0.231382586</v>
      </c>
      <c r="N439" s="59">
        <v>43.3</v>
      </c>
    </row>
    <row r="440" spans="13:14">
      <c r="M440" s="59">
        <v>-0.229132906</v>
      </c>
      <c r="N440" s="59">
        <v>43.4</v>
      </c>
    </row>
    <row r="441" spans="13:14">
      <c r="M441" s="59">
        <v>-0.22680191499999999</v>
      </c>
      <c r="N441" s="59">
        <v>43.5</v>
      </c>
    </row>
    <row r="442" spans="13:14">
      <c r="M442" s="59">
        <v>-0.22470999999999999</v>
      </c>
      <c r="N442" s="59">
        <v>43.6</v>
      </c>
    </row>
    <row r="443" spans="13:14">
      <c r="M443" s="59">
        <v>-0.22470999999999999</v>
      </c>
      <c r="N443" s="59">
        <v>43.7</v>
      </c>
    </row>
    <row r="444" spans="13:14">
      <c r="M444" s="59">
        <v>-0.22470999999999999</v>
      </c>
      <c r="N444" s="59">
        <v>43.8</v>
      </c>
    </row>
    <row r="445" spans="13:14">
      <c r="M445" s="59">
        <v>-0.22432044700000001</v>
      </c>
      <c r="N445" s="59">
        <v>43.9</v>
      </c>
    </row>
    <row r="446" spans="13:14">
      <c r="M446" s="59">
        <v>-0.22278412</v>
      </c>
      <c r="N446" s="59">
        <v>44</v>
      </c>
    </row>
    <row r="447" spans="13:14">
      <c r="M447" s="59">
        <v>-0.221247793</v>
      </c>
      <c r="N447" s="59">
        <v>44.1</v>
      </c>
    </row>
    <row r="448" spans="13:14">
      <c r="M448" s="59">
        <v>-0.22017225600000001</v>
      </c>
      <c r="N448" s="59">
        <v>44.2</v>
      </c>
    </row>
    <row r="449" spans="13:14">
      <c r="M449" s="59">
        <v>-0.21977492400000001</v>
      </c>
      <c r="N449" s="59">
        <v>44.3</v>
      </c>
    </row>
    <row r="450" spans="13:14">
      <c r="M450" s="59">
        <v>-0.21937759200000001</v>
      </c>
      <c r="N450" s="59">
        <v>44.4</v>
      </c>
    </row>
    <row r="451" spans="13:14">
      <c r="M451" s="59">
        <v>-0.21209676</v>
      </c>
      <c r="N451" s="59">
        <v>44.5</v>
      </c>
    </row>
    <row r="452" spans="13:14">
      <c r="M452" s="59">
        <v>-0.199309128</v>
      </c>
      <c r="N452" s="59">
        <v>44.6</v>
      </c>
    </row>
    <row r="453" spans="13:14">
      <c r="M453" s="59">
        <v>-0.18652149600000001</v>
      </c>
      <c r="N453" s="59">
        <v>44.7</v>
      </c>
    </row>
    <row r="454" spans="13:14">
      <c r="M454" s="59">
        <v>-0.18248851199999999</v>
      </c>
      <c r="N454" s="59">
        <v>44.8</v>
      </c>
    </row>
    <row r="455" spans="13:14">
      <c r="M455" s="59">
        <v>-0.182091531</v>
      </c>
      <c r="N455" s="59">
        <v>44.9</v>
      </c>
    </row>
    <row r="456" spans="13:14">
      <c r="M456" s="59">
        <v>-0.18169455000000001</v>
      </c>
      <c r="N456" s="59">
        <v>45</v>
      </c>
    </row>
    <row r="457" spans="13:14">
      <c r="M457" s="59">
        <v>-0.180538748</v>
      </c>
      <c r="N457" s="59">
        <v>45.1</v>
      </c>
    </row>
    <row r="458" spans="13:14">
      <c r="M458" s="59">
        <v>-0.179256896</v>
      </c>
      <c r="N458" s="59">
        <v>45.2</v>
      </c>
    </row>
    <row r="459" spans="13:14">
      <c r="M459" s="59">
        <v>-0.177980426</v>
      </c>
      <c r="N459" s="59">
        <v>45.3</v>
      </c>
    </row>
    <row r="460" spans="13:14">
      <c r="M460" s="59">
        <v>-0.17732826800000001</v>
      </c>
      <c r="N460" s="59">
        <v>45.4</v>
      </c>
    </row>
    <row r="461" spans="13:14">
      <c r="M461" s="59">
        <v>-0.17667611</v>
      </c>
      <c r="N461" s="59">
        <v>45.5</v>
      </c>
    </row>
    <row r="462" spans="13:14">
      <c r="M462" s="59">
        <v>-0.17588288799999999</v>
      </c>
      <c r="N462" s="59">
        <v>45.6</v>
      </c>
    </row>
    <row r="463" spans="13:14">
      <c r="M463" s="59">
        <v>-0.17434656100000001</v>
      </c>
      <c r="N463" s="59">
        <v>45.7</v>
      </c>
    </row>
    <row r="464" spans="13:14">
      <c r="M464" s="59">
        <v>-0.17281023400000001</v>
      </c>
      <c r="N464" s="59">
        <v>45.8</v>
      </c>
    </row>
    <row r="465" spans="13:14">
      <c r="M465" s="59">
        <v>-0.17162761200000001</v>
      </c>
      <c r="N465" s="59">
        <v>45.9</v>
      </c>
    </row>
    <row r="466" spans="13:14">
      <c r="M466" s="59">
        <v>-0.17123028000000001</v>
      </c>
      <c r="N466" s="59">
        <v>46</v>
      </c>
    </row>
    <row r="467" spans="13:14">
      <c r="M467" s="59">
        <v>-0.17083294800000001</v>
      </c>
      <c r="N467" s="59">
        <v>46.1</v>
      </c>
    </row>
    <row r="468" spans="13:14">
      <c r="M468" s="59">
        <v>-0.16990976399999999</v>
      </c>
      <c r="N468" s="59">
        <v>46.2</v>
      </c>
    </row>
    <row r="469" spans="13:14">
      <c r="M469" s="59">
        <v>-0.16837308600000001</v>
      </c>
      <c r="N469" s="59">
        <v>46.3</v>
      </c>
    </row>
    <row r="470" spans="13:14">
      <c r="M470" s="59">
        <v>-0.16683640799999999</v>
      </c>
      <c r="N470" s="59">
        <v>46.4</v>
      </c>
    </row>
    <row r="471" spans="13:14">
      <c r="M471" s="59">
        <v>-0.16147531000000001</v>
      </c>
      <c r="N471" s="59">
        <v>46.5</v>
      </c>
    </row>
    <row r="472" spans="13:14">
      <c r="M472" s="59">
        <v>-0.153695044</v>
      </c>
      <c r="N472" s="59">
        <v>46.6</v>
      </c>
    </row>
    <row r="473" spans="13:14">
      <c r="M473" s="59">
        <v>-0.14591477799999999</v>
      </c>
      <c r="N473" s="59">
        <v>46.7</v>
      </c>
    </row>
    <row r="474" spans="13:14">
      <c r="M474" s="59">
        <v>-0.143096264</v>
      </c>
      <c r="N474" s="59">
        <v>46.8</v>
      </c>
    </row>
    <row r="475" spans="13:14">
      <c r="M475" s="59">
        <v>-0.141814412</v>
      </c>
      <c r="N475" s="59">
        <v>46.9</v>
      </c>
    </row>
    <row r="476" spans="13:14">
      <c r="M476" s="59">
        <v>-0.14053256</v>
      </c>
      <c r="N476" s="59">
        <v>47</v>
      </c>
    </row>
    <row r="477" spans="13:14">
      <c r="M477" s="59">
        <v>-0.138058193</v>
      </c>
      <c r="N477" s="59">
        <v>47.1</v>
      </c>
    </row>
    <row r="478" spans="13:14">
      <c r="M478" s="59">
        <v>-0.13547237600000001</v>
      </c>
      <c r="N478" s="59">
        <v>47.2</v>
      </c>
    </row>
    <row r="479" spans="13:14">
      <c r="M479" s="59">
        <v>-0.132929293</v>
      </c>
      <c r="N479" s="59">
        <v>47.3</v>
      </c>
    </row>
    <row r="480" spans="13:14">
      <c r="M480" s="59">
        <v>-0.130995634</v>
      </c>
      <c r="N480" s="59">
        <v>47.4</v>
      </c>
    </row>
    <row r="481" spans="13:14">
      <c r="M481" s="59">
        <v>-0.129061975</v>
      </c>
      <c r="N481" s="59">
        <v>47.5</v>
      </c>
    </row>
    <row r="482" spans="13:14">
      <c r="M482" s="59">
        <v>-0.12651317200000001</v>
      </c>
      <c r="N482" s="59">
        <v>47.6</v>
      </c>
    </row>
    <row r="483" spans="13:14">
      <c r="M483" s="59">
        <v>-0.121738519</v>
      </c>
      <c r="N483" s="59">
        <v>47.7</v>
      </c>
    </row>
    <row r="484" spans="13:14">
      <c r="M484" s="59">
        <v>-0.116963866</v>
      </c>
      <c r="N484" s="59">
        <v>47.8</v>
      </c>
    </row>
    <row r="485" spans="13:14">
      <c r="M485" s="59">
        <v>-0.111092842</v>
      </c>
      <c r="N485" s="59">
        <v>47.9</v>
      </c>
    </row>
    <row r="486" spans="13:14">
      <c r="M486" s="59">
        <v>-0.10333504</v>
      </c>
      <c r="N486" s="59">
        <v>48</v>
      </c>
    </row>
    <row r="487" spans="13:14">
      <c r="M487" s="59">
        <v>-9.5577238000000203E-2</v>
      </c>
      <c r="N487" s="59">
        <v>48.1</v>
      </c>
    </row>
    <row r="488" spans="13:14">
      <c r="M488" s="59">
        <v>-8.9704410000000095E-2</v>
      </c>
      <c r="N488" s="59">
        <v>48.2</v>
      </c>
    </row>
    <row r="489" spans="13:14">
      <c r="M489" s="59">
        <v>-8.5581915000000106E-2</v>
      </c>
      <c r="N489" s="59">
        <v>48.3</v>
      </c>
    </row>
    <row r="490" spans="13:14">
      <c r="M490" s="59">
        <v>-8.1459420000000199E-2</v>
      </c>
      <c r="N490" s="59">
        <v>48.4</v>
      </c>
    </row>
    <row r="491" spans="13:14">
      <c r="M491" s="59">
        <v>-7.8802150000000099E-2</v>
      </c>
      <c r="N491" s="59">
        <v>48.5</v>
      </c>
    </row>
    <row r="492" spans="13:14">
      <c r="M492" s="59">
        <v>-7.6868140000000099E-2</v>
      </c>
      <c r="N492" s="59">
        <v>48.6</v>
      </c>
    </row>
    <row r="493" spans="13:14">
      <c r="M493" s="59">
        <v>-7.4934130000000099E-2</v>
      </c>
      <c r="N493" s="59">
        <v>48.7</v>
      </c>
    </row>
    <row r="494" spans="13:14">
      <c r="M494" s="59">
        <v>-7.1739544000000197E-2</v>
      </c>
      <c r="N494" s="59">
        <v>48.8</v>
      </c>
    </row>
    <row r="495" spans="13:14">
      <c r="M495" s="59">
        <v>-6.8269206999999901E-2</v>
      </c>
      <c r="N495" s="59">
        <v>48.9</v>
      </c>
    </row>
    <row r="496" spans="13:14">
      <c r="M496" s="59">
        <v>-6.4798869999999897E-2</v>
      </c>
      <c r="N496" s="59">
        <v>49</v>
      </c>
    </row>
    <row r="497" spans="13:14">
      <c r="M497" s="59">
        <v>-6.4314329000000003E-2</v>
      </c>
      <c r="N497" s="59">
        <v>49.1</v>
      </c>
    </row>
    <row r="498" spans="13:14">
      <c r="M498" s="59">
        <v>-6.3917347999999999E-2</v>
      </c>
      <c r="N498" s="59">
        <v>49.2</v>
      </c>
    </row>
    <row r="499" spans="13:14">
      <c r="M499" s="59">
        <v>-6.3566205000000001E-2</v>
      </c>
      <c r="N499" s="59">
        <v>49.3</v>
      </c>
    </row>
    <row r="500" spans="13:14">
      <c r="M500" s="59">
        <v>-6.3543390000000005E-2</v>
      </c>
      <c r="N500" s="59">
        <v>49.4</v>
      </c>
    </row>
    <row r="501" spans="13:14">
      <c r="M501" s="59">
        <v>-6.3520574999999996E-2</v>
      </c>
      <c r="N501" s="59">
        <v>49.5</v>
      </c>
    </row>
    <row r="502" spans="13:14">
      <c r="M502" s="59">
        <v>-6.2446175999999999E-2</v>
      </c>
      <c r="N502" s="59">
        <v>49.6</v>
      </c>
    </row>
    <row r="503" spans="13:14">
      <c r="M503" s="59">
        <v>-5.8578507000000002E-2</v>
      </c>
      <c r="N503" s="59">
        <v>49.7</v>
      </c>
    </row>
    <row r="504" spans="13:14">
      <c r="M504" s="59">
        <v>-5.4710837999999998E-2</v>
      </c>
      <c r="N504" s="59">
        <v>49.8</v>
      </c>
    </row>
    <row r="505" spans="13:14">
      <c r="M505" s="59">
        <v>-5.0843317999999998E-2</v>
      </c>
      <c r="N505" s="59">
        <v>49.9</v>
      </c>
    </row>
    <row r="506" spans="13:14">
      <c r="M506" s="59">
        <v>-4.6975999999999997E-2</v>
      </c>
      <c r="N506" s="59">
        <v>50</v>
      </c>
    </row>
    <row r="507" spans="13:14">
      <c r="M507" s="59">
        <v>-4.3108682000000002E-2</v>
      </c>
      <c r="N507" s="59">
        <v>50.1</v>
      </c>
    </row>
    <row r="508" spans="13:14">
      <c r="M508" s="59">
        <v>-3.9456695999999999E-2</v>
      </c>
      <c r="N508" s="59">
        <v>50.2</v>
      </c>
    </row>
    <row r="509" spans="13:14">
      <c r="M509" s="59">
        <v>-3.5963544E-2</v>
      </c>
      <c r="N509" s="59">
        <v>50.3</v>
      </c>
    </row>
    <row r="510" spans="13:14">
      <c r="M510" s="59">
        <v>-3.2470392000000001E-2</v>
      </c>
      <c r="N510" s="59">
        <v>50.4</v>
      </c>
    </row>
    <row r="511" spans="13:14">
      <c r="M511" s="59">
        <v>-3.1226339999999998E-2</v>
      </c>
      <c r="N511" s="59">
        <v>50.5</v>
      </c>
    </row>
    <row r="512" spans="13:14">
      <c r="M512" s="59">
        <v>-3.0829008000000001E-2</v>
      </c>
      <c r="N512" s="59">
        <v>50.6</v>
      </c>
    </row>
    <row r="513" spans="13:14">
      <c r="M513" s="59">
        <v>-3.0431676000000001E-2</v>
      </c>
      <c r="N513" s="59">
        <v>50.7</v>
      </c>
    </row>
    <row r="514" spans="13:14">
      <c r="M514" s="59">
        <v>-3.0159392E-2</v>
      </c>
      <c r="N514" s="59">
        <v>50.8</v>
      </c>
    </row>
    <row r="515" spans="13:14">
      <c r="M515" s="59">
        <v>-2.9904566E-2</v>
      </c>
      <c r="N515" s="59">
        <v>50.9</v>
      </c>
    </row>
    <row r="516" spans="13:14">
      <c r="M516" s="59">
        <v>-2.9620489999999999E-2</v>
      </c>
      <c r="N516" s="59">
        <v>51</v>
      </c>
    </row>
    <row r="517" spans="13:14">
      <c r="M517" s="59">
        <v>-2.8338988999999998E-2</v>
      </c>
      <c r="N517" s="59">
        <v>51.1</v>
      </c>
    </row>
    <row r="518" spans="13:14">
      <c r="M518" s="59">
        <v>-2.70574879999999E-2</v>
      </c>
      <c r="N518" s="59">
        <v>51.2</v>
      </c>
    </row>
    <row r="519" spans="13:14">
      <c r="M519" s="59">
        <v>-2.56588699999999E-2</v>
      </c>
      <c r="N519" s="59">
        <v>51.3</v>
      </c>
    </row>
    <row r="520" spans="13:14">
      <c r="M520" s="59">
        <v>-2.37248599999999E-2</v>
      </c>
      <c r="N520" s="59">
        <v>51.4</v>
      </c>
    </row>
    <row r="521" spans="13:14">
      <c r="M521" s="59">
        <v>-2.17908499999999E-2</v>
      </c>
      <c r="N521" s="59">
        <v>51.5</v>
      </c>
    </row>
    <row r="522" spans="13:14">
      <c r="M522" s="59">
        <v>-1.9217911999999799E-2</v>
      </c>
      <c r="N522" s="59">
        <v>51.6</v>
      </c>
    </row>
    <row r="523" spans="13:14">
      <c r="M523" s="59">
        <v>-1.53505939999999E-2</v>
      </c>
      <c r="N523" s="59">
        <v>51.7</v>
      </c>
    </row>
    <row r="524" spans="13:14">
      <c r="M524" s="59">
        <v>-1.14832759999999E-2</v>
      </c>
      <c r="N524" s="59">
        <v>51.8</v>
      </c>
    </row>
    <row r="525" spans="13:14">
      <c r="M525" s="59">
        <v>-9.1530129999999807E-3</v>
      </c>
      <c r="N525" s="59">
        <v>51.9</v>
      </c>
    </row>
    <row r="526" spans="13:14">
      <c r="M526" s="59">
        <v>-8.4780399999999801E-3</v>
      </c>
      <c r="N526" s="59">
        <v>52</v>
      </c>
    </row>
    <row r="527" spans="13:14">
      <c r="M527" s="59">
        <v>-7.8030669999999804E-3</v>
      </c>
      <c r="N527" s="59">
        <v>52.1</v>
      </c>
    </row>
    <row r="528" spans="13:14">
      <c r="M528" s="59">
        <v>-7.5550000000000001E-3</v>
      </c>
      <c r="N528" s="59">
        <v>52.2</v>
      </c>
    </row>
    <row r="529" spans="13:14">
      <c r="M529" s="59">
        <v>-7.5550000000000001E-3</v>
      </c>
      <c r="N529" s="59">
        <v>52.3</v>
      </c>
    </row>
    <row r="530" spans="13:14">
      <c r="M530" s="59">
        <v>-7.5550000000000001E-3</v>
      </c>
      <c r="N530" s="59">
        <v>52.4</v>
      </c>
    </row>
    <row r="531" spans="13:14">
      <c r="M531" s="59">
        <v>-6.5330999999999801E-3</v>
      </c>
      <c r="N531" s="59">
        <v>52.5</v>
      </c>
    </row>
    <row r="532" spans="13:14">
      <c r="M532" s="59">
        <v>-5.2287839999999803E-3</v>
      </c>
      <c r="N532" s="59">
        <v>52.6</v>
      </c>
    </row>
    <row r="533" spans="13:14">
      <c r="M533" s="59">
        <v>-3.92446799999999E-3</v>
      </c>
      <c r="N533" s="59">
        <v>52.7</v>
      </c>
    </row>
    <row r="534" spans="13:14">
      <c r="M534" s="59">
        <v>-2.2476799999996701E-4</v>
      </c>
      <c r="N534" s="59">
        <v>52.8</v>
      </c>
    </row>
    <row r="535" spans="13:14">
      <c r="M535" s="59">
        <v>3.64290100000002E-3</v>
      </c>
      <c r="N535" s="59">
        <v>52.9</v>
      </c>
    </row>
    <row r="536" spans="13:14">
      <c r="M536" s="59">
        <v>7.5105700000000098E-3</v>
      </c>
      <c r="N536" s="59">
        <v>53</v>
      </c>
    </row>
    <row r="537" spans="13:14">
      <c r="M537" s="59">
        <v>1.1378239E-2</v>
      </c>
      <c r="N537" s="59">
        <v>53.1</v>
      </c>
    </row>
    <row r="538" spans="13:14">
      <c r="M538" s="59">
        <v>1.5245908000000001E-2</v>
      </c>
      <c r="N538" s="59">
        <v>53.2</v>
      </c>
    </row>
    <row r="539" spans="13:14">
      <c r="M539" s="59">
        <v>1.8199E-2</v>
      </c>
      <c r="N539" s="59">
        <v>53.3</v>
      </c>
    </row>
    <row r="540" spans="13:14">
      <c r="M540" s="59">
        <v>1.8199E-2</v>
      </c>
      <c r="N540" s="59">
        <v>53.4</v>
      </c>
    </row>
    <row r="541" spans="13:14">
      <c r="M541" s="59">
        <v>1.8199E-2</v>
      </c>
      <c r="N541" s="59">
        <v>53.5</v>
      </c>
    </row>
    <row r="542" spans="13:14">
      <c r="M542" s="59">
        <v>2.10509200000005E-2</v>
      </c>
      <c r="N542" s="59">
        <v>53.6</v>
      </c>
    </row>
    <row r="543" spans="13:14">
      <c r="M543" s="59">
        <v>2.8411390000000501E-2</v>
      </c>
      <c r="N543" s="59">
        <v>53.7</v>
      </c>
    </row>
    <row r="544" spans="13:14">
      <c r="M544" s="59">
        <v>3.5771860000000502E-2</v>
      </c>
      <c r="N544" s="59">
        <v>53.8</v>
      </c>
    </row>
    <row r="545" spans="13:14">
      <c r="M545" s="59">
        <v>4.3346278000000502E-2</v>
      </c>
      <c r="N545" s="59">
        <v>53.9</v>
      </c>
    </row>
    <row r="546" spans="13:14">
      <c r="M546" s="59">
        <v>5.1104080000000503E-2</v>
      </c>
      <c r="N546" s="59">
        <v>54</v>
      </c>
    </row>
    <row r="547" spans="13:14">
      <c r="M547" s="59">
        <v>5.88618820000004E-2</v>
      </c>
      <c r="N547" s="59">
        <v>54.1</v>
      </c>
    </row>
    <row r="548" spans="13:14">
      <c r="M548" s="59">
        <v>6.1270999999999999E-2</v>
      </c>
      <c r="N548" s="59">
        <v>54.2</v>
      </c>
    </row>
    <row r="549" spans="13:14">
      <c r="M549" s="59">
        <v>6.1270999999999999E-2</v>
      </c>
      <c r="N549" s="59">
        <v>54.3</v>
      </c>
    </row>
    <row r="550" spans="13:14">
      <c r="M550" s="59">
        <v>6.1270999999999999E-2</v>
      </c>
      <c r="N550" s="59">
        <v>54.4</v>
      </c>
    </row>
    <row r="551" spans="13:14">
      <c r="M551" s="59">
        <v>6.2896155000000106E-2</v>
      </c>
      <c r="N551" s="59">
        <v>54.5</v>
      </c>
    </row>
    <row r="552" spans="13:14">
      <c r="M552" s="59">
        <v>6.4829814000000097E-2</v>
      </c>
      <c r="N552" s="59">
        <v>54.6</v>
      </c>
    </row>
    <row r="553" spans="13:14">
      <c r="M553" s="59">
        <v>6.6763473000000101E-2</v>
      </c>
      <c r="N553" s="59">
        <v>54.7</v>
      </c>
    </row>
    <row r="554" spans="13:14">
      <c r="M554" s="59">
        <v>6.8325816000000095E-2</v>
      </c>
      <c r="N554" s="59">
        <v>54.8</v>
      </c>
    </row>
    <row r="555" spans="13:14">
      <c r="M555" s="59">
        <v>6.9884958000000094E-2</v>
      </c>
      <c r="N555" s="59">
        <v>54.9</v>
      </c>
    </row>
    <row r="556" spans="13:14">
      <c r="M556" s="59">
        <v>7.2045200000000198E-2</v>
      </c>
      <c r="N556" s="59">
        <v>55</v>
      </c>
    </row>
    <row r="557" spans="13:14">
      <c r="M557" s="59">
        <v>7.7824064000000207E-2</v>
      </c>
      <c r="N557" s="59">
        <v>55.1</v>
      </c>
    </row>
    <row r="558" spans="13:14">
      <c r="M558" s="59">
        <v>8.3602928000000201E-2</v>
      </c>
      <c r="N558" s="59">
        <v>55.2</v>
      </c>
    </row>
    <row r="559" spans="13:14">
      <c r="M559" s="59">
        <v>8.9852605000000196E-2</v>
      </c>
      <c r="N559" s="59">
        <v>55.3</v>
      </c>
    </row>
    <row r="560" spans="13:14">
      <c r="M560" s="59">
        <v>9.72358900000002E-2</v>
      </c>
      <c r="N560" s="59">
        <v>55.4</v>
      </c>
    </row>
    <row r="561" spans="13:14">
      <c r="M561" s="59">
        <v>0.10461917499999999</v>
      </c>
      <c r="N561" s="59">
        <v>55.5</v>
      </c>
    </row>
    <row r="562" spans="13:14">
      <c r="M562" s="59">
        <v>0.109756996</v>
      </c>
      <c r="N562" s="59">
        <v>55.6</v>
      </c>
    </row>
    <row r="563" spans="13:14">
      <c r="M563" s="59">
        <v>0.112087987</v>
      </c>
      <c r="N563" s="59">
        <v>55.7</v>
      </c>
    </row>
    <row r="564" spans="13:14">
      <c r="M564" s="59">
        <v>0.114418978</v>
      </c>
      <c r="N564" s="59">
        <v>55.8</v>
      </c>
    </row>
    <row r="565" spans="13:14">
      <c r="M565" s="59">
        <v>0.116276793</v>
      </c>
      <c r="N565" s="59">
        <v>55.9</v>
      </c>
    </row>
    <row r="566" spans="13:14">
      <c r="M566" s="59">
        <v>0.11781311999999999</v>
      </c>
      <c r="N566" s="59">
        <v>56</v>
      </c>
    </row>
    <row r="567" spans="13:14">
      <c r="M567" s="59">
        <v>0.119349447</v>
      </c>
      <c r="N567" s="59">
        <v>56.1</v>
      </c>
    </row>
    <row r="568" spans="13:14">
      <c r="M568" s="59">
        <v>0.122643008</v>
      </c>
      <c r="N568" s="59">
        <v>56.2</v>
      </c>
    </row>
    <row r="569" spans="13:14">
      <c r="M569" s="59">
        <v>0.126533492</v>
      </c>
      <c r="N569" s="59">
        <v>56.3</v>
      </c>
    </row>
    <row r="570" spans="13:14">
      <c r="M570" s="59">
        <v>0.130423976</v>
      </c>
      <c r="N570" s="59">
        <v>56.4</v>
      </c>
    </row>
    <row r="571" spans="13:14">
      <c r="M571" s="59">
        <v>0.132558335</v>
      </c>
      <c r="N571" s="59">
        <v>56.5</v>
      </c>
    </row>
    <row r="572" spans="13:14">
      <c r="M572" s="59">
        <v>0.134491994</v>
      </c>
      <c r="N572" s="59">
        <v>56.6</v>
      </c>
    </row>
    <row r="573" spans="13:14">
      <c r="M573" s="59">
        <v>0.13633200000000001</v>
      </c>
      <c r="N573" s="59">
        <v>56.7</v>
      </c>
    </row>
    <row r="574" spans="13:14">
      <c r="M574" s="59">
        <v>0.13633200000000001</v>
      </c>
      <c r="N574" s="59">
        <v>56.8</v>
      </c>
    </row>
    <row r="575" spans="13:14">
      <c r="M575" s="59">
        <v>0.13633200000000001</v>
      </c>
      <c r="N575" s="59">
        <v>56.9</v>
      </c>
    </row>
    <row r="576" spans="13:14">
      <c r="M576" s="59">
        <v>0.13633655</v>
      </c>
      <c r="N576" s="59">
        <v>57</v>
      </c>
    </row>
    <row r="577" spans="13:14">
      <c r="M577" s="59">
        <v>0.13635936500000001</v>
      </c>
      <c r="N577" s="59">
        <v>57.1</v>
      </c>
    </row>
    <row r="578" spans="13:14">
      <c r="M578" s="59">
        <v>0.13638217999999999</v>
      </c>
      <c r="N578" s="59">
        <v>57.2</v>
      </c>
    </row>
    <row r="579" spans="13:14">
      <c r="M579" s="59">
        <v>0.13684607300000001</v>
      </c>
      <c r="N579" s="59">
        <v>57.3</v>
      </c>
    </row>
    <row r="580" spans="13:14">
      <c r="M580" s="59">
        <v>0.138127574</v>
      </c>
      <c r="N580" s="59">
        <v>57.4</v>
      </c>
    </row>
    <row r="581" spans="13:14">
      <c r="M581" s="59">
        <v>0.13940907499999999</v>
      </c>
      <c r="N581" s="59">
        <v>57.5</v>
      </c>
    </row>
    <row r="582" spans="13:14">
      <c r="M582" s="59">
        <v>0.14134476800000001</v>
      </c>
      <c r="N582" s="59">
        <v>57.6</v>
      </c>
    </row>
    <row r="583" spans="13:14">
      <c r="M583" s="59">
        <v>0.14393093600000001</v>
      </c>
      <c r="N583" s="59">
        <v>57.7</v>
      </c>
    </row>
    <row r="584" spans="13:14">
      <c r="M584" s="59">
        <v>0.14651710400000001</v>
      </c>
      <c r="N584" s="59">
        <v>57.8</v>
      </c>
    </row>
    <row r="585" spans="13:14">
      <c r="M585" s="59">
        <v>0.147826597</v>
      </c>
      <c r="N585" s="59">
        <v>57.9</v>
      </c>
    </row>
    <row r="586" spans="13:14">
      <c r="M586" s="59">
        <v>0.14845594000000001</v>
      </c>
      <c r="N586" s="59">
        <v>58</v>
      </c>
    </row>
    <row r="587" spans="13:14">
      <c r="M587" s="59">
        <v>0.14908528300000001</v>
      </c>
      <c r="N587" s="59">
        <v>58.1</v>
      </c>
    </row>
    <row r="588" spans="13:14">
      <c r="M588" s="59">
        <v>0.15025691199999999</v>
      </c>
      <c r="N588" s="59">
        <v>58.2</v>
      </c>
    </row>
    <row r="589" spans="13:14">
      <c r="M589" s="59">
        <v>0.15156122799999999</v>
      </c>
      <c r="N589" s="59">
        <v>58.3</v>
      </c>
    </row>
    <row r="590" spans="13:14">
      <c r="M590" s="59">
        <v>0.15286554399999999</v>
      </c>
      <c r="N590" s="59">
        <v>58.4</v>
      </c>
    </row>
    <row r="591" spans="13:14">
      <c r="M591" s="59">
        <v>0.15314676999999999</v>
      </c>
      <c r="N591" s="59">
        <v>58.5</v>
      </c>
    </row>
    <row r="592" spans="13:14">
      <c r="M592" s="59">
        <v>0.153379132</v>
      </c>
      <c r="N592" s="59">
        <v>58.6</v>
      </c>
    </row>
    <row r="593" spans="13:14">
      <c r="M593" s="59">
        <v>0.15365811400000001</v>
      </c>
      <c r="N593" s="59">
        <v>58.7</v>
      </c>
    </row>
    <row r="594" spans="13:14">
      <c r="M594" s="59">
        <v>0.154332736</v>
      </c>
      <c r="N594" s="59">
        <v>58.8</v>
      </c>
    </row>
    <row r="595" spans="13:14">
      <c r="M595" s="59">
        <v>0.15500735800000001</v>
      </c>
      <c r="N595" s="59">
        <v>58.9</v>
      </c>
    </row>
    <row r="596" spans="13:14">
      <c r="M596" s="59">
        <v>0.15816129999999901</v>
      </c>
      <c r="N596" s="59">
        <v>59</v>
      </c>
    </row>
    <row r="597" spans="13:14">
      <c r="M597" s="59">
        <v>0.16850527000000001</v>
      </c>
      <c r="N597" s="59">
        <v>59.1</v>
      </c>
    </row>
    <row r="598" spans="13:14">
      <c r="M598" s="59">
        <v>0.17884923999999999</v>
      </c>
      <c r="N598" s="59">
        <v>59.2</v>
      </c>
    </row>
    <row r="599" spans="13:14">
      <c r="M599" s="59">
        <v>0.18550109300000001</v>
      </c>
      <c r="N599" s="59">
        <v>59.3</v>
      </c>
    </row>
    <row r="600" spans="13:14">
      <c r="M600" s="59">
        <v>0.186782594</v>
      </c>
      <c r="N600" s="59">
        <v>59.4</v>
      </c>
    </row>
    <row r="601" spans="13:14">
      <c r="M601" s="59">
        <v>0.18806409499999999</v>
      </c>
      <c r="N601" s="59">
        <v>59.5</v>
      </c>
    </row>
    <row r="602" spans="13:14">
      <c r="M602" s="59">
        <v>0.18899416799999999</v>
      </c>
      <c r="N602" s="59">
        <v>59.6</v>
      </c>
    </row>
    <row r="603" spans="13:14">
      <c r="M603" s="59">
        <v>0.189646326</v>
      </c>
      <c r="N603" s="59">
        <v>59.7</v>
      </c>
    </row>
    <row r="604" spans="13:14">
      <c r="M604" s="59">
        <v>0.19029848399999999</v>
      </c>
      <c r="N604" s="59">
        <v>59.8</v>
      </c>
    </row>
    <row r="605" spans="13:14">
      <c r="M605" s="59">
        <v>0.192769089</v>
      </c>
      <c r="N605" s="59">
        <v>59.9</v>
      </c>
    </row>
    <row r="606" spans="13:14">
      <c r="M606" s="59">
        <v>0.19598460000000001</v>
      </c>
      <c r="N606" s="59">
        <v>60</v>
      </c>
    </row>
    <row r="607" spans="13:14">
      <c r="M607" s="59">
        <v>0.19920011100000001</v>
      </c>
      <c r="N607" s="59">
        <v>60.1</v>
      </c>
    </row>
    <row r="608" spans="13:14">
      <c r="M608" s="59">
        <v>0.199868252</v>
      </c>
      <c r="N608" s="59">
        <v>60.2</v>
      </c>
    </row>
    <row r="609" spans="13:14">
      <c r="M609" s="59">
        <v>0.20012307800000001</v>
      </c>
      <c r="N609" s="59">
        <v>60.3</v>
      </c>
    </row>
    <row r="610" spans="13:14">
      <c r="M610" s="59">
        <v>0.200379528</v>
      </c>
      <c r="N610" s="59">
        <v>60.4</v>
      </c>
    </row>
    <row r="611" spans="13:14">
      <c r="M611" s="59">
        <v>0.20077686</v>
      </c>
      <c r="N611" s="59">
        <v>60.5</v>
      </c>
    </row>
    <row r="612" spans="13:14">
      <c r="M612" s="59">
        <v>0.201174192</v>
      </c>
      <c r="N612" s="59">
        <v>60.6</v>
      </c>
    </row>
    <row r="613" spans="13:14">
      <c r="M613" s="59">
        <v>0.20301630300000001</v>
      </c>
      <c r="N613" s="59">
        <v>60.7</v>
      </c>
    </row>
    <row r="614" spans="13:14">
      <c r="M614" s="59">
        <v>0.21231043199999999</v>
      </c>
      <c r="N614" s="59">
        <v>60.8</v>
      </c>
    </row>
    <row r="615" spans="13:14">
      <c r="M615" s="59">
        <v>0.22160456100000001</v>
      </c>
      <c r="N615" s="59">
        <v>60.9</v>
      </c>
    </row>
    <row r="616" spans="13:14">
      <c r="M616" s="59">
        <v>0.22819038</v>
      </c>
      <c r="N616" s="59">
        <v>61</v>
      </c>
    </row>
    <row r="617" spans="13:14">
      <c r="M617" s="59">
        <v>0.22884253800000001</v>
      </c>
      <c r="N617" s="59">
        <v>61.1</v>
      </c>
    </row>
    <row r="618" spans="13:14">
      <c r="M618" s="59">
        <v>0.229494696</v>
      </c>
      <c r="N618" s="59">
        <v>61.2</v>
      </c>
    </row>
    <row r="619" spans="13:14">
      <c r="M619" s="59">
        <v>0.230439276</v>
      </c>
      <c r="N619" s="59">
        <v>61.3</v>
      </c>
    </row>
    <row r="620" spans="13:14">
      <c r="M620" s="59">
        <v>0.231721128</v>
      </c>
      <c r="N620" s="59">
        <v>61.4</v>
      </c>
    </row>
    <row r="621" spans="13:14">
      <c r="M621" s="59">
        <v>0.23300298</v>
      </c>
      <c r="N621" s="59">
        <v>61.5</v>
      </c>
    </row>
    <row r="622" spans="13:14">
      <c r="M622" s="59">
        <v>0.233509824</v>
      </c>
      <c r="N622" s="59">
        <v>61.6</v>
      </c>
    </row>
    <row r="623" spans="13:14">
      <c r="M623" s="59">
        <v>0.233532288</v>
      </c>
      <c r="N623" s="59">
        <v>61.7</v>
      </c>
    </row>
    <row r="624" spans="13:14">
      <c r="M624" s="59">
        <v>0.233554752</v>
      </c>
      <c r="N624" s="59">
        <v>61.8</v>
      </c>
    </row>
    <row r="625" spans="13:14">
      <c r="M625" s="59">
        <v>0.23652411100000001</v>
      </c>
      <c r="N625" s="59">
        <v>61.9</v>
      </c>
    </row>
    <row r="626" spans="13:14">
      <c r="M626" s="59">
        <v>0.24039178</v>
      </c>
      <c r="N626" s="59">
        <v>62</v>
      </c>
    </row>
    <row r="627" spans="13:14">
      <c r="M627" s="59">
        <v>0.24425944899999999</v>
      </c>
      <c r="N627" s="59">
        <v>62.1</v>
      </c>
    </row>
    <row r="628" spans="13:14">
      <c r="M628" s="59">
        <v>0.245988716</v>
      </c>
      <c r="N628" s="59">
        <v>62.2</v>
      </c>
    </row>
    <row r="629" spans="13:14">
      <c r="M629" s="59">
        <v>0.24752539400000001</v>
      </c>
      <c r="N629" s="59">
        <v>62.3</v>
      </c>
    </row>
    <row r="630" spans="13:14">
      <c r="M630" s="59">
        <v>0.249089216</v>
      </c>
      <c r="N630" s="59">
        <v>62.4</v>
      </c>
    </row>
    <row r="631" spans="13:14">
      <c r="M631" s="59">
        <v>0.25102287499999998</v>
      </c>
      <c r="N631" s="59">
        <v>62.5</v>
      </c>
    </row>
    <row r="632" spans="13:14">
      <c r="M632" s="59">
        <v>0.25295653400000001</v>
      </c>
      <c r="N632" s="59">
        <v>62.6</v>
      </c>
    </row>
    <row r="633" spans="13:14">
      <c r="M633" s="59">
        <v>0.25489026999999997</v>
      </c>
      <c r="N633" s="59">
        <v>62.7</v>
      </c>
    </row>
    <row r="634" spans="13:14">
      <c r="M634" s="59">
        <v>0.25682428000000002</v>
      </c>
      <c r="N634" s="59">
        <v>62.8</v>
      </c>
    </row>
    <row r="635" spans="13:14">
      <c r="M635" s="59">
        <v>0.25875829</v>
      </c>
      <c r="N635" s="59">
        <v>62.9</v>
      </c>
    </row>
    <row r="636" spans="13:14">
      <c r="M636" s="59">
        <v>0.25997599999999998</v>
      </c>
      <c r="N636" s="59">
        <v>63</v>
      </c>
    </row>
    <row r="637" spans="13:14">
      <c r="M637" s="59">
        <v>0.25997599999999998</v>
      </c>
      <c r="N637" s="59">
        <v>63.1</v>
      </c>
    </row>
    <row r="638" spans="13:14">
      <c r="M638" s="59">
        <v>0.25997599999999998</v>
      </c>
      <c r="N638" s="59">
        <v>63.2</v>
      </c>
    </row>
    <row r="639" spans="13:14">
      <c r="M639" s="59">
        <v>0.260984147</v>
      </c>
      <c r="N639" s="59">
        <v>63.3</v>
      </c>
    </row>
    <row r="640" spans="13:14">
      <c r="M640" s="59">
        <v>0.26291780599999998</v>
      </c>
      <c r="N640" s="59">
        <v>63.4</v>
      </c>
    </row>
    <row r="641" spans="13:14">
      <c r="M641" s="59">
        <v>0.26485146500000001</v>
      </c>
      <c r="N641" s="59">
        <v>63.5</v>
      </c>
    </row>
    <row r="642" spans="13:14">
      <c r="M642" s="59">
        <v>0.26550010400000001</v>
      </c>
      <c r="N642" s="59">
        <v>63.6</v>
      </c>
    </row>
    <row r="643" spans="13:14">
      <c r="M643" s="59">
        <v>0.26552256800000001</v>
      </c>
      <c r="N643" s="59">
        <v>63.7</v>
      </c>
    </row>
    <row r="644" spans="13:14">
      <c r="M644" s="59">
        <v>0.26554503200000001</v>
      </c>
      <c r="N644" s="59">
        <v>63.8</v>
      </c>
    </row>
    <row r="645" spans="13:14">
      <c r="M645" s="59">
        <v>0.26554899999999998</v>
      </c>
      <c r="N645" s="59">
        <v>63.9</v>
      </c>
    </row>
    <row r="646" spans="13:14">
      <c r="M646" s="59">
        <v>0.26554899999999998</v>
      </c>
      <c r="N646" s="59">
        <v>64</v>
      </c>
    </row>
    <row r="647" spans="13:14">
      <c r="M647" s="59">
        <v>0.26554899999999998</v>
      </c>
      <c r="N647" s="59">
        <v>64.099999999999994</v>
      </c>
    </row>
    <row r="648" spans="13:14">
      <c r="M648" s="59">
        <v>0.26743341999999998</v>
      </c>
      <c r="N648" s="59">
        <v>64.2</v>
      </c>
    </row>
    <row r="649" spans="13:14">
      <c r="M649" s="59">
        <v>0.26936743000000002</v>
      </c>
      <c r="N649" s="59">
        <v>64.3</v>
      </c>
    </row>
    <row r="650" spans="13:14">
      <c r="M650" s="59">
        <v>0.27227388400000002</v>
      </c>
      <c r="N650" s="59">
        <v>64.400000000000006</v>
      </c>
    </row>
    <row r="651" spans="13:14">
      <c r="M651" s="59">
        <v>0.28196534499999998</v>
      </c>
      <c r="N651" s="59">
        <v>64.5</v>
      </c>
    </row>
    <row r="652" spans="13:14">
      <c r="M652" s="59">
        <v>0.29165680599999999</v>
      </c>
      <c r="N652" s="59">
        <v>64.599999999999994</v>
      </c>
    </row>
    <row r="653" spans="13:14">
      <c r="M653" s="59">
        <v>0.30213338499999998</v>
      </c>
      <c r="N653" s="59">
        <v>64.7</v>
      </c>
    </row>
    <row r="654" spans="13:14">
      <c r="M654" s="59">
        <v>0.31466583999999997</v>
      </c>
      <c r="N654" s="59">
        <v>64.8</v>
      </c>
    </row>
    <row r="655" spans="13:14">
      <c r="M655" s="59">
        <v>0.32719829499999997</v>
      </c>
      <c r="N655" s="59">
        <v>64.900000000000006</v>
      </c>
    </row>
    <row r="656" spans="13:14">
      <c r="M656" s="59">
        <v>0.33521109999999998</v>
      </c>
      <c r="N656" s="59">
        <v>65</v>
      </c>
    </row>
    <row r="657" spans="13:14">
      <c r="M657" s="59">
        <v>0.33716757400000003</v>
      </c>
      <c r="N657" s="59">
        <v>65.099999999999994</v>
      </c>
    </row>
    <row r="658" spans="13:14">
      <c r="M658" s="59">
        <v>0.33912404800000001</v>
      </c>
      <c r="N658" s="59">
        <v>65.2</v>
      </c>
    </row>
    <row r="659" spans="13:14">
      <c r="M659" s="59">
        <v>0.34031297900000002</v>
      </c>
      <c r="N659" s="59">
        <v>65.3</v>
      </c>
    </row>
    <row r="660" spans="13:14">
      <c r="M660" s="59">
        <v>0.34094232200000002</v>
      </c>
      <c r="N660" s="59">
        <v>65.400000000000006</v>
      </c>
    </row>
    <row r="661" spans="13:14">
      <c r="M661" s="59">
        <v>0.34157166500000002</v>
      </c>
      <c r="N661" s="59">
        <v>65.5</v>
      </c>
    </row>
    <row r="662" spans="13:14">
      <c r="M662" s="59">
        <v>0.34427307200000001</v>
      </c>
      <c r="N662" s="59">
        <v>65.599999999999994</v>
      </c>
    </row>
    <row r="663" spans="13:14">
      <c r="M663" s="59">
        <v>0.347743409</v>
      </c>
      <c r="N663" s="59">
        <v>65.7</v>
      </c>
    </row>
    <row r="664" spans="13:14">
      <c r="M664" s="59">
        <v>0.35121374599999999</v>
      </c>
      <c r="N664" s="59">
        <v>65.8</v>
      </c>
    </row>
    <row r="665" spans="13:14">
      <c r="M665" s="59">
        <v>0.35333158999999997</v>
      </c>
      <c r="N665" s="59">
        <v>65.900000000000006</v>
      </c>
    </row>
    <row r="666" spans="13:14">
      <c r="M666" s="59">
        <v>0.35526560000000001</v>
      </c>
      <c r="N666" s="59">
        <v>66</v>
      </c>
    </row>
    <row r="667" spans="13:14">
      <c r="M667" s="59">
        <v>0.35713899999999998</v>
      </c>
      <c r="N667" s="59">
        <v>66.099999999999994</v>
      </c>
    </row>
    <row r="668" spans="13:14">
      <c r="M668" s="59">
        <v>0.35713899999999998</v>
      </c>
      <c r="N668" s="59">
        <v>66.2</v>
      </c>
    </row>
    <row r="669" spans="13:14">
      <c r="M669" s="59">
        <v>0.35713899999999998</v>
      </c>
      <c r="N669" s="59">
        <v>66.3</v>
      </c>
    </row>
    <row r="670" spans="13:14">
      <c r="M670" s="59">
        <v>0.35749573600000001</v>
      </c>
      <c r="N670" s="59">
        <v>66.400000000000006</v>
      </c>
    </row>
    <row r="671" spans="13:14">
      <c r="M671" s="59">
        <v>0.35945220999999999</v>
      </c>
      <c r="N671" s="59">
        <v>66.5</v>
      </c>
    </row>
    <row r="672" spans="13:14">
      <c r="M672" s="59">
        <v>0.36140868399999998</v>
      </c>
      <c r="N672" s="59">
        <v>66.599999999999994</v>
      </c>
    </row>
    <row r="673" spans="13:14">
      <c r="M673" s="59">
        <v>0.36400222300000001</v>
      </c>
      <c r="N673" s="59">
        <v>66.7</v>
      </c>
    </row>
    <row r="674" spans="13:14">
      <c r="M674" s="59">
        <v>0.36786989199999998</v>
      </c>
      <c r="N674" s="59">
        <v>66.8</v>
      </c>
    </row>
    <row r="675" spans="13:14">
      <c r="M675" s="59">
        <v>0.37173756099999999</v>
      </c>
      <c r="N675" s="59">
        <v>66.900000000000006</v>
      </c>
    </row>
    <row r="676" spans="13:14">
      <c r="M676" s="59">
        <v>0.37436372000000001</v>
      </c>
      <c r="N676" s="59">
        <v>67</v>
      </c>
    </row>
    <row r="677" spans="13:14">
      <c r="M677" s="59">
        <v>0.37566803599999998</v>
      </c>
      <c r="N677" s="59">
        <v>67.099999999999994</v>
      </c>
    </row>
    <row r="678" spans="13:14">
      <c r="M678" s="59">
        <v>0.37697235200000001</v>
      </c>
      <c r="N678" s="59">
        <v>67.2</v>
      </c>
    </row>
    <row r="679" spans="13:14">
      <c r="M679" s="59">
        <v>0.37784783900000002</v>
      </c>
      <c r="N679" s="59">
        <v>67.3</v>
      </c>
    </row>
    <row r="680" spans="13:14">
      <c r="M680" s="59">
        <v>0.37847718200000002</v>
      </c>
      <c r="N680" s="59">
        <v>67.400000000000006</v>
      </c>
    </row>
    <row r="681" spans="13:14">
      <c r="M681" s="59">
        <v>0.37910652500000003</v>
      </c>
      <c r="N681" s="59">
        <v>67.5</v>
      </c>
    </row>
    <row r="682" spans="13:14">
      <c r="M682" s="59">
        <v>0.37924099999999999</v>
      </c>
      <c r="N682" s="59">
        <v>67.599999999999994</v>
      </c>
    </row>
    <row r="683" spans="13:14">
      <c r="M683" s="59">
        <v>0.37924099999999999</v>
      </c>
      <c r="N683" s="59">
        <v>67.7</v>
      </c>
    </row>
    <row r="684" spans="13:14">
      <c r="M684" s="59">
        <v>0.37924099999999999</v>
      </c>
      <c r="N684" s="59">
        <v>67.8</v>
      </c>
    </row>
    <row r="685" spans="13:14">
      <c r="M685" s="59">
        <v>0.37926238499999998</v>
      </c>
      <c r="N685" s="59">
        <v>67.900000000000006</v>
      </c>
    </row>
    <row r="686" spans="13:14">
      <c r="M686" s="59">
        <v>0.37928519999999999</v>
      </c>
      <c r="N686" s="59">
        <v>68</v>
      </c>
    </row>
    <row r="687" spans="13:14">
      <c r="M687" s="59">
        <v>0.37947677899999999</v>
      </c>
      <c r="N687" s="59">
        <v>68.099999999999994</v>
      </c>
    </row>
    <row r="688" spans="13:14">
      <c r="M688" s="59">
        <v>0.38141043800000002</v>
      </c>
      <c r="N688" s="59">
        <v>68.2</v>
      </c>
    </row>
    <row r="689" spans="13:14">
      <c r="M689" s="59">
        <v>0.38334409699999999</v>
      </c>
      <c r="N689" s="59">
        <v>68.3</v>
      </c>
    </row>
    <row r="690" spans="13:14">
      <c r="M690" s="59">
        <v>0.38512168400000002</v>
      </c>
      <c r="N690" s="59">
        <v>68.400000000000006</v>
      </c>
    </row>
    <row r="691" spans="13:14">
      <c r="M691" s="59">
        <v>0.38640318499999998</v>
      </c>
      <c r="N691" s="59">
        <v>68.5</v>
      </c>
    </row>
    <row r="692" spans="13:14">
      <c r="M692" s="59">
        <v>0.387684686</v>
      </c>
      <c r="N692" s="59">
        <v>68.599999999999994</v>
      </c>
    </row>
    <row r="693" spans="13:14">
      <c r="M693" s="59">
        <v>0.39310303900000099</v>
      </c>
      <c r="N693" s="59">
        <v>68.7</v>
      </c>
    </row>
    <row r="694" spans="13:14">
      <c r="M694" s="59">
        <v>0.40498333600000103</v>
      </c>
      <c r="N694" s="59">
        <v>68.8</v>
      </c>
    </row>
    <row r="695" spans="13:14">
      <c r="M695" s="59">
        <v>0.41686363300000101</v>
      </c>
      <c r="N695" s="59">
        <v>68.900000000000006</v>
      </c>
    </row>
    <row r="696" spans="13:14">
      <c r="M696" s="59">
        <v>0.42266601999999998</v>
      </c>
      <c r="N696" s="59">
        <v>69</v>
      </c>
    </row>
    <row r="697" spans="13:14">
      <c r="M697" s="59">
        <v>0.42331817799999999</v>
      </c>
      <c r="N697" s="59">
        <v>69.099999999999994</v>
      </c>
    </row>
    <row r="698" spans="13:14">
      <c r="M698" s="59">
        <v>0.423970336</v>
      </c>
      <c r="N698" s="59">
        <v>69.2</v>
      </c>
    </row>
    <row r="699" spans="13:14">
      <c r="M699" s="59">
        <v>0.42596142399999998</v>
      </c>
      <c r="N699" s="59">
        <v>69.3</v>
      </c>
    </row>
    <row r="700" spans="13:14">
      <c r="M700" s="59">
        <v>0.42854759199999998</v>
      </c>
      <c r="N700" s="59">
        <v>69.400000000000006</v>
      </c>
    </row>
    <row r="701" spans="13:14">
      <c r="M701" s="59">
        <v>0.43113375999999998</v>
      </c>
      <c r="N701" s="59">
        <v>69.5</v>
      </c>
    </row>
    <row r="702" spans="13:14">
      <c r="M702" s="59">
        <v>0.43664618399999999</v>
      </c>
      <c r="N702" s="59">
        <v>69.599999999999994</v>
      </c>
    </row>
    <row r="703" spans="13:14">
      <c r="M703" s="59">
        <v>0.44270233799999997</v>
      </c>
      <c r="N703" s="59">
        <v>69.7</v>
      </c>
    </row>
    <row r="704" spans="13:14">
      <c r="M704" s="59">
        <v>0.44875849200000001</v>
      </c>
      <c r="N704" s="59">
        <v>69.8</v>
      </c>
    </row>
    <row r="705" spans="13:14">
      <c r="M705" s="59">
        <v>0.450715641</v>
      </c>
      <c r="N705" s="59">
        <v>69.900000000000006</v>
      </c>
    </row>
    <row r="706" spans="13:14">
      <c r="M706" s="59">
        <v>0.45264929999999998</v>
      </c>
      <c r="N706" s="59">
        <v>70</v>
      </c>
    </row>
    <row r="707" spans="13:14">
      <c r="M707" s="59">
        <v>0.45430531499999999</v>
      </c>
      <c r="N707" s="59">
        <v>70.099999999999994</v>
      </c>
    </row>
    <row r="708" spans="13:14">
      <c r="M708" s="59">
        <v>0.45432813</v>
      </c>
      <c r="N708" s="59">
        <v>70.2</v>
      </c>
    </row>
    <row r="709" spans="13:14">
      <c r="M709" s="59">
        <v>0.45435094500000001</v>
      </c>
      <c r="N709" s="59">
        <v>70.3</v>
      </c>
    </row>
    <row r="710" spans="13:14">
      <c r="M710" s="59">
        <v>0.45493993599999999</v>
      </c>
      <c r="N710" s="59">
        <v>70.400000000000006</v>
      </c>
    </row>
    <row r="711" spans="13:14">
      <c r="M711" s="59">
        <v>0.45687359500000002</v>
      </c>
      <c r="N711" s="59">
        <v>70.5</v>
      </c>
    </row>
    <row r="712" spans="13:14">
      <c r="M712" s="59">
        <v>0.458807254</v>
      </c>
      <c r="N712" s="59">
        <v>70.599999999999994</v>
      </c>
    </row>
    <row r="713" spans="13:14">
      <c r="M713" s="59">
        <v>0.46248110100000001</v>
      </c>
      <c r="N713" s="59">
        <v>70.7</v>
      </c>
    </row>
    <row r="714" spans="13:14">
      <c r="M714" s="59">
        <v>0.46830524400000001</v>
      </c>
      <c r="N714" s="59">
        <v>70.8</v>
      </c>
    </row>
    <row r="715" spans="13:14">
      <c r="M715" s="59">
        <v>0.47412938700000001</v>
      </c>
      <c r="N715" s="59">
        <v>70.900000000000006</v>
      </c>
    </row>
    <row r="716" spans="13:14">
      <c r="M716" s="59">
        <v>0.47970215999999999</v>
      </c>
      <c r="N716" s="59">
        <v>71</v>
      </c>
    </row>
    <row r="717" spans="13:14">
      <c r="M717" s="59">
        <v>0.48510615600000001</v>
      </c>
      <c r="N717" s="59">
        <v>71.099999999999994</v>
      </c>
    </row>
    <row r="718" spans="13:14">
      <c r="M718" s="59">
        <v>0.49051015199999998</v>
      </c>
      <c r="N718" s="59">
        <v>71.2</v>
      </c>
    </row>
    <row r="719" spans="13:14">
      <c r="M719" s="59">
        <v>0.491865</v>
      </c>
      <c r="N719" s="59">
        <v>71.3</v>
      </c>
    </row>
    <row r="720" spans="13:14">
      <c r="M720" s="59">
        <v>0.491865</v>
      </c>
      <c r="N720" s="59">
        <v>71.400000000000006</v>
      </c>
    </row>
    <row r="721" spans="13:14">
      <c r="M721" s="59">
        <v>0.491865</v>
      </c>
      <c r="N721" s="59">
        <v>71.5</v>
      </c>
    </row>
    <row r="722" spans="13:14">
      <c r="M722" s="59">
        <v>0.49222271200000001</v>
      </c>
      <c r="N722" s="59">
        <v>71.599999999999994</v>
      </c>
    </row>
    <row r="723" spans="13:14">
      <c r="M723" s="59">
        <v>0.49262004399999998</v>
      </c>
      <c r="N723" s="59">
        <v>71.7</v>
      </c>
    </row>
    <row r="724" spans="13:14">
      <c r="M724" s="59">
        <v>0.49305542800000002</v>
      </c>
      <c r="N724" s="59">
        <v>71.8</v>
      </c>
    </row>
    <row r="725" spans="13:14">
      <c r="M725" s="59">
        <v>0.494194774</v>
      </c>
      <c r="N725" s="59">
        <v>71.900000000000006</v>
      </c>
    </row>
    <row r="726" spans="13:14">
      <c r="M726" s="59">
        <v>0.49533411999999999</v>
      </c>
      <c r="N726" s="59">
        <v>72</v>
      </c>
    </row>
    <row r="727" spans="13:14">
      <c r="M727" s="59">
        <v>0.49854758900000001</v>
      </c>
      <c r="N727" s="59">
        <v>72.099999999999994</v>
      </c>
    </row>
    <row r="728" spans="13:14">
      <c r="M728" s="59">
        <v>0.50994069799999997</v>
      </c>
      <c r="N728" s="59">
        <v>72.2</v>
      </c>
    </row>
    <row r="729" spans="13:14">
      <c r="M729" s="59">
        <v>0.52133380699999998</v>
      </c>
      <c r="N729" s="59">
        <v>72.3</v>
      </c>
    </row>
    <row r="730" spans="13:14">
      <c r="M730" s="59">
        <v>0.53015838000000004</v>
      </c>
      <c r="N730" s="59">
        <v>72.400000000000006</v>
      </c>
    </row>
    <row r="731" spans="13:14">
      <c r="M731" s="59">
        <v>0.53428087499999999</v>
      </c>
      <c r="N731" s="59">
        <v>72.5</v>
      </c>
    </row>
    <row r="732" spans="13:14">
      <c r="M732" s="59">
        <v>0.53840337000000005</v>
      </c>
      <c r="N732" s="59">
        <v>72.599999999999994</v>
      </c>
    </row>
    <row r="733" spans="13:14">
      <c r="M733" s="59">
        <v>0.54240886799999999</v>
      </c>
      <c r="N733" s="59">
        <v>72.7</v>
      </c>
    </row>
    <row r="734" spans="13:14">
      <c r="M734" s="59">
        <v>0.54629935200000002</v>
      </c>
      <c r="N734" s="59">
        <v>72.8</v>
      </c>
    </row>
    <row r="735" spans="13:14">
      <c r="M735" s="59">
        <v>0.55018983600000004</v>
      </c>
      <c r="N735" s="59">
        <v>72.900000000000006</v>
      </c>
    </row>
    <row r="736" spans="13:14">
      <c r="M736" s="59">
        <v>0.55363779999999996</v>
      </c>
      <c r="N736" s="59">
        <v>73</v>
      </c>
    </row>
    <row r="737" spans="13:14">
      <c r="M737" s="59">
        <v>0.55685295999999995</v>
      </c>
      <c r="N737" s="59">
        <v>73.099999999999994</v>
      </c>
    </row>
    <row r="738" spans="13:14">
      <c r="M738" s="59">
        <v>0.56006811999999995</v>
      </c>
      <c r="N738" s="59">
        <v>73.2</v>
      </c>
    </row>
    <row r="739" spans="13:14">
      <c r="M739" s="59">
        <v>0.56279425599999999</v>
      </c>
      <c r="N739" s="59">
        <v>73.3</v>
      </c>
    </row>
    <row r="740" spans="13:14">
      <c r="M740" s="59">
        <v>0.56540288800000005</v>
      </c>
      <c r="N740" s="59">
        <v>73.400000000000006</v>
      </c>
    </row>
    <row r="741" spans="13:14">
      <c r="M741" s="59">
        <v>0.56801151999999999</v>
      </c>
      <c r="N741" s="59">
        <v>73.5</v>
      </c>
    </row>
    <row r="742" spans="13:14">
      <c r="M742" s="59">
        <v>0.56812300000000004</v>
      </c>
      <c r="N742" s="59">
        <v>73.599999999999994</v>
      </c>
    </row>
    <row r="743" spans="13:14">
      <c r="M743" s="59">
        <v>0.56812300000000004</v>
      </c>
      <c r="N743" s="59">
        <v>73.7</v>
      </c>
    </row>
    <row r="744" spans="13:14">
      <c r="M744" s="59">
        <v>0.56847111800000005</v>
      </c>
      <c r="N744" s="59">
        <v>73.8</v>
      </c>
    </row>
    <row r="745" spans="13:14">
      <c r="M745" s="59">
        <v>0.571686629</v>
      </c>
      <c r="N745" s="59">
        <v>73.900000000000006</v>
      </c>
    </row>
    <row r="746" spans="13:14">
      <c r="M746" s="59">
        <v>0.57490213999999995</v>
      </c>
      <c r="N746" s="59">
        <v>74</v>
      </c>
    </row>
    <row r="747" spans="13:14">
      <c r="M747" s="59">
        <v>0.577851385</v>
      </c>
      <c r="N747" s="59">
        <v>74.099999999999994</v>
      </c>
    </row>
    <row r="748" spans="13:14">
      <c r="M748" s="59">
        <v>0.58003987000000001</v>
      </c>
      <c r="N748" s="59">
        <v>74.2</v>
      </c>
    </row>
    <row r="749" spans="13:14">
      <c r="M749" s="59">
        <v>0.58222835500000003</v>
      </c>
      <c r="N749" s="59">
        <v>74.3</v>
      </c>
    </row>
    <row r="750" spans="13:14">
      <c r="M750" s="59">
        <v>0.58431244000000004</v>
      </c>
      <c r="N750" s="59">
        <v>74.400000000000006</v>
      </c>
    </row>
    <row r="751" spans="13:14">
      <c r="M751" s="59">
        <v>0.58624644999999997</v>
      </c>
      <c r="N751" s="59">
        <v>74.5</v>
      </c>
    </row>
    <row r="752" spans="13:14">
      <c r="M752" s="59">
        <v>0.58818046000000002</v>
      </c>
      <c r="N752" s="59">
        <v>74.599999999999994</v>
      </c>
    </row>
    <row r="753" spans="13:14">
      <c r="M753" s="59">
        <v>0.589891269</v>
      </c>
      <c r="N753" s="59">
        <v>74.7</v>
      </c>
    </row>
    <row r="754" spans="13:14">
      <c r="M754" s="59">
        <v>0.59142759600000006</v>
      </c>
      <c r="N754" s="59">
        <v>74.8</v>
      </c>
    </row>
    <row r="755" spans="13:14">
      <c r="M755" s="59">
        <v>0.592963923</v>
      </c>
      <c r="N755" s="59">
        <v>74.900000000000006</v>
      </c>
    </row>
    <row r="756" spans="13:14">
      <c r="M756" s="59">
        <v>0.60289824999999997</v>
      </c>
      <c r="N756" s="59">
        <v>75</v>
      </c>
    </row>
    <row r="757" spans="13:14">
      <c r="M757" s="59">
        <v>0.61622536900000002</v>
      </c>
      <c r="N757" s="59">
        <v>75.099999999999994</v>
      </c>
    </row>
    <row r="758" spans="13:14">
      <c r="M758" s="59">
        <v>0.62955248799999997</v>
      </c>
      <c r="N758" s="59">
        <v>75.2</v>
      </c>
    </row>
    <row r="759" spans="13:14">
      <c r="M759" s="59">
        <v>0.63941783200000002</v>
      </c>
      <c r="N759" s="59">
        <v>75.3</v>
      </c>
    </row>
    <row r="760" spans="13:14">
      <c r="M760" s="59">
        <v>0.64873477599999996</v>
      </c>
      <c r="N760" s="59">
        <v>75.400000000000006</v>
      </c>
    </row>
    <row r="761" spans="13:14">
      <c r="M761" s="59">
        <v>0.65795583999999996</v>
      </c>
      <c r="N761" s="59">
        <v>75.5</v>
      </c>
    </row>
    <row r="762" spans="13:14">
      <c r="M762" s="59">
        <v>0.66054200799999996</v>
      </c>
      <c r="N762" s="59">
        <v>75.599999999999994</v>
      </c>
    </row>
    <row r="763" spans="13:14">
      <c r="M763" s="59">
        <v>0.66312817599999996</v>
      </c>
      <c r="N763" s="59">
        <v>75.7</v>
      </c>
    </row>
    <row r="764" spans="13:14">
      <c r="M764" s="59">
        <v>0.66549875800000002</v>
      </c>
      <c r="N764" s="59">
        <v>75.8</v>
      </c>
    </row>
    <row r="765" spans="13:14">
      <c r="M765" s="59">
        <v>0.66678025900000004</v>
      </c>
      <c r="N765" s="59">
        <v>75.900000000000006</v>
      </c>
    </row>
    <row r="766" spans="13:14">
      <c r="M766" s="59">
        <v>0.66806175999999995</v>
      </c>
      <c r="N766" s="59">
        <v>76</v>
      </c>
    </row>
    <row r="767" spans="13:14">
      <c r="M767" s="59">
        <v>0.67024169499999997</v>
      </c>
      <c r="N767" s="59">
        <v>76.099999999999994</v>
      </c>
    </row>
    <row r="768" spans="13:14">
      <c r="M768" s="59">
        <v>0.67436419000000003</v>
      </c>
      <c r="N768" s="59">
        <v>76.2</v>
      </c>
    </row>
    <row r="769" spans="13:14">
      <c r="M769" s="59">
        <v>0.67848668499999998</v>
      </c>
      <c r="N769" s="59">
        <v>76.3</v>
      </c>
    </row>
    <row r="770" spans="13:14">
      <c r="M770" s="59">
        <v>0.68522186399999996</v>
      </c>
      <c r="N770" s="59">
        <v>76.400000000000006</v>
      </c>
    </row>
    <row r="771" spans="13:14">
      <c r="M771" s="59">
        <v>0.69493614000000004</v>
      </c>
      <c r="N771" s="59">
        <v>76.5</v>
      </c>
    </row>
    <row r="772" spans="13:14">
      <c r="M772" s="59">
        <v>0.704650416</v>
      </c>
      <c r="N772" s="59">
        <v>76.599999999999994</v>
      </c>
    </row>
    <row r="773" spans="13:14">
      <c r="M773" s="59">
        <v>0.71409105500000003</v>
      </c>
      <c r="N773" s="59">
        <v>76.7</v>
      </c>
    </row>
    <row r="774" spans="13:14">
      <c r="M774" s="59">
        <v>0.72336272000000001</v>
      </c>
      <c r="N774" s="59">
        <v>76.8</v>
      </c>
    </row>
    <row r="775" spans="13:14">
      <c r="M775" s="59">
        <v>0.732634385</v>
      </c>
      <c r="N775" s="59">
        <v>76.900000000000006</v>
      </c>
    </row>
    <row r="776" spans="13:14">
      <c r="M776" s="59">
        <v>0.74025742999999999</v>
      </c>
      <c r="N776" s="59">
        <v>77</v>
      </c>
    </row>
    <row r="777" spans="13:14">
      <c r="M777" s="59">
        <v>0.74738588900000003</v>
      </c>
      <c r="N777" s="59">
        <v>77.099999999999994</v>
      </c>
    </row>
    <row r="778" spans="13:14">
      <c r="M778" s="59">
        <v>0.75451434799999995</v>
      </c>
      <c r="N778" s="59">
        <v>77.2</v>
      </c>
    </row>
    <row r="779" spans="13:14">
      <c r="M779" s="59">
        <v>0.75566213900000001</v>
      </c>
      <c r="N779" s="59">
        <v>77.3</v>
      </c>
    </row>
    <row r="780" spans="13:14">
      <c r="M780" s="59">
        <v>0.75629148199999996</v>
      </c>
      <c r="N780" s="59">
        <v>77.400000000000006</v>
      </c>
    </row>
    <row r="781" spans="13:14">
      <c r="M781" s="59">
        <v>0.756877625</v>
      </c>
      <c r="N781" s="59">
        <v>77.5</v>
      </c>
    </row>
    <row r="782" spans="13:14">
      <c r="M782" s="59">
        <v>0.75690044000000001</v>
      </c>
      <c r="N782" s="59">
        <v>77.599999999999994</v>
      </c>
    </row>
    <row r="783" spans="13:14">
      <c r="M783" s="59">
        <v>0.75692325500000002</v>
      </c>
      <c r="N783" s="59">
        <v>77.7</v>
      </c>
    </row>
    <row r="784" spans="13:14">
      <c r="M784" s="59">
        <v>0.75823018400000097</v>
      </c>
      <c r="N784" s="59">
        <v>77.8</v>
      </c>
    </row>
    <row r="785" spans="13:14">
      <c r="M785" s="59">
        <v>0.76403151200000097</v>
      </c>
      <c r="N785" s="59">
        <v>77.900000000000006</v>
      </c>
    </row>
    <row r="786" spans="13:14">
      <c r="M786" s="59">
        <v>0.76983284000000096</v>
      </c>
      <c r="N786" s="59">
        <v>78</v>
      </c>
    </row>
    <row r="787" spans="13:14">
      <c r="M787" s="59">
        <v>0.77573778900000001</v>
      </c>
      <c r="N787" s="59">
        <v>78.099999999999994</v>
      </c>
    </row>
    <row r="788" spans="13:14">
      <c r="M788" s="59">
        <v>0.78181675800000106</v>
      </c>
      <c r="N788" s="59">
        <v>78.2</v>
      </c>
    </row>
    <row r="789" spans="13:14">
      <c r="M789" s="59">
        <v>0.78789572699999999</v>
      </c>
      <c r="N789" s="59">
        <v>78.3</v>
      </c>
    </row>
    <row r="790" spans="13:14">
      <c r="M790" s="59">
        <v>0.79247362399999999</v>
      </c>
      <c r="N790" s="59">
        <v>78.400000000000006</v>
      </c>
    </row>
    <row r="791" spans="13:14">
      <c r="M791" s="59">
        <v>0.79568913500000005</v>
      </c>
      <c r="N791" s="59">
        <v>78.5</v>
      </c>
    </row>
    <row r="792" spans="13:14">
      <c r="M792" s="59">
        <v>0.798904646</v>
      </c>
      <c r="N792" s="59">
        <v>78.599999999999994</v>
      </c>
    </row>
    <row r="793" spans="13:14">
      <c r="M793" s="59">
        <v>0.79994900000000002</v>
      </c>
      <c r="N793" s="59">
        <v>78.7</v>
      </c>
    </row>
    <row r="794" spans="13:14">
      <c r="M794" s="59">
        <v>0.79994900000000002</v>
      </c>
      <c r="N794" s="59">
        <v>78.8</v>
      </c>
    </row>
    <row r="795" spans="13:14">
      <c r="M795" s="59">
        <v>0.79994900000000002</v>
      </c>
      <c r="N795" s="59">
        <v>78.900000000000006</v>
      </c>
    </row>
    <row r="796" spans="13:14">
      <c r="M796" s="59">
        <v>0.80048752999999995</v>
      </c>
      <c r="N796" s="59">
        <v>79</v>
      </c>
    </row>
    <row r="797" spans="13:14">
      <c r="M797" s="59">
        <v>0.80113933699999995</v>
      </c>
      <c r="N797" s="59">
        <v>79.099999999999994</v>
      </c>
    </row>
    <row r="798" spans="13:14">
      <c r="M798" s="59">
        <v>0.80179114399999996</v>
      </c>
      <c r="N798" s="59">
        <v>79.2</v>
      </c>
    </row>
    <row r="799" spans="13:14">
      <c r="M799" s="59">
        <v>0.80180600000000002</v>
      </c>
      <c r="N799" s="59">
        <v>79.3</v>
      </c>
    </row>
    <row r="800" spans="13:14">
      <c r="M800" s="59">
        <v>0.80180600000000002</v>
      </c>
      <c r="N800" s="59">
        <v>79.400000000000006</v>
      </c>
    </row>
    <row r="801" spans="13:14">
      <c r="M801" s="59">
        <v>0.80205395000000002</v>
      </c>
      <c r="N801" s="59">
        <v>79.5</v>
      </c>
    </row>
    <row r="802" spans="13:14">
      <c r="M802" s="59">
        <v>0.80398795999999995</v>
      </c>
      <c r="N802" s="59">
        <v>79.599999999999994</v>
      </c>
    </row>
    <row r="803" spans="13:14">
      <c r="M803" s="59">
        <v>0.80592196999999999</v>
      </c>
      <c r="N803" s="59">
        <v>79.7</v>
      </c>
    </row>
    <row r="804" spans="13:14">
      <c r="M804" s="59">
        <v>0.80972885800000005</v>
      </c>
      <c r="N804" s="59">
        <v>79.8</v>
      </c>
    </row>
    <row r="805" spans="13:14">
      <c r="M805" s="59">
        <v>0.81837082900000002</v>
      </c>
      <c r="N805" s="59">
        <v>79.900000000000006</v>
      </c>
    </row>
    <row r="806" spans="13:14">
      <c r="M806" s="59">
        <v>0.82701279999999999</v>
      </c>
      <c r="N806" s="59">
        <v>80</v>
      </c>
    </row>
    <row r="807" spans="13:14">
      <c r="M807" s="59">
        <v>0.835284217</v>
      </c>
      <c r="N807" s="59">
        <v>80.099999999999994</v>
      </c>
    </row>
    <row r="808" spans="13:14">
      <c r="M808" s="59">
        <v>0.84306483399999999</v>
      </c>
      <c r="N808" s="59">
        <v>80.2</v>
      </c>
    </row>
    <row r="809" spans="13:14">
      <c r="M809" s="59">
        <v>0.85084545099999997</v>
      </c>
      <c r="N809" s="59">
        <v>80.3</v>
      </c>
    </row>
    <row r="810" spans="13:14">
      <c r="M810" s="59">
        <v>0.85950592000000003</v>
      </c>
      <c r="N810" s="59">
        <v>80.400000000000006</v>
      </c>
    </row>
    <row r="811" spans="13:14">
      <c r="M811" s="59">
        <v>0.86880040000000003</v>
      </c>
      <c r="N811" s="59">
        <v>80.5</v>
      </c>
    </row>
    <row r="812" spans="13:14">
      <c r="M812" s="59">
        <v>0.87809488000000002</v>
      </c>
      <c r="N812" s="59">
        <v>80.599999999999994</v>
      </c>
    </row>
    <row r="813" spans="13:14">
      <c r="M813" s="59">
        <v>0.88768002700000004</v>
      </c>
      <c r="N813" s="59">
        <v>80.7</v>
      </c>
    </row>
    <row r="814" spans="13:14">
      <c r="M814" s="59">
        <v>0.89737148799999999</v>
      </c>
      <c r="N814" s="59">
        <v>80.8</v>
      </c>
    </row>
    <row r="815" spans="13:14">
      <c r="M815" s="59">
        <v>0.90706294899999995</v>
      </c>
      <c r="N815" s="59">
        <v>80.900000000000006</v>
      </c>
    </row>
    <row r="816" spans="13:14">
      <c r="M816" s="59">
        <v>0.91161088999999995</v>
      </c>
      <c r="N816" s="59">
        <v>81</v>
      </c>
    </row>
    <row r="817" spans="13:14">
      <c r="M817" s="59">
        <v>0.91547855899999997</v>
      </c>
      <c r="N817" s="59">
        <v>81.099999999999994</v>
      </c>
    </row>
    <row r="818" spans="13:14">
      <c r="M818" s="59">
        <v>0.91942977199999998</v>
      </c>
      <c r="N818" s="59">
        <v>81.2</v>
      </c>
    </row>
    <row r="819" spans="13:14">
      <c r="M819" s="59">
        <v>0.92574110300000001</v>
      </c>
      <c r="N819" s="59">
        <v>81.3</v>
      </c>
    </row>
    <row r="820" spans="13:14">
      <c r="M820" s="59">
        <v>0.93205243400000004</v>
      </c>
      <c r="N820" s="59">
        <v>81.400000000000006</v>
      </c>
    </row>
    <row r="821" spans="13:14">
      <c r="M821" s="59">
        <v>0.93775159500000005</v>
      </c>
      <c r="N821" s="59">
        <v>81.5</v>
      </c>
    </row>
    <row r="822" spans="13:14">
      <c r="M822" s="59">
        <v>0.94075720799999996</v>
      </c>
      <c r="N822" s="59">
        <v>81.599999999999994</v>
      </c>
    </row>
    <row r="823" spans="13:14">
      <c r="M823" s="59">
        <v>0.94376282099999997</v>
      </c>
      <c r="N823" s="59">
        <v>81.7</v>
      </c>
    </row>
    <row r="824" spans="13:14">
      <c r="M824" s="59">
        <v>0.94779409000000003</v>
      </c>
      <c r="N824" s="59">
        <v>81.8</v>
      </c>
    </row>
    <row r="825" spans="13:14">
      <c r="M825" s="59">
        <v>0.95385059500000002</v>
      </c>
      <c r="N825" s="59">
        <v>81.900000000000006</v>
      </c>
    </row>
    <row r="826" spans="13:14">
      <c r="M826" s="59">
        <v>0.95990710000000101</v>
      </c>
      <c r="N826" s="59">
        <v>82</v>
      </c>
    </row>
    <row r="827" spans="13:14">
      <c r="M827" s="59">
        <v>0.96647472400000101</v>
      </c>
      <c r="N827" s="59">
        <v>82.1</v>
      </c>
    </row>
    <row r="828" spans="13:14">
      <c r="M828" s="59">
        <v>0.97358036800000103</v>
      </c>
      <c r="N828" s="59">
        <v>82.2</v>
      </c>
    </row>
    <row r="829" spans="13:14">
      <c r="M829" s="59">
        <v>0.98068601200000105</v>
      </c>
      <c r="N829" s="59">
        <v>82.3</v>
      </c>
    </row>
    <row r="830" spans="13:14">
      <c r="M830" s="59">
        <v>0.98819328800000095</v>
      </c>
      <c r="N830" s="59">
        <v>82.4</v>
      </c>
    </row>
    <row r="831" spans="13:14">
      <c r="M831" s="59">
        <v>0.99592827500000103</v>
      </c>
      <c r="N831" s="59">
        <v>82.5</v>
      </c>
    </row>
    <row r="832" spans="13:14">
      <c r="M832" s="59">
        <v>1.0036632619999999</v>
      </c>
      <c r="N832" s="59">
        <v>82.6</v>
      </c>
    </row>
    <row r="833" spans="13:14">
      <c r="M833" s="59">
        <v>1.009576697</v>
      </c>
      <c r="N833" s="59">
        <v>82.7</v>
      </c>
    </row>
    <row r="834" spans="13:14">
      <c r="M834" s="59">
        <v>1.0150035079999999</v>
      </c>
      <c r="N834" s="59">
        <v>82.8</v>
      </c>
    </row>
    <row r="835" spans="13:14">
      <c r="M835" s="59">
        <v>1.0204303189999999</v>
      </c>
      <c r="N835" s="59">
        <v>82.9</v>
      </c>
    </row>
    <row r="836" spans="13:14">
      <c r="M836" s="59">
        <v>1.02219974</v>
      </c>
      <c r="N836" s="59">
        <v>83</v>
      </c>
    </row>
    <row r="837" spans="13:14">
      <c r="M837" s="59">
        <v>1.0237364179999999</v>
      </c>
      <c r="N837" s="59">
        <v>83.1</v>
      </c>
    </row>
    <row r="838" spans="13:14">
      <c r="M838" s="59">
        <v>1.0252286799999999</v>
      </c>
      <c r="N838" s="59">
        <v>83.2</v>
      </c>
    </row>
    <row r="839" spans="13:14">
      <c r="M839" s="59">
        <v>1.0262781700000001</v>
      </c>
      <c r="N839" s="59">
        <v>83.3</v>
      </c>
    </row>
    <row r="840" spans="13:14">
      <c r="M840" s="59">
        <v>1.0273276600000001</v>
      </c>
      <c r="N840" s="59">
        <v>83.4</v>
      </c>
    </row>
    <row r="841" spans="13:14">
      <c r="M841" s="59">
        <v>1.02875472</v>
      </c>
      <c r="N841" s="59">
        <v>83.5</v>
      </c>
    </row>
    <row r="842" spans="13:14">
      <c r="M842" s="59">
        <v>1.0313633520000001</v>
      </c>
      <c r="N842" s="59">
        <v>83.6</v>
      </c>
    </row>
    <row r="843" spans="13:14">
      <c r="M843" s="59">
        <v>1.0339719839999999</v>
      </c>
      <c r="N843" s="59">
        <v>83.7</v>
      </c>
    </row>
    <row r="844" spans="13:14">
      <c r="M844" s="59">
        <v>1.037331888</v>
      </c>
      <c r="N844" s="59">
        <v>83.8</v>
      </c>
    </row>
    <row r="845" spans="13:14">
      <c r="M845" s="59">
        <v>1.041851364</v>
      </c>
      <c r="N845" s="59">
        <v>83.9</v>
      </c>
    </row>
    <row r="846" spans="13:14">
      <c r="M846" s="59">
        <v>1.04637084</v>
      </c>
      <c r="N846" s="59">
        <v>84</v>
      </c>
    </row>
    <row r="847" spans="13:14">
      <c r="M847" s="59">
        <v>1.0494832190000001</v>
      </c>
      <c r="N847" s="59">
        <v>84.1</v>
      </c>
    </row>
    <row r="848" spans="13:14">
      <c r="M848" s="59">
        <v>1.0514168779999999</v>
      </c>
      <c r="N848" s="59">
        <v>84.2</v>
      </c>
    </row>
    <row r="849" spans="13:14">
      <c r="M849" s="59">
        <v>1.053350537</v>
      </c>
      <c r="N849" s="59">
        <v>84.3</v>
      </c>
    </row>
    <row r="850" spans="13:14">
      <c r="M850" s="59">
        <v>1.0552844400000001</v>
      </c>
      <c r="N850" s="59">
        <v>84.4</v>
      </c>
    </row>
    <row r="851" spans="13:14">
      <c r="M851" s="59">
        <v>1.0572184499999999</v>
      </c>
      <c r="N851" s="59">
        <v>84.5</v>
      </c>
    </row>
    <row r="852" spans="13:14">
      <c r="M852" s="59">
        <v>1.05915246</v>
      </c>
      <c r="N852" s="59">
        <v>84.6</v>
      </c>
    </row>
    <row r="853" spans="13:14">
      <c r="M853" s="59">
        <v>1.05945</v>
      </c>
      <c r="N853" s="59">
        <v>84.7</v>
      </c>
    </row>
    <row r="854" spans="13:14">
      <c r="M854" s="59">
        <v>1.05945</v>
      </c>
      <c r="N854" s="59">
        <v>84.8</v>
      </c>
    </row>
    <row r="855" spans="13:14">
      <c r="M855" s="59">
        <v>1.05945</v>
      </c>
      <c r="N855" s="59">
        <v>84.9</v>
      </c>
    </row>
    <row r="856" spans="13:14">
      <c r="M856" s="59">
        <v>1.06098195</v>
      </c>
      <c r="N856" s="59">
        <v>85</v>
      </c>
    </row>
    <row r="857" spans="13:14">
      <c r="M857" s="59">
        <v>1.0625182769999999</v>
      </c>
      <c r="N857" s="59">
        <v>85.1</v>
      </c>
    </row>
    <row r="858" spans="13:14">
      <c r="M858" s="59">
        <v>1.063885864</v>
      </c>
      <c r="N858" s="59">
        <v>85.2</v>
      </c>
    </row>
    <row r="859" spans="13:14">
      <c r="M859" s="59">
        <v>1.0642831960000001</v>
      </c>
      <c r="N859" s="59">
        <v>85.3</v>
      </c>
    </row>
    <row r="860" spans="13:14">
      <c r="M860" s="59">
        <v>1.064680528</v>
      </c>
      <c r="N860" s="59">
        <v>85.4</v>
      </c>
    </row>
    <row r="861" spans="13:14">
      <c r="M861" s="59">
        <v>1.06541869</v>
      </c>
      <c r="N861" s="59">
        <v>85.5</v>
      </c>
    </row>
    <row r="862" spans="13:14">
      <c r="M862" s="59">
        <v>1.0669553679999999</v>
      </c>
      <c r="N862" s="59">
        <v>85.6</v>
      </c>
    </row>
    <row r="863" spans="13:14">
      <c r="M863" s="59">
        <v>1.068492046</v>
      </c>
      <c r="N863" s="59">
        <v>85.7</v>
      </c>
    </row>
    <row r="864" spans="13:14">
      <c r="M864" s="59">
        <v>1.0736995380000001</v>
      </c>
      <c r="N864" s="59">
        <v>85.8</v>
      </c>
    </row>
    <row r="865" spans="13:14">
      <c r="M865" s="59">
        <v>1.0833909989999999</v>
      </c>
      <c r="N865" s="59">
        <v>85.9</v>
      </c>
    </row>
    <row r="866" spans="13:14">
      <c r="M866" s="59">
        <v>1.09308246</v>
      </c>
      <c r="N866" s="59">
        <v>86</v>
      </c>
    </row>
    <row r="867" spans="13:14">
      <c r="M867" s="59">
        <v>1.097732076</v>
      </c>
      <c r="N867" s="59">
        <v>86.1</v>
      </c>
    </row>
    <row r="868" spans="13:14">
      <c r="M868" s="59">
        <v>1.0990363919999999</v>
      </c>
      <c r="N868" s="59">
        <v>86.2</v>
      </c>
    </row>
    <row r="869" spans="13:14">
      <c r="M869" s="59">
        <v>1.1003407080000001</v>
      </c>
      <c r="N869" s="59">
        <v>86.3</v>
      </c>
    </row>
    <row r="870" spans="13:14">
      <c r="M870" s="59">
        <v>1.1011545119999999</v>
      </c>
      <c r="N870" s="59">
        <v>86.4</v>
      </c>
    </row>
    <row r="871" spans="13:14">
      <c r="M871" s="59">
        <v>1.10180667</v>
      </c>
      <c r="N871" s="59">
        <v>86.5</v>
      </c>
    </row>
    <row r="872" spans="13:14">
      <c r="M872" s="59">
        <v>1.1024588280000001</v>
      </c>
      <c r="N872" s="59">
        <v>86.6</v>
      </c>
    </row>
    <row r="873" spans="13:14">
      <c r="M873" s="59">
        <v>1.103679684</v>
      </c>
      <c r="N873" s="59">
        <v>86.7</v>
      </c>
    </row>
    <row r="874" spans="13:14">
      <c r="M874" s="59">
        <v>1.104961536</v>
      </c>
      <c r="N874" s="59">
        <v>86.8</v>
      </c>
    </row>
    <row r="875" spans="13:14">
      <c r="M875" s="59">
        <v>1.106187794</v>
      </c>
      <c r="N875" s="59">
        <v>86.9</v>
      </c>
    </row>
    <row r="876" spans="13:14">
      <c r="M876" s="59">
        <v>1.1064426199999999</v>
      </c>
      <c r="N876" s="59">
        <v>87</v>
      </c>
    </row>
    <row r="877" spans="13:14">
      <c r="M877" s="59">
        <v>1.1066974460000001</v>
      </c>
      <c r="N877" s="59">
        <v>87.1</v>
      </c>
    </row>
    <row r="878" spans="13:14">
      <c r="M878" s="59">
        <v>1.110794552</v>
      </c>
      <c r="N878" s="59">
        <v>87.2</v>
      </c>
    </row>
    <row r="879" spans="13:14">
      <c r="M879" s="59">
        <v>1.1297804929999999</v>
      </c>
      <c r="N879" s="59">
        <v>87.3</v>
      </c>
    </row>
    <row r="880" spans="13:14">
      <c r="M880" s="59">
        <v>1.1487664339999999</v>
      </c>
      <c r="N880" s="59">
        <v>87.4</v>
      </c>
    </row>
    <row r="881" spans="13:14">
      <c r="M881" s="59">
        <v>1.16421825</v>
      </c>
      <c r="N881" s="59">
        <v>87.5</v>
      </c>
    </row>
    <row r="882" spans="13:14">
      <c r="M882" s="59">
        <v>1.1732803679999999</v>
      </c>
      <c r="N882" s="59">
        <v>87.6</v>
      </c>
    </row>
    <row r="883" spans="13:14">
      <c r="M883" s="59">
        <v>1.182342486</v>
      </c>
      <c r="N883" s="59">
        <v>87.7</v>
      </c>
    </row>
    <row r="884" spans="13:14">
      <c r="M884" s="59">
        <v>1.1874588779999999</v>
      </c>
      <c r="N884" s="59">
        <v>87.8</v>
      </c>
    </row>
    <row r="885" spans="13:14">
      <c r="M885" s="59">
        <v>1.188740379</v>
      </c>
      <c r="N885" s="59">
        <v>87.9</v>
      </c>
    </row>
    <row r="886" spans="13:14">
      <c r="M886" s="59">
        <v>1.19002188</v>
      </c>
      <c r="N886" s="59">
        <v>88</v>
      </c>
    </row>
    <row r="887" spans="13:14">
      <c r="M887" s="59">
        <v>1.1925912059999999</v>
      </c>
      <c r="N887" s="59">
        <v>88.1</v>
      </c>
    </row>
    <row r="888" spans="13:14">
      <c r="M888" s="59">
        <v>1.1958295320000001</v>
      </c>
      <c r="N888" s="59">
        <v>88.2</v>
      </c>
    </row>
    <row r="889" spans="13:14">
      <c r="M889" s="59">
        <v>1.199067858</v>
      </c>
      <c r="N889" s="59">
        <v>88.3</v>
      </c>
    </row>
    <row r="890" spans="13:14">
      <c r="M890" s="59">
        <v>1.204076924</v>
      </c>
      <c r="N890" s="59">
        <v>88.4</v>
      </c>
    </row>
    <row r="891" spans="13:14">
      <c r="M891" s="59">
        <v>1.209503735</v>
      </c>
      <c r="N891" s="59">
        <v>88.5</v>
      </c>
    </row>
    <row r="892" spans="13:14">
      <c r="M892" s="59">
        <v>1.2149305459999999</v>
      </c>
      <c r="N892" s="59">
        <v>88.6</v>
      </c>
    </row>
    <row r="893" spans="13:14">
      <c r="M893" s="59">
        <v>1.217003533</v>
      </c>
      <c r="N893" s="59">
        <v>88.7</v>
      </c>
    </row>
    <row r="894" spans="13:14">
      <c r="M894" s="59">
        <v>1.2189371920000001</v>
      </c>
      <c r="N894" s="59">
        <v>88.8</v>
      </c>
    </row>
    <row r="895" spans="13:14">
      <c r="M895" s="59">
        <v>1.2210157749999999</v>
      </c>
      <c r="N895" s="59">
        <v>88.9</v>
      </c>
    </row>
    <row r="896" spans="13:14">
      <c r="M896" s="59">
        <v>1.2242537499999999</v>
      </c>
      <c r="N896" s="59">
        <v>89</v>
      </c>
    </row>
    <row r="897" spans="13:14">
      <c r="M897" s="59">
        <v>1.2274917249999999</v>
      </c>
      <c r="N897" s="59">
        <v>89.1</v>
      </c>
    </row>
    <row r="898" spans="13:14">
      <c r="M898" s="59">
        <v>1.2315725120000001</v>
      </c>
      <c r="N898" s="59">
        <v>89.2</v>
      </c>
    </row>
    <row r="899" spans="13:14">
      <c r="M899" s="59">
        <v>1.2380259979999999</v>
      </c>
      <c r="N899" s="59">
        <v>89.3</v>
      </c>
    </row>
    <row r="900" spans="13:14">
      <c r="M900" s="59">
        <v>1.244479484</v>
      </c>
      <c r="N900" s="59">
        <v>89.4</v>
      </c>
    </row>
    <row r="901" spans="13:14">
      <c r="M901" s="59">
        <v>1.24890181</v>
      </c>
      <c r="N901" s="59">
        <v>89.5</v>
      </c>
    </row>
    <row r="902" spans="13:14">
      <c r="M902" s="59">
        <v>1.2504384879999999</v>
      </c>
      <c r="N902" s="59">
        <v>89.6</v>
      </c>
    </row>
    <row r="903" spans="13:14">
      <c r="M903" s="59">
        <v>1.251975166</v>
      </c>
      <c r="N903" s="59">
        <v>89.7</v>
      </c>
    </row>
    <row r="904" spans="13:14">
      <c r="M904" s="59">
        <v>1.257021196</v>
      </c>
      <c r="N904" s="59">
        <v>89.8</v>
      </c>
    </row>
    <row r="905" spans="13:14">
      <c r="M905" s="59">
        <v>1.2647789979999999</v>
      </c>
      <c r="N905" s="59">
        <v>89.9</v>
      </c>
    </row>
    <row r="906" spans="13:14">
      <c r="M906" s="59">
        <v>1.2725367999999999</v>
      </c>
      <c r="N906" s="59">
        <v>90</v>
      </c>
    </row>
    <row r="907" spans="13:14">
      <c r="M907" s="59">
        <v>1.2761460739999999</v>
      </c>
      <c r="N907" s="59">
        <v>90.1</v>
      </c>
    </row>
    <row r="908" spans="13:14">
      <c r="M908" s="59">
        <v>1.2781025479999999</v>
      </c>
      <c r="N908" s="59">
        <v>90.2</v>
      </c>
    </row>
    <row r="909" spans="13:14">
      <c r="M909" s="59">
        <v>1.2800590220000001</v>
      </c>
      <c r="N909" s="59">
        <v>90.3</v>
      </c>
    </row>
    <row r="910" spans="13:14">
      <c r="M910" s="59">
        <v>1.28387172</v>
      </c>
      <c r="N910" s="59">
        <v>90.4</v>
      </c>
    </row>
    <row r="911" spans="13:14">
      <c r="M911" s="59">
        <v>1.2879714</v>
      </c>
      <c r="N911" s="59">
        <v>90.5</v>
      </c>
    </row>
    <row r="912" spans="13:14">
      <c r="M912" s="59">
        <v>1.29208941</v>
      </c>
      <c r="N912" s="59">
        <v>90.6</v>
      </c>
    </row>
    <row r="913" spans="13:14">
      <c r="M913" s="59">
        <v>1.297261395</v>
      </c>
      <c r="N913" s="59">
        <v>90.7</v>
      </c>
    </row>
    <row r="914" spans="13:14">
      <c r="M914" s="59">
        <v>1.3024333800000001</v>
      </c>
      <c r="N914" s="59">
        <v>90.8</v>
      </c>
    </row>
    <row r="915" spans="13:14">
      <c r="M915" s="59">
        <v>1.3090190049999999</v>
      </c>
      <c r="N915" s="59">
        <v>90.9</v>
      </c>
    </row>
    <row r="916" spans="13:14">
      <c r="M916" s="59">
        <v>1.32260095</v>
      </c>
      <c r="N916" s="59">
        <v>91</v>
      </c>
    </row>
    <row r="917" spans="13:14">
      <c r="M917" s="59">
        <v>1.3361828950000001</v>
      </c>
      <c r="N917" s="59">
        <v>91.1</v>
      </c>
    </row>
    <row r="918" spans="13:14">
      <c r="M918" s="59">
        <v>1.3457131280000001</v>
      </c>
      <c r="N918" s="59">
        <v>91.2</v>
      </c>
    </row>
    <row r="919" spans="13:14">
      <c r="M919" s="59">
        <v>1.346597297</v>
      </c>
      <c r="N919" s="59">
        <v>91.3</v>
      </c>
    </row>
    <row r="920" spans="13:14">
      <c r="M920" s="59">
        <v>1.3474814660000001</v>
      </c>
      <c r="N920" s="59">
        <v>91.4</v>
      </c>
    </row>
    <row r="921" spans="13:14">
      <c r="M921" s="59">
        <v>1.352823275</v>
      </c>
      <c r="N921" s="59">
        <v>91.5</v>
      </c>
    </row>
    <row r="922" spans="13:14">
      <c r="M922" s="59">
        <v>1.36319006</v>
      </c>
      <c r="N922" s="59">
        <v>91.6</v>
      </c>
    </row>
    <row r="923" spans="13:14">
      <c r="M923" s="59">
        <v>1.373556845</v>
      </c>
      <c r="N923" s="59">
        <v>91.7</v>
      </c>
    </row>
    <row r="924" spans="13:14">
      <c r="M924" s="59">
        <v>1.380841328</v>
      </c>
      <c r="N924" s="59">
        <v>91.8</v>
      </c>
    </row>
    <row r="925" spans="13:14">
      <c r="M925" s="59">
        <v>1.3862453239999999</v>
      </c>
      <c r="N925" s="59">
        <v>91.9</v>
      </c>
    </row>
    <row r="926" spans="13:14">
      <c r="M926" s="59">
        <v>1.39164932</v>
      </c>
      <c r="N926" s="59">
        <v>92</v>
      </c>
    </row>
    <row r="927" spans="13:14">
      <c r="M927" s="59">
        <v>1.4033673449999999</v>
      </c>
      <c r="N927" s="59">
        <v>92.1</v>
      </c>
    </row>
    <row r="928" spans="13:14">
      <c r="M928" s="59">
        <v>1.41694929</v>
      </c>
      <c r="N928" s="59">
        <v>92.2</v>
      </c>
    </row>
    <row r="929" spans="13:14">
      <c r="M929" s="59">
        <v>1.4305312349999999</v>
      </c>
      <c r="N929" s="59">
        <v>92.3</v>
      </c>
    </row>
    <row r="930" spans="13:14">
      <c r="M930" s="59">
        <v>1.4540897880000001</v>
      </c>
      <c r="N930" s="59">
        <v>92.4</v>
      </c>
    </row>
    <row r="931" spans="13:14">
      <c r="M931" s="59">
        <v>1.4784797249999999</v>
      </c>
      <c r="N931" s="59">
        <v>92.5</v>
      </c>
    </row>
    <row r="932" spans="13:14">
      <c r="M932" s="59">
        <v>1.501735958</v>
      </c>
      <c r="N932" s="59">
        <v>92.6</v>
      </c>
    </row>
    <row r="933" spans="13:14">
      <c r="M933" s="59">
        <v>1.5108208910000001</v>
      </c>
      <c r="N933" s="59">
        <v>92.7</v>
      </c>
    </row>
    <row r="934" spans="13:14">
      <c r="M934" s="59">
        <v>1.5199058240000001</v>
      </c>
      <c r="N934" s="59">
        <v>92.8</v>
      </c>
    </row>
    <row r="935" spans="13:14">
      <c r="M935" s="59">
        <v>1.53656188</v>
      </c>
      <c r="N935" s="59">
        <v>92.9</v>
      </c>
    </row>
    <row r="936" spans="13:14">
      <c r="M936" s="59">
        <v>1.5792856</v>
      </c>
      <c r="N936" s="59">
        <v>93</v>
      </c>
    </row>
    <row r="937" spans="13:14">
      <c r="M937" s="59">
        <v>1.6220093200000001</v>
      </c>
      <c r="N937" s="59">
        <v>93.1</v>
      </c>
    </row>
    <row r="938" spans="13:14">
      <c r="M938" s="59">
        <v>1.6513467879999999</v>
      </c>
      <c r="N938" s="59">
        <v>93.2</v>
      </c>
    </row>
    <row r="939" spans="13:14">
      <c r="M939" s="59">
        <v>1.6584752469999999</v>
      </c>
      <c r="N939" s="59">
        <v>93.3</v>
      </c>
    </row>
    <row r="940" spans="13:14">
      <c r="M940" s="59">
        <v>1.665603706</v>
      </c>
      <c r="N940" s="59">
        <v>93.4</v>
      </c>
    </row>
    <row r="941" spans="13:14">
      <c r="M941" s="59">
        <v>1.6857215699999999</v>
      </c>
      <c r="N941" s="59">
        <v>93.5</v>
      </c>
    </row>
    <row r="942" spans="13:14">
      <c r="M942" s="59">
        <v>1.7174947920000001</v>
      </c>
      <c r="N942" s="59">
        <v>93.6</v>
      </c>
    </row>
    <row r="943" spans="13:14">
      <c r="M943" s="59">
        <v>1.7492680140000001</v>
      </c>
      <c r="N943" s="59">
        <v>93.7</v>
      </c>
    </row>
    <row r="944" spans="13:14">
      <c r="M944" s="59">
        <v>1.7647420439999999</v>
      </c>
      <c r="N944" s="59">
        <v>93.8</v>
      </c>
    </row>
    <row r="945" spans="13:14">
      <c r="M945" s="59">
        <v>1.7724773819999999</v>
      </c>
      <c r="N945" s="59">
        <v>93.9</v>
      </c>
    </row>
    <row r="946" spans="13:14">
      <c r="M946" s="59">
        <v>1.78021272</v>
      </c>
      <c r="N946" s="59">
        <v>94</v>
      </c>
    </row>
    <row r="947" spans="13:14">
      <c r="M947" s="59">
        <v>1.799978871</v>
      </c>
      <c r="N947" s="59">
        <v>94.1</v>
      </c>
    </row>
    <row r="948" spans="13:14">
      <c r="M948" s="59">
        <v>1.8222256020000001</v>
      </c>
      <c r="N948" s="59">
        <v>94.2</v>
      </c>
    </row>
    <row r="949" spans="13:14">
      <c r="M949" s="59">
        <v>1.8444723329999999</v>
      </c>
      <c r="N949" s="59">
        <v>94.3</v>
      </c>
    </row>
    <row r="950" spans="13:14">
      <c r="M950" s="59">
        <v>1.846171944</v>
      </c>
      <c r="N950" s="59">
        <v>94.4</v>
      </c>
    </row>
    <row r="951" spans="13:14">
      <c r="M951" s="59">
        <v>1.847453445</v>
      </c>
      <c r="N951" s="59">
        <v>94.5</v>
      </c>
    </row>
    <row r="952" spans="13:14">
      <c r="M952" s="59">
        <v>1.849021802</v>
      </c>
      <c r="N952" s="59">
        <v>94.6</v>
      </c>
    </row>
    <row r="953" spans="13:14">
      <c r="M953" s="59">
        <v>1.852492139</v>
      </c>
      <c r="N953" s="59">
        <v>94.7</v>
      </c>
    </row>
    <row r="954" spans="13:14">
      <c r="M954" s="59">
        <v>1.855962476</v>
      </c>
      <c r="N954" s="59">
        <v>94.8</v>
      </c>
    </row>
    <row r="955" spans="13:14">
      <c r="M955" s="59">
        <v>1.8594793430000001</v>
      </c>
      <c r="N955" s="59">
        <v>94.9</v>
      </c>
    </row>
    <row r="956" spans="13:14">
      <c r="M956" s="59">
        <v>1.86311465</v>
      </c>
      <c r="N956" s="59">
        <v>95</v>
      </c>
    </row>
    <row r="957" spans="13:14">
      <c r="M957" s="59">
        <v>1.8667499569999999</v>
      </c>
      <c r="N957" s="59">
        <v>95.1</v>
      </c>
    </row>
    <row r="958" spans="13:14">
      <c r="M958" s="59">
        <v>1.8768609199999999</v>
      </c>
      <c r="N958" s="59">
        <v>95.2</v>
      </c>
    </row>
    <row r="959" spans="13:14">
      <c r="M959" s="59">
        <v>1.8954498799999999</v>
      </c>
      <c r="N959" s="59">
        <v>95.3</v>
      </c>
    </row>
    <row r="960" spans="13:14">
      <c r="M960" s="59">
        <v>1.9140388399999999</v>
      </c>
      <c r="N960" s="59">
        <v>95.4</v>
      </c>
    </row>
    <row r="961" spans="13:14">
      <c r="M961" s="59">
        <v>1.92402969</v>
      </c>
      <c r="N961" s="59">
        <v>95.5</v>
      </c>
    </row>
    <row r="962" spans="13:14">
      <c r="M962" s="59">
        <v>1.927897008</v>
      </c>
      <c r="N962" s="59">
        <v>95.6</v>
      </c>
    </row>
    <row r="963" spans="13:14">
      <c r="M963" s="59">
        <v>1.9317643259999999</v>
      </c>
      <c r="N963" s="59">
        <v>95.7</v>
      </c>
    </row>
    <row r="964" spans="13:14">
      <c r="M964" s="59">
        <v>1.9356651840000001</v>
      </c>
      <c r="N964" s="59">
        <v>95.8</v>
      </c>
    </row>
    <row r="965" spans="13:14">
      <c r="M965" s="59">
        <v>1.9395781320000001</v>
      </c>
      <c r="N965" s="59">
        <v>95.9</v>
      </c>
    </row>
    <row r="966" spans="13:14">
      <c r="M966" s="59">
        <v>1.94349108</v>
      </c>
      <c r="N966" s="59">
        <v>96</v>
      </c>
    </row>
    <row r="967" spans="13:14">
      <c r="M967" s="59">
        <v>1.945278343</v>
      </c>
      <c r="N967" s="59">
        <v>96.1</v>
      </c>
    </row>
    <row r="968" spans="13:14">
      <c r="M968" s="59">
        <v>1.946792206</v>
      </c>
      <c r="N968" s="59">
        <v>96.2</v>
      </c>
    </row>
    <row r="969" spans="13:14">
      <c r="M969" s="59">
        <v>1.949040361</v>
      </c>
      <c r="N969" s="59">
        <v>96.3</v>
      </c>
    </row>
    <row r="970" spans="13:14">
      <c r="M970" s="59">
        <v>1.9703801080000001</v>
      </c>
      <c r="N970" s="59">
        <v>96.4</v>
      </c>
    </row>
    <row r="971" spans="13:14">
      <c r="M971" s="59">
        <v>1.9917198549999999</v>
      </c>
      <c r="N971" s="59">
        <v>96.5</v>
      </c>
    </row>
    <row r="972" spans="13:14">
      <c r="M972" s="59">
        <v>2.0094585760000001</v>
      </c>
      <c r="N972" s="59">
        <v>96.6</v>
      </c>
    </row>
    <row r="973" spans="13:14">
      <c r="M973" s="59">
        <v>2.0116474119999999</v>
      </c>
      <c r="N973" s="59">
        <v>96.7</v>
      </c>
    </row>
    <row r="974" spans="13:14">
      <c r="M974" s="59">
        <v>2.0138362480000001</v>
      </c>
      <c r="N974" s="59">
        <v>96.8</v>
      </c>
    </row>
    <row r="975" spans="13:14">
      <c r="M975" s="59">
        <v>2.0170287299999998</v>
      </c>
      <c r="N975" s="59">
        <v>96.9</v>
      </c>
    </row>
    <row r="976" spans="13:14">
      <c r="M976" s="59">
        <v>2.0221779</v>
      </c>
      <c r="N976" s="59">
        <v>97</v>
      </c>
    </row>
    <row r="977" spans="13:14">
      <c r="M977" s="59">
        <v>2.0273270700000001</v>
      </c>
      <c r="N977" s="59">
        <v>97.1</v>
      </c>
    </row>
    <row r="978" spans="13:14">
      <c r="M978" s="59">
        <v>2.037361384</v>
      </c>
      <c r="N978" s="59">
        <v>97.2</v>
      </c>
    </row>
    <row r="979" spans="13:14">
      <c r="M979" s="59">
        <v>2.052479656</v>
      </c>
      <c r="N979" s="59">
        <v>97.3</v>
      </c>
    </row>
    <row r="980" spans="13:14">
      <c r="M980" s="59">
        <v>2.0675979280000001</v>
      </c>
      <c r="N980" s="59">
        <v>97.4</v>
      </c>
    </row>
    <row r="981" spans="13:14">
      <c r="M981" s="59">
        <v>2.078997625</v>
      </c>
      <c r="N981" s="59">
        <v>97.5</v>
      </c>
    </row>
    <row r="982" spans="13:14">
      <c r="M982" s="59">
        <v>2.0883149200000002</v>
      </c>
      <c r="N982" s="59">
        <v>97.6</v>
      </c>
    </row>
    <row r="983" spans="13:14">
      <c r="M983" s="59">
        <v>2.097632215</v>
      </c>
      <c r="N983" s="59">
        <v>97.7</v>
      </c>
    </row>
    <row r="984" spans="13:14">
      <c r="M984" s="59">
        <v>2.11030914</v>
      </c>
      <c r="N984" s="59">
        <v>97.8</v>
      </c>
    </row>
    <row r="985" spans="13:14">
      <c r="M985" s="59">
        <v>2.12386827</v>
      </c>
      <c r="N985" s="59">
        <v>97.9</v>
      </c>
    </row>
    <row r="986" spans="13:14">
      <c r="M986" s="59">
        <v>2.1374274</v>
      </c>
      <c r="N986" s="59">
        <v>98</v>
      </c>
    </row>
    <row r="987" spans="13:14">
      <c r="M987" s="59">
        <v>2.1418684730000002</v>
      </c>
      <c r="N987" s="59">
        <v>98.1</v>
      </c>
    </row>
    <row r="988" spans="13:14">
      <c r="M988" s="59">
        <v>2.1457586059999998</v>
      </c>
      <c r="N988" s="59">
        <v>98.2</v>
      </c>
    </row>
    <row r="989" spans="13:14">
      <c r="M989" s="59">
        <v>2.1497910679999999</v>
      </c>
      <c r="N989" s="59">
        <v>98.3</v>
      </c>
    </row>
    <row r="990" spans="13:14">
      <c r="M990" s="59">
        <v>2.1551950639999999</v>
      </c>
      <c r="N990" s="59">
        <v>98.4</v>
      </c>
    </row>
    <row r="991" spans="13:14">
      <c r="M991" s="59">
        <v>2.16059906</v>
      </c>
      <c r="N991" s="59">
        <v>98.5</v>
      </c>
    </row>
    <row r="992" spans="13:14">
      <c r="M992" s="59">
        <v>2.1865279019999999</v>
      </c>
      <c r="N992" s="59">
        <v>98.6</v>
      </c>
    </row>
    <row r="993" spans="13:14">
      <c r="M993" s="59">
        <v>2.2757019089999999</v>
      </c>
      <c r="N993" s="59">
        <v>98.7</v>
      </c>
    </row>
    <row r="994" spans="13:14">
      <c r="M994" s="59">
        <v>2.3648759159999999</v>
      </c>
      <c r="N994" s="59">
        <v>98.8</v>
      </c>
    </row>
    <row r="995" spans="13:14">
      <c r="M995" s="59">
        <v>2.431466871</v>
      </c>
      <c r="N995" s="59">
        <v>98.9</v>
      </c>
    </row>
    <row r="996" spans="13:14">
      <c r="M996" s="59">
        <v>2.46361461</v>
      </c>
      <c r="N996" s="59">
        <v>99</v>
      </c>
    </row>
    <row r="997" spans="13:14">
      <c r="M997" s="59">
        <v>2.495762349</v>
      </c>
      <c r="N997" s="59">
        <v>99.1</v>
      </c>
    </row>
    <row r="998" spans="13:14">
      <c r="M998" s="59">
        <v>2.526520584</v>
      </c>
      <c r="N998" s="59">
        <v>99.2</v>
      </c>
    </row>
    <row r="999" spans="13:14">
      <c r="M999" s="59">
        <v>2.5561281359999999</v>
      </c>
      <c r="N999" s="59">
        <v>99.3</v>
      </c>
    </row>
    <row r="1000" spans="13:14">
      <c r="M1000" s="59">
        <v>2.5857356880000002</v>
      </c>
      <c r="N1000" s="59">
        <v>99.4</v>
      </c>
    </row>
    <row r="1001" spans="13:14">
      <c r="M1001" s="59">
        <v>2.6079292949999999</v>
      </c>
      <c r="N1001" s="59">
        <v>99.5</v>
      </c>
    </row>
    <row r="1002" spans="13:14">
      <c r="M1002" s="59">
        <v>2.6269152359999999</v>
      </c>
      <c r="N1002" s="59">
        <v>99.6</v>
      </c>
    </row>
    <row r="1003" spans="13:14">
      <c r="M1003" s="59">
        <v>2.6459011769999998</v>
      </c>
      <c r="N1003" s="59">
        <v>99.7</v>
      </c>
    </row>
    <row r="1004" spans="13:14">
      <c r="M1004" s="59">
        <v>2.7662285739999999</v>
      </c>
      <c r="N1004" s="59">
        <v>99.8</v>
      </c>
    </row>
    <row r="1005" spans="13:14">
      <c r="M1005" s="59">
        <v>2.9045797869999999</v>
      </c>
      <c r="N1005" s="59">
        <v>99.9</v>
      </c>
    </row>
    <row r="1006" spans="13:14">
      <c r="M1006" s="59">
        <v>3.0429309999999998</v>
      </c>
      <c r="N1006" s="59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8"/>
  <sheetViews>
    <sheetView topLeftCell="A9" workbookViewId="0">
      <selection activeCell="O13" sqref="O13"/>
    </sheetView>
  </sheetViews>
  <sheetFormatPr baseColWidth="10" defaultRowHeight="15.5"/>
  <cols>
    <col min="1" max="1" width="10.6640625" customWidth="1"/>
  </cols>
  <sheetData>
    <row r="1" spans="1:16">
      <c r="A1" s="2" t="s">
        <v>4</v>
      </c>
      <c r="J1" s="5"/>
      <c r="L1" s="2" t="s">
        <v>13</v>
      </c>
    </row>
    <row r="2" spans="1:16">
      <c r="A2" s="2"/>
      <c r="J2" s="5"/>
      <c r="L2" s="2"/>
    </row>
    <row r="3" spans="1:16">
      <c r="A3" s="23" t="s">
        <v>18</v>
      </c>
      <c r="G3" s="21">
        <f>SQRT(SEM!J6)</f>
        <v>4.2123119999999998</v>
      </c>
      <c r="J3" s="5"/>
    </row>
    <row r="4" spans="1:16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16">
      <c r="J5" s="5"/>
      <c r="L5">
        <f>SEM!M6</f>
        <v>-2.3778320000000002</v>
      </c>
      <c r="M5">
        <f>SEM!N6</f>
        <v>0</v>
      </c>
      <c r="O5">
        <f>ABS(L5-SEM!$C$34)</f>
        <v>5.3802998520086227</v>
      </c>
      <c r="P5">
        <f>M5</f>
        <v>0</v>
      </c>
    </row>
    <row r="6" spans="1:16">
      <c r="A6" s="2" t="s">
        <v>28</v>
      </c>
      <c r="J6" s="5"/>
      <c r="L6">
        <f>SEM!M7</f>
        <v>-2.3707491709999999</v>
      </c>
      <c r="M6">
        <f>SEM!N7</f>
        <v>0.1</v>
      </c>
      <c r="O6">
        <f>ABS(L6-SEM!$C$34)</f>
        <v>5.3873826810086225</v>
      </c>
      <c r="P6">
        <f t="shared" ref="P6:P70" si="0">M6</f>
        <v>0.1</v>
      </c>
    </row>
    <row r="7" spans="1:16">
      <c r="J7" s="5"/>
      <c r="L7">
        <f>SEM!M8</f>
        <v>-2.3636663420000001</v>
      </c>
      <c r="M7">
        <f>SEM!N8</f>
        <v>0.2</v>
      </c>
      <c r="O7">
        <f>ABS(L7-SEM!$C$34)</f>
        <v>5.3944655100086223</v>
      </c>
      <c r="P7">
        <f t="shared" si="0"/>
        <v>0.2</v>
      </c>
    </row>
    <row r="8" spans="1:16">
      <c r="A8" t="s">
        <v>16</v>
      </c>
      <c r="B8">
        <f>SEM!C27</f>
        <v>32.679671897798144</v>
      </c>
      <c r="J8" s="5"/>
    </row>
    <row r="9" spans="1:16">
      <c r="J9" s="5"/>
      <c r="L9">
        <f>SEM!M9</f>
        <v>-2.352791893</v>
      </c>
      <c r="M9">
        <f>SEM!N9</f>
        <v>0.3</v>
      </c>
      <c r="O9">
        <f>ABS(L9-SEM!$C$34)</f>
        <v>5.4053399590086224</v>
      </c>
      <c r="P9">
        <f t="shared" si="0"/>
        <v>0.3</v>
      </c>
    </row>
    <row r="10" spans="1:16">
      <c r="B10" t="str">
        <f>RAVLT_Learning!J10</f>
        <v>Residual variance</v>
      </c>
      <c r="C10" t="str">
        <f>RAVLT_Learning!I10</f>
        <v>Predicted test score</v>
      </c>
      <c r="J10" s="5"/>
      <c r="L10">
        <f>SEM!M10</f>
        <v>-2.3205985240000002</v>
      </c>
      <c r="M10">
        <f>SEM!N10</f>
        <v>0.4</v>
      </c>
      <c r="O10">
        <f>ABS(L10-SEM!$C$34)</f>
        <v>5.4375333280086222</v>
      </c>
      <c r="P10">
        <f t="shared" si="0"/>
        <v>0.4</v>
      </c>
    </row>
    <row r="11" spans="1:16">
      <c r="B11">
        <f>SEM!J11</f>
        <v>0</v>
      </c>
      <c r="C11">
        <f>SEM!I11</f>
        <v>0</v>
      </c>
      <c r="J11" s="5"/>
      <c r="L11">
        <f>SEM!M11</f>
        <v>-2.288405155</v>
      </c>
      <c r="M11">
        <f>SEM!N11</f>
        <v>0.5</v>
      </c>
      <c r="O11">
        <f>ABS(L11-SEM!$C$34)</f>
        <v>5.4697266970086229</v>
      </c>
      <c r="P11">
        <f t="shared" si="0"/>
        <v>0.5</v>
      </c>
    </row>
    <row r="12" spans="1:16">
      <c r="B12">
        <f>SEM!J12</f>
        <v>0</v>
      </c>
      <c r="C12">
        <f>SEM!I12</f>
        <v>0</v>
      </c>
      <c r="J12" s="5"/>
      <c r="L12">
        <f>SEM!M12</f>
        <v>-2.252567612</v>
      </c>
      <c r="M12">
        <f>SEM!N12</f>
        <v>0.6</v>
      </c>
      <c r="O12">
        <f>ABS(L12-SEM!$C$34)</f>
        <v>5.5055642400086224</v>
      </c>
      <c r="P12">
        <f t="shared" si="0"/>
        <v>0.6</v>
      </c>
    </row>
    <row r="13" spans="1:16">
      <c r="B13">
        <f>SEM!J13</f>
        <v>0</v>
      </c>
      <c r="C13">
        <f>SEM!I13</f>
        <v>0</v>
      </c>
      <c r="J13" s="5"/>
      <c r="L13">
        <f>SEM!M13</f>
        <v>-2.208307214</v>
      </c>
      <c r="M13">
        <f>SEM!N13</f>
        <v>0.7</v>
      </c>
      <c r="O13">
        <f>ABS(L13-SEM!$C$34)</f>
        <v>5.5498246380086229</v>
      </c>
      <c r="P13">
        <f t="shared" si="0"/>
        <v>0.7</v>
      </c>
    </row>
    <row r="14" spans="1:16">
      <c r="B14">
        <f>SEM!J14</f>
        <v>0</v>
      </c>
      <c r="C14">
        <f>SEM!I14</f>
        <v>0</v>
      </c>
      <c r="J14" s="5"/>
      <c r="L14">
        <f>SEM!M14</f>
        <v>-2.1640468159999999</v>
      </c>
      <c r="M14">
        <f>SEM!N14</f>
        <v>0.8</v>
      </c>
      <c r="O14">
        <f>ABS(L14-SEM!$C$34)</f>
        <v>5.5940850360086225</v>
      </c>
      <c r="P14">
        <f t="shared" si="0"/>
        <v>0.8</v>
      </c>
    </row>
    <row r="15" spans="1:16">
      <c r="B15">
        <f>SEM!J15</f>
        <v>0</v>
      </c>
      <c r="C15">
        <f>SEM!I15</f>
        <v>0</v>
      </c>
      <c r="J15" s="5"/>
      <c r="L15">
        <f>SEM!M15</f>
        <v>-2.1383588900000001</v>
      </c>
      <c r="M15">
        <f>SEM!N15</f>
        <v>0.9</v>
      </c>
      <c r="O15">
        <f>ABS(L15-SEM!$C$34)</f>
        <v>5.6197729620086223</v>
      </c>
      <c r="P15">
        <f t="shared" si="0"/>
        <v>0.9</v>
      </c>
    </row>
    <row r="16" spans="1:16">
      <c r="B16">
        <f>SEM!J16</f>
        <v>0</v>
      </c>
      <c r="C16">
        <f>SEM!I16</f>
        <v>0</v>
      </c>
      <c r="J16" s="5"/>
      <c r="L16">
        <f>SEM!M16</f>
        <v>-2.1350981</v>
      </c>
      <c r="M16">
        <f>SEM!N16</f>
        <v>1</v>
      </c>
      <c r="O16">
        <f>ABS(L16-SEM!$C$34)</f>
        <v>5.623033752008622</v>
      </c>
      <c r="P16">
        <f t="shared" si="0"/>
        <v>1</v>
      </c>
    </row>
    <row r="17" spans="1:16">
      <c r="B17">
        <f>SEM!J17</f>
        <v>0</v>
      </c>
      <c r="C17">
        <f>SEM!I17</f>
        <v>0</v>
      </c>
      <c r="J17" s="5"/>
      <c r="L17">
        <f>SEM!M17</f>
        <v>-2.1318373099999999</v>
      </c>
      <c r="M17">
        <f>SEM!N17</f>
        <v>1.1000000000000001</v>
      </c>
      <c r="O17">
        <f>ABS(L17-SEM!$C$34)</f>
        <v>5.6262945420086226</v>
      </c>
      <c r="P17">
        <f t="shared" si="0"/>
        <v>1.1000000000000001</v>
      </c>
    </row>
    <row r="18" spans="1:16">
      <c r="B18">
        <f>SEM!J18</f>
        <v>0</v>
      </c>
      <c r="C18">
        <f>SEM!I18</f>
        <v>0</v>
      </c>
      <c r="J18" s="5"/>
      <c r="L18">
        <f>SEM!M18</f>
        <v>-2.1211747519999999</v>
      </c>
      <c r="M18">
        <f>SEM!N18</f>
        <v>1.2</v>
      </c>
      <c r="O18">
        <f>ABS(L18-SEM!$C$34)</f>
        <v>5.6369571000086225</v>
      </c>
      <c r="P18">
        <f t="shared" si="0"/>
        <v>1.2</v>
      </c>
    </row>
    <row r="19" spans="1:16">
      <c r="B19">
        <f>SEM!J19</f>
        <v>0</v>
      </c>
      <c r="C19">
        <f>SEM!I19</f>
        <v>0</v>
      </c>
      <c r="J19" s="5"/>
      <c r="L19">
        <f>SEM!M19</f>
        <v>-2.105659148</v>
      </c>
      <c r="M19">
        <f>SEM!N19</f>
        <v>1.3</v>
      </c>
      <c r="O19">
        <f>ABS(L19-SEM!$C$34)</f>
        <v>5.6524727040086225</v>
      </c>
      <c r="P19">
        <f t="shared" si="0"/>
        <v>1.3</v>
      </c>
    </row>
    <row r="20" spans="1:16">
      <c r="B20">
        <f>SEM!J20</f>
        <v>0</v>
      </c>
      <c r="C20">
        <f>SEM!I20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SEM!M20</f>
        <v>-2.090143544</v>
      </c>
      <c r="M20">
        <f>SEM!N20</f>
        <v>1.4</v>
      </c>
      <c r="O20">
        <f>ABS(L20-SEM!$C$34)</f>
        <v>5.6679883080086224</v>
      </c>
      <c r="P20">
        <f t="shared" si="0"/>
        <v>1.4</v>
      </c>
    </row>
    <row r="21" spans="1:16">
      <c r="B21">
        <f>SEM!J21</f>
        <v>0</v>
      </c>
      <c r="C21">
        <f>SEM!I21</f>
        <v>0</v>
      </c>
      <c r="E21" t="s">
        <v>38</v>
      </c>
      <c r="G21" s="21">
        <f>SQRT(G20)</f>
        <v>0</v>
      </c>
      <c r="J21" s="5"/>
      <c r="L21">
        <f>SEM!M21</f>
        <v>-2.0392422250000002</v>
      </c>
      <c r="M21">
        <f>SEM!N21</f>
        <v>1.5</v>
      </c>
      <c r="O21">
        <f>ABS(L21-SEM!$C$34)</f>
        <v>5.7188896270086218</v>
      </c>
      <c r="P21">
        <f t="shared" si="0"/>
        <v>1.5</v>
      </c>
    </row>
    <row r="22" spans="1:16">
      <c r="B22">
        <f>SEM!J22</f>
        <v>0</v>
      </c>
      <c r="C22">
        <f>SEM!I22</f>
        <v>0</v>
      </c>
      <c r="J22" s="5"/>
      <c r="L22">
        <f>SEM!M22</f>
        <v>-1.97685724</v>
      </c>
      <c r="M22">
        <f>SEM!N22</f>
        <v>1.6</v>
      </c>
      <c r="O22">
        <f>ABS(L22-SEM!$C$34)</f>
        <v>5.7812746120086222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SEM!M23</f>
        <v>-1.914472255</v>
      </c>
      <c r="M23">
        <f>SEM!N23</f>
        <v>1.7</v>
      </c>
      <c r="O23">
        <f>ABS(L23-SEM!$C$34)</f>
        <v>5.8436595970086227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SEM!M24</f>
        <v>-1.8794610279999999</v>
      </c>
      <c r="M24">
        <f>SEM!N24</f>
        <v>1.8</v>
      </c>
      <c r="O24">
        <f>ABS(L24-SEM!$C$34)</f>
        <v>5.8786708240086227</v>
      </c>
      <c r="P24">
        <f t="shared" si="0"/>
        <v>1.8</v>
      </c>
    </row>
    <row r="25" spans="1:16">
      <c r="A25" s="2" t="s">
        <v>27</v>
      </c>
      <c r="J25" s="5"/>
      <c r="L25">
        <f>SEM!M25</f>
        <v>-1.847290474</v>
      </c>
      <c r="M25">
        <f>SEM!N25</f>
        <v>1.9</v>
      </c>
      <c r="O25">
        <f>ABS(L25-SEM!$C$34)</f>
        <v>5.9108413780086222</v>
      </c>
      <c r="P25">
        <f t="shared" si="0"/>
        <v>1.9</v>
      </c>
    </row>
    <row r="26" spans="1:16">
      <c r="H26" s="1"/>
      <c r="J26" s="5"/>
      <c r="L26">
        <f>SEM!M26</f>
        <v>-1.8162017399999999</v>
      </c>
      <c r="M26">
        <f>SEM!N26</f>
        <v>2</v>
      </c>
      <c r="O26">
        <f>ABS(L26-SEM!$C$34)</f>
        <v>5.9419301120086221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J27" s="5"/>
      <c r="L27">
        <f>SEM!M27</f>
        <v>-1.8030171269999999</v>
      </c>
      <c r="M27">
        <f>SEM!N27</f>
        <v>2.1</v>
      </c>
      <c r="O27">
        <f>ABS(L27-SEM!$C$34)</f>
        <v>5.955114725008622</v>
      </c>
      <c r="P27">
        <f t="shared" si="0"/>
        <v>2.1</v>
      </c>
    </row>
    <row r="28" spans="1:16">
      <c r="A28">
        <f>SEM!I27</f>
        <v>0</v>
      </c>
      <c r="B28">
        <f>SEM!J27</f>
        <v>0</v>
      </c>
      <c r="C28">
        <v>1</v>
      </c>
      <c r="D28">
        <f>B28*C28</f>
        <v>0</v>
      </c>
      <c r="J28" s="5"/>
      <c r="L28">
        <f>SEM!M28</f>
        <v>-1.789832514</v>
      </c>
      <c r="M28">
        <f>SEM!N28</f>
        <v>2.2000000000000002</v>
      </c>
      <c r="O28">
        <f>ABS(L28-SEM!$C$34)</f>
        <v>5.968299338008622</v>
      </c>
      <c r="P28">
        <f t="shared" si="0"/>
        <v>2.2000000000000002</v>
      </c>
    </row>
    <row r="29" spans="1:16">
      <c r="A29">
        <f>SEM!I28</f>
        <v>0</v>
      </c>
      <c r="B29">
        <f>SEM!J28</f>
        <v>0</v>
      </c>
      <c r="C29">
        <f>B8</f>
        <v>32.679671897798144</v>
      </c>
      <c r="D29">
        <f t="shared" ref="D29:D33" si="1">B29*C29</f>
        <v>0</v>
      </c>
      <c r="J29" s="5"/>
      <c r="L29">
        <f>SEM!M29</f>
        <v>-1.7759792210000001</v>
      </c>
      <c r="M29">
        <f>SEM!N29</f>
        <v>2.2999999999999998</v>
      </c>
      <c r="O29">
        <f>ABS(L29-SEM!$C$34)</f>
        <v>5.9821526310086224</v>
      </c>
      <c r="P29">
        <f t="shared" si="0"/>
        <v>2.2999999999999998</v>
      </c>
    </row>
    <row r="30" spans="1:16">
      <c r="A30">
        <f>SEM!I29</f>
        <v>0</v>
      </c>
      <c r="B30">
        <f>SEM!J29</f>
        <v>0</v>
      </c>
      <c r="C30">
        <f>B8^2</f>
        <v>1067.9609553477378</v>
      </c>
      <c r="D30">
        <f t="shared" si="1"/>
        <v>0</v>
      </c>
      <c r="J30" s="5"/>
      <c r="L30">
        <f>SEM!M30</f>
        <v>-1.759579448</v>
      </c>
      <c r="M30">
        <f>SEM!N30</f>
        <v>2.4</v>
      </c>
      <c r="O30">
        <f>ABS(L30-SEM!$C$34)</f>
        <v>5.9985524040086222</v>
      </c>
      <c r="P30">
        <f t="shared" si="0"/>
        <v>2.4</v>
      </c>
    </row>
    <row r="31" spans="1:16">
      <c r="A31">
        <f>SEM!I30</f>
        <v>0</v>
      </c>
      <c r="B31">
        <f>SEM!J30</f>
        <v>0</v>
      </c>
      <c r="C31">
        <f>B8^3</f>
        <v>34900.613620423122</v>
      </c>
      <c r="D31">
        <f t="shared" si="1"/>
        <v>0</v>
      </c>
      <c r="J31" s="5"/>
      <c r="L31">
        <f>SEM!M31</f>
        <v>-1.7431796749999999</v>
      </c>
      <c r="M31">
        <f>SEM!N31</f>
        <v>2.5</v>
      </c>
      <c r="O31">
        <f>ABS(L31-SEM!$C$34)</f>
        <v>6.0149521770086221</v>
      </c>
      <c r="P31">
        <f t="shared" si="0"/>
        <v>2.5</v>
      </c>
    </row>
    <row r="32" spans="1:16">
      <c r="A32">
        <f>SEM!I31</f>
        <v>0</v>
      </c>
      <c r="B32">
        <f>SEM!J31</f>
        <v>0</v>
      </c>
      <c r="C32">
        <f>B8^4</f>
        <v>1140540.6021472528</v>
      </c>
      <c r="D32">
        <f t="shared" si="1"/>
        <v>0</v>
      </c>
      <c r="J32" s="5"/>
      <c r="L32">
        <f>SEM!M32</f>
        <v>-1.7317468220000001</v>
      </c>
      <c r="M32">
        <f>SEM!N32</f>
        <v>2.6</v>
      </c>
      <c r="O32">
        <f>ABS(L32-SEM!$C$34)</f>
        <v>6.0263850300086226</v>
      </c>
      <c r="P32">
        <f t="shared" si="0"/>
        <v>2.6</v>
      </c>
    </row>
    <row r="33" spans="1:16">
      <c r="A33">
        <f>SEM!I32</f>
        <v>0</v>
      </c>
      <c r="B33">
        <f>SEM!J32</f>
        <v>0</v>
      </c>
      <c r="C33">
        <f>B8^5</f>
        <v>37272492.664289348</v>
      </c>
      <c r="D33">
        <f t="shared" si="1"/>
        <v>0</v>
      </c>
      <c r="J33" s="5"/>
      <c r="L33">
        <f>SEM!M33</f>
        <v>-1.7291834690000001</v>
      </c>
      <c r="M33">
        <f>SEM!N33</f>
        <v>2.7</v>
      </c>
      <c r="O33">
        <f>ABS(L33-SEM!$C$34)</f>
        <v>6.0289483830086219</v>
      </c>
      <c r="P33">
        <f t="shared" si="0"/>
        <v>2.7</v>
      </c>
    </row>
    <row r="34" spans="1:16">
      <c r="G34" s="21">
        <f>SQRT(D35)</f>
        <v>0</v>
      </c>
      <c r="J34" s="5"/>
      <c r="L34">
        <f>SEM!M34</f>
        <v>-1.7266201160000001</v>
      </c>
      <c r="M34">
        <f>SEM!N34</f>
        <v>2.8</v>
      </c>
      <c r="O34">
        <f>ABS(L34-SEM!$C$34)</f>
        <v>6.0315117360086221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0</v>
      </c>
      <c r="E35" s="18"/>
      <c r="F35" s="18"/>
      <c r="G35" s="18"/>
      <c r="H35" s="18"/>
      <c r="I35" s="18"/>
      <c r="J35" s="19"/>
      <c r="L35">
        <f>SEM!M35</f>
        <v>-1.717654112</v>
      </c>
      <c r="M35">
        <f>SEM!N35</f>
        <v>2.9</v>
      </c>
      <c r="O35">
        <f>ABS(L35-SEM!$C$34)</f>
        <v>6.0404777400086225</v>
      </c>
      <c r="P35">
        <f t="shared" si="0"/>
        <v>2.9</v>
      </c>
    </row>
    <row r="36" spans="1:16">
      <c r="J36" s="5"/>
      <c r="L36">
        <f>SEM!M36</f>
        <v>-1.7025358399999999</v>
      </c>
      <c r="M36">
        <f>SEM!N36</f>
        <v>3</v>
      </c>
      <c r="O36">
        <f>ABS(L36-SEM!$C$34)</f>
        <v>6.055596012008623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SEM!M37</f>
        <v>-1.6874175680000001</v>
      </c>
      <c r="M37">
        <f>SEM!N37</f>
        <v>3.1</v>
      </c>
      <c r="O37">
        <f>ABS(L37-SEM!$C$34)</f>
        <v>6.0707142840086226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1</v>
      </c>
      <c r="E38" s="24"/>
      <c r="F38" s="24"/>
      <c r="G38" s="2" t="s">
        <v>21</v>
      </c>
      <c r="H38" s="2"/>
      <c r="I38" s="2">
        <f>IF(D41=1, G3+G21+G34, )</f>
        <v>4.2123119999999998</v>
      </c>
      <c r="J38" s="5"/>
      <c r="L38">
        <f>SEM!M38</f>
        <v>-1.6727150399999999</v>
      </c>
      <c r="M38">
        <f>SEM!N38</f>
        <v>3.2</v>
      </c>
      <c r="O38">
        <f>ABS(L38-SEM!$C$34)</f>
        <v>6.0854168120086225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SEM!M39</f>
        <v>-1.6582257600000001</v>
      </c>
      <c r="M39">
        <f>SEM!N39</f>
        <v>3.3</v>
      </c>
      <c r="O39">
        <f>ABS(L39-SEM!$C$34)</f>
        <v>6.0999060920086219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0</v>
      </c>
      <c r="E40" s="24"/>
      <c r="F40" s="24"/>
      <c r="J40" s="5"/>
      <c r="L40">
        <f>SEM!M40</f>
        <v>-1.6437364800000001</v>
      </c>
      <c r="M40">
        <f>SEM!N40</f>
        <v>3.4</v>
      </c>
      <c r="O40">
        <f>ABS(L40-SEM!$C$34)</f>
        <v>6.1143953720086222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SEM!M41</f>
        <v>-1.6342019249999999</v>
      </c>
      <c r="M41">
        <f>SEM!N41</f>
        <v>3.5</v>
      </c>
      <c r="O41">
        <f>ABS(L41-SEM!$C$34)</f>
        <v>6.1239299270086223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SEM!M42</f>
        <v>-1.62581478</v>
      </c>
      <c r="M42">
        <f>SEM!N42</f>
        <v>3.6</v>
      </c>
      <c r="O42">
        <f>ABS(L42-SEM!$C$34)</f>
        <v>6.1323170720086226</v>
      </c>
      <c r="P42">
        <f t="shared" si="0"/>
        <v>3.6</v>
      </c>
    </row>
    <row r="43" spans="1:16">
      <c r="A43" s="22"/>
      <c r="J43" s="5"/>
      <c r="L43">
        <f>SEM!M43</f>
        <v>-1.6174276350000001</v>
      </c>
      <c r="M43">
        <f>SEM!N43</f>
        <v>3.7</v>
      </c>
      <c r="O43">
        <f>ABS(L43-SEM!$C$34)</f>
        <v>6.1407042170086221</v>
      </c>
      <c r="P43">
        <f t="shared" si="0"/>
        <v>3.7</v>
      </c>
    </row>
    <row r="44" spans="1:16">
      <c r="J44" s="5"/>
      <c r="L44">
        <f>SEM!M44</f>
        <v>-1.615860992</v>
      </c>
      <c r="M44">
        <f>SEM!N44</f>
        <v>3.8</v>
      </c>
      <c r="O44">
        <f>ABS(L44-SEM!$C$34)</f>
        <v>6.1422708600086224</v>
      </c>
      <c r="P44">
        <f t="shared" si="0"/>
        <v>3.8</v>
      </c>
    </row>
    <row r="45" spans="1:16">
      <c r="J45" s="5"/>
      <c r="L45">
        <f>SEM!M45</f>
        <v>-1.6145566760000001</v>
      </c>
      <c r="M45">
        <f>SEM!N45</f>
        <v>3.9</v>
      </c>
      <c r="O45">
        <f>ABS(L45-SEM!$C$34)</f>
        <v>6.1435751760086221</v>
      </c>
      <c r="P45">
        <f t="shared" si="0"/>
        <v>3.9</v>
      </c>
    </row>
    <row r="46" spans="1:16">
      <c r="J46" s="5"/>
      <c r="L46">
        <f>SEM!M46</f>
        <v>-1.6095144800000001</v>
      </c>
      <c r="M46">
        <f>SEM!N46</f>
        <v>4</v>
      </c>
      <c r="O46">
        <f>ABS(L46-SEM!$C$34)</f>
        <v>6.1486173720086228</v>
      </c>
      <c r="P46">
        <f t="shared" si="0"/>
        <v>4</v>
      </c>
    </row>
    <row r="47" spans="1:16">
      <c r="J47" s="5"/>
      <c r="L47">
        <f>SEM!M47</f>
        <v>-1.5754102670000001</v>
      </c>
      <c r="M47">
        <f>SEM!N47</f>
        <v>4.0999999999999996</v>
      </c>
      <c r="O47">
        <f>ABS(L47-SEM!$C$34)</f>
        <v>6.1827215850086219</v>
      </c>
      <c r="P47">
        <f t="shared" si="0"/>
        <v>4.0999999999999996</v>
      </c>
    </row>
    <row r="48" spans="1:16">
      <c r="J48" s="5"/>
      <c r="L48">
        <f>SEM!M48</f>
        <v>-1.5413060540000001</v>
      </c>
      <c r="M48">
        <f>SEM!N48</f>
        <v>4.2</v>
      </c>
      <c r="O48">
        <f>ABS(L48-SEM!$C$34)</f>
        <v>6.2168257980086228</v>
      </c>
      <c r="P48">
        <f t="shared" si="0"/>
        <v>4.2</v>
      </c>
    </row>
    <row r="49" spans="10:16">
      <c r="J49" s="5"/>
      <c r="L49">
        <f>SEM!M49</f>
        <v>-1.515658052</v>
      </c>
      <c r="M49">
        <f>SEM!N49</f>
        <v>4.3</v>
      </c>
      <c r="O49">
        <f>ABS(L49-SEM!$C$34)</f>
        <v>6.2424738000086224</v>
      </c>
      <c r="P49">
        <f t="shared" si="0"/>
        <v>4.3</v>
      </c>
    </row>
    <row r="50" spans="10:16">
      <c r="J50" s="5"/>
      <c r="L50">
        <f>SEM!M50</f>
        <v>-1.5134692160000001</v>
      </c>
      <c r="M50">
        <f>SEM!N50</f>
        <v>4.4000000000000004</v>
      </c>
      <c r="O50">
        <f>ABS(L50-SEM!$C$34)</f>
        <v>6.2446626360086226</v>
      </c>
      <c r="P50">
        <f t="shared" si="0"/>
        <v>4.4000000000000004</v>
      </c>
    </row>
    <row r="51" spans="10:16">
      <c r="J51" s="5"/>
      <c r="L51">
        <f>SEM!M51</f>
        <v>-1.5112803800000001</v>
      </c>
      <c r="M51">
        <f>SEM!N51</f>
        <v>4.5</v>
      </c>
      <c r="O51">
        <f>ABS(L51-SEM!$C$34)</f>
        <v>6.2468514720086219</v>
      </c>
      <c r="P51">
        <f t="shared" si="0"/>
        <v>4.5</v>
      </c>
    </row>
    <row r="52" spans="10:16">
      <c r="J52" s="5"/>
      <c r="L52">
        <f>SEM!M52</f>
        <v>-1.5100020000000001</v>
      </c>
      <c r="M52">
        <f>SEM!N52</f>
        <v>4.5999999999999996</v>
      </c>
      <c r="O52">
        <f>ABS(L52-SEM!$C$34)</f>
        <v>6.2481298520086224</v>
      </c>
      <c r="P52">
        <f t="shared" si="0"/>
        <v>4.5999999999999996</v>
      </c>
    </row>
    <row r="53" spans="10:16">
      <c r="J53" s="5"/>
      <c r="L53">
        <f>SEM!M53</f>
        <v>-1.5100020000000001</v>
      </c>
      <c r="M53">
        <f>SEM!N53</f>
        <v>4.7</v>
      </c>
      <c r="O53">
        <f>ABS(L53-SEM!$C$34)</f>
        <v>6.2481298520086224</v>
      </c>
      <c r="P53">
        <f t="shared" si="0"/>
        <v>4.7</v>
      </c>
    </row>
    <row r="54" spans="10:16">
      <c r="J54" s="5"/>
      <c r="L54">
        <f>SEM!M54</f>
        <v>-1.5100020000000001</v>
      </c>
      <c r="M54">
        <f>SEM!N54</f>
        <v>4.8</v>
      </c>
      <c r="O54">
        <f>ABS(L54-SEM!$C$34)</f>
        <v>6.2481298520086224</v>
      </c>
      <c r="P54">
        <f t="shared" si="0"/>
        <v>4.8</v>
      </c>
    </row>
    <row r="55" spans="10:16">
      <c r="J55" s="5"/>
      <c r="L55">
        <f>SEM!M55</f>
        <v>-1.5086804410000001</v>
      </c>
      <c r="M55">
        <f>SEM!N55</f>
        <v>4.9000000000000004</v>
      </c>
      <c r="O55">
        <f>ABS(L55-SEM!$C$34)</f>
        <v>6.2494514110086223</v>
      </c>
      <c r="P55">
        <f t="shared" si="0"/>
        <v>4.9000000000000004</v>
      </c>
    </row>
    <row r="56" spans="10:16">
      <c r="J56" s="5"/>
      <c r="L56">
        <f>SEM!M56</f>
        <v>-1.5063494500000001</v>
      </c>
      <c r="M56">
        <f>SEM!N56</f>
        <v>5</v>
      </c>
      <c r="O56">
        <f>ABS(L56-SEM!$C$34)</f>
        <v>6.2517824020086223</v>
      </c>
      <c r="P56">
        <f t="shared" si="0"/>
        <v>5</v>
      </c>
    </row>
    <row r="57" spans="10:16">
      <c r="J57" s="5"/>
      <c r="L57">
        <f>SEM!M57</f>
        <v>-1.5040184590000001</v>
      </c>
      <c r="M57">
        <f>SEM!N57</f>
        <v>5.0999999999999996</v>
      </c>
      <c r="O57">
        <f>ABS(L57-SEM!$C$34)</f>
        <v>6.2541133930086223</v>
      </c>
      <c r="P57">
        <f t="shared" si="0"/>
        <v>5.0999999999999996</v>
      </c>
    </row>
    <row r="58" spans="10:16">
      <c r="J58" s="5"/>
      <c r="L58">
        <f>SEM!M58</f>
        <v>-1.493895124</v>
      </c>
      <c r="M58">
        <f>SEM!N58</f>
        <v>5.2</v>
      </c>
      <c r="O58">
        <f>ABS(L58-SEM!$C$34)</f>
        <v>6.2642367280086226</v>
      </c>
      <c r="P58">
        <f t="shared" si="0"/>
        <v>5.2</v>
      </c>
    </row>
    <row r="59" spans="10:16">
      <c r="J59" s="5"/>
      <c r="L59">
        <f>SEM!M59</f>
        <v>-1.4807105110000001</v>
      </c>
      <c r="M59">
        <f>SEM!N59</f>
        <v>5.3</v>
      </c>
      <c r="O59">
        <f>ABS(L59-SEM!$C$34)</f>
        <v>6.2774213410086226</v>
      </c>
      <c r="P59">
        <f t="shared" si="0"/>
        <v>5.3</v>
      </c>
    </row>
    <row r="60" spans="10:16">
      <c r="J60" s="5"/>
      <c r="L60">
        <f>SEM!M60</f>
        <v>-1.4675258980000001</v>
      </c>
      <c r="M60">
        <f>SEM!N60</f>
        <v>5.4</v>
      </c>
      <c r="O60">
        <f>ABS(L60-SEM!$C$34)</f>
        <v>6.2906059540086225</v>
      </c>
      <c r="P60">
        <f t="shared" si="0"/>
        <v>5.4</v>
      </c>
    </row>
    <row r="61" spans="10:16">
      <c r="J61" s="5"/>
      <c r="L61">
        <f>SEM!M61</f>
        <v>-1.4513257500000001</v>
      </c>
      <c r="M61">
        <f>SEM!N61</f>
        <v>5.5</v>
      </c>
      <c r="O61">
        <f>ABS(L61-SEM!$C$34)</f>
        <v>6.3068061020086219</v>
      </c>
      <c r="P61">
        <f t="shared" si="0"/>
        <v>5.5</v>
      </c>
    </row>
    <row r="62" spans="10:16">
      <c r="J62" s="5"/>
      <c r="L62">
        <f>SEM!M62</f>
        <v>-1.4346707999999999</v>
      </c>
      <c r="M62">
        <f>SEM!N62</f>
        <v>5.6</v>
      </c>
      <c r="O62">
        <f>ABS(L62-SEM!$C$34)</f>
        <v>6.3234610520086223</v>
      </c>
      <c r="P62">
        <f t="shared" si="0"/>
        <v>5.6</v>
      </c>
    </row>
    <row r="63" spans="10:16">
      <c r="J63" s="5"/>
      <c r="L63">
        <f>SEM!M63</f>
        <v>-1.418262943</v>
      </c>
      <c r="M63">
        <f>SEM!N63</f>
        <v>5.7</v>
      </c>
      <c r="O63">
        <f>ABS(L63-SEM!$C$34)</f>
        <v>6.3398689090086222</v>
      </c>
      <c r="P63">
        <f t="shared" si="0"/>
        <v>5.7</v>
      </c>
    </row>
    <row r="64" spans="10:16">
      <c r="J64" s="5"/>
      <c r="L64">
        <f>SEM!M64</f>
        <v>-1.413997942</v>
      </c>
      <c r="M64">
        <f>SEM!N64</f>
        <v>5.8</v>
      </c>
      <c r="O64">
        <f>ABS(L64-SEM!$C$34)</f>
        <v>6.3441339100086225</v>
      </c>
      <c r="P64">
        <f t="shared" si="0"/>
        <v>5.8</v>
      </c>
    </row>
    <row r="65" spans="10:16">
      <c r="J65" s="5"/>
      <c r="L65">
        <f>SEM!M65</f>
        <v>-1.4097329409999999</v>
      </c>
      <c r="M65">
        <f>SEM!N65</f>
        <v>5.9</v>
      </c>
      <c r="O65">
        <f>ABS(L65-SEM!$C$34)</f>
        <v>6.3483989110086227</v>
      </c>
      <c r="P65">
        <f t="shared" si="0"/>
        <v>5.9</v>
      </c>
    </row>
    <row r="66" spans="10:16">
      <c r="J66" s="5"/>
      <c r="L66">
        <f>SEM!M66</f>
        <v>-1.40505028</v>
      </c>
      <c r="M66">
        <f>SEM!N66</f>
        <v>6</v>
      </c>
      <c r="O66">
        <f>ABS(L66-SEM!$C$34)</f>
        <v>6.3530815720086222</v>
      </c>
      <c r="P66">
        <f t="shared" si="0"/>
        <v>6</v>
      </c>
    </row>
    <row r="67" spans="10:16">
      <c r="J67" s="5"/>
      <c r="L67">
        <f>SEM!M67</f>
        <v>-1.398341968</v>
      </c>
      <c r="M67">
        <f>SEM!N67</f>
        <v>6.1</v>
      </c>
      <c r="O67">
        <f>ABS(L67-SEM!$C$34)</f>
        <v>6.359789884008622</v>
      </c>
      <c r="P67">
        <f t="shared" si="0"/>
        <v>6.1</v>
      </c>
    </row>
    <row r="68" spans="10:16">
      <c r="J68" s="5"/>
      <c r="L68">
        <f>SEM!M68</f>
        <v>-1.391633656</v>
      </c>
      <c r="M68">
        <f>SEM!N68</f>
        <v>6.2</v>
      </c>
      <c r="O68">
        <f>ABS(L68-SEM!$C$34)</f>
        <v>6.3664981960086227</v>
      </c>
      <c r="P68">
        <f t="shared" si="0"/>
        <v>6.2</v>
      </c>
    </row>
    <row r="69" spans="10:16">
      <c r="J69" s="5"/>
      <c r="L69">
        <f>SEM!M69</f>
        <v>-1.378887754</v>
      </c>
      <c r="M69">
        <f>SEM!N69</f>
        <v>6.3</v>
      </c>
      <c r="O69">
        <f>ABS(L69-SEM!$C$34)</f>
        <v>6.3792440980086225</v>
      </c>
      <c r="P69">
        <f t="shared" si="0"/>
        <v>6.3</v>
      </c>
    </row>
    <row r="70" spans="10:16">
      <c r="J70" s="5"/>
      <c r="L70">
        <f>SEM!M70</f>
        <v>-1.3534255120000001</v>
      </c>
      <c r="M70">
        <f>SEM!N70</f>
        <v>6.4</v>
      </c>
      <c r="O70">
        <f>ABS(L70-SEM!$C$34)</f>
        <v>6.4047063400086222</v>
      </c>
      <c r="P70">
        <f t="shared" si="0"/>
        <v>6.4</v>
      </c>
    </row>
    <row r="71" spans="10:16">
      <c r="J71" s="5"/>
      <c r="L71">
        <f>SEM!M71</f>
        <v>-1.3279632699999999</v>
      </c>
      <c r="M71">
        <f>SEM!N71</f>
        <v>6.5</v>
      </c>
      <c r="O71">
        <f>ABS(L71-SEM!$C$34)</f>
        <v>6.4301685820086227</v>
      </c>
      <c r="P71">
        <f t="shared" ref="P71:P134" si="2">M71</f>
        <v>6.5</v>
      </c>
    </row>
    <row r="72" spans="10:16">
      <c r="J72" s="5"/>
      <c r="L72">
        <f>SEM!M72</f>
        <v>-1.310753552</v>
      </c>
      <c r="M72">
        <f>SEM!N72</f>
        <v>6.6</v>
      </c>
      <c r="O72">
        <f>ABS(L72-SEM!$C$34)</f>
        <v>6.4473783000086229</v>
      </c>
      <c r="P72">
        <f t="shared" si="2"/>
        <v>6.6</v>
      </c>
    </row>
    <row r="73" spans="10:16">
      <c r="J73" s="5"/>
      <c r="L73">
        <f>SEM!M73</f>
        <v>-1.3027409240000001</v>
      </c>
      <c r="M73">
        <f>SEM!N73</f>
        <v>6.7</v>
      </c>
      <c r="O73">
        <f>ABS(L73-SEM!$C$34)</f>
        <v>6.4553909280086224</v>
      </c>
      <c r="P73">
        <f t="shared" si="2"/>
        <v>6.7</v>
      </c>
    </row>
    <row r="74" spans="10:16">
      <c r="J74" s="5"/>
      <c r="L74">
        <f>SEM!M74</f>
        <v>-1.2947282959999999</v>
      </c>
      <c r="M74">
        <f>SEM!N74</f>
        <v>6.8</v>
      </c>
      <c r="O74">
        <f>ABS(L74-SEM!$C$34)</f>
        <v>6.4634035560086227</v>
      </c>
      <c r="P74">
        <f t="shared" si="2"/>
        <v>6.8</v>
      </c>
    </row>
    <row r="75" spans="10:16">
      <c r="J75" s="5"/>
      <c r="L75">
        <f>SEM!M75</f>
        <v>-1.2896947249999999</v>
      </c>
      <c r="M75">
        <f>SEM!N75</f>
        <v>6.9</v>
      </c>
      <c r="O75">
        <f>ABS(L75-SEM!$C$34)</f>
        <v>6.4684371270086221</v>
      </c>
      <c r="P75">
        <f t="shared" si="2"/>
        <v>6.9</v>
      </c>
    </row>
    <row r="76" spans="10:16">
      <c r="J76" s="5"/>
      <c r="L76">
        <f>SEM!M76</f>
        <v>-1.2864567499999999</v>
      </c>
      <c r="M76">
        <f>SEM!N76</f>
        <v>7</v>
      </c>
      <c r="O76">
        <f>ABS(L76-SEM!$C$34)</f>
        <v>6.4716751020086223</v>
      </c>
      <c r="P76">
        <f t="shared" si="2"/>
        <v>7</v>
      </c>
    </row>
    <row r="77" spans="10:16">
      <c r="J77" s="5"/>
      <c r="L77">
        <f>SEM!M77</f>
        <v>-1.2832187749999999</v>
      </c>
      <c r="M77">
        <f>SEM!N77</f>
        <v>7.1</v>
      </c>
      <c r="O77">
        <f>ABS(L77-SEM!$C$34)</f>
        <v>6.4749130770086225</v>
      </c>
      <c r="P77">
        <f t="shared" si="2"/>
        <v>7.1</v>
      </c>
    </row>
    <row r="78" spans="10:16">
      <c r="J78" s="5"/>
      <c r="L78">
        <f>SEM!M78</f>
        <v>-1.2809912800000001</v>
      </c>
      <c r="M78">
        <f>SEM!N78</f>
        <v>7.2</v>
      </c>
      <c r="O78">
        <f>ABS(L78-SEM!$C$34)</f>
        <v>6.4771405720086221</v>
      </c>
      <c r="P78">
        <f t="shared" si="2"/>
        <v>7.2</v>
      </c>
    </row>
    <row r="79" spans="10:16">
      <c r="J79" s="5"/>
      <c r="L79">
        <f>SEM!M79</f>
        <v>-1.27905727</v>
      </c>
      <c r="M79">
        <f>SEM!N79</f>
        <v>7.3</v>
      </c>
      <c r="O79">
        <f>ABS(L79-SEM!$C$34)</f>
        <v>6.4790745820086224</v>
      </c>
      <c r="P79">
        <f t="shared" si="2"/>
        <v>7.3</v>
      </c>
    </row>
    <row r="80" spans="10:16">
      <c r="J80" s="5"/>
      <c r="L80">
        <f>SEM!M80</f>
        <v>-1.27712326</v>
      </c>
      <c r="M80">
        <f>SEM!N80</f>
        <v>7.4</v>
      </c>
      <c r="O80">
        <f>ABS(L80-SEM!$C$34)</f>
        <v>6.4810085920086227</v>
      </c>
      <c r="P80">
        <f t="shared" si="2"/>
        <v>7.4</v>
      </c>
    </row>
    <row r="81" spans="10:16">
      <c r="J81" s="5"/>
      <c r="L81">
        <f>SEM!M81</f>
        <v>-1.276765175</v>
      </c>
      <c r="M81">
        <f>SEM!N81</f>
        <v>7.5</v>
      </c>
      <c r="O81">
        <f>ABS(L81-SEM!$C$34)</f>
        <v>6.4813666770086229</v>
      </c>
      <c r="P81">
        <f t="shared" si="2"/>
        <v>7.5</v>
      </c>
    </row>
    <row r="82" spans="10:16">
      <c r="J82" s="5"/>
      <c r="L82">
        <f>SEM!M82</f>
        <v>-1.2765331639999999</v>
      </c>
      <c r="M82">
        <f>SEM!N82</f>
        <v>7.6</v>
      </c>
      <c r="O82">
        <f>ABS(L82-SEM!$C$34)</f>
        <v>6.4815986880086225</v>
      </c>
      <c r="P82">
        <f t="shared" si="2"/>
        <v>7.6</v>
      </c>
    </row>
    <row r="83" spans="10:16">
      <c r="J83" s="5"/>
      <c r="L83">
        <f>SEM!M83</f>
        <v>-1.276039361</v>
      </c>
      <c r="M83">
        <f>SEM!N83</f>
        <v>7.7</v>
      </c>
      <c r="O83">
        <f>ABS(L83-SEM!$C$34)</f>
        <v>6.4820924910086219</v>
      </c>
      <c r="P83">
        <f t="shared" si="2"/>
        <v>7.7</v>
      </c>
    </row>
    <row r="84" spans="10:16">
      <c r="J84" s="5"/>
      <c r="L84">
        <f>SEM!M84</f>
        <v>-1.2724040539999999</v>
      </c>
      <c r="M84">
        <f>SEM!N84</f>
        <v>7.8</v>
      </c>
      <c r="O84">
        <f>ABS(L84-SEM!$C$34)</f>
        <v>6.4857277980086225</v>
      </c>
      <c r="P84">
        <f t="shared" si="2"/>
        <v>7.8</v>
      </c>
    </row>
    <row r="85" spans="10:16">
      <c r="J85" s="5"/>
      <c r="L85">
        <f>SEM!M85</f>
        <v>-1.268768747</v>
      </c>
      <c r="M85">
        <f>SEM!N85</f>
        <v>7.9</v>
      </c>
      <c r="O85">
        <f>ABS(L85-SEM!$C$34)</f>
        <v>6.4893631050086222</v>
      </c>
      <c r="P85">
        <f t="shared" si="2"/>
        <v>7.9</v>
      </c>
    </row>
    <row r="86" spans="10:16">
      <c r="J86" s="5"/>
      <c r="L86">
        <f>SEM!M86</f>
        <v>-1.26531448</v>
      </c>
      <c r="M86">
        <f>SEM!N86</f>
        <v>8</v>
      </c>
      <c r="O86">
        <f>ABS(L86-SEM!$C$34)</f>
        <v>6.4928173720086226</v>
      </c>
      <c r="P86">
        <f t="shared" si="2"/>
        <v>8</v>
      </c>
    </row>
    <row r="87" spans="10:16">
      <c r="J87" s="5"/>
      <c r="L87">
        <f>SEM!M87</f>
        <v>-1.262473486</v>
      </c>
      <c r="M87">
        <f>SEM!N87</f>
        <v>8.1</v>
      </c>
      <c r="O87">
        <f>ABS(L87-SEM!$C$34)</f>
        <v>6.4956583660086222</v>
      </c>
      <c r="P87">
        <f t="shared" si="2"/>
        <v>8.1</v>
      </c>
    </row>
    <row r="88" spans="10:16">
      <c r="J88" s="5"/>
      <c r="L88">
        <f>SEM!M88</f>
        <v>-1.2596324919999999</v>
      </c>
      <c r="M88">
        <f>SEM!N88</f>
        <v>8.1999999999999993</v>
      </c>
      <c r="O88">
        <f>ABS(L88-SEM!$C$34)</f>
        <v>6.4984993600086227</v>
      </c>
      <c r="P88">
        <f t="shared" si="2"/>
        <v>8.1999999999999993</v>
      </c>
    </row>
    <row r="89" spans="10:16">
      <c r="J89" s="5"/>
      <c r="L89">
        <f>SEM!M89</f>
        <v>-1.2571353030000001</v>
      </c>
      <c r="M89">
        <f>SEM!N89</f>
        <v>8.3000000000000007</v>
      </c>
      <c r="O89">
        <f>ABS(L89-SEM!$C$34)</f>
        <v>6.5009965490086223</v>
      </c>
      <c r="P89">
        <f t="shared" si="2"/>
        <v>8.3000000000000007</v>
      </c>
    </row>
    <row r="90" spans="10:16">
      <c r="J90" s="5"/>
      <c r="L90">
        <f>SEM!M90</f>
        <v>-1.255201644</v>
      </c>
      <c r="M90">
        <f>SEM!N90</f>
        <v>8.4</v>
      </c>
      <c r="O90">
        <f>ABS(L90-SEM!$C$34)</f>
        <v>6.5029302080086229</v>
      </c>
      <c r="P90">
        <f t="shared" si="2"/>
        <v>8.4</v>
      </c>
    </row>
    <row r="91" spans="10:16">
      <c r="J91" s="5"/>
      <c r="L91">
        <f>SEM!M91</f>
        <v>-1.2532679849999999</v>
      </c>
      <c r="M91">
        <f>SEM!N91</f>
        <v>8.5</v>
      </c>
      <c r="O91">
        <f>ABS(L91-SEM!$C$34)</f>
        <v>6.5048638670086225</v>
      </c>
      <c r="P91">
        <f t="shared" si="2"/>
        <v>8.5</v>
      </c>
    </row>
    <row r="92" spans="10:16">
      <c r="J92" s="5"/>
      <c r="L92">
        <f>SEM!M92</f>
        <v>-1.2506429640000001</v>
      </c>
      <c r="M92">
        <f>SEM!N92</f>
        <v>8.6</v>
      </c>
      <c r="O92">
        <f>ABS(L92-SEM!$C$34)</f>
        <v>6.5074888880086226</v>
      </c>
      <c r="P92">
        <f t="shared" si="2"/>
        <v>8.6</v>
      </c>
    </row>
    <row r="93" spans="10:16">
      <c r="J93" s="5"/>
      <c r="L93">
        <f>SEM!M93</f>
        <v>-1.2474046379999999</v>
      </c>
      <c r="M93">
        <f>SEM!N93</f>
        <v>8.6999999999999993</v>
      </c>
      <c r="O93">
        <f>ABS(L93-SEM!$C$34)</f>
        <v>6.5107272140086225</v>
      </c>
      <c r="P93">
        <f t="shared" si="2"/>
        <v>8.6999999999999993</v>
      </c>
    </row>
    <row r="94" spans="10:16">
      <c r="J94" s="5"/>
      <c r="L94">
        <f>SEM!M94</f>
        <v>-1.2441663119999999</v>
      </c>
      <c r="M94">
        <f>SEM!N94</f>
        <v>8.8000000000000007</v>
      </c>
      <c r="O94">
        <f>ABS(L94-SEM!$C$34)</f>
        <v>6.5139655400086225</v>
      </c>
      <c r="P94">
        <f t="shared" si="2"/>
        <v>8.8000000000000007</v>
      </c>
    </row>
    <row r="95" spans="10:16">
      <c r="J95" s="5"/>
      <c r="L95">
        <f>SEM!M95</f>
        <v>-1.239897418</v>
      </c>
      <c r="M95">
        <f>SEM!N95</f>
        <v>8.9</v>
      </c>
      <c r="O95">
        <f>ABS(L95-SEM!$C$34)</f>
        <v>6.5182344340086225</v>
      </c>
      <c r="P95">
        <f t="shared" si="2"/>
        <v>8.9</v>
      </c>
    </row>
    <row r="96" spans="10:16">
      <c r="J96" s="5"/>
      <c r="L96">
        <f>SEM!M96</f>
        <v>-1.23514558</v>
      </c>
      <c r="M96">
        <f>SEM!N96</f>
        <v>9</v>
      </c>
      <c r="O96">
        <f>ABS(L96-SEM!$C$34)</f>
        <v>6.5229862720086222</v>
      </c>
      <c r="P96">
        <f t="shared" si="2"/>
        <v>9</v>
      </c>
    </row>
    <row r="97" spans="10:16">
      <c r="J97" s="5"/>
      <c r="L97">
        <f>SEM!M97</f>
        <v>-1.230393742</v>
      </c>
      <c r="M97">
        <f>SEM!N97</f>
        <v>9.1</v>
      </c>
      <c r="O97">
        <f>ABS(L97-SEM!$C$34)</f>
        <v>6.527738110008622</v>
      </c>
      <c r="P97">
        <f t="shared" si="2"/>
        <v>9.1</v>
      </c>
    </row>
    <row r="98" spans="10:16">
      <c r="J98" s="5"/>
      <c r="L98">
        <f>SEM!M98</f>
        <v>-1.229245768</v>
      </c>
      <c r="M98">
        <f>SEM!N98</f>
        <v>9.1999999999999993</v>
      </c>
      <c r="O98">
        <f>ABS(L98-SEM!$C$34)</f>
        <v>6.5288860840086222</v>
      </c>
      <c r="P98">
        <f t="shared" si="2"/>
        <v>9.1999999999999993</v>
      </c>
    </row>
    <row r="99" spans="10:16">
      <c r="J99" s="5"/>
      <c r="L99">
        <f>SEM!M99</f>
        <v>-1.2288259720000001</v>
      </c>
      <c r="M99">
        <f>SEM!N99</f>
        <v>9.3000000000000007</v>
      </c>
      <c r="O99">
        <f>ABS(L99-SEM!$C$34)</f>
        <v>6.5293058800086223</v>
      </c>
      <c r="P99">
        <f t="shared" si="2"/>
        <v>9.3000000000000007</v>
      </c>
    </row>
    <row r="100" spans="10:16">
      <c r="J100" s="5"/>
      <c r="L100">
        <f>SEM!M100</f>
        <v>-1.228406176</v>
      </c>
      <c r="M100">
        <f>SEM!N100</f>
        <v>9.4</v>
      </c>
      <c r="O100">
        <f>ABS(L100-SEM!$C$34)</f>
        <v>6.5297256760086224</v>
      </c>
      <c r="P100">
        <f t="shared" si="2"/>
        <v>9.4</v>
      </c>
    </row>
    <row r="101" spans="10:16">
      <c r="J101" s="5"/>
      <c r="L101">
        <f>SEM!M101</f>
        <v>-1.226911015</v>
      </c>
      <c r="M101">
        <f>SEM!N101</f>
        <v>9.5</v>
      </c>
      <c r="O101">
        <f>ABS(L101-SEM!$C$34)</f>
        <v>6.5312208370086227</v>
      </c>
      <c r="P101">
        <f t="shared" si="2"/>
        <v>9.5</v>
      </c>
    </row>
    <row r="102" spans="10:16">
      <c r="J102" s="5"/>
      <c r="L102">
        <f>SEM!M102</f>
        <v>-1.225397152</v>
      </c>
      <c r="M102">
        <f>SEM!N102</f>
        <v>9.6</v>
      </c>
      <c r="O102">
        <f>ABS(L102-SEM!$C$34)</f>
        <v>6.5327347000086222</v>
      </c>
      <c r="P102">
        <f t="shared" si="2"/>
        <v>9.6</v>
      </c>
    </row>
    <row r="103" spans="10:16">
      <c r="J103" s="5"/>
      <c r="L103">
        <f>SEM!M103</f>
        <v>-1.223770818</v>
      </c>
      <c r="M103">
        <f>SEM!N103</f>
        <v>9.6999999999999993</v>
      </c>
      <c r="O103">
        <f>ABS(L103-SEM!$C$34)</f>
        <v>6.5343610340086222</v>
      </c>
      <c r="P103">
        <f t="shared" si="2"/>
        <v>9.6999999999999993</v>
      </c>
    </row>
    <row r="104" spans="10:16">
      <c r="J104" s="5"/>
      <c r="L104">
        <f>SEM!M104</f>
        <v>-1.2214170120000001</v>
      </c>
      <c r="M104">
        <f>SEM!N104</f>
        <v>9.8000000000000007</v>
      </c>
      <c r="O104">
        <f>ABS(L104-SEM!$C$34)</f>
        <v>6.5367148400086226</v>
      </c>
      <c r="P104">
        <f t="shared" si="2"/>
        <v>9.8000000000000007</v>
      </c>
    </row>
    <row r="105" spans="10:16">
      <c r="J105" s="5"/>
      <c r="L105">
        <f>SEM!M105</f>
        <v>-1.219063206</v>
      </c>
      <c r="M105">
        <f>SEM!N105</f>
        <v>9.9</v>
      </c>
      <c r="O105">
        <f>ABS(L105-SEM!$C$34)</f>
        <v>6.5390686460086229</v>
      </c>
      <c r="P105">
        <f t="shared" si="2"/>
        <v>9.9</v>
      </c>
    </row>
    <row r="106" spans="10:16">
      <c r="J106" s="5"/>
      <c r="L106">
        <f>SEM!M106</f>
        <v>-1.2163913</v>
      </c>
      <c r="M106">
        <f>SEM!N106</f>
        <v>10</v>
      </c>
      <c r="O106">
        <f>ABS(L106-SEM!$C$34)</f>
        <v>6.5417405520086227</v>
      </c>
      <c r="P106">
        <f t="shared" si="2"/>
        <v>10</v>
      </c>
    </row>
    <row r="107" spans="10:16">
      <c r="J107" s="5"/>
      <c r="L107">
        <f>SEM!M107</f>
        <v>-1.212920963</v>
      </c>
      <c r="M107">
        <f>SEM!N107</f>
        <v>10.1</v>
      </c>
      <c r="O107">
        <f>ABS(L107-SEM!$C$34)</f>
        <v>6.5452108890086222</v>
      </c>
      <c r="P107">
        <f t="shared" si="2"/>
        <v>10.1</v>
      </c>
    </row>
    <row r="108" spans="10:16">
      <c r="J108" s="5"/>
      <c r="L108">
        <f>SEM!M108</f>
        <v>-1.209450626</v>
      </c>
      <c r="M108">
        <f>SEM!N108</f>
        <v>10.199999999999999</v>
      </c>
      <c r="O108">
        <f>ABS(L108-SEM!$C$34)</f>
        <v>6.5486812260086227</v>
      </c>
      <c r="P108">
        <f t="shared" si="2"/>
        <v>10.199999999999999</v>
      </c>
    </row>
    <row r="109" spans="10:16">
      <c r="J109" s="5"/>
      <c r="L109">
        <f>SEM!M109</f>
        <v>-1.2074929999999999</v>
      </c>
      <c r="M109">
        <f>SEM!N109</f>
        <v>10.3</v>
      </c>
      <c r="O109">
        <f>ABS(L109-SEM!$C$34)</f>
        <v>6.5506388520086229</v>
      </c>
      <c r="P109">
        <f t="shared" si="2"/>
        <v>10.3</v>
      </c>
    </row>
    <row r="110" spans="10:16">
      <c r="J110" s="5"/>
      <c r="L110">
        <f>SEM!M110</f>
        <v>-1.2074929999999999</v>
      </c>
      <c r="M110">
        <f>SEM!N110</f>
        <v>10.4</v>
      </c>
      <c r="O110">
        <f>ABS(L110-SEM!$C$34)</f>
        <v>6.5506388520086229</v>
      </c>
      <c r="P110">
        <f t="shared" si="2"/>
        <v>10.4</v>
      </c>
    </row>
    <row r="111" spans="10:16">
      <c r="J111" s="5"/>
      <c r="L111">
        <f>SEM!M111</f>
        <v>-1.2074929999999999</v>
      </c>
      <c r="M111">
        <f>SEM!N111</f>
        <v>10.5</v>
      </c>
      <c r="O111">
        <f>ABS(L111-SEM!$C$34)</f>
        <v>6.5506388520086229</v>
      </c>
      <c r="P111">
        <f t="shared" si="2"/>
        <v>10.5</v>
      </c>
    </row>
    <row r="112" spans="10:16">
      <c r="J112" s="5"/>
      <c r="L112">
        <f>SEM!M112</f>
        <v>-1.2017917440000001</v>
      </c>
      <c r="M112">
        <f>SEM!N112</f>
        <v>10.6</v>
      </c>
      <c r="O112">
        <f>ABS(L112-SEM!$C$34)</f>
        <v>6.5563401080086221</v>
      </c>
      <c r="P112">
        <f t="shared" si="2"/>
        <v>10.6</v>
      </c>
    </row>
    <row r="113" spans="10:16">
      <c r="J113" s="5"/>
      <c r="L113">
        <f>SEM!M113</f>
        <v>-1.1920774679999999</v>
      </c>
      <c r="M113">
        <f>SEM!N113</f>
        <v>10.7</v>
      </c>
      <c r="O113">
        <f>ABS(L113-SEM!$C$34)</f>
        <v>6.5660543840086225</v>
      </c>
      <c r="P113">
        <f t="shared" si="2"/>
        <v>10.7</v>
      </c>
    </row>
    <row r="114" spans="10:16">
      <c r="J114" s="5"/>
      <c r="L114">
        <f>SEM!M114</f>
        <v>-1.182363192</v>
      </c>
      <c r="M114">
        <f>SEM!N114</f>
        <v>10.8</v>
      </c>
      <c r="O114">
        <f>ABS(L114-SEM!$C$34)</f>
        <v>6.575768660008622</v>
      </c>
      <c r="P114">
        <f t="shared" si="2"/>
        <v>10.8</v>
      </c>
    </row>
    <row r="115" spans="10:16">
      <c r="J115" s="5"/>
      <c r="L115">
        <f>SEM!M115</f>
        <v>-1.1798169999999999</v>
      </c>
      <c r="M115">
        <f>SEM!N115</f>
        <v>10.9</v>
      </c>
      <c r="O115">
        <f>ABS(L115-SEM!$C$34)</f>
        <v>6.5783148520086225</v>
      </c>
      <c r="P115">
        <f t="shared" si="2"/>
        <v>10.9</v>
      </c>
    </row>
    <row r="116" spans="10:16">
      <c r="J116" s="5"/>
      <c r="L116">
        <f>SEM!M116</f>
        <v>-1.1798169999999999</v>
      </c>
      <c r="M116">
        <f>SEM!N116</f>
        <v>11</v>
      </c>
      <c r="O116">
        <f>ABS(L116-SEM!$C$34)</f>
        <v>6.5783148520086225</v>
      </c>
      <c r="P116">
        <f t="shared" si="2"/>
        <v>11</v>
      </c>
    </row>
    <row r="117" spans="10:16">
      <c r="J117" s="5"/>
      <c r="L117">
        <f>SEM!M117</f>
        <v>-1.1798169999999999</v>
      </c>
      <c r="M117">
        <f>SEM!N117</f>
        <v>11.1</v>
      </c>
      <c r="O117">
        <f>ABS(L117-SEM!$C$34)</f>
        <v>6.5783148520086225</v>
      </c>
      <c r="P117">
        <f t="shared" si="2"/>
        <v>11.1</v>
      </c>
    </row>
    <row r="118" spans="10:16">
      <c r="J118" s="5"/>
      <c r="L118">
        <f>SEM!M118</f>
        <v>-1.178657608</v>
      </c>
      <c r="M118">
        <f>SEM!N118</f>
        <v>11.2</v>
      </c>
      <c r="O118">
        <f>ABS(L118-SEM!$C$34)</f>
        <v>6.5794742440086225</v>
      </c>
      <c r="P118">
        <f t="shared" si="2"/>
        <v>11.2</v>
      </c>
    </row>
    <row r="119" spans="10:16">
      <c r="J119" s="5"/>
      <c r="L119">
        <f>SEM!M119</f>
        <v>-1.1773532920000001</v>
      </c>
      <c r="M119">
        <f>SEM!N119</f>
        <v>11.3</v>
      </c>
      <c r="O119">
        <f>ABS(L119-SEM!$C$34)</f>
        <v>6.5807785600086222</v>
      </c>
      <c r="P119">
        <f t="shared" si="2"/>
        <v>11.3</v>
      </c>
    </row>
    <row r="120" spans="10:16">
      <c r="J120" s="5"/>
      <c r="L120">
        <f>SEM!M120</f>
        <v>-1.175998758</v>
      </c>
      <c r="M120">
        <f>SEM!N120</f>
        <v>11.4</v>
      </c>
      <c r="O120">
        <f>ABS(L120-SEM!$C$34)</f>
        <v>6.582133094008622</v>
      </c>
      <c r="P120">
        <f t="shared" si="2"/>
        <v>11.4</v>
      </c>
    </row>
    <row r="121" spans="10:16">
      <c r="J121" s="5"/>
      <c r="L121">
        <f>SEM!M121</f>
        <v>-1.173435405</v>
      </c>
      <c r="M121">
        <f>SEM!N121</f>
        <v>11.5</v>
      </c>
      <c r="O121">
        <f>ABS(L121-SEM!$C$34)</f>
        <v>6.5846964470086222</v>
      </c>
      <c r="P121">
        <f t="shared" si="2"/>
        <v>11.5</v>
      </c>
    </row>
    <row r="122" spans="10:16">
      <c r="J122" s="5"/>
      <c r="L122">
        <f>SEM!M122</f>
        <v>-1.170872052</v>
      </c>
      <c r="M122">
        <f>SEM!N122</f>
        <v>11.6</v>
      </c>
      <c r="O122">
        <f>ABS(L122-SEM!$C$34)</f>
        <v>6.5872598000086224</v>
      </c>
      <c r="P122">
        <f t="shared" si="2"/>
        <v>11.6</v>
      </c>
    </row>
    <row r="123" spans="10:16">
      <c r="J123" s="5"/>
      <c r="L123">
        <f>SEM!M123</f>
        <v>-1.168504674</v>
      </c>
      <c r="M123">
        <f>SEM!N123</f>
        <v>11.7</v>
      </c>
      <c r="O123">
        <f>ABS(L123-SEM!$C$34)</f>
        <v>6.5896271780086222</v>
      </c>
      <c r="P123">
        <f t="shared" si="2"/>
        <v>11.7</v>
      </c>
    </row>
    <row r="124" spans="10:16">
      <c r="J124" s="5"/>
      <c r="L124">
        <f>SEM!M124</f>
        <v>-1.1669679959999999</v>
      </c>
      <c r="M124">
        <f>SEM!N124</f>
        <v>11.8</v>
      </c>
      <c r="O124">
        <f>ABS(L124-SEM!$C$34)</f>
        <v>6.5911638560086221</v>
      </c>
      <c r="P124">
        <f t="shared" si="2"/>
        <v>11.8</v>
      </c>
    </row>
    <row r="125" spans="10:16">
      <c r="J125" s="5"/>
      <c r="L125">
        <f>SEM!M125</f>
        <v>-1.165431318</v>
      </c>
      <c r="M125">
        <f>SEM!N125</f>
        <v>11.9</v>
      </c>
      <c r="O125">
        <f>ABS(L125-SEM!$C$34)</f>
        <v>6.5927005340086229</v>
      </c>
      <c r="P125">
        <f t="shared" si="2"/>
        <v>11.9</v>
      </c>
    </row>
    <row r="126" spans="10:16">
      <c r="J126" s="5"/>
      <c r="L126">
        <f>SEM!M126</f>
        <v>-1.16442</v>
      </c>
      <c r="M126">
        <f>SEM!N126</f>
        <v>12</v>
      </c>
      <c r="O126">
        <f>ABS(L126-SEM!$C$34)</f>
        <v>6.5937118520086226</v>
      </c>
      <c r="P126">
        <f t="shared" si="2"/>
        <v>12</v>
      </c>
    </row>
    <row r="127" spans="10:16">
      <c r="J127" s="5"/>
      <c r="L127">
        <f>SEM!M127</f>
        <v>-1.16442</v>
      </c>
      <c r="M127">
        <f>SEM!N127</f>
        <v>12.1</v>
      </c>
      <c r="O127">
        <f>ABS(L127-SEM!$C$34)</f>
        <v>6.5937118520086226</v>
      </c>
      <c r="P127">
        <f t="shared" si="2"/>
        <v>12.1</v>
      </c>
    </row>
    <row r="128" spans="10:16">
      <c r="J128" s="5"/>
      <c r="L128">
        <f>SEM!M128</f>
        <v>-1.16442</v>
      </c>
      <c r="M128">
        <f>SEM!N128</f>
        <v>12.2</v>
      </c>
      <c r="O128">
        <f>ABS(L128-SEM!$C$34)</f>
        <v>6.5937118520086226</v>
      </c>
      <c r="P128">
        <f t="shared" si="2"/>
        <v>12.2</v>
      </c>
    </row>
    <row r="129" spans="10:16">
      <c r="J129" s="5"/>
      <c r="L129">
        <f>SEM!M129</f>
        <v>-1.159000429</v>
      </c>
      <c r="M129">
        <f>SEM!N129</f>
        <v>12.3</v>
      </c>
      <c r="O129">
        <f>ABS(L129-SEM!$C$34)</f>
        <v>6.5991314230086227</v>
      </c>
      <c r="P129">
        <f t="shared" si="2"/>
        <v>12.3</v>
      </c>
    </row>
    <row r="130" spans="10:16">
      <c r="J130" s="5"/>
      <c r="L130">
        <f>SEM!M130</f>
        <v>-1.148004652</v>
      </c>
      <c r="M130">
        <f>SEM!N130</f>
        <v>12.4</v>
      </c>
      <c r="O130">
        <f>ABS(L130-SEM!$C$34)</f>
        <v>6.6101272000086224</v>
      </c>
      <c r="P130">
        <f t="shared" si="2"/>
        <v>12.4</v>
      </c>
    </row>
    <row r="131" spans="10:16">
      <c r="J131" s="5"/>
      <c r="L131">
        <f>SEM!M131</f>
        <v>-1.137008875</v>
      </c>
      <c r="M131">
        <f>SEM!N131</f>
        <v>12.5</v>
      </c>
      <c r="O131">
        <f>ABS(L131-SEM!$C$34)</f>
        <v>6.6211229770086222</v>
      </c>
      <c r="P131">
        <f t="shared" si="2"/>
        <v>12.5</v>
      </c>
    </row>
    <row r="132" spans="10:16">
      <c r="J132" s="5"/>
      <c r="L132">
        <f>SEM!M132</f>
        <v>-1.124198544</v>
      </c>
      <c r="M132">
        <f>SEM!N132</f>
        <v>12.6</v>
      </c>
      <c r="O132">
        <f>ABS(L132-SEM!$C$34)</f>
        <v>6.633933308008622</v>
      </c>
      <c r="P132">
        <f t="shared" si="2"/>
        <v>12.6</v>
      </c>
    </row>
    <row r="133" spans="10:16">
      <c r="J133" s="5"/>
      <c r="L133">
        <f>SEM!M133</f>
        <v>-1.1103845880000001</v>
      </c>
      <c r="M133">
        <f>SEM!N133</f>
        <v>12.7</v>
      </c>
      <c r="O133">
        <f>ABS(L133-SEM!$C$34)</f>
        <v>6.6477472640086219</v>
      </c>
      <c r="P133">
        <f t="shared" si="2"/>
        <v>12.7</v>
      </c>
    </row>
    <row r="134" spans="10:16">
      <c r="J134" s="5"/>
      <c r="L134">
        <f>SEM!M134</f>
        <v>-1.0965706319999999</v>
      </c>
      <c r="M134">
        <f>SEM!N134</f>
        <v>12.8</v>
      </c>
      <c r="O134">
        <f>ABS(L134-SEM!$C$34)</f>
        <v>6.6615612200086227</v>
      </c>
      <c r="P134">
        <f t="shared" si="2"/>
        <v>12.8</v>
      </c>
    </row>
    <row r="135" spans="10:16">
      <c r="J135" s="5"/>
      <c r="L135">
        <f>SEM!M135</f>
        <v>-1.090644564</v>
      </c>
      <c r="M135">
        <f>SEM!N135</f>
        <v>12.9</v>
      </c>
      <c r="O135">
        <f>ABS(L135-SEM!$C$34)</f>
        <v>6.6674872880086227</v>
      </c>
      <c r="P135">
        <f t="shared" ref="P135:P198" si="3">M135</f>
        <v>12.9</v>
      </c>
    </row>
    <row r="136" spans="10:16">
      <c r="J136" s="5"/>
      <c r="L136">
        <f>SEM!M136</f>
        <v>-1.08675408</v>
      </c>
      <c r="M136">
        <f>SEM!N136</f>
        <v>13</v>
      </c>
      <c r="O136">
        <f>ABS(L136-SEM!$C$34)</f>
        <v>6.671377772008622</v>
      </c>
      <c r="P136">
        <f t="shared" si="3"/>
        <v>13</v>
      </c>
    </row>
    <row r="137" spans="10:16">
      <c r="J137" s="5"/>
      <c r="L137">
        <f>SEM!M137</f>
        <v>-1.0828635959999999</v>
      </c>
      <c r="M137">
        <f>SEM!N137</f>
        <v>13.1</v>
      </c>
      <c r="O137">
        <f>ABS(L137-SEM!$C$34)</f>
        <v>6.6752682560086223</v>
      </c>
      <c r="P137">
        <f t="shared" si="3"/>
        <v>13.1</v>
      </c>
    </row>
    <row r="138" spans="10:16">
      <c r="J138" s="5"/>
      <c r="L138">
        <f>SEM!M138</f>
        <v>-1.0808240119999999</v>
      </c>
      <c r="M138">
        <f>SEM!N138</f>
        <v>13.2</v>
      </c>
      <c r="O138">
        <f>ABS(L138-SEM!$C$34)</f>
        <v>6.6773078400086225</v>
      </c>
      <c r="P138">
        <f t="shared" si="3"/>
        <v>13.2</v>
      </c>
    </row>
    <row r="139" spans="10:16">
      <c r="J139" s="5"/>
      <c r="L139">
        <f>SEM!M139</f>
        <v>-1.078890353</v>
      </c>
      <c r="M139">
        <f>SEM!N139</f>
        <v>13.3</v>
      </c>
      <c r="O139">
        <f>ABS(L139-SEM!$C$34)</f>
        <v>6.6792414990086222</v>
      </c>
      <c r="P139">
        <f t="shared" si="3"/>
        <v>13.3</v>
      </c>
    </row>
    <row r="140" spans="10:16">
      <c r="J140" s="5"/>
      <c r="L140">
        <f>SEM!M140</f>
        <v>-1.0771440000000001</v>
      </c>
      <c r="M140">
        <f>SEM!N140</f>
        <v>13.4</v>
      </c>
      <c r="O140">
        <f>ABS(L140-SEM!$C$34)</f>
        <v>6.6809878520086219</v>
      </c>
      <c r="P140">
        <f t="shared" si="3"/>
        <v>13.4</v>
      </c>
    </row>
    <row r="141" spans="10:16">
      <c r="J141" s="5"/>
      <c r="L141">
        <f>SEM!M141</f>
        <v>-1.0771440000000001</v>
      </c>
      <c r="M141">
        <f>SEM!N141</f>
        <v>13.5</v>
      </c>
      <c r="O141">
        <f>ABS(L141-SEM!$C$34)</f>
        <v>6.6809878520086219</v>
      </c>
      <c r="P141">
        <f t="shared" si="3"/>
        <v>13.5</v>
      </c>
    </row>
    <row r="142" spans="10:16">
      <c r="J142" s="5"/>
      <c r="L142">
        <f>SEM!M142</f>
        <v>-1.0771440000000001</v>
      </c>
      <c r="M142">
        <f>SEM!N142</f>
        <v>13.6</v>
      </c>
      <c r="O142">
        <f>ABS(L142-SEM!$C$34)</f>
        <v>6.6809878520086219</v>
      </c>
      <c r="P142">
        <f t="shared" si="3"/>
        <v>13.6</v>
      </c>
    </row>
    <row r="143" spans="10:16">
      <c r="J143" s="5"/>
      <c r="L143">
        <f>SEM!M143</f>
        <v>-1.076445477</v>
      </c>
      <c r="M143">
        <f>SEM!N143</f>
        <v>13.7</v>
      </c>
      <c r="O143">
        <f>ABS(L143-SEM!$C$34)</f>
        <v>6.6816863750086224</v>
      </c>
      <c r="P143">
        <f t="shared" si="3"/>
        <v>13.7</v>
      </c>
    </row>
    <row r="144" spans="10:16">
      <c r="J144" s="5"/>
      <c r="L144">
        <f>SEM!M144</f>
        <v>-1.0736272979999999</v>
      </c>
      <c r="M144">
        <f>SEM!N144</f>
        <v>13.8</v>
      </c>
      <c r="O144">
        <f>ABS(L144-SEM!$C$34)</f>
        <v>6.6845045540086225</v>
      </c>
      <c r="P144">
        <f t="shared" si="3"/>
        <v>13.8</v>
      </c>
    </row>
    <row r="145" spans="10:16">
      <c r="J145" s="5"/>
      <c r="L145">
        <f>SEM!M145</f>
        <v>-1.070809119</v>
      </c>
      <c r="M145">
        <f>SEM!N145</f>
        <v>13.9</v>
      </c>
      <c r="O145">
        <f>ABS(L145-SEM!$C$34)</f>
        <v>6.6873227330086227</v>
      </c>
      <c r="P145">
        <f t="shared" si="3"/>
        <v>13.9</v>
      </c>
    </row>
    <row r="146" spans="10:16">
      <c r="J146" s="5"/>
      <c r="L146">
        <f>SEM!M146</f>
        <v>-1.06721058</v>
      </c>
      <c r="M146">
        <f>SEM!N146</f>
        <v>14</v>
      </c>
      <c r="O146">
        <f>ABS(L146-SEM!$C$34)</f>
        <v>6.6909212720086222</v>
      </c>
      <c r="P146">
        <f t="shared" si="3"/>
        <v>14</v>
      </c>
    </row>
    <row r="147" spans="10:16">
      <c r="J147" s="5"/>
      <c r="L147">
        <f>SEM!M147</f>
        <v>-1.0624359269999999</v>
      </c>
      <c r="M147">
        <f>SEM!N147</f>
        <v>14.1</v>
      </c>
      <c r="O147">
        <f>ABS(L147-SEM!$C$34)</f>
        <v>6.6956959250086223</v>
      </c>
      <c r="P147">
        <f t="shared" si="3"/>
        <v>14.1</v>
      </c>
    </row>
    <row r="148" spans="10:16">
      <c r="J148" s="5"/>
      <c r="L148">
        <f>SEM!M148</f>
        <v>-1.057661274</v>
      </c>
      <c r="M148">
        <f>SEM!N148</f>
        <v>14.2</v>
      </c>
      <c r="O148">
        <f>ABS(L148-SEM!$C$34)</f>
        <v>6.7004705780086224</v>
      </c>
      <c r="P148">
        <f t="shared" si="3"/>
        <v>14.2</v>
      </c>
    </row>
    <row r="149" spans="10:16">
      <c r="J149" s="5"/>
      <c r="L149">
        <f>SEM!M149</f>
        <v>-1.0524373170000001</v>
      </c>
      <c r="M149">
        <f>SEM!N149</f>
        <v>14.3</v>
      </c>
      <c r="O149">
        <f>ABS(L149-SEM!$C$34)</f>
        <v>6.7056945350086226</v>
      </c>
      <c r="P149">
        <f t="shared" si="3"/>
        <v>14.3</v>
      </c>
    </row>
    <row r="150" spans="10:16">
      <c r="J150" s="5"/>
      <c r="L150">
        <f>SEM!M150</f>
        <v>-1.046845536</v>
      </c>
      <c r="M150">
        <f>SEM!N150</f>
        <v>14.4</v>
      </c>
      <c r="O150">
        <f>ABS(L150-SEM!$C$34)</f>
        <v>6.7112863160086222</v>
      </c>
      <c r="P150">
        <f t="shared" si="3"/>
        <v>14.4</v>
      </c>
    </row>
    <row r="151" spans="10:16">
      <c r="J151" s="5"/>
      <c r="L151">
        <f>SEM!M151</f>
        <v>-1.0412537550000001</v>
      </c>
      <c r="M151">
        <f>SEM!N151</f>
        <v>14.5</v>
      </c>
      <c r="O151">
        <f>ABS(L151-SEM!$C$34)</f>
        <v>6.7168780970086228</v>
      </c>
      <c r="P151">
        <f t="shared" si="3"/>
        <v>14.5</v>
      </c>
    </row>
    <row r="152" spans="10:16">
      <c r="J152" s="5"/>
      <c r="L152">
        <f>SEM!M152</f>
        <v>-1.0368703260000001</v>
      </c>
      <c r="M152">
        <f>SEM!N152</f>
        <v>14.6</v>
      </c>
      <c r="O152">
        <f>ABS(L152-SEM!$C$34)</f>
        <v>6.7212615260086226</v>
      </c>
      <c r="P152">
        <f t="shared" si="3"/>
        <v>14.6</v>
      </c>
    </row>
    <row r="153" spans="10:16">
      <c r="J153" s="5"/>
      <c r="L153">
        <f>SEM!M153</f>
        <v>-1.0330026569999999</v>
      </c>
      <c r="M153">
        <f>SEM!N153</f>
        <v>14.7</v>
      </c>
      <c r="O153">
        <f>ABS(L153-SEM!$C$34)</f>
        <v>6.7251291950086225</v>
      </c>
      <c r="P153">
        <f t="shared" si="3"/>
        <v>14.7</v>
      </c>
    </row>
    <row r="154" spans="10:16">
      <c r="J154" s="5"/>
      <c r="L154">
        <f>SEM!M154</f>
        <v>-1.029134988</v>
      </c>
      <c r="M154">
        <f>SEM!N154</f>
        <v>14.8</v>
      </c>
      <c r="O154">
        <f>ABS(L154-SEM!$C$34)</f>
        <v>6.7289968640086224</v>
      </c>
      <c r="P154">
        <f t="shared" si="3"/>
        <v>14.8</v>
      </c>
    </row>
    <row r="155" spans="10:16">
      <c r="J155" s="5"/>
      <c r="L155">
        <f>SEM!M155</f>
        <v>-1.0274703510000001</v>
      </c>
      <c r="M155">
        <f>SEM!N155</f>
        <v>14.9</v>
      </c>
      <c r="O155">
        <f>ABS(L155-SEM!$C$34)</f>
        <v>6.7306615010086226</v>
      </c>
      <c r="P155">
        <f t="shared" si="3"/>
        <v>14.9</v>
      </c>
    </row>
    <row r="156" spans="10:16">
      <c r="J156" s="5"/>
      <c r="L156">
        <f>SEM!M156</f>
        <v>-1.02618885</v>
      </c>
      <c r="M156">
        <f>SEM!N156</f>
        <v>15</v>
      </c>
      <c r="O156">
        <f>ABS(L156-SEM!$C$34)</f>
        <v>6.7319430020086219</v>
      </c>
      <c r="P156">
        <f t="shared" si="3"/>
        <v>15</v>
      </c>
    </row>
    <row r="157" spans="10:16">
      <c r="J157" s="5"/>
      <c r="L157">
        <f>SEM!M157</f>
        <v>-1.024910274</v>
      </c>
      <c r="M157">
        <f>SEM!N157</f>
        <v>15.1</v>
      </c>
      <c r="O157">
        <f>ABS(L157-SEM!$C$34)</f>
        <v>6.7332215780086226</v>
      </c>
      <c r="P157">
        <f t="shared" si="3"/>
        <v>15.1</v>
      </c>
    </row>
    <row r="158" spans="10:16">
      <c r="J158" s="5"/>
      <c r="L158">
        <f>SEM!M158</f>
        <v>-1.0246554480000001</v>
      </c>
      <c r="M158">
        <f>SEM!N158</f>
        <v>15.2</v>
      </c>
      <c r="O158">
        <f>ABS(L158-SEM!$C$34)</f>
        <v>6.7334764040086226</v>
      </c>
      <c r="P158">
        <f t="shared" si="3"/>
        <v>15.2</v>
      </c>
    </row>
    <row r="159" spans="10:16">
      <c r="J159" s="5"/>
      <c r="L159">
        <f>SEM!M159</f>
        <v>-1.0244006219999999</v>
      </c>
      <c r="M159">
        <f>SEM!N159</f>
        <v>15.3</v>
      </c>
      <c r="O159">
        <f>ABS(L159-SEM!$C$34)</f>
        <v>6.7337312300086225</v>
      </c>
      <c r="P159">
        <f t="shared" si="3"/>
        <v>15.3</v>
      </c>
    </row>
    <row r="160" spans="10:16">
      <c r="J160" s="5"/>
      <c r="L160">
        <f>SEM!M160</f>
        <v>-1.023088314</v>
      </c>
      <c r="M160">
        <f>SEM!N160</f>
        <v>15.4</v>
      </c>
      <c r="O160">
        <f>ABS(L160-SEM!$C$34)</f>
        <v>6.7350435380086227</v>
      </c>
      <c r="P160">
        <f t="shared" si="3"/>
        <v>15.4</v>
      </c>
    </row>
    <row r="161" spans="10:16">
      <c r="J161" s="5"/>
      <c r="L161">
        <f>SEM!M161</f>
        <v>-1.015959855</v>
      </c>
      <c r="M161">
        <f>SEM!N161</f>
        <v>15.5</v>
      </c>
      <c r="O161">
        <f>ABS(L161-SEM!$C$34)</f>
        <v>6.7421719970086222</v>
      </c>
      <c r="P161">
        <f t="shared" si="3"/>
        <v>15.5</v>
      </c>
    </row>
    <row r="162" spans="10:16">
      <c r="J162" s="5"/>
      <c r="L162">
        <f>SEM!M162</f>
        <v>-1.0088313959999999</v>
      </c>
      <c r="M162">
        <f>SEM!N162</f>
        <v>15.6</v>
      </c>
      <c r="O162">
        <f>ABS(L162-SEM!$C$34)</f>
        <v>6.7493004560086227</v>
      </c>
      <c r="P162">
        <f t="shared" si="3"/>
        <v>15.6</v>
      </c>
    </row>
    <row r="163" spans="10:16">
      <c r="J163" s="5"/>
      <c r="L163">
        <f>SEM!M163</f>
        <v>-1.0036840419999999</v>
      </c>
      <c r="M163">
        <f>SEM!N163</f>
        <v>15.7</v>
      </c>
      <c r="O163">
        <f>ABS(L163-SEM!$C$34)</f>
        <v>6.7544478100086227</v>
      </c>
      <c r="P163">
        <f t="shared" si="3"/>
        <v>15.7</v>
      </c>
    </row>
    <row r="164" spans="10:16">
      <c r="J164" s="5"/>
      <c r="L164">
        <f>SEM!M164</f>
        <v>-1.003054348</v>
      </c>
      <c r="M164">
        <f>SEM!N164</f>
        <v>15.8</v>
      </c>
      <c r="O164">
        <f>ABS(L164-SEM!$C$34)</f>
        <v>6.7550775040086224</v>
      </c>
      <c r="P164">
        <f t="shared" si="3"/>
        <v>15.8</v>
      </c>
    </row>
    <row r="165" spans="10:16">
      <c r="J165" s="5"/>
      <c r="L165">
        <f>SEM!M165</f>
        <v>-1.0024246539999999</v>
      </c>
      <c r="M165">
        <f>SEM!N165</f>
        <v>15.9</v>
      </c>
      <c r="O165">
        <f>ABS(L165-SEM!$C$34)</f>
        <v>6.7557071980086221</v>
      </c>
      <c r="P165">
        <f t="shared" si="3"/>
        <v>15.9</v>
      </c>
    </row>
    <row r="166" spans="10:16">
      <c r="J166" s="5"/>
      <c r="L166">
        <f>SEM!M166</f>
        <v>-1.00178488</v>
      </c>
      <c r="M166">
        <f>SEM!N166</f>
        <v>16</v>
      </c>
      <c r="O166">
        <f>ABS(L166-SEM!$C$34)</f>
        <v>6.7563469720086227</v>
      </c>
      <c r="P166">
        <f t="shared" si="3"/>
        <v>16</v>
      </c>
    </row>
    <row r="167" spans="10:16">
      <c r="J167" s="5"/>
      <c r="L167">
        <f>SEM!M167</f>
        <v>-1.0011330730000001</v>
      </c>
      <c r="M167">
        <f>SEM!N167</f>
        <v>16.100000000000001</v>
      </c>
      <c r="O167">
        <f>ABS(L167-SEM!$C$34)</f>
        <v>6.7569987790086223</v>
      </c>
      <c r="P167">
        <f t="shared" si="3"/>
        <v>16.100000000000001</v>
      </c>
    </row>
    <row r="168" spans="10:16">
      <c r="J168" s="5"/>
      <c r="L168">
        <f>SEM!M168</f>
        <v>-1.000481266</v>
      </c>
      <c r="M168">
        <f>SEM!N168</f>
        <v>16.2</v>
      </c>
      <c r="O168">
        <f>ABS(L168-SEM!$C$34)</f>
        <v>6.7576505860086229</v>
      </c>
      <c r="P168">
        <f t="shared" si="3"/>
        <v>16.2</v>
      </c>
    </row>
    <row r="169" spans="10:16">
      <c r="J169" s="5"/>
      <c r="L169">
        <f>SEM!M169</f>
        <v>-0.99967439499999999</v>
      </c>
      <c r="M169">
        <f>SEM!N169</f>
        <v>16.3</v>
      </c>
      <c r="O169">
        <f>ABS(L169-SEM!$C$34)</f>
        <v>6.7584574570086229</v>
      </c>
      <c r="P169">
        <f t="shared" si="3"/>
        <v>16.3</v>
      </c>
    </row>
    <row r="170" spans="10:16">
      <c r="J170" s="5"/>
      <c r="L170">
        <f>SEM!M170</f>
        <v>-0.99876706000000004</v>
      </c>
      <c r="M170">
        <f>SEM!N170</f>
        <v>16.399999999999999</v>
      </c>
      <c r="O170">
        <f>ABS(L170-SEM!$C$34)</f>
        <v>6.7593647920086219</v>
      </c>
      <c r="P170">
        <f t="shared" si="3"/>
        <v>16.399999999999999</v>
      </c>
    </row>
    <row r="171" spans="10:16">
      <c r="J171" s="5"/>
      <c r="L171">
        <f>SEM!M171</f>
        <v>-0.99785972499999998</v>
      </c>
      <c r="M171">
        <f>SEM!N171</f>
        <v>16.5</v>
      </c>
      <c r="O171">
        <f>ABS(L171-SEM!$C$34)</f>
        <v>6.7602721270086228</v>
      </c>
      <c r="P171">
        <f t="shared" si="3"/>
        <v>16.5</v>
      </c>
    </row>
    <row r="172" spans="10:16">
      <c r="J172" s="5"/>
      <c r="L172">
        <f>SEM!M172</f>
        <v>-0.99225509599999995</v>
      </c>
      <c r="M172">
        <f>SEM!N172</f>
        <v>16.600000000000001</v>
      </c>
      <c r="O172">
        <f>ABS(L172-SEM!$C$34)</f>
        <v>6.7658767560086224</v>
      </c>
      <c r="P172">
        <f t="shared" si="3"/>
        <v>16.600000000000001</v>
      </c>
    </row>
    <row r="173" spans="10:16">
      <c r="J173" s="5"/>
      <c r="L173">
        <f>SEM!M173</f>
        <v>-0.98514945200000004</v>
      </c>
      <c r="M173">
        <f>SEM!N173</f>
        <v>16.7</v>
      </c>
      <c r="O173">
        <f>ABS(L173-SEM!$C$34)</f>
        <v>6.7729824000086225</v>
      </c>
      <c r="P173">
        <f t="shared" si="3"/>
        <v>16.7</v>
      </c>
    </row>
    <row r="174" spans="10:16">
      <c r="J174" s="5"/>
      <c r="L174">
        <f>SEM!M174</f>
        <v>-0.97804380800000001</v>
      </c>
      <c r="M174">
        <f>SEM!N174</f>
        <v>16.8</v>
      </c>
      <c r="O174">
        <f>ABS(L174-SEM!$C$34)</f>
        <v>6.7800880440086226</v>
      </c>
      <c r="P174">
        <f t="shared" si="3"/>
        <v>16.8</v>
      </c>
    </row>
    <row r="175" spans="10:16">
      <c r="J175" s="5"/>
      <c r="L175">
        <f>SEM!M175</f>
        <v>-0.97682403299999998</v>
      </c>
      <c r="M175">
        <f>SEM!N175</f>
        <v>16.899999999999999</v>
      </c>
      <c r="O175">
        <f>ABS(L175-SEM!$C$34)</f>
        <v>6.7813078190086227</v>
      </c>
      <c r="P175">
        <f t="shared" si="3"/>
        <v>16.899999999999999</v>
      </c>
    </row>
    <row r="176" spans="10:16">
      <c r="J176" s="5"/>
      <c r="L176">
        <f>SEM!M176</f>
        <v>-0.97619469000000003</v>
      </c>
      <c r="M176">
        <f>SEM!N176</f>
        <v>17</v>
      </c>
      <c r="O176">
        <f>ABS(L176-SEM!$C$34)</f>
        <v>6.7819371620086226</v>
      </c>
      <c r="P176">
        <f t="shared" si="3"/>
        <v>17</v>
      </c>
    </row>
    <row r="177" spans="10:16">
      <c r="J177" s="5"/>
      <c r="L177">
        <f>SEM!M177</f>
        <v>-0.97548731099999997</v>
      </c>
      <c r="M177">
        <f>SEM!N177</f>
        <v>17.100000000000001</v>
      </c>
      <c r="O177">
        <f>ABS(L177-SEM!$C$34)</f>
        <v>6.7826445410086222</v>
      </c>
      <c r="P177">
        <f t="shared" si="3"/>
        <v>17.100000000000001</v>
      </c>
    </row>
    <row r="178" spans="10:16">
      <c r="J178" s="5"/>
      <c r="L178">
        <f>SEM!M178</f>
        <v>-0.97355365199999999</v>
      </c>
      <c r="M178">
        <f>SEM!N178</f>
        <v>17.2</v>
      </c>
      <c r="O178">
        <f>ABS(L178-SEM!$C$34)</f>
        <v>6.7845782000086228</v>
      </c>
      <c r="P178">
        <f t="shared" si="3"/>
        <v>17.2</v>
      </c>
    </row>
    <row r="179" spans="10:16">
      <c r="J179" s="5"/>
      <c r="L179">
        <f>SEM!M179</f>
        <v>-0.97161999300000002</v>
      </c>
      <c r="M179">
        <f>SEM!N179</f>
        <v>17.3</v>
      </c>
      <c r="O179">
        <f>ABS(L179-SEM!$C$34)</f>
        <v>6.7865118590086224</v>
      </c>
      <c r="P179">
        <f t="shared" si="3"/>
        <v>17.3</v>
      </c>
    </row>
    <row r="180" spans="10:16">
      <c r="J180" s="5"/>
      <c r="L180">
        <f>SEM!M180</f>
        <v>-0.96913629199999995</v>
      </c>
      <c r="M180">
        <f>SEM!N180</f>
        <v>17.399999999999999</v>
      </c>
      <c r="O180">
        <f>ABS(L180-SEM!$C$34)</f>
        <v>6.7889955600086225</v>
      </c>
      <c r="P180">
        <f t="shared" si="3"/>
        <v>17.399999999999999</v>
      </c>
    </row>
    <row r="181" spans="10:16">
      <c r="J181" s="5"/>
      <c r="L181">
        <f>SEM!M181</f>
        <v>-0.96459364999999997</v>
      </c>
      <c r="M181">
        <f>SEM!N181</f>
        <v>17.5</v>
      </c>
      <c r="O181">
        <f>ABS(L181-SEM!$C$34)</f>
        <v>6.7935382020086221</v>
      </c>
      <c r="P181">
        <f t="shared" si="3"/>
        <v>17.5</v>
      </c>
    </row>
    <row r="182" spans="10:16">
      <c r="J182" s="5"/>
      <c r="L182">
        <f>SEM!M182</f>
        <v>-0.96005100799999998</v>
      </c>
      <c r="M182">
        <f>SEM!N182</f>
        <v>17.600000000000001</v>
      </c>
      <c r="O182">
        <f>ABS(L182-SEM!$C$34)</f>
        <v>6.7980808440086227</v>
      </c>
      <c r="P182">
        <f t="shared" si="3"/>
        <v>17.600000000000001</v>
      </c>
    </row>
    <row r="183" spans="10:16">
      <c r="J183" s="5"/>
      <c r="L183">
        <f>SEM!M183</f>
        <v>-0.95575258699999999</v>
      </c>
      <c r="M183">
        <f>SEM!N183</f>
        <v>17.7</v>
      </c>
      <c r="O183">
        <f>ABS(L183-SEM!$C$34)</f>
        <v>6.8023792650086223</v>
      </c>
      <c r="P183">
        <f t="shared" si="3"/>
        <v>17.7</v>
      </c>
    </row>
    <row r="184" spans="10:16">
      <c r="J184" s="5"/>
      <c r="L184">
        <f>SEM!M184</f>
        <v>-0.95188491799999997</v>
      </c>
      <c r="M184">
        <f>SEM!N184</f>
        <v>17.8</v>
      </c>
      <c r="O184">
        <f>ABS(L184-SEM!$C$34)</f>
        <v>6.8062469340086222</v>
      </c>
      <c r="P184">
        <f t="shared" si="3"/>
        <v>17.8</v>
      </c>
    </row>
    <row r="185" spans="10:16">
      <c r="J185" s="5"/>
      <c r="L185">
        <f>SEM!M185</f>
        <v>-0.94801724899999995</v>
      </c>
      <c r="M185">
        <f>SEM!N185</f>
        <v>17.899999999999999</v>
      </c>
      <c r="O185">
        <f>ABS(L185-SEM!$C$34)</f>
        <v>6.8101146030086221</v>
      </c>
      <c r="P185">
        <f t="shared" si="3"/>
        <v>17.899999999999999</v>
      </c>
    </row>
    <row r="186" spans="10:16">
      <c r="J186" s="5"/>
      <c r="L186">
        <f>SEM!M186</f>
        <v>-0.94566788000000002</v>
      </c>
      <c r="M186">
        <f>SEM!N186</f>
        <v>18</v>
      </c>
      <c r="O186">
        <f>ABS(L186-SEM!$C$34)</f>
        <v>6.8124639720086222</v>
      </c>
      <c r="P186">
        <f t="shared" si="3"/>
        <v>18</v>
      </c>
    </row>
    <row r="187" spans="10:16">
      <c r="J187" s="5"/>
      <c r="L187">
        <f>SEM!M187</f>
        <v>-0.94476089600000002</v>
      </c>
      <c r="M187">
        <f>SEM!N187</f>
        <v>18.100000000000001</v>
      </c>
      <c r="O187">
        <f>ABS(L187-SEM!$C$34)</f>
        <v>6.8133709560086224</v>
      </c>
      <c r="P187">
        <f t="shared" si="3"/>
        <v>18.100000000000001</v>
      </c>
    </row>
    <row r="188" spans="10:16">
      <c r="J188" s="5"/>
      <c r="L188">
        <f>SEM!M188</f>
        <v>-0.94385391200000002</v>
      </c>
      <c r="M188">
        <f>SEM!N188</f>
        <v>18.2</v>
      </c>
      <c r="O188">
        <f>ABS(L188-SEM!$C$34)</f>
        <v>6.8142779400086226</v>
      </c>
      <c r="P188">
        <f t="shared" si="3"/>
        <v>18.2</v>
      </c>
    </row>
    <row r="189" spans="10:16">
      <c r="J189" s="5"/>
      <c r="L189">
        <f>SEM!M189</f>
        <v>-0.94328524400000002</v>
      </c>
      <c r="M189">
        <f>SEM!N189</f>
        <v>18.3</v>
      </c>
      <c r="O189">
        <f>ABS(L189-SEM!$C$34)</f>
        <v>6.8148466080086223</v>
      </c>
      <c r="P189">
        <f t="shared" si="3"/>
        <v>18.3</v>
      </c>
    </row>
    <row r="190" spans="10:16">
      <c r="J190" s="5"/>
      <c r="L190">
        <f>SEM!M190</f>
        <v>-0.94288791199999999</v>
      </c>
      <c r="M190">
        <f>SEM!N190</f>
        <v>18.399999999999999</v>
      </c>
      <c r="O190">
        <f>ABS(L190-SEM!$C$34)</f>
        <v>6.8152439400086227</v>
      </c>
      <c r="P190">
        <f t="shared" si="3"/>
        <v>18.399999999999999</v>
      </c>
    </row>
    <row r="191" spans="10:16">
      <c r="J191" s="5"/>
      <c r="L191">
        <f>SEM!M191</f>
        <v>-0.94249057999999997</v>
      </c>
      <c r="M191">
        <f>SEM!N191</f>
        <v>18.5</v>
      </c>
      <c r="O191">
        <f>ABS(L191-SEM!$C$34)</f>
        <v>6.8156412720086221</v>
      </c>
      <c r="P191">
        <f t="shared" si="3"/>
        <v>18.5</v>
      </c>
    </row>
    <row r="192" spans="10:16">
      <c r="J192" s="5"/>
      <c r="L192">
        <f>SEM!M192</f>
        <v>-0.94116517799999999</v>
      </c>
      <c r="M192">
        <f>SEM!N192</f>
        <v>18.600000000000001</v>
      </c>
      <c r="O192">
        <f>ABS(L192-SEM!$C$34)</f>
        <v>6.8169666740086221</v>
      </c>
      <c r="P192">
        <f t="shared" si="3"/>
        <v>18.600000000000001</v>
      </c>
    </row>
    <row r="193" spans="10:16">
      <c r="J193" s="5"/>
      <c r="L193">
        <f>SEM!M193</f>
        <v>-0.93962885100000004</v>
      </c>
      <c r="M193">
        <f>SEM!N193</f>
        <v>18.7</v>
      </c>
      <c r="O193">
        <f>ABS(L193-SEM!$C$34)</f>
        <v>6.8185030010086223</v>
      </c>
      <c r="P193">
        <f t="shared" si="3"/>
        <v>18.7</v>
      </c>
    </row>
    <row r="194" spans="10:16">
      <c r="J194" s="5"/>
      <c r="L194">
        <f>SEM!M194</f>
        <v>-0.93809252399999998</v>
      </c>
      <c r="M194">
        <f>SEM!N194</f>
        <v>18.8</v>
      </c>
      <c r="O194">
        <f>ABS(L194-SEM!$C$34)</f>
        <v>6.8200393280086224</v>
      </c>
      <c r="P194">
        <f t="shared" si="3"/>
        <v>18.8</v>
      </c>
    </row>
    <row r="195" spans="10:16">
      <c r="J195" s="5"/>
      <c r="L195">
        <f>SEM!M195</f>
        <v>-0.93617244899999996</v>
      </c>
      <c r="M195">
        <f>SEM!N195</f>
        <v>18.899999999999999</v>
      </c>
      <c r="O195">
        <f>ABS(L195-SEM!$C$34)</f>
        <v>6.8219594030086226</v>
      </c>
      <c r="P195">
        <f t="shared" si="3"/>
        <v>18.899999999999999</v>
      </c>
    </row>
    <row r="196" spans="10:16">
      <c r="J196" s="5"/>
      <c r="L196">
        <f>SEM!M196</f>
        <v>-0.93423878999999999</v>
      </c>
      <c r="M196">
        <f>SEM!N196</f>
        <v>19</v>
      </c>
      <c r="O196">
        <f>ABS(L196-SEM!$C$34)</f>
        <v>6.8238930620086222</v>
      </c>
      <c r="P196">
        <f t="shared" si="3"/>
        <v>19</v>
      </c>
    </row>
    <row r="197" spans="10:16">
      <c r="J197" s="5"/>
      <c r="L197">
        <f>SEM!M197</f>
        <v>-0.932484588</v>
      </c>
      <c r="M197">
        <f>SEM!N197</f>
        <v>19.100000000000001</v>
      </c>
      <c r="O197">
        <f>ABS(L197-SEM!$C$34)</f>
        <v>6.8256472640086221</v>
      </c>
      <c r="P197">
        <f t="shared" si="3"/>
        <v>19.100000000000001</v>
      </c>
    </row>
    <row r="198" spans="10:16">
      <c r="J198" s="5"/>
      <c r="L198">
        <f>SEM!M198</f>
        <v>-0.93208725599999998</v>
      </c>
      <c r="M198">
        <f>SEM!N198</f>
        <v>19.2</v>
      </c>
      <c r="O198">
        <f>ABS(L198-SEM!$C$34)</f>
        <v>6.8260445960086225</v>
      </c>
      <c r="P198">
        <f t="shared" si="3"/>
        <v>19.2</v>
      </c>
    </row>
    <row r="199" spans="10:16">
      <c r="J199" s="5"/>
      <c r="L199">
        <f>SEM!M199</f>
        <v>-0.93168992399999995</v>
      </c>
      <c r="M199">
        <f>SEM!N199</f>
        <v>19.3</v>
      </c>
      <c r="O199">
        <f>ABS(L199-SEM!$C$34)</f>
        <v>6.8264419280086228</v>
      </c>
      <c r="P199">
        <f t="shared" ref="P199:P262" si="4">M199</f>
        <v>19.3</v>
      </c>
    </row>
    <row r="200" spans="10:16">
      <c r="J200" s="5"/>
      <c r="L200">
        <f>SEM!M200</f>
        <v>-0.92890987999999997</v>
      </c>
      <c r="M200">
        <f>SEM!N200</f>
        <v>19.399999999999999</v>
      </c>
      <c r="O200">
        <f>ABS(L200-SEM!$C$34)</f>
        <v>6.8292219720086225</v>
      </c>
      <c r="P200">
        <f t="shared" si="4"/>
        <v>19.399999999999999</v>
      </c>
    </row>
    <row r="201" spans="10:16">
      <c r="J201" s="5"/>
      <c r="L201">
        <f>SEM!M201</f>
        <v>-0.91961539999999997</v>
      </c>
      <c r="M201">
        <f>SEM!N201</f>
        <v>19.5</v>
      </c>
      <c r="O201">
        <f>ABS(L201-SEM!$C$34)</f>
        <v>6.8385164520086228</v>
      </c>
      <c r="P201">
        <f t="shared" si="4"/>
        <v>19.5</v>
      </c>
    </row>
    <row r="202" spans="10:16">
      <c r="J202" s="5"/>
      <c r="L202">
        <f>SEM!M202</f>
        <v>-0.91032091999999998</v>
      </c>
      <c r="M202">
        <f>SEM!N202</f>
        <v>19.600000000000001</v>
      </c>
      <c r="O202">
        <f>ABS(L202-SEM!$C$34)</f>
        <v>6.8478109320086222</v>
      </c>
      <c r="P202">
        <f t="shared" si="4"/>
        <v>19.600000000000001</v>
      </c>
    </row>
    <row r="203" spans="10:16">
      <c r="J203" s="5"/>
      <c r="L203">
        <f>SEM!M203</f>
        <v>-0.90409962200000005</v>
      </c>
      <c r="M203">
        <f>SEM!N203</f>
        <v>19.7</v>
      </c>
      <c r="O203">
        <f>ABS(L203-SEM!$C$34)</f>
        <v>6.8540322300086221</v>
      </c>
      <c r="P203">
        <f t="shared" si="4"/>
        <v>19.7</v>
      </c>
    </row>
    <row r="204" spans="10:16">
      <c r="J204" s="5"/>
      <c r="L204">
        <f>SEM!M204</f>
        <v>-0.90214314799999995</v>
      </c>
      <c r="M204">
        <f>SEM!N204</f>
        <v>19.8</v>
      </c>
      <c r="O204">
        <f>ABS(L204-SEM!$C$34)</f>
        <v>6.855988704008622</v>
      </c>
      <c r="P204">
        <f t="shared" si="4"/>
        <v>19.8</v>
      </c>
    </row>
    <row r="205" spans="10:16">
      <c r="J205" s="5"/>
      <c r="L205">
        <f>SEM!M205</f>
        <v>-0.90018667399999996</v>
      </c>
      <c r="M205">
        <f>SEM!N205</f>
        <v>19.899999999999999</v>
      </c>
      <c r="O205">
        <f>ABS(L205-SEM!$C$34)</f>
        <v>6.857945178008622</v>
      </c>
      <c r="P205">
        <f t="shared" si="4"/>
        <v>19.899999999999999</v>
      </c>
    </row>
    <row r="206" spans="10:16">
      <c r="J206" s="5"/>
      <c r="L206">
        <f>SEM!M206</f>
        <v>-0.89861480000000005</v>
      </c>
      <c r="M206">
        <f>SEM!N206</f>
        <v>20</v>
      </c>
      <c r="O206">
        <f>ABS(L206-SEM!$C$34)</f>
        <v>6.8595170520086226</v>
      </c>
      <c r="P206">
        <f t="shared" si="4"/>
        <v>20</v>
      </c>
    </row>
    <row r="207" spans="10:16">
      <c r="J207" s="5"/>
      <c r="L207">
        <f>SEM!M207</f>
        <v>-0.89733329900000003</v>
      </c>
      <c r="M207">
        <f>SEM!N207</f>
        <v>20.100000000000001</v>
      </c>
      <c r="O207">
        <f>ABS(L207-SEM!$C$34)</f>
        <v>6.8607985530086228</v>
      </c>
      <c r="P207">
        <f t="shared" si="4"/>
        <v>20.100000000000001</v>
      </c>
    </row>
    <row r="208" spans="10:16">
      <c r="J208" s="5"/>
      <c r="L208">
        <f>SEM!M208</f>
        <v>-0.89605179800000001</v>
      </c>
      <c r="M208">
        <f>SEM!N208</f>
        <v>20.2</v>
      </c>
      <c r="O208">
        <f>ABS(L208-SEM!$C$34)</f>
        <v>6.8620800540086222</v>
      </c>
      <c r="P208">
        <f t="shared" si="4"/>
        <v>20.2</v>
      </c>
    </row>
    <row r="209" spans="10:16">
      <c r="J209" s="5"/>
      <c r="L209">
        <f>SEM!M209</f>
        <v>-0.89382989599999996</v>
      </c>
      <c r="M209">
        <f>SEM!N209</f>
        <v>20.3</v>
      </c>
      <c r="O209">
        <f>ABS(L209-SEM!$C$34)</f>
        <v>6.8643019560086227</v>
      </c>
      <c r="P209">
        <f t="shared" si="4"/>
        <v>20.3</v>
      </c>
    </row>
    <row r="210" spans="10:16">
      <c r="J210" s="5"/>
      <c r="L210">
        <f>SEM!M210</f>
        <v>-0.89124372799999996</v>
      </c>
      <c r="M210">
        <f>SEM!N210</f>
        <v>20.399999999999999</v>
      </c>
      <c r="O210">
        <f>ABS(L210-SEM!$C$34)</f>
        <v>6.8668881240086224</v>
      </c>
      <c r="P210">
        <f t="shared" si="4"/>
        <v>20.399999999999999</v>
      </c>
    </row>
    <row r="211" spans="10:16">
      <c r="J211" s="5"/>
      <c r="L211">
        <f>SEM!M211</f>
        <v>-0.88865755999999996</v>
      </c>
      <c r="M211">
        <f>SEM!N211</f>
        <v>20.5</v>
      </c>
      <c r="O211">
        <f>ABS(L211-SEM!$C$34)</f>
        <v>6.869474292008622</v>
      </c>
      <c r="P211">
        <f t="shared" si="4"/>
        <v>20.5</v>
      </c>
    </row>
    <row r="212" spans="10:16">
      <c r="J212" s="5"/>
      <c r="L212">
        <f>SEM!M212</f>
        <v>-0.88664024600000002</v>
      </c>
      <c r="M212">
        <f>SEM!N212</f>
        <v>20.6</v>
      </c>
      <c r="O212">
        <f>ABS(L212-SEM!$C$34)</f>
        <v>6.8714916060086226</v>
      </c>
      <c r="P212">
        <f t="shared" si="4"/>
        <v>20.6</v>
      </c>
    </row>
    <row r="213" spans="10:16">
      <c r="J213" s="5"/>
      <c r="L213">
        <f>SEM!M213</f>
        <v>-0.88470658700000004</v>
      </c>
      <c r="M213">
        <f>SEM!N213</f>
        <v>20.7</v>
      </c>
      <c r="O213">
        <f>ABS(L213-SEM!$C$34)</f>
        <v>6.8734252650086223</v>
      </c>
      <c r="P213">
        <f t="shared" si="4"/>
        <v>20.7</v>
      </c>
    </row>
    <row r="214" spans="10:16">
      <c r="J214" s="5"/>
      <c r="L214">
        <f>SEM!M214</f>
        <v>-0.882663584</v>
      </c>
      <c r="M214">
        <f>SEM!N214</f>
        <v>20.8</v>
      </c>
      <c r="O214">
        <f>ABS(L214-SEM!$C$34)</f>
        <v>6.8754682680086221</v>
      </c>
      <c r="P214">
        <f t="shared" si="4"/>
        <v>20.8</v>
      </c>
    </row>
    <row r="215" spans="10:16">
      <c r="J215" s="5"/>
      <c r="L215">
        <f>SEM!M215</f>
        <v>-0.875932457</v>
      </c>
      <c r="M215">
        <f>SEM!N215</f>
        <v>20.9</v>
      </c>
      <c r="O215">
        <f>ABS(L215-SEM!$C$34)</f>
        <v>6.8821993950086222</v>
      </c>
      <c r="P215">
        <f t="shared" si="4"/>
        <v>20.9</v>
      </c>
    </row>
    <row r="216" spans="10:16">
      <c r="J216" s="5"/>
      <c r="L216">
        <f>SEM!M216</f>
        <v>-0.86920132999999999</v>
      </c>
      <c r="M216">
        <f>SEM!N216</f>
        <v>21</v>
      </c>
      <c r="O216">
        <f>ABS(L216-SEM!$C$34)</f>
        <v>6.8889305220086223</v>
      </c>
      <c r="P216">
        <f t="shared" si="4"/>
        <v>21</v>
      </c>
    </row>
    <row r="217" spans="10:16">
      <c r="J217" s="5"/>
      <c r="L217">
        <f>SEM!M217</f>
        <v>-0.86319451700000005</v>
      </c>
      <c r="M217">
        <f>SEM!N217</f>
        <v>21.1</v>
      </c>
      <c r="O217">
        <f>ABS(L217-SEM!$C$34)</f>
        <v>6.8949373350086223</v>
      </c>
      <c r="P217">
        <f t="shared" si="4"/>
        <v>21.1</v>
      </c>
    </row>
    <row r="218" spans="10:16">
      <c r="J218" s="5"/>
      <c r="L218">
        <f>SEM!M218</f>
        <v>-0.86063116399999995</v>
      </c>
      <c r="M218">
        <f>SEM!N218</f>
        <v>21.2</v>
      </c>
      <c r="O218">
        <f>ABS(L218-SEM!$C$34)</f>
        <v>6.8975006880086225</v>
      </c>
      <c r="P218">
        <f t="shared" si="4"/>
        <v>21.2</v>
      </c>
    </row>
    <row r="219" spans="10:16">
      <c r="J219" s="5"/>
      <c r="L219">
        <f>SEM!M219</f>
        <v>-0.85806781099999996</v>
      </c>
      <c r="M219">
        <f>SEM!N219</f>
        <v>21.3</v>
      </c>
      <c r="O219">
        <f>ABS(L219-SEM!$C$34)</f>
        <v>6.9000640410086227</v>
      </c>
      <c r="P219">
        <f t="shared" si="4"/>
        <v>21.3</v>
      </c>
    </row>
    <row r="220" spans="10:16">
      <c r="J220" s="5"/>
      <c r="L220">
        <f>SEM!M220</f>
        <v>-0.85633700000000001</v>
      </c>
      <c r="M220">
        <f>SEM!N220</f>
        <v>21.4</v>
      </c>
      <c r="O220">
        <f>ABS(L220-SEM!$C$34)</f>
        <v>6.9017948520086225</v>
      </c>
      <c r="P220">
        <f t="shared" si="4"/>
        <v>21.4</v>
      </c>
    </row>
    <row r="221" spans="10:16">
      <c r="J221" s="5"/>
      <c r="L221">
        <f>SEM!M221</f>
        <v>-0.85633700000000001</v>
      </c>
      <c r="M221">
        <f>SEM!N221</f>
        <v>21.5</v>
      </c>
      <c r="O221">
        <f>ABS(L221-SEM!$C$34)</f>
        <v>6.9017948520086225</v>
      </c>
      <c r="P221">
        <f t="shared" si="4"/>
        <v>21.5</v>
      </c>
    </row>
    <row r="222" spans="10:16">
      <c r="J222" s="5"/>
      <c r="L222">
        <f>SEM!M222</f>
        <v>-0.85633700000000001</v>
      </c>
      <c r="M222">
        <f>SEM!N222</f>
        <v>21.6</v>
      </c>
      <c r="O222">
        <f>ABS(L222-SEM!$C$34)</f>
        <v>6.9017948520086225</v>
      </c>
      <c r="P222">
        <f t="shared" si="4"/>
        <v>21.6</v>
      </c>
    </row>
    <row r="223" spans="10:16">
      <c r="J223" s="5"/>
      <c r="L223">
        <f>SEM!M223</f>
        <v>-0.85632631199999998</v>
      </c>
      <c r="M223">
        <f>SEM!N223</f>
        <v>21.7</v>
      </c>
      <c r="O223">
        <f>ABS(L223-SEM!$C$34)</f>
        <v>6.9018055400086222</v>
      </c>
      <c r="P223">
        <f t="shared" si="4"/>
        <v>21.7</v>
      </c>
    </row>
    <row r="224" spans="10:16">
      <c r="J224" s="5"/>
      <c r="L224">
        <f>SEM!M224</f>
        <v>-0.85630384800000003</v>
      </c>
      <c r="M224">
        <f>SEM!N224</f>
        <v>21.8</v>
      </c>
      <c r="O224">
        <f>ABS(L224-SEM!$C$34)</f>
        <v>6.9018280040086228</v>
      </c>
      <c r="P224">
        <f t="shared" si="4"/>
        <v>21.8</v>
      </c>
    </row>
    <row r="225" spans="10:16">
      <c r="J225" s="5"/>
      <c r="L225">
        <f>SEM!M225</f>
        <v>-0.85628138399999998</v>
      </c>
      <c r="M225">
        <f>SEM!N225</f>
        <v>21.9</v>
      </c>
      <c r="O225">
        <f>ABS(L225-SEM!$C$34)</f>
        <v>6.9018504680086226</v>
      </c>
      <c r="P225">
        <f t="shared" si="4"/>
        <v>21.9</v>
      </c>
    </row>
    <row r="226" spans="10:16">
      <c r="J226" s="5"/>
      <c r="L226">
        <f>SEM!M226</f>
        <v>-0.85546955999999996</v>
      </c>
      <c r="M226">
        <f>SEM!N226</f>
        <v>22</v>
      </c>
      <c r="O226">
        <f>ABS(L226-SEM!$C$34)</f>
        <v>6.9026622920086229</v>
      </c>
      <c r="P226">
        <f t="shared" si="4"/>
        <v>22</v>
      </c>
    </row>
    <row r="227" spans="10:16">
      <c r="J227" s="5"/>
      <c r="L227">
        <f>SEM!M227</f>
        <v>-0.85418770799999999</v>
      </c>
      <c r="M227">
        <f>SEM!N227</f>
        <v>22.1</v>
      </c>
      <c r="O227">
        <f>ABS(L227-SEM!$C$34)</f>
        <v>6.9039441440086229</v>
      </c>
      <c r="P227">
        <f t="shared" si="4"/>
        <v>22.1</v>
      </c>
    </row>
    <row r="228" spans="10:16">
      <c r="J228" s="5"/>
      <c r="L228">
        <f>SEM!M228</f>
        <v>-0.85290585600000002</v>
      </c>
      <c r="M228">
        <f>SEM!N228</f>
        <v>22.2</v>
      </c>
      <c r="O228">
        <f>ABS(L228-SEM!$C$34)</f>
        <v>6.9052259960086229</v>
      </c>
      <c r="P228">
        <f t="shared" si="4"/>
        <v>22.2</v>
      </c>
    </row>
    <row r="229" spans="10:16">
      <c r="J229" s="5"/>
      <c r="L229">
        <f>SEM!M229</f>
        <v>-0.84640670100000004</v>
      </c>
      <c r="M229">
        <f>SEM!N229</f>
        <v>22.3</v>
      </c>
      <c r="O229">
        <f>ABS(L229-SEM!$C$34)</f>
        <v>6.9117251510086222</v>
      </c>
      <c r="P229">
        <f t="shared" si="4"/>
        <v>22.3</v>
      </c>
    </row>
    <row r="230" spans="10:16">
      <c r="J230" s="5"/>
      <c r="L230">
        <f>SEM!M230</f>
        <v>-0.83841688800000003</v>
      </c>
      <c r="M230">
        <f>SEM!N230</f>
        <v>22.4</v>
      </c>
      <c r="O230">
        <f>ABS(L230-SEM!$C$34)</f>
        <v>6.9197149640086222</v>
      </c>
      <c r="P230">
        <f t="shared" si="4"/>
        <v>22.4</v>
      </c>
    </row>
    <row r="231" spans="10:16">
      <c r="J231" s="5"/>
      <c r="L231">
        <f>SEM!M231</f>
        <v>-0.83042707500000001</v>
      </c>
      <c r="M231">
        <f>SEM!N231</f>
        <v>22.5</v>
      </c>
      <c r="O231">
        <f>ABS(L231-SEM!$C$34)</f>
        <v>6.9277047770086222</v>
      </c>
      <c r="P231">
        <f t="shared" si="4"/>
        <v>22.5</v>
      </c>
    </row>
    <row r="232" spans="10:16">
      <c r="J232" s="5"/>
      <c r="L232">
        <f>SEM!M232</f>
        <v>-0.82806173999999999</v>
      </c>
      <c r="M232">
        <f>SEM!N232</f>
        <v>22.6</v>
      </c>
      <c r="O232">
        <f>ABS(L232-SEM!$C$34)</f>
        <v>6.9300701120086226</v>
      </c>
      <c r="P232">
        <f t="shared" si="4"/>
        <v>22.6</v>
      </c>
    </row>
    <row r="233" spans="10:16">
      <c r="J233" s="5"/>
      <c r="L233">
        <f>SEM!M233</f>
        <v>-0.82612772999999995</v>
      </c>
      <c r="M233">
        <f>SEM!N233</f>
        <v>22.7</v>
      </c>
      <c r="O233">
        <f>ABS(L233-SEM!$C$34)</f>
        <v>6.9320041220086228</v>
      </c>
      <c r="P233">
        <f t="shared" si="4"/>
        <v>22.7</v>
      </c>
    </row>
    <row r="234" spans="10:16">
      <c r="J234" s="5"/>
      <c r="L234">
        <f>SEM!M234</f>
        <v>-0.82434620800000002</v>
      </c>
      <c r="M234">
        <f>SEM!N234</f>
        <v>22.8</v>
      </c>
      <c r="O234">
        <f>ABS(L234-SEM!$C$34)</f>
        <v>6.9337856440086227</v>
      </c>
      <c r="P234">
        <f t="shared" si="4"/>
        <v>22.8</v>
      </c>
    </row>
    <row r="235" spans="10:16">
      <c r="J235" s="5"/>
      <c r="L235">
        <f>SEM!M235</f>
        <v>-0.82432374399999997</v>
      </c>
      <c r="M235">
        <f>SEM!N235</f>
        <v>22.9</v>
      </c>
      <c r="O235">
        <f>ABS(L235-SEM!$C$34)</f>
        <v>6.9338081080086225</v>
      </c>
      <c r="P235">
        <f t="shared" si="4"/>
        <v>22.9</v>
      </c>
    </row>
    <row r="236" spans="10:16">
      <c r="J236" s="5"/>
      <c r="L236">
        <f>SEM!M236</f>
        <v>-0.82430128000000003</v>
      </c>
      <c r="M236">
        <f>SEM!N236</f>
        <v>23</v>
      </c>
      <c r="O236">
        <f>ABS(L236-SEM!$C$34)</f>
        <v>6.9338305720086222</v>
      </c>
      <c r="P236">
        <f t="shared" si="4"/>
        <v>23</v>
      </c>
    </row>
    <row r="237" spans="10:16">
      <c r="J237" s="5"/>
      <c r="L237">
        <f>SEM!M237</f>
        <v>-0.82115497000000004</v>
      </c>
      <c r="M237">
        <f>SEM!N237</f>
        <v>23.1</v>
      </c>
      <c r="O237">
        <f>ABS(L237-SEM!$C$34)</f>
        <v>6.9369768820086222</v>
      </c>
      <c r="P237">
        <f t="shared" si="4"/>
        <v>23.1</v>
      </c>
    </row>
    <row r="238" spans="10:16">
      <c r="J238" s="5"/>
      <c r="L238">
        <f>SEM!M238</f>
        <v>-0.80759583999999995</v>
      </c>
      <c r="M238">
        <f>SEM!N238</f>
        <v>23.2</v>
      </c>
      <c r="O238">
        <f>ABS(L238-SEM!$C$34)</f>
        <v>6.9505360120086221</v>
      </c>
      <c r="P238">
        <f t="shared" si="4"/>
        <v>23.2</v>
      </c>
    </row>
    <row r="239" spans="10:16">
      <c r="J239" s="5"/>
      <c r="L239">
        <f>SEM!M239</f>
        <v>-0.79403670999999998</v>
      </c>
      <c r="M239">
        <f>SEM!N239</f>
        <v>23.3</v>
      </c>
      <c r="O239">
        <f>ABS(L239-SEM!$C$34)</f>
        <v>6.9640951420086221</v>
      </c>
      <c r="P239">
        <f t="shared" si="4"/>
        <v>23.3</v>
      </c>
    </row>
    <row r="240" spans="10:16">
      <c r="J240" s="5"/>
      <c r="L240">
        <f>SEM!M240</f>
        <v>-0.78505863799999998</v>
      </c>
      <c r="M240">
        <f>SEM!N240</f>
        <v>23.4</v>
      </c>
      <c r="O240">
        <f>ABS(L240-SEM!$C$34)</f>
        <v>6.9730732140086227</v>
      </c>
      <c r="P240">
        <f t="shared" si="4"/>
        <v>23.4</v>
      </c>
    </row>
    <row r="241" spans="10:16">
      <c r="J241" s="5"/>
      <c r="L241">
        <f>SEM!M241</f>
        <v>-0.78349914499999995</v>
      </c>
      <c r="M241">
        <f>SEM!N241</f>
        <v>23.5</v>
      </c>
      <c r="O241">
        <f>ABS(L241-SEM!$C$34)</f>
        <v>6.974632707008622</v>
      </c>
      <c r="P241">
        <f t="shared" si="4"/>
        <v>23.5</v>
      </c>
    </row>
    <row r="242" spans="10:16">
      <c r="J242" s="5"/>
      <c r="L242">
        <f>SEM!M242</f>
        <v>-0.78193965200000004</v>
      </c>
      <c r="M242">
        <f>SEM!N242</f>
        <v>23.6</v>
      </c>
      <c r="O242">
        <f>ABS(L242-SEM!$C$34)</f>
        <v>6.9761922000086223</v>
      </c>
      <c r="P242">
        <f t="shared" si="4"/>
        <v>23.6</v>
      </c>
    </row>
    <row r="243" spans="10:16">
      <c r="J243" s="5"/>
      <c r="L243">
        <f>SEM!M243</f>
        <v>-0.77777281799999998</v>
      </c>
      <c r="M243">
        <f>SEM!N243</f>
        <v>23.7</v>
      </c>
      <c r="O243">
        <f>ABS(L243-SEM!$C$34)</f>
        <v>6.9803590340086226</v>
      </c>
      <c r="P243">
        <f t="shared" si="4"/>
        <v>23.7</v>
      </c>
    </row>
    <row r="244" spans="10:16">
      <c r="J244" s="5"/>
      <c r="L244">
        <f>SEM!M244</f>
        <v>-0.77131933200000002</v>
      </c>
      <c r="M244">
        <f>SEM!N244</f>
        <v>23.8</v>
      </c>
      <c r="O244">
        <f>ABS(L244-SEM!$C$34)</f>
        <v>6.9868125200086224</v>
      </c>
      <c r="P244">
        <f t="shared" si="4"/>
        <v>23.8</v>
      </c>
    </row>
    <row r="245" spans="10:16">
      <c r="J245" s="5"/>
      <c r="L245">
        <f>SEM!M245</f>
        <v>-0.76486584599999996</v>
      </c>
      <c r="M245">
        <f>SEM!N245</f>
        <v>23.9</v>
      </c>
      <c r="O245">
        <f>ABS(L245-SEM!$C$34)</f>
        <v>6.9932660060086222</v>
      </c>
      <c r="P245">
        <f t="shared" si="4"/>
        <v>23.9</v>
      </c>
    </row>
    <row r="246" spans="10:16">
      <c r="J246" s="5"/>
      <c r="L246">
        <f>SEM!M246</f>
        <v>-0.76061100000000004</v>
      </c>
      <c r="M246">
        <f>SEM!N246</f>
        <v>24</v>
      </c>
      <c r="O246">
        <f>ABS(L246-SEM!$C$34)</f>
        <v>6.9975208520086225</v>
      </c>
      <c r="P246">
        <f t="shared" si="4"/>
        <v>24</v>
      </c>
    </row>
    <row r="247" spans="10:16">
      <c r="J247" s="5"/>
      <c r="L247">
        <f>SEM!M247</f>
        <v>-0.75737302500000003</v>
      </c>
      <c r="M247">
        <f>SEM!N247</f>
        <v>24.1</v>
      </c>
      <c r="O247">
        <f>ABS(L247-SEM!$C$34)</f>
        <v>7.0007588270086227</v>
      </c>
      <c r="P247">
        <f t="shared" si="4"/>
        <v>24.1</v>
      </c>
    </row>
    <row r="248" spans="10:16">
      <c r="J248" s="5"/>
      <c r="L248">
        <f>SEM!M248</f>
        <v>-0.75413505000000003</v>
      </c>
      <c r="M248">
        <f>SEM!N248</f>
        <v>24.2</v>
      </c>
      <c r="O248">
        <f>ABS(L248-SEM!$C$34)</f>
        <v>7.0039968020086221</v>
      </c>
      <c r="P248">
        <f t="shared" si="4"/>
        <v>24.2</v>
      </c>
    </row>
    <row r="249" spans="10:16">
      <c r="J249" s="5"/>
      <c r="L249">
        <f>SEM!M249</f>
        <v>-0.75360000000000005</v>
      </c>
      <c r="M249">
        <f>SEM!N249</f>
        <v>24.3</v>
      </c>
      <c r="O249">
        <f>ABS(L249-SEM!$C$34)</f>
        <v>7.0045318520086219</v>
      </c>
      <c r="P249">
        <f t="shared" si="4"/>
        <v>24.3</v>
      </c>
    </row>
    <row r="250" spans="10:16">
      <c r="J250" s="5"/>
      <c r="L250">
        <f>SEM!M250</f>
        <v>-0.75360000000000005</v>
      </c>
      <c r="M250">
        <f>SEM!N250</f>
        <v>24.4</v>
      </c>
      <c r="O250">
        <f>ABS(L250-SEM!$C$34)</f>
        <v>7.0045318520086219</v>
      </c>
      <c r="P250">
        <f t="shared" si="4"/>
        <v>24.4</v>
      </c>
    </row>
    <row r="251" spans="10:16">
      <c r="J251" s="5"/>
      <c r="L251">
        <f>SEM!M251</f>
        <v>-0.75360000000000005</v>
      </c>
      <c r="M251">
        <f>SEM!N251</f>
        <v>24.5</v>
      </c>
      <c r="O251">
        <f>ABS(L251-SEM!$C$34)</f>
        <v>7.0045318520086219</v>
      </c>
      <c r="P251">
        <f t="shared" si="4"/>
        <v>24.5</v>
      </c>
    </row>
    <row r="252" spans="10:16">
      <c r="J252" s="5"/>
      <c r="L252">
        <f>SEM!M252</f>
        <v>-0.752085212</v>
      </c>
      <c r="M252">
        <f>SEM!N252</f>
        <v>24.6</v>
      </c>
      <c r="O252">
        <f>ABS(L252-SEM!$C$34)</f>
        <v>7.0060466400086225</v>
      </c>
      <c r="P252">
        <f t="shared" si="4"/>
        <v>24.6</v>
      </c>
    </row>
    <row r="253" spans="10:16">
      <c r="J253" s="5"/>
      <c r="L253">
        <f>SEM!M253</f>
        <v>-0.75054853399999999</v>
      </c>
      <c r="M253">
        <f>SEM!N253</f>
        <v>24.7</v>
      </c>
      <c r="O253">
        <f>ABS(L253-SEM!$C$34)</f>
        <v>7.0075833180086224</v>
      </c>
      <c r="P253">
        <f t="shared" si="4"/>
        <v>24.7</v>
      </c>
    </row>
    <row r="254" spans="10:16">
      <c r="J254" s="5"/>
      <c r="L254">
        <f>SEM!M254</f>
        <v>-0.74789979200000001</v>
      </c>
      <c r="M254">
        <f>SEM!N254</f>
        <v>24.8</v>
      </c>
      <c r="O254">
        <f>ABS(L254-SEM!$C$34)</f>
        <v>7.0102320600086223</v>
      </c>
      <c r="P254">
        <f t="shared" si="4"/>
        <v>24.8</v>
      </c>
    </row>
    <row r="255" spans="10:16">
      <c r="J255" s="5"/>
      <c r="L255">
        <f>SEM!M255</f>
        <v>-0.73823114599999995</v>
      </c>
      <c r="M255">
        <f>SEM!N255</f>
        <v>24.9</v>
      </c>
      <c r="O255">
        <f>ABS(L255-SEM!$C$34)</f>
        <v>7.019900706008622</v>
      </c>
      <c r="P255">
        <f t="shared" si="4"/>
        <v>24.9</v>
      </c>
    </row>
    <row r="256" spans="10:16">
      <c r="J256" s="5"/>
      <c r="L256">
        <f>SEM!M256</f>
        <v>-0.7285625</v>
      </c>
      <c r="M256">
        <f>SEM!N256</f>
        <v>25</v>
      </c>
      <c r="O256">
        <f>ABS(L256-SEM!$C$34)</f>
        <v>7.0295693520086227</v>
      </c>
      <c r="P256">
        <f t="shared" si="4"/>
        <v>25</v>
      </c>
    </row>
    <row r="257" spans="10:16">
      <c r="J257" s="5"/>
      <c r="L257">
        <f>SEM!M257</f>
        <v>-0.72018119999999997</v>
      </c>
      <c r="M257">
        <f>SEM!N257</f>
        <v>25.1</v>
      </c>
      <c r="O257">
        <f>ABS(L257-SEM!$C$34)</f>
        <v>7.0379506520086226</v>
      </c>
      <c r="P257">
        <f t="shared" si="4"/>
        <v>25.1</v>
      </c>
    </row>
    <row r="258" spans="10:16">
      <c r="J258" s="5"/>
      <c r="L258">
        <f>SEM!M258</f>
        <v>-0.71498640000000002</v>
      </c>
      <c r="M258">
        <f>SEM!N258</f>
        <v>25.2</v>
      </c>
      <c r="O258">
        <f>ABS(L258-SEM!$C$34)</f>
        <v>7.0431454520086225</v>
      </c>
      <c r="P258">
        <f t="shared" si="4"/>
        <v>25.2</v>
      </c>
    </row>
    <row r="259" spans="10:16">
      <c r="J259" s="5"/>
      <c r="L259">
        <f>SEM!M259</f>
        <v>-0.70979159999999997</v>
      </c>
      <c r="M259">
        <f>SEM!N259</f>
        <v>25.3</v>
      </c>
      <c r="O259">
        <f>ABS(L259-SEM!$C$34)</f>
        <v>7.0483402520086225</v>
      </c>
      <c r="P259">
        <f t="shared" si="4"/>
        <v>25.3</v>
      </c>
    </row>
    <row r="260" spans="10:16">
      <c r="J260" s="5"/>
      <c r="L260">
        <f>SEM!M260</f>
        <v>-0.70354467200000004</v>
      </c>
      <c r="M260">
        <f>SEM!N260</f>
        <v>25.4</v>
      </c>
      <c r="O260">
        <f>ABS(L260-SEM!$C$34)</f>
        <v>7.0545871800086228</v>
      </c>
      <c r="P260">
        <f t="shared" si="4"/>
        <v>25.4</v>
      </c>
    </row>
    <row r="261" spans="10:16">
      <c r="J261" s="5"/>
      <c r="L261">
        <f>SEM!M261</f>
        <v>-0.69595183999999999</v>
      </c>
      <c r="M261">
        <f>SEM!N261</f>
        <v>25.5</v>
      </c>
      <c r="O261">
        <f>ABS(L261-SEM!$C$34)</f>
        <v>7.0621800120086222</v>
      </c>
      <c r="P261">
        <f t="shared" si="4"/>
        <v>25.5</v>
      </c>
    </row>
    <row r="262" spans="10:16">
      <c r="J262" s="5"/>
      <c r="L262">
        <f>SEM!M262</f>
        <v>-0.68835900800000005</v>
      </c>
      <c r="M262">
        <f>SEM!N262</f>
        <v>25.6</v>
      </c>
      <c r="O262">
        <f>ABS(L262-SEM!$C$34)</f>
        <v>7.0697728440086225</v>
      </c>
      <c r="P262">
        <f t="shared" si="4"/>
        <v>25.6</v>
      </c>
    </row>
    <row r="263" spans="10:16">
      <c r="J263" s="5"/>
      <c r="L263">
        <f>SEM!M263</f>
        <v>-0.68410363699999999</v>
      </c>
      <c r="M263">
        <f>SEM!N263</f>
        <v>25.7</v>
      </c>
      <c r="O263">
        <f>ABS(L263-SEM!$C$34)</f>
        <v>7.0740282150086227</v>
      </c>
      <c r="P263">
        <f t="shared" ref="P263:P326" si="5">M263</f>
        <v>25.7</v>
      </c>
    </row>
    <row r="264" spans="10:16">
      <c r="J264" s="5"/>
      <c r="L264">
        <f>SEM!M264</f>
        <v>-0.68216997800000001</v>
      </c>
      <c r="M264">
        <f>SEM!N264</f>
        <v>25.8</v>
      </c>
      <c r="O264">
        <f>ABS(L264-SEM!$C$34)</f>
        <v>7.0759618740086223</v>
      </c>
      <c r="P264">
        <f t="shared" si="5"/>
        <v>25.8</v>
      </c>
    </row>
    <row r="265" spans="10:16">
      <c r="J265" s="5"/>
      <c r="L265">
        <f>SEM!M265</f>
        <v>-0.68023631900000003</v>
      </c>
      <c r="M265">
        <f>SEM!N265</f>
        <v>25.9</v>
      </c>
      <c r="O265">
        <f>ABS(L265-SEM!$C$34)</f>
        <v>7.077895533008622</v>
      </c>
      <c r="P265">
        <f t="shared" si="5"/>
        <v>25.9</v>
      </c>
    </row>
    <row r="266" spans="10:16">
      <c r="J266" s="5"/>
      <c r="L266">
        <f>SEM!M266</f>
        <v>-0.67942404000000001</v>
      </c>
      <c r="M266">
        <f>SEM!N266</f>
        <v>26</v>
      </c>
      <c r="O266">
        <f>ABS(L266-SEM!$C$34)</f>
        <v>7.0787078120086226</v>
      </c>
      <c r="P266">
        <f t="shared" si="5"/>
        <v>26</v>
      </c>
    </row>
    <row r="267" spans="10:16">
      <c r="J267" s="5"/>
      <c r="L267">
        <f>SEM!M267</f>
        <v>-0.67900424400000003</v>
      </c>
      <c r="M267">
        <f>SEM!N267</f>
        <v>26.1</v>
      </c>
      <c r="O267">
        <f>ABS(L267-SEM!$C$34)</f>
        <v>7.0791276080086227</v>
      </c>
      <c r="P267">
        <f t="shared" si="5"/>
        <v>26.1</v>
      </c>
    </row>
    <row r="268" spans="10:16">
      <c r="J268" s="5"/>
      <c r="L268">
        <f>SEM!M268</f>
        <v>-0.67858444799999995</v>
      </c>
      <c r="M268">
        <f>SEM!N268</f>
        <v>26.2</v>
      </c>
      <c r="O268">
        <f>ABS(L268-SEM!$C$34)</f>
        <v>7.0795474040086228</v>
      </c>
      <c r="P268">
        <f t="shared" si="5"/>
        <v>26.2</v>
      </c>
    </row>
    <row r="269" spans="10:16">
      <c r="J269" s="5"/>
      <c r="L269">
        <f>SEM!M269</f>
        <v>-0.67220262799999997</v>
      </c>
      <c r="M269">
        <f>SEM!N269</f>
        <v>26.3</v>
      </c>
      <c r="O269">
        <f>ABS(L269-SEM!$C$34)</f>
        <v>7.0859292240086225</v>
      </c>
      <c r="P269">
        <f t="shared" si="5"/>
        <v>26.3</v>
      </c>
    </row>
    <row r="270" spans="10:16">
      <c r="J270" s="5"/>
      <c r="L270">
        <f>SEM!M270</f>
        <v>-0.66509698399999995</v>
      </c>
      <c r="M270">
        <f>SEM!N270</f>
        <v>26.4</v>
      </c>
      <c r="O270">
        <f>ABS(L270-SEM!$C$34)</f>
        <v>7.0930348680086226</v>
      </c>
      <c r="P270">
        <f t="shared" si="5"/>
        <v>26.4</v>
      </c>
    </row>
    <row r="271" spans="10:16">
      <c r="J271" s="5"/>
      <c r="L271">
        <f>SEM!M271</f>
        <v>-0.65820146000000002</v>
      </c>
      <c r="M271">
        <f>SEM!N271</f>
        <v>26.5</v>
      </c>
      <c r="O271">
        <f>ABS(L271-SEM!$C$34)</f>
        <v>7.0999303920086225</v>
      </c>
      <c r="P271">
        <f t="shared" si="5"/>
        <v>26.5</v>
      </c>
    </row>
    <row r="272" spans="10:16">
      <c r="J272" s="5"/>
      <c r="L272">
        <f>SEM!M272</f>
        <v>-0.65601262400000004</v>
      </c>
      <c r="M272">
        <f>SEM!N272</f>
        <v>26.6</v>
      </c>
      <c r="O272">
        <f>ABS(L272-SEM!$C$34)</f>
        <v>7.1021192280086227</v>
      </c>
      <c r="P272">
        <f t="shared" si="5"/>
        <v>26.6</v>
      </c>
    </row>
    <row r="273" spans="10:16">
      <c r="J273" s="5"/>
      <c r="L273">
        <f>SEM!M273</f>
        <v>-0.65382378799999996</v>
      </c>
      <c r="M273">
        <f>SEM!N273</f>
        <v>26.7</v>
      </c>
      <c r="O273">
        <f>ABS(L273-SEM!$C$34)</f>
        <v>7.104308064008622</v>
      </c>
      <c r="P273">
        <f t="shared" si="5"/>
        <v>26.7</v>
      </c>
    </row>
    <row r="274" spans="10:16">
      <c r="J274" s="5"/>
      <c r="L274">
        <f>SEM!M274</f>
        <v>-0.65186010000000005</v>
      </c>
      <c r="M274">
        <f>SEM!N274</f>
        <v>26.8</v>
      </c>
      <c r="O274">
        <f>ABS(L274-SEM!$C$34)</f>
        <v>7.106271752008622</v>
      </c>
      <c r="P274">
        <f t="shared" si="5"/>
        <v>26.8</v>
      </c>
    </row>
    <row r="275" spans="10:16">
      <c r="J275" s="5"/>
      <c r="L275">
        <f>SEM!M275</f>
        <v>-0.65083342499999997</v>
      </c>
      <c r="M275">
        <f>SEM!N275</f>
        <v>26.9</v>
      </c>
      <c r="O275">
        <f>ABS(L275-SEM!$C$34)</f>
        <v>7.1072984270086224</v>
      </c>
      <c r="P275">
        <f t="shared" si="5"/>
        <v>26.9</v>
      </c>
    </row>
    <row r="276" spans="10:16">
      <c r="J276" s="5"/>
      <c r="L276">
        <f>SEM!M276</f>
        <v>-0.64980674999999999</v>
      </c>
      <c r="M276">
        <f>SEM!N276</f>
        <v>27</v>
      </c>
      <c r="O276">
        <f>ABS(L276-SEM!$C$34)</f>
        <v>7.1083251020086227</v>
      </c>
      <c r="P276">
        <f t="shared" si="5"/>
        <v>27</v>
      </c>
    </row>
    <row r="277" spans="10:16">
      <c r="J277" s="5"/>
      <c r="L277">
        <f>SEM!M277</f>
        <v>-0.64881347099999997</v>
      </c>
      <c r="M277">
        <f>SEM!N277</f>
        <v>27.1</v>
      </c>
      <c r="O277">
        <f>ABS(L277-SEM!$C$34)</f>
        <v>7.109318381008622</v>
      </c>
      <c r="P277">
        <f t="shared" si="5"/>
        <v>27.1</v>
      </c>
    </row>
    <row r="278" spans="10:16">
      <c r="J278" s="5"/>
      <c r="L278">
        <f>SEM!M278</f>
        <v>-0.64788367199999997</v>
      </c>
      <c r="M278">
        <f>SEM!N278</f>
        <v>27.2</v>
      </c>
      <c r="O278">
        <f>ABS(L278-SEM!$C$34)</f>
        <v>7.1102481800086226</v>
      </c>
      <c r="P278">
        <f t="shared" si="5"/>
        <v>27.2</v>
      </c>
    </row>
    <row r="279" spans="10:16">
      <c r="J279" s="5"/>
      <c r="L279">
        <f>SEM!M279</f>
        <v>-0.64695387299999996</v>
      </c>
      <c r="M279">
        <f>SEM!N279</f>
        <v>27.3</v>
      </c>
      <c r="O279">
        <f>ABS(L279-SEM!$C$34)</f>
        <v>7.1111779790086223</v>
      </c>
      <c r="P279">
        <f t="shared" si="5"/>
        <v>27.3</v>
      </c>
    </row>
    <row r="280" spans="10:16">
      <c r="J280" s="5"/>
      <c r="L280">
        <f>SEM!M280</f>
        <v>-0.64553757</v>
      </c>
      <c r="M280">
        <f>SEM!N280</f>
        <v>27.4</v>
      </c>
      <c r="O280">
        <f>ABS(L280-SEM!$C$34)</f>
        <v>7.1125942820086223</v>
      </c>
      <c r="P280">
        <f t="shared" si="5"/>
        <v>27.4</v>
      </c>
    </row>
    <row r="281" spans="10:16">
      <c r="J281" s="5"/>
      <c r="L281">
        <f>SEM!M281</f>
        <v>-0.64362637499999997</v>
      </c>
      <c r="M281">
        <f>SEM!N281</f>
        <v>27.5</v>
      </c>
      <c r="O281">
        <f>ABS(L281-SEM!$C$34)</f>
        <v>7.1145054770086222</v>
      </c>
      <c r="P281">
        <f t="shared" si="5"/>
        <v>27.5</v>
      </c>
    </row>
    <row r="282" spans="10:16">
      <c r="J282" s="5"/>
      <c r="L282">
        <f>SEM!M282</f>
        <v>-0.64171518000000005</v>
      </c>
      <c r="M282">
        <f>SEM!N282</f>
        <v>27.6</v>
      </c>
      <c r="O282">
        <f>ABS(L282-SEM!$C$34)</f>
        <v>7.1164166720086222</v>
      </c>
      <c r="P282">
        <f t="shared" si="5"/>
        <v>27.6</v>
      </c>
    </row>
    <row r="283" spans="10:16">
      <c r="J283" s="5"/>
      <c r="L283">
        <f>SEM!M283</f>
        <v>-0.63810239300000005</v>
      </c>
      <c r="M283">
        <f>SEM!N283</f>
        <v>27.7</v>
      </c>
      <c r="O283">
        <f>ABS(L283-SEM!$C$34)</f>
        <v>7.1200294590086219</v>
      </c>
      <c r="P283">
        <f t="shared" si="5"/>
        <v>27.7</v>
      </c>
    </row>
    <row r="284" spans="10:16">
      <c r="J284" s="5"/>
      <c r="L284">
        <f>SEM!M284</f>
        <v>-0.63356010200000001</v>
      </c>
      <c r="M284">
        <f>SEM!N284</f>
        <v>27.8</v>
      </c>
      <c r="O284">
        <f>ABS(L284-SEM!$C$34)</f>
        <v>7.1245717500086228</v>
      </c>
      <c r="P284">
        <f t="shared" si="5"/>
        <v>27.8</v>
      </c>
    </row>
    <row r="285" spans="10:16">
      <c r="J285" s="5"/>
      <c r="L285">
        <f>SEM!M285</f>
        <v>-0.62901781099999998</v>
      </c>
      <c r="M285">
        <f>SEM!N285</f>
        <v>27.9</v>
      </c>
      <c r="O285">
        <f>ABS(L285-SEM!$C$34)</f>
        <v>7.1291140410086227</v>
      </c>
      <c r="P285">
        <f t="shared" si="5"/>
        <v>27.9</v>
      </c>
    </row>
    <row r="286" spans="10:16">
      <c r="J286" s="5"/>
      <c r="L286">
        <f>SEM!M286</f>
        <v>-0.62378783999999998</v>
      </c>
      <c r="M286">
        <f>SEM!N286</f>
        <v>28</v>
      </c>
      <c r="O286">
        <f>ABS(L286-SEM!$C$34)</f>
        <v>7.1343440120086221</v>
      </c>
      <c r="P286">
        <f t="shared" si="5"/>
        <v>28</v>
      </c>
    </row>
    <row r="287" spans="10:16">
      <c r="J287" s="5"/>
      <c r="L287">
        <f>SEM!M287</f>
        <v>-0.61838349299999995</v>
      </c>
      <c r="M287">
        <f>SEM!N287</f>
        <v>28.1</v>
      </c>
      <c r="O287">
        <f>ABS(L287-SEM!$C$34)</f>
        <v>7.1397483590086228</v>
      </c>
      <c r="P287">
        <f t="shared" si="5"/>
        <v>28.1</v>
      </c>
    </row>
    <row r="288" spans="10:16">
      <c r="J288" s="5"/>
      <c r="L288">
        <f>SEM!M288</f>
        <v>-0.61297914600000003</v>
      </c>
      <c r="M288">
        <f>SEM!N288</f>
        <v>28.2</v>
      </c>
      <c r="O288">
        <f>ABS(L288-SEM!$C$34)</f>
        <v>7.1451527060086226</v>
      </c>
      <c r="P288">
        <f t="shared" si="5"/>
        <v>28.2</v>
      </c>
    </row>
    <row r="289" spans="10:16">
      <c r="J289" s="5"/>
      <c r="L289">
        <f>SEM!M289</f>
        <v>-0.61146457200000004</v>
      </c>
      <c r="M289">
        <f>SEM!N289</f>
        <v>28.3</v>
      </c>
      <c r="O289">
        <f>ABS(L289-SEM!$C$34)</f>
        <v>7.1466672800086224</v>
      </c>
      <c r="P289">
        <f t="shared" si="5"/>
        <v>28.3</v>
      </c>
    </row>
    <row r="290" spans="10:16">
      <c r="J290" s="5"/>
      <c r="L290">
        <f>SEM!M290</f>
        <v>-0.61016025600000001</v>
      </c>
      <c r="M290">
        <f>SEM!N290</f>
        <v>28.4</v>
      </c>
      <c r="O290">
        <f>ABS(L290-SEM!$C$34)</f>
        <v>7.1479715960086221</v>
      </c>
      <c r="P290">
        <f t="shared" si="5"/>
        <v>28.4</v>
      </c>
    </row>
    <row r="291" spans="10:16">
      <c r="J291" s="5"/>
      <c r="L291">
        <f>SEM!M291</f>
        <v>-0.60821243000000003</v>
      </c>
      <c r="M291">
        <f>SEM!N291</f>
        <v>28.5</v>
      </c>
      <c r="O291">
        <f>ABS(L291-SEM!$C$34)</f>
        <v>7.1499194220086224</v>
      </c>
      <c r="P291">
        <f t="shared" si="5"/>
        <v>28.5</v>
      </c>
    </row>
    <row r="292" spans="10:16">
      <c r="J292" s="5"/>
      <c r="L292">
        <f>SEM!M292</f>
        <v>-0.60045462800000005</v>
      </c>
      <c r="M292">
        <f>SEM!N292</f>
        <v>28.6</v>
      </c>
      <c r="O292">
        <f>ABS(L292-SEM!$C$34)</f>
        <v>7.1576772240086228</v>
      </c>
      <c r="P292">
        <f t="shared" si="5"/>
        <v>28.6</v>
      </c>
    </row>
    <row r="293" spans="10:16">
      <c r="J293" s="5"/>
      <c r="L293">
        <f>SEM!M293</f>
        <v>-0.59269682599999995</v>
      </c>
      <c r="M293">
        <f>SEM!N293</f>
        <v>28.7</v>
      </c>
      <c r="O293">
        <f>ABS(L293-SEM!$C$34)</f>
        <v>7.1654350260086224</v>
      </c>
      <c r="P293">
        <f t="shared" si="5"/>
        <v>28.7</v>
      </c>
    </row>
    <row r="294" spans="10:16">
      <c r="J294" s="5"/>
      <c r="L294">
        <f>SEM!M294</f>
        <v>-0.58682583200000005</v>
      </c>
      <c r="M294">
        <f>SEM!N294</f>
        <v>28.8</v>
      </c>
      <c r="O294">
        <f>ABS(L294-SEM!$C$34)</f>
        <v>7.1713060200086227</v>
      </c>
      <c r="P294">
        <f t="shared" si="5"/>
        <v>28.8</v>
      </c>
    </row>
    <row r="295" spans="10:16">
      <c r="J295" s="5"/>
      <c r="L295">
        <f>SEM!M295</f>
        <v>-0.58659382100000002</v>
      </c>
      <c r="M295">
        <f>SEM!N295</f>
        <v>28.9</v>
      </c>
      <c r="O295">
        <f>ABS(L295-SEM!$C$34)</f>
        <v>7.1715380310086223</v>
      </c>
      <c r="P295">
        <f t="shared" si="5"/>
        <v>28.9</v>
      </c>
    </row>
    <row r="296" spans="10:16">
      <c r="J296" s="5"/>
      <c r="L296">
        <f>SEM!M296</f>
        <v>-0.58636180999999998</v>
      </c>
      <c r="M296">
        <f>SEM!N296</f>
        <v>29</v>
      </c>
      <c r="O296">
        <f>ABS(L296-SEM!$C$34)</f>
        <v>7.1717700420086228</v>
      </c>
      <c r="P296">
        <f t="shared" si="5"/>
        <v>29</v>
      </c>
    </row>
    <row r="297" spans="10:16">
      <c r="J297" s="5"/>
      <c r="L297">
        <f>SEM!M297</f>
        <v>-0.58553943200000003</v>
      </c>
      <c r="M297">
        <f>SEM!N297</f>
        <v>29.1</v>
      </c>
      <c r="O297">
        <f>ABS(L297-SEM!$C$34)</f>
        <v>7.1725924200086224</v>
      </c>
      <c r="P297">
        <f t="shared" si="5"/>
        <v>29.1</v>
      </c>
    </row>
    <row r="298" spans="10:16">
      <c r="J298" s="5"/>
      <c r="L298">
        <f>SEM!M298</f>
        <v>-0.58383778399999997</v>
      </c>
      <c r="M298">
        <f>SEM!N298</f>
        <v>29.2</v>
      </c>
      <c r="O298">
        <f>ABS(L298-SEM!$C$34)</f>
        <v>7.1742940680086225</v>
      </c>
      <c r="P298">
        <f t="shared" si="5"/>
        <v>29.2</v>
      </c>
    </row>
    <row r="299" spans="10:16">
      <c r="J299" s="5"/>
      <c r="L299">
        <f>SEM!M299</f>
        <v>-0.58213613600000003</v>
      </c>
      <c r="M299">
        <f>SEM!N299</f>
        <v>29.3</v>
      </c>
      <c r="O299">
        <f>ABS(L299-SEM!$C$34)</f>
        <v>7.1759957160086225</v>
      </c>
      <c r="P299">
        <f t="shared" si="5"/>
        <v>29.3</v>
      </c>
    </row>
    <row r="300" spans="10:16">
      <c r="J300" s="5"/>
      <c r="L300">
        <f>SEM!M300</f>
        <v>-0.58137499999999998</v>
      </c>
      <c r="M300">
        <f>SEM!N300</f>
        <v>29.4</v>
      </c>
      <c r="O300">
        <f>ABS(L300-SEM!$C$34)</f>
        <v>7.1767568520086229</v>
      </c>
      <c r="P300">
        <f t="shared" si="5"/>
        <v>29.4</v>
      </c>
    </row>
    <row r="301" spans="10:16">
      <c r="J301" s="5"/>
      <c r="L301">
        <f>SEM!M301</f>
        <v>-0.58137499999999998</v>
      </c>
      <c r="M301">
        <f>SEM!N301</f>
        <v>29.5</v>
      </c>
      <c r="O301">
        <f>ABS(L301-SEM!$C$34)</f>
        <v>7.1767568520086229</v>
      </c>
      <c r="P301">
        <f t="shared" si="5"/>
        <v>29.5</v>
      </c>
    </row>
    <row r="302" spans="10:16">
      <c r="J302" s="5"/>
      <c r="L302">
        <f>SEM!M302</f>
        <v>-0.58137499999999998</v>
      </c>
      <c r="M302">
        <f>SEM!N302</f>
        <v>29.6</v>
      </c>
      <c r="O302">
        <f>ABS(L302-SEM!$C$34)</f>
        <v>7.1767568520086229</v>
      </c>
      <c r="P302">
        <f t="shared" si="5"/>
        <v>29.6</v>
      </c>
    </row>
    <row r="303" spans="10:16">
      <c r="J303" s="5"/>
      <c r="L303">
        <f>SEM!M303</f>
        <v>-0.58001427699999997</v>
      </c>
      <c r="M303">
        <f>SEM!N303</f>
        <v>29.7</v>
      </c>
      <c r="O303">
        <f>ABS(L303-SEM!$C$34)</f>
        <v>7.1781175750086224</v>
      </c>
      <c r="P303">
        <f t="shared" si="5"/>
        <v>29.7</v>
      </c>
    </row>
    <row r="304" spans="10:16">
      <c r="J304" s="5"/>
      <c r="L304">
        <f>SEM!M304</f>
        <v>-0.57808061799999999</v>
      </c>
      <c r="M304">
        <f>SEM!N304</f>
        <v>29.8</v>
      </c>
      <c r="O304">
        <f>ABS(L304-SEM!$C$34)</f>
        <v>7.1800512340086229</v>
      </c>
      <c r="P304">
        <f t="shared" si="5"/>
        <v>29.8</v>
      </c>
    </row>
    <row r="305" spans="10:16">
      <c r="J305" s="5"/>
      <c r="L305">
        <f>SEM!M305</f>
        <v>-0.57614695900000001</v>
      </c>
      <c r="M305">
        <f>SEM!N305</f>
        <v>29.9</v>
      </c>
      <c r="O305">
        <f>ABS(L305-SEM!$C$34)</f>
        <v>7.1819848930086225</v>
      </c>
      <c r="P305">
        <f t="shared" si="5"/>
        <v>29.9</v>
      </c>
    </row>
    <row r="306" spans="10:16">
      <c r="J306" s="5"/>
      <c r="L306">
        <f>SEM!M306</f>
        <v>-0.57584650000000004</v>
      </c>
      <c r="M306">
        <f>SEM!N306</f>
        <v>30</v>
      </c>
      <c r="O306">
        <f>ABS(L306-SEM!$C$34)</f>
        <v>7.1822853520086225</v>
      </c>
      <c r="P306">
        <f t="shared" si="5"/>
        <v>30</v>
      </c>
    </row>
    <row r="307" spans="10:16">
      <c r="J307" s="5"/>
      <c r="L307">
        <f>SEM!M307</f>
        <v>-0.57582368500000003</v>
      </c>
      <c r="M307">
        <f>SEM!N307</f>
        <v>30.1</v>
      </c>
      <c r="O307">
        <f>ABS(L307-SEM!$C$34)</f>
        <v>7.1823081670086228</v>
      </c>
      <c r="P307">
        <f t="shared" si="5"/>
        <v>30.1</v>
      </c>
    </row>
    <row r="308" spans="10:16">
      <c r="J308" s="5"/>
      <c r="L308">
        <f>SEM!M308</f>
        <v>-0.575788788</v>
      </c>
      <c r="M308">
        <f>SEM!N308</f>
        <v>30.2</v>
      </c>
      <c r="O308">
        <f>ABS(L308-SEM!$C$34)</f>
        <v>7.1823430640086228</v>
      </c>
      <c r="P308">
        <f t="shared" si="5"/>
        <v>30.2</v>
      </c>
    </row>
    <row r="309" spans="10:16">
      <c r="J309" s="5"/>
      <c r="L309">
        <f>SEM!M309</f>
        <v>-0.57364558200000004</v>
      </c>
      <c r="M309">
        <f>SEM!N309</f>
        <v>30.3</v>
      </c>
      <c r="O309">
        <f>ABS(L309-SEM!$C$34)</f>
        <v>7.1844862700086223</v>
      </c>
      <c r="P309">
        <f t="shared" si="5"/>
        <v>30.3</v>
      </c>
    </row>
    <row r="310" spans="10:16">
      <c r="J310" s="5"/>
      <c r="L310">
        <f>SEM!M310</f>
        <v>-0.57150237599999998</v>
      </c>
      <c r="M310">
        <f>SEM!N310</f>
        <v>30.4</v>
      </c>
      <c r="O310">
        <f>ABS(L310-SEM!$C$34)</f>
        <v>7.1866294760086227</v>
      </c>
      <c r="P310">
        <f t="shared" si="5"/>
        <v>30.4</v>
      </c>
    </row>
    <row r="311" spans="10:16">
      <c r="J311" s="5"/>
      <c r="L311">
        <f>SEM!M311</f>
        <v>-0.56932616999999996</v>
      </c>
      <c r="M311">
        <f>SEM!N311</f>
        <v>30.5</v>
      </c>
      <c r="O311">
        <f>ABS(L311-SEM!$C$34)</f>
        <v>7.1888056820086224</v>
      </c>
      <c r="P311">
        <f t="shared" si="5"/>
        <v>30.5</v>
      </c>
    </row>
    <row r="312" spans="10:16">
      <c r="J312" s="5"/>
      <c r="L312">
        <f>SEM!M312</f>
        <v>-0.56697236399999995</v>
      </c>
      <c r="M312">
        <f>SEM!N312</f>
        <v>30.6</v>
      </c>
      <c r="O312">
        <f>ABS(L312-SEM!$C$34)</f>
        <v>7.1911594880086227</v>
      </c>
      <c r="P312">
        <f t="shared" si="5"/>
        <v>30.6</v>
      </c>
    </row>
    <row r="313" spans="10:16">
      <c r="J313" s="5"/>
      <c r="L313">
        <f>SEM!M313</f>
        <v>-0.56461855800000005</v>
      </c>
      <c r="M313">
        <f>SEM!N313</f>
        <v>30.7</v>
      </c>
      <c r="O313">
        <f>ABS(L313-SEM!$C$34)</f>
        <v>7.1935132940086222</v>
      </c>
      <c r="P313">
        <f t="shared" si="5"/>
        <v>30.7</v>
      </c>
    </row>
    <row r="314" spans="10:16">
      <c r="J314" s="5"/>
      <c r="L314">
        <f>SEM!M314</f>
        <v>-0.56239402800000005</v>
      </c>
      <c r="M314">
        <f>SEM!N314</f>
        <v>30.8</v>
      </c>
      <c r="O314">
        <f>ABS(L314-SEM!$C$34)</f>
        <v>7.1957378240086225</v>
      </c>
      <c r="P314">
        <f t="shared" si="5"/>
        <v>30.8</v>
      </c>
    </row>
    <row r="315" spans="10:16">
      <c r="J315" s="5"/>
      <c r="L315">
        <f>SEM!M315</f>
        <v>-0.56046036899999996</v>
      </c>
      <c r="M315">
        <f>SEM!N315</f>
        <v>30.9</v>
      </c>
      <c r="O315">
        <f>ABS(L315-SEM!$C$34)</f>
        <v>7.1976714830086221</v>
      </c>
      <c r="P315">
        <f t="shared" si="5"/>
        <v>30.9</v>
      </c>
    </row>
    <row r="316" spans="10:16">
      <c r="J316" s="5"/>
      <c r="L316">
        <f>SEM!M316</f>
        <v>-0.55852670999999998</v>
      </c>
      <c r="M316">
        <f>SEM!N316</f>
        <v>31</v>
      </c>
      <c r="O316">
        <f>ABS(L316-SEM!$C$34)</f>
        <v>7.1996051420086227</v>
      </c>
      <c r="P316">
        <f t="shared" si="5"/>
        <v>31</v>
      </c>
    </row>
    <row r="317" spans="10:16">
      <c r="J317" s="5"/>
      <c r="L317">
        <f>SEM!M317</f>
        <v>-0.55231930600000001</v>
      </c>
      <c r="M317">
        <f>SEM!N317</f>
        <v>31.1</v>
      </c>
      <c r="O317">
        <f>ABS(L317-SEM!$C$34)</f>
        <v>7.2058125460086222</v>
      </c>
      <c r="P317">
        <f t="shared" si="5"/>
        <v>31.1</v>
      </c>
    </row>
    <row r="318" spans="10:16">
      <c r="J318" s="5"/>
      <c r="L318">
        <f>SEM!M318</f>
        <v>-0.54106835200000003</v>
      </c>
      <c r="M318">
        <f>SEM!N318</f>
        <v>31.2</v>
      </c>
      <c r="O318">
        <f>ABS(L318-SEM!$C$34)</f>
        <v>7.2170635000086225</v>
      </c>
      <c r="P318">
        <f t="shared" si="5"/>
        <v>31.2</v>
      </c>
    </row>
    <row r="319" spans="10:16">
      <c r="J319" s="5"/>
      <c r="L319">
        <f>SEM!M319</f>
        <v>-0.52981739800000005</v>
      </c>
      <c r="M319">
        <f>SEM!N319</f>
        <v>31.3</v>
      </c>
      <c r="O319">
        <f>ABS(L319-SEM!$C$34)</f>
        <v>7.2283144540086219</v>
      </c>
      <c r="P319">
        <f t="shared" si="5"/>
        <v>31.3</v>
      </c>
    </row>
    <row r="320" spans="10:16">
      <c r="J320" s="5"/>
      <c r="L320">
        <f>SEM!M320</f>
        <v>-0.52502838799999996</v>
      </c>
      <c r="M320">
        <f>SEM!N320</f>
        <v>31.4</v>
      </c>
      <c r="O320">
        <f>ABS(L320-SEM!$C$34)</f>
        <v>7.2331034640086225</v>
      </c>
      <c r="P320">
        <f t="shared" si="5"/>
        <v>31.4</v>
      </c>
    </row>
    <row r="321" spans="10:16">
      <c r="J321" s="5"/>
      <c r="L321">
        <f>SEM!M321</f>
        <v>-0.52437623</v>
      </c>
      <c r="M321">
        <f>SEM!N321</f>
        <v>31.5</v>
      </c>
      <c r="O321">
        <f>ABS(L321-SEM!$C$34)</f>
        <v>7.2337556220086228</v>
      </c>
      <c r="P321">
        <f t="shared" si="5"/>
        <v>31.5</v>
      </c>
    </row>
    <row r="322" spans="10:16">
      <c r="J322" s="5"/>
      <c r="L322">
        <f>SEM!M322</f>
        <v>-0.52372407200000004</v>
      </c>
      <c r="M322">
        <f>SEM!N322</f>
        <v>31.6</v>
      </c>
      <c r="O322">
        <f>ABS(L322-SEM!$C$34)</f>
        <v>7.2344077800086222</v>
      </c>
      <c r="P322">
        <f t="shared" si="5"/>
        <v>31.6</v>
      </c>
    </row>
    <row r="323" spans="10:16">
      <c r="J323" s="5"/>
      <c r="L323">
        <f>SEM!M323</f>
        <v>-0.52307191399999997</v>
      </c>
      <c r="M323">
        <f>SEM!N323</f>
        <v>31.7</v>
      </c>
      <c r="O323">
        <f>ABS(L323-SEM!$C$34)</f>
        <v>7.2350599380086225</v>
      </c>
      <c r="P323">
        <f t="shared" si="5"/>
        <v>31.7</v>
      </c>
    </row>
    <row r="324" spans="10:16">
      <c r="J324" s="5"/>
      <c r="L324">
        <f>SEM!M324</f>
        <v>-0.52241975600000001</v>
      </c>
      <c r="M324">
        <f>SEM!N324</f>
        <v>31.8</v>
      </c>
      <c r="O324">
        <f>ABS(L324-SEM!$C$34)</f>
        <v>7.2357120960086228</v>
      </c>
      <c r="P324">
        <f t="shared" si="5"/>
        <v>31.8</v>
      </c>
    </row>
    <row r="325" spans="10:16">
      <c r="J325" s="5"/>
      <c r="L325">
        <f>SEM!M325</f>
        <v>-0.52176759800000005</v>
      </c>
      <c r="M325">
        <f>SEM!N325</f>
        <v>31.9</v>
      </c>
      <c r="O325">
        <f>ABS(L325-SEM!$C$34)</f>
        <v>7.2363642540086222</v>
      </c>
      <c r="P325">
        <f t="shared" si="5"/>
        <v>31.9</v>
      </c>
    </row>
    <row r="326" spans="10:16">
      <c r="J326" s="5"/>
      <c r="L326">
        <f>SEM!M326</f>
        <v>-0.51994711999999998</v>
      </c>
      <c r="M326">
        <f>SEM!N326</f>
        <v>32</v>
      </c>
      <c r="O326">
        <f>ABS(L326-SEM!$C$34)</f>
        <v>7.2381847320086221</v>
      </c>
      <c r="P326">
        <f t="shared" si="5"/>
        <v>32</v>
      </c>
    </row>
    <row r="327" spans="10:16">
      <c r="J327" s="5"/>
      <c r="L327">
        <f>SEM!M327</f>
        <v>-0.51801346100000001</v>
      </c>
      <c r="M327">
        <f>SEM!N327</f>
        <v>32.1</v>
      </c>
      <c r="O327">
        <f>ABS(L327-SEM!$C$34)</f>
        <v>7.2401183910086226</v>
      </c>
      <c r="P327">
        <f t="shared" ref="P327:P390" si="6">M327</f>
        <v>32.1</v>
      </c>
    </row>
    <row r="328" spans="10:16">
      <c r="J328" s="5"/>
      <c r="L328">
        <f>SEM!M328</f>
        <v>-0.51583738400000001</v>
      </c>
      <c r="M328">
        <f>SEM!N328</f>
        <v>32.200000000000003</v>
      </c>
      <c r="O328">
        <f>ABS(L328-SEM!$C$34)</f>
        <v>7.2422944680086223</v>
      </c>
      <c r="P328">
        <f t="shared" si="6"/>
        <v>32.200000000000003</v>
      </c>
    </row>
    <row r="329" spans="10:16">
      <c r="J329" s="5"/>
      <c r="L329">
        <f>SEM!M329</f>
        <v>-0.51003605600000002</v>
      </c>
      <c r="M329">
        <f>SEM!N329</f>
        <v>32.299999999999997</v>
      </c>
      <c r="O329">
        <f>ABS(L329-SEM!$C$34)</f>
        <v>7.2480957960086227</v>
      </c>
      <c r="P329">
        <f t="shared" si="6"/>
        <v>32.299999999999997</v>
      </c>
    </row>
    <row r="330" spans="10:16">
      <c r="J330" s="5"/>
      <c r="L330">
        <f>SEM!M330</f>
        <v>-0.50423472800000002</v>
      </c>
      <c r="M330">
        <f>SEM!N330</f>
        <v>32.4</v>
      </c>
      <c r="O330">
        <f>ABS(L330-SEM!$C$34)</f>
        <v>7.2538971240086223</v>
      </c>
      <c r="P330">
        <f t="shared" si="6"/>
        <v>32.4</v>
      </c>
    </row>
    <row r="331" spans="10:16">
      <c r="J331" s="5"/>
      <c r="L331">
        <f>SEM!M331</f>
        <v>-0.49953365</v>
      </c>
      <c r="M331">
        <f>SEM!N331</f>
        <v>32.5</v>
      </c>
      <c r="O331">
        <f>ABS(L331-SEM!$C$34)</f>
        <v>7.2585982020086224</v>
      </c>
      <c r="P331">
        <f t="shared" si="6"/>
        <v>32.5</v>
      </c>
    </row>
    <row r="332" spans="10:16">
      <c r="J332" s="5"/>
      <c r="L332">
        <f>SEM!M332</f>
        <v>-0.49888149199999998</v>
      </c>
      <c r="M332">
        <f>SEM!N332</f>
        <v>32.6</v>
      </c>
      <c r="O332">
        <f>ABS(L332-SEM!$C$34)</f>
        <v>7.2592503600086227</v>
      </c>
      <c r="P332">
        <f t="shared" si="6"/>
        <v>32.6</v>
      </c>
    </row>
    <row r="333" spans="10:16">
      <c r="J333" s="5"/>
      <c r="L333">
        <f>SEM!M333</f>
        <v>-0.49822933400000002</v>
      </c>
      <c r="M333">
        <f>SEM!N333</f>
        <v>32.700000000000003</v>
      </c>
      <c r="O333">
        <f>ABS(L333-SEM!$C$34)</f>
        <v>7.2599025180086221</v>
      </c>
      <c r="P333">
        <f t="shared" si="6"/>
        <v>32.700000000000003</v>
      </c>
    </row>
    <row r="334" spans="10:16">
      <c r="J334" s="5"/>
      <c r="L334">
        <f>SEM!M334</f>
        <v>-0.49678728799999999</v>
      </c>
      <c r="M334">
        <f>SEM!N334</f>
        <v>32.799999999999997</v>
      </c>
      <c r="O334">
        <f>ABS(L334-SEM!$C$34)</f>
        <v>7.2613445640086223</v>
      </c>
      <c r="P334">
        <f t="shared" si="6"/>
        <v>32.799999999999997</v>
      </c>
    </row>
    <row r="335" spans="10:16">
      <c r="J335" s="5"/>
      <c r="L335">
        <f>SEM!M335</f>
        <v>-0.49396910900000002</v>
      </c>
      <c r="M335">
        <f>SEM!N335</f>
        <v>32.9</v>
      </c>
      <c r="O335">
        <f>ABS(L335-SEM!$C$34)</f>
        <v>7.2641627430086224</v>
      </c>
      <c r="P335">
        <f t="shared" si="6"/>
        <v>32.9</v>
      </c>
    </row>
    <row r="336" spans="10:16">
      <c r="J336" s="5"/>
      <c r="L336">
        <f>SEM!M336</f>
        <v>-0.49115092999999999</v>
      </c>
      <c r="M336">
        <f>SEM!N336</f>
        <v>33</v>
      </c>
      <c r="O336">
        <f>ABS(L336-SEM!$C$34)</f>
        <v>7.2669809220086226</v>
      </c>
      <c r="P336">
        <f t="shared" si="6"/>
        <v>33</v>
      </c>
    </row>
    <row r="337" spans="10:16">
      <c r="J337" s="5"/>
      <c r="L337">
        <f>SEM!M337</f>
        <v>-0.48611007099999998</v>
      </c>
      <c r="M337">
        <f>SEM!N337</f>
        <v>33.1</v>
      </c>
      <c r="O337">
        <f>ABS(L337-SEM!$C$34)</f>
        <v>7.2720217810086227</v>
      </c>
      <c r="P337">
        <f t="shared" si="6"/>
        <v>33.1</v>
      </c>
    </row>
    <row r="338" spans="10:16">
      <c r="J338" s="5"/>
      <c r="L338">
        <f>SEM!M338</f>
        <v>-0.478981612</v>
      </c>
      <c r="M338">
        <f>SEM!N338</f>
        <v>33.200000000000003</v>
      </c>
      <c r="O338">
        <f>ABS(L338-SEM!$C$34)</f>
        <v>7.2791502400086223</v>
      </c>
      <c r="P338">
        <f t="shared" si="6"/>
        <v>33.200000000000003</v>
      </c>
    </row>
    <row r="339" spans="10:16">
      <c r="J339" s="5"/>
      <c r="L339">
        <f>SEM!M339</f>
        <v>-0.47185315300000003</v>
      </c>
      <c r="M339">
        <f>SEM!N339</f>
        <v>33.299999999999997</v>
      </c>
      <c r="O339">
        <f>ABS(L339-SEM!$C$34)</f>
        <v>7.2862786990086228</v>
      </c>
      <c r="P339">
        <f t="shared" si="6"/>
        <v>33.299999999999997</v>
      </c>
    </row>
    <row r="340" spans="10:16">
      <c r="J340" s="5"/>
      <c r="L340">
        <f>SEM!M340</f>
        <v>-0.46947699999999998</v>
      </c>
      <c r="M340">
        <f>SEM!N340</f>
        <v>33.4</v>
      </c>
      <c r="O340">
        <f>ABS(L340-SEM!$C$34)</f>
        <v>7.2886548520086221</v>
      </c>
      <c r="P340">
        <f t="shared" si="6"/>
        <v>33.4</v>
      </c>
    </row>
    <row r="341" spans="10:16">
      <c r="J341" s="5"/>
      <c r="L341">
        <f>SEM!M341</f>
        <v>-0.46947699999999998</v>
      </c>
      <c r="M341">
        <f>SEM!N341</f>
        <v>33.5</v>
      </c>
      <c r="O341">
        <f>ABS(L341-SEM!$C$34)</f>
        <v>7.2886548520086221</v>
      </c>
      <c r="P341">
        <f t="shared" si="6"/>
        <v>33.5</v>
      </c>
    </row>
    <row r="342" spans="10:16">
      <c r="J342" s="5"/>
      <c r="L342">
        <f>SEM!M342</f>
        <v>-0.46947699999999998</v>
      </c>
      <c r="M342">
        <f>SEM!N342</f>
        <v>33.6</v>
      </c>
      <c r="O342">
        <f>ABS(L342-SEM!$C$34)</f>
        <v>7.2886548520086221</v>
      </c>
      <c r="P342">
        <f t="shared" si="6"/>
        <v>33.6</v>
      </c>
    </row>
    <row r="343" spans="10:16">
      <c r="J343" s="5"/>
      <c r="L343">
        <f>SEM!M343</f>
        <v>-0.46768726799999999</v>
      </c>
      <c r="M343">
        <f>SEM!N343</f>
        <v>33.700000000000003</v>
      </c>
      <c r="O343">
        <f>ABS(L343-SEM!$C$34)</f>
        <v>7.2904445840086227</v>
      </c>
      <c r="P343">
        <f t="shared" si="6"/>
        <v>33.700000000000003</v>
      </c>
    </row>
    <row r="344" spans="10:16">
      <c r="J344" s="5"/>
      <c r="L344">
        <f>SEM!M344</f>
        <v>-0.46549843200000002</v>
      </c>
      <c r="M344">
        <f>SEM!N344</f>
        <v>33.799999999999997</v>
      </c>
      <c r="O344">
        <f>ABS(L344-SEM!$C$34)</f>
        <v>7.292633420008622</v>
      </c>
      <c r="P344">
        <f t="shared" si="6"/>
        <v>33.799999999999997</v>
      </c>
    </row>
    <row r="345" spans="10:16">
      <c r="J345" s="5"/>
      <c r="L345">
        <f>SEM!M345</f>
        <v>-0.46330959599999999</v>
      </c>
      <c r="M345">
        <f>SEM!N345</f>
        <v>33.9</v>
      </c>
      <c r="O345">
        <f>ABS(L345-SEM!$C$34)</f>
        <v>7.2948222560086222</v>
      </c>
      <c r="P345">
        <f t="shared" si="6"/>
        <v>33.9</v>
      </c>
    </row>
    <row r="346" spans="10:16">
      <c r="J346" s="5"/>
      <c r="L346">
        <f>SEM!M346</f>
        <v>-0.45448497999999998</v>
      </c>
      <c r="M346">
        <f>SEM!N346</f>
        <v>34</v>
      </c>
      <c r="O346">
        <f>ABS(L346-SEM!$C$34)</f>
        <v>7.3036468720086223</v>
      </c>
      <c r="P346">
        <f t="shared" si="6"/>
        <v>34</v>
      </c>
    </row>
    <row r="347" spans="10:16">
      <c r="J347" s="5"/>
      <c r="L347">
        <f>SEM!M347</f>
        <v>-0.44544567699999998</v>
      </c>
      <c r="M347">
        <f>SEM!N347</f>
        <v>34.1</v>
      </c>
      <c r="O347">
        <f>ABS(L347-SEM!$C$34)</f>
        <v>7.3126861750086221</v>
      </c>
      <c r="P347">
        <f t="shared" si="6"/>
        <v>34.1</v>
      </c>
    </row>
    <row r="348" spans="10:16">
      <c r="J348" s="5"/>
      <c r="L348">
        <f>SEM!M348</f>
        <v>-0.43733192799999998</v>
      </c>
      <c r="M348">
        <f>SEM!N348</f>
        <v>34.200000000000003</v>
      </c>
      <c r="O348">
        <f>ABS(L348-SEM!$C$34)</f>
        <v>7.3207999240086226</v>
      </c>
      <c r="P348">
        <f t="shared" si="6"/>
        <v>34.200000000000003</v>
      </c>
    </row>
    <row r="349" spans="10:16">
      <c r="J349" s="5"/>
      <c r="L349">
        <f>SEM!M349</f>
        <v>-0.43602761200000001</v>
      </c>
      <c r="M349">
        <f>SEM!N349</f>
        <v>34.299999999999997</v>
      </c>
      <c r="O349">
        <f>ABS(L349-SEM!$C$34)</f>
        <v>7.3221042400086223</v>
      </c>
      <c r="P349">
        <f t="shared" si="6"/>
        <v>34.299999999999997</v>
      </c>
    </row>
    <row r="350" spans="10:16">
      <c r="J350" s="5"/>
      <c r="L350">
        <f>SEM!M350</f>
        <v>-0.43472329599999998</v>
      </c>
      <c r="M350">
        <f>SEM!N350</f>
        <v>34.4</v>
      </c>
      <c r="O350">
        <f>ABS(L350-SEM!$C$34)</f>
        <v>7.3234085560086228</v>
      </c>
      <c r="P350">
        <f t="shared" si="6"/>
        <v>34.4</v>
      </c>
    </row>
    <row r="351" spans="10:16">
      <c r="J351" s="5"/>
      <c r="L351">
        <f>SEM!M351</f>
        <v>-0.43237217500000003</v>
      </c>
      <c r="M351">
        <f>SEM!N351</f>
        <v>34.5</v>
      </c>
      <c r="O351">
        <f>ABS(L351-SEM!$C$34)</f>
        <v>7.3257596770086222</v>
      </c>
      <c r="P351">
        <f t="shared" si="6"/>
        <v>34.5</v>
      </c>
    </row>
    <row r="352" spans="10:16">
      <c r="J352" s="5"/>
      <c r="L352">
        <f>SEM!M352</f>
        <v>-0.42720018999999998</v>
      </c>
      <c r="M352">
        <f>SEM!N352</f>
        <v>34.6</v>
      </c>
      <c r="O352">
        <f>ABS(L352-SEM!$C$34)</f>
        <v>7.3309316620086227</v>
      </c>
      <c r="P352">
        <f t="shared" si="6"/>
        <v>34.6</v>
      </c>
    </row>
    <row r="353" spans="10:16">
      <c r="J353" s="5"/>
      <c r="L353">
        <f>SEM!M353</f>
        <v>-0.42202820499999999</v>
      </c>
      <c r="M353">
        <f>SEM!N353</f>
        <v>34.700000000000003</v>
      </c>
      <c r="O353">
        <f>ABS(L353-SEM!$C$34)</f>
        <v>7.3361036470086223</v>
      </c>
      <c r="P353">
        <f t="shared" si="6"/>
        <v>34.700000000000003</v>
      </c>
    </row>
    <row r="354" spans="10:16">
      <c r="J354" s="5"/>
      <c r="L354">
        <f>SEM!M354</f>
        <v>-0.41675839199999998</v>
      </c>
      <c r="M354">
        <f>SEM!N354</f>
        <v>34.799999999999997</v>
      </c>
      <c r="O354">
        <f>ABS(L354-SEM!$C$34)</f>
        <v>7.3413734600086222</v>
      </c>
      <c r="P354">
        <f t="shared" si="6"/>
        <v>34.799999999999997</v>
      </c>
    </row>
    <row r="355" spans="10:16">
      <c r="J355" s="5"/>
      <c r="L355">
        <f>SEM!M355</f>
        <v>-0.41135439600000001</v>
      </c>
      <c r="M355">
        <f>SEM!N355</f>
        <v>34.9</v>
      </c>
      <c r="O355">
        <f>ABS(L355-SEM!$C$34)</f>
        <v>7.3467774560086223</v>
      </c>
      <c r="P355">
        <f t="shared" si="6"/>
        <v>34.9</v>
      </c>
    </row>
    <row r="356" spans="10:16">
      <c r="J356" s="5"/>
      <c r="L356">
        <f>SEM!M356</f>
        <v>-0.40595039999999999</v>
      </c>
      <c r="M356">
        <f>SEM!N356</f>
        <v>35</v>
      </c>
      <c r="O356">
        <f>ABS(L356-SEM!$C$34)</f>
        <v>7.3521814520086224</v>
      </c>
      <c r="P356">
        <f t="shared" si="6"/>
        <v>35</v>
      </c>
    </row>
    <row r="357" spans="10:16">
      <c r="J357" s="5"/>
      <c r="L357">
        <f>SEM!M357</f>
        <v>-0.40030580700000001</v>
      </c>
      <c r="M357">
        <f>SEM!N357</f>
        <v>35.1</v>
      </c>
      <c r="O357">
        <f>ABS(L357-SEM!$C$34)</f>
        <v>7.3578260450086228</v>
      </c>
      <c r="P357">
        <f t="shared" si="6"/>
        <v>35.1</v>
      </c>
    </row>
    <row r="358" spans="10:16">
      <c r="J358" s="5"/>
      <c r="L358">
        <f>SEM!M358</f>
        <v>-0.39448166400000001</v>
      </c>
      <c r="M358">
        <f>SEM!N358</f>
        <v>35.200000000000003</v>
      </c>
      <c r="O358">
        <f>ABS(L358-SEM!$C$34)</f>
        <v>7.3636501880086227</v>
      </c>
      <c r="P358">
        <f t="shared" si="6"/>
        <v>35.200000000000003</v>
      </c>
    </row>
    <row r="359" spans="10:16">
      <c r="J359" s="5"/>
      <c r="L359">
        <f>SEM!M359</f>
        <v>-0.38865752100000001</v>
      </c>
      <c r="M359">
        <f>SEM!N359</f>
        <v>35.299999999999997</v>
      </c>
      <c r="O359">
        <f>ABS(L359-SEM!$C$34)</f>
        <v>7.3694743310086226</v>
      </c>
      <c r="P359">
        <f t="shared" si="6"/>
        <v>35.299999999999997</v>
      </c>
    </row>
    <row r="360" spans="10:16">
      <c r="J360" s="5"/>
      <c r="L360">
        <f>SEM!M360</f>
        <v>-0.38610413599999999</v>
      </c>
      <c r="M360">
        <f>SEM!N360</f>
        <v>35.4</v>
      </c>
      <c r="O360">
        <f>ABS(L360-SEM!$C$34)</f>
        <v>7.3720277160086223</v>
      </c>
      <c r="P360">
        <f t="shared" si="6"/>
        <v>35.4</v>
      </c>
    </row>
    <row r="361" spans="10:16">
      <c r="J361" s="5"/>
      <c r="L361">
        <f>SEM!M361</f>
        <v>-0.38479982000000001</v>
      </c>
      <c r="M361">
        <f>SEM!N361</f>
        <v>35.5</v>
      </c>
      <c r="O361">
        <f>ABS(L361-SEM!$C$34)</f>
        <v>7.3733320320086229</v>
      </c>
      <c r="P361">
        <f t="shared" si="6"/>
        <v>35.5</v>
      </c>
    </row>
    <row r="362" spans="10:16">
      <c r="J362" s="5"/>
      <c r="L362">
        <f>SEM!M362</f>
        <v>-0.38349550399999999</v>
      </c>
      <c r="M362">
        <f>SEM!N362</f>
        <v>35.6</v>
      </c>
      <c r="O362">
        <f>ABS(L362-SEM!$C$34)</f>
        <v>7.3746363480086226</v>
      </c>
      <c r="P362">
        <f t="shared" si="6"/>
        <v>35.6</v>
      </c>
    </row>
    <row r="363" spans="10:16">
      <c r="J363" s="5"/>
      <c r="L363">
        <f>SEM!M363</f>
        <v>-0.38164073700000001</v>
      </c>
      <c r="M363">
        <f>SEM!N363</f>
        <v>35.700000000000003</v>
      </c>
      <c r="O363">
        <f>ABS(L363-SEM!$C$34)</f>
        <v>7.3764911150086228</v>
      </c>
      <c r="P363">
        <f t="shared" si="6"/>
        <v>35.700000000000003</v>
      </c>
    </row>
    <row r="364" spans="10:16">
      <c r="J364" s="5"/>
      <c r="L364">
        <f>SEM!M364</f>
        <v>-0.37970707799999998</v>
      </c>
      <c r="M364">
        <f>SEM!N364</f>
        <v>35.799999999999997</v>
      </c>
      <c r="O364">
        <f>ABS(L364-SEM!$C$34)</f>
        <v>7.3784247740086224</v>
      </c>
      <c r="P364">
        <f t="shared" si="6"/>
        <v>35.799999999999997</v>
      </c>
    </row>
    <row r="365" spans="10:16">
      <c r="J365" s="5"/>
      <c r="L365">
        <f>SEM!M365</f>
        <v>-0.37771729500000001</v>
      </c>
      <c r="M365">
        <f>SEM!N365</f>
        <v>35.9</v>
      </c>
      <c r="O365">
        <f>ABS(L365-SEM!$C$34)</f>
        <v>7.3804145570086224</v>
      </c>
      <c r="P365">
        <f t="shared" si="6"/>
        <v>35.9</v>
      </c>
    </row>
    <row r="366" spans="10:16">
      <c r="J366" s="5"/>
      <c r="L366">
        <f>SEM!M366</f>
        <v>-0.3735948</v>
      </c>
      <c r="M366">
        <f>SEM!N366</f>
        <v>36</v>
      </c>
      <c r="O366">
        <f>ABS(L366-SEM!$C$34)</f>
        <v>7.3845370520086222</v>
      </c>
      <c r="P366">
        <f t="shared" si="6"/>
        <v>36</v>
      </c>
    </row>
    <row r="367" spans="10:16">
      <c r="J367" s="5"/>
      <c r="L367">
        <f>SEM!M367</f>
        <v>-0.369472305</v>
      </c>
      <c r="M367">
        <f>SEM!N367</f>
        <v>36.1</v>
      </c>
      <c r="O367">
        <f>ABS(L367-SEM!$C$34)</f>
        <v>7.388659547008622</v>
      </c>
      <c r="P367">
        <f t="shared" si="6"/>
        <v>36.1</v>
      </c>
    </row>
    <row r="368" spans="10:16">
      <c r="J368" s="5"/>
      <c r="L368">
        <f>SEM!M368</f>
        <v>-0.36470767599999998</v>
      </c>
      <c r="M368">
        <f>SEM!N368</f>
        <v>36.200000000000003</v>
      </c>
      <c r="O368">
        <f>ABS(L368-SEM!$C$34)</f>
        <v>7.3934241760086223</v>
      </c>
      <c r="P368">
        <f t="shared" si="6"/>
        <v>36.200000000000003</v>
      </c>
    </row>
    <row r="369" spans="10:16">
      <c r="J369" s="5"/>
      <c r="L369">
        <f>SEM!M369</f>
        <v>-0.356949874</v>
      </c>
      <c r="M369">
        <f>SEM!N369</f>
        <v>36.299999999999997</v>
      </c>
      <c r="O369">
        <f>ABS(L369-SEM!$C$34)</f>
        <v>7.4011819780086228</v>
      </c>
      <c r="P369">
        <f t="shared" si="6"/>
        <v>36.299999999999997</v>
      </c>
    </row>
    <row r="370" spans="10:16">
      <c r="J370" s="5"/>
      <c r="L370">
        <f>SEM!M370</f>
        <v>-0.34919207200000002</v>
      </c>
      <c r="M370">
        <f>SEM!N370</f>
        <v>36.4</v>
      </c>
      <c r="O370">
        <f>ABS(L370-SEM!$C$34)</f>
        <v>7.4089397800086223</v>
      </c>
      <c r="P370">
        <f t="shared" si="6"/>
        <v>36.4</v>
      </c>
    </row>
    <row r="371" spans="10:16">
      <c r="J371" s="5"/>
      <c r="L371">
        <f>SEM!M371</f>
        <v>-0.34376233</v>
      </c>
      <c r="M371">
        <f>SEM!N371</f>
        <v>36.5</v>
      </c>
      <c r="O371">
        <f>ABS(L371-SEM!$C$34)</f>
        <v>7.4143695220086228</v>
      </c>
      <c r="P371">
        <f t="shared" si="6"/>
        <v>36.5</v>
      </c>
    </row>
    <row r="372" spans="10:16">
      <c r="J372" s="5"/>
      <c r="L372">
        <f>SEM!M372</f>
        <v>-0.34311017199999999</v>
      </c>
      <c r="M372">
        <f>SEM!N372</f>
        <v>36.6</v>
      </c>
      <c r="O372">
        <f>ABS(L372-SEM!$C$34)</f>
        <v>7.4150216800086222</v>
      </c>
      <c r="P372">
        <f t="shared" si="6"/>
        <v>36.6</v>
      </c>
    </row>
    <row r="373" spans="10:16">
      <c r="J373" s="5"/>
      <c r="L373">
        <f>SEM!M373</f>
        <v>-0.34245801399999998</v>
      </c>
      <c r="M373">
        <f>SEM!N373</f>
        <v>36.700000000000003</v>
      </c>
      <c r="O373">
        <f>ABS(L373-SEM!$C$34)</f>
        <v>7.4156738380086225</v>
      </c>
      <c r="P373">
        <f t="shared" si="6"/>
        <v>36.700000000000003</v>
      </c>
    </row>
    <row r="374" spans="10:16">
      <c r="J374" s="5"/>
      <c r="L374">
        <f>SEM!M374</f>
        <v>-0.341493712</v>
      </c>
      <c r="M374">
        <f>SEM!N374</f>
        <v>36.799999999999997</v>
      </c>
      <c r="O374">
        <f>ABS(L374-SEM!$C$34)</f>
        <v>7.4166381400086223</v>
      </c>
      <c r="P374">
        <f t="shared" si="6"/>
        <v>36.799999999999997</v>
      </c>
    </row>
    <row r="375" spans="10:16">
      <c r="J375" s="5"/>
      <c r="L375">
        <f>SEM!M375</f>
        <v>-0.34018939599999998</v>
      </c>
      <c r="M375">
        <f>SEM!N375</f>
        <v>36.9</v>
      </c>
      <c r="O375">
        <f>ABS(L375-SEM!$C$34)</f>
        <v>7.4179424560086229</v>
      </c>
      <c r="P375">
        <f t="shared" si="6"/>
        <v>36.9</v>
      </c>
    </row>
    <row r="376" spans="10:16">
      <c r="J376" s="5"/>
      <c r="L376">
        <f>SEM!M376</f>
        <v>-0.33888508000000001</v>
      </c>
      <c r="M376">
        <f>SEM!N376</f>
        <v>37</v>
      </c>
      <c r="O376">
        <f>ABS(L376-SEM!$C$34)</f>
        <v>7.4192467720086226</v>
      </c>
      <c r="P376">
        <f t="shared" si="6"/>
        <v>37</v>
      </c>
    </row>
    <row r="377" spans="10:16">
      <c r="J377" s="5"/>
      <c r="L377">
        <f>SEM!M377</f>
        <v>-0.33719865500000001</v>
      </c>
      <c r="M377">
        <f>SEM!N377</f>
        <v>37.1</v>
      </c>
      <c r="O377">
        <f>ABS(L377-SEM!$C$34)</f>
        <v>7.4209331970086225</v>
      </c>
      <c r="P377">
        <f t="shared" si="6"/>
        <v>37.1</v>
      </c>
    </row>
    <row r="378" spans="10:16">
      <c r="J378" s="5"/>
      <c r="L378">
        <f>SEM!M378</f>
        <v>-0.33528745999999998</v>
      </c>
      <c r="M378">
        <f>SEM!N378</f>
        <v>37.200000000000003</v>
      </c>
      <c r="O378">
        <f>ABS(L378-SEM!$C$34)</f>
        <v>7.4228443920086224</v>
      </c>
      <c r="P378">
        <f t="shared" si="6"/>
        <v>37.200000000000003</v>
      </c>
    </row>
    <row r="379" spans="10:16">
      <c r="J379" s="5"/>
      <c r="L379">
        <f>SEM!M379</f>
        <v>-0.333376265</v>
      </c>
      <c r="M379">
        <f>SEM!N379</f>
        <v>37.299999999999997</v>
      </c>
      <c r="O379">
        <f>ABS(L379-SEM!$C$34)</f>
        <v>7.4247555870086224</v>
      </c>
      <c r="P379">
        <f t="shared" si="6"/>
        <v>37.299999999999997</v>
      </c>
    </row>
    <row r="380" spans="10:16">
      <c r="J380" s="5"/>
      <c r="L380">
        <f>SEM!M380</f>
        <v>-0.33142972399999998</v>
      </c>
      <c r="M380">
        <f>SEM!N380</f>
        <v>37.4</v>
      </c>
      <c r="O380">
        <f>ABS(L380-SEM!$C$34)</f>
        <v>7.4267021280086221</v>
      </c>
      <c r="P380">
        <f t="shared" si="6"/>
        <v>37.4</v>
      </c>
    </row>
    <row r="381" spans="10:16">
      <c r="J381" s="5"/>
      <c r="L381">
        <f>SEM!M381</f>
        <v>-0.32947325</v>
      </c>
      <c r="M381">
        <f>SEM!N381</f>
        <v>37.5</v>
      </c>
      <c r="O381">
        <f>ABS(L381-SEM!$C$34)</f>
        <v>7.428658602008622</v>
      </c>
      <c r="P381">
        <f t="shared" si="6"/>
        <v>37.5</v>
      </c>
    </row>
    <row r="382" spans="10:16">
      <c r="J382" s="5"/>
      <c r="L382">
        <f>SEM!M382</f>
        <v>-0.32751677600000001</v>
      </c>
      <c r="M382">
        <f>SEM!N382</f>
        <v>37.6</v>
      </c>
      <c r="O382">
        <f>ABS(L382-SEM!$C$34)</f>
        <v>7.430615076008622</v>
      </c>
      <c r="P382">
        <f t="shared" si="6"/>
        <v>37.6</v>
      </c>
    </row>
    <row r="383" spans="10:16">
      <c r="J383" s="5"/>
      <c r="L383">
        <f>SEM!M383</f>
        <v>-0.32234850799999998</v>
      </c>
      <c r="M383">
        <f>SEM!N383</f>
        <v>37.700000000000003</v>
      </c>
      <c r="O383">
        <f>ABS(L383-SEM!$C$34)</f>
        <v>7.4357833440086223</v>
      </c>
      <c r="P383">
        <f t="shared" si="6"/>
        <v>37.700000000000003</v>
      </c>
    </row>
    <row r="384" spans="10:16">
      <c r="J384" s="5"/>
      <c r="L384">
        <f>SEM!M384</f>
        <v>-0.31694451200000001</v>
      </c>
      <c r="M384">
        <f>SEM!N384</f>
        <v>37.799999999999997</v>
      </c>
      <c r="O384">
        <f>ABS(L384-SEM!$C$34)</f>
        <v>7.4411873400086224</v>
      </c>
      <c r="P384">
        <f t="shared" si="6"/>
        <v>37.799999999999997</v>
      </c>
    </row>
    <row r="385" spans="10:16">
      <c r="J385" s="5"/>
      <c r="L385">
        <f>SEM!M385</f>
        <v>-0.31198511499999998</v>
      </c>
      <c r="M385">
        <f>SEM!N385</f>
        <v>37.9</v>
      </c>
      <c r="O385">
        <f>ABS(L385-SEM!$C$34)</f>
        <v>7.4461467370086227</v>
      </c>
      <c r="P385">
        <f t="shared" si="6"/>
        <v>37.9</v>
      </c>
    </row>
    <row r="386" spans="10:16">
      <c r="J386" s="5"/>
      <c r="L386">
        <f>SEM!M386</f>
        <v>-0.31196230000000003</v>
      </c>
      <c r="M386">
        <f>SEM!N386</f>
        <v>38</v>
      </c>
      <c r="O386">
        <f>ABS(L386-SEM!$C$34)</f>
        <v>7.4461695520086222</v>
      </c>
      <c r="P386">
        <f t="shared" si="6"/>
        <v>38</v>
      </c>
    </row>
    <row r="387" spans="10:16">
      <c r="J387" s="5"/>
      <c r="L387">
        <f>SEM!M387</f>
        <v>-0.31193948500000002</v>
      </c>
      <c r="M387">
        <f>SEM!N387</f>
        <v>38.1</v>
      </c>
      <c r="O387">
        <f>ABS(L387-SEM!$C$34)</f>
        <v>7.4461923670086225</v>
      </c>
      <c r="P387">
        <f t="shared" si="6"/>
        <v>38.1</v>
      </c>
    </row>
    <row r="388" spans="10:16">
      <c r="J388" s="5"/>
      <c r="L388">
        <f>SEM!M388</f>
        <v>-0.311470262</v>
      </c>
      <c r="M388">
        <f>SEM!N388</f>
        <v>38.200000000000003</v>
      </c>
      <c r="O388">
        <f>ABS(L388-SEM!$C$34)</f>
        <v>7.4466615900086222</v>
      </c>
      <c r="P388">
        <f t="shared" si="6"/>
        <v>38.200000000000003</v>
      </c>
    </row>
    <row r="389" spans="10:16">
      <c r="J389" s="5"/>
      <c r="L389">
        <f>SEM!M389</f>
        <v>-0.30953660300000002</v>
      </c>
      <c r="M389">
        <f>SEM!N389</f>
        <v>38.299999999999997</v>
      </c>
      <c r="O389">
        <f>ABS(L389-SEM!$C$34)</f>
        <v>7.4485952490086227</v>
      </c>
      <c r="P389">
        <f t="shared" si="6"/>
        <v>38.299999999999997</v>
      </c>
    </row>
    <row r="390" spans="10:16">
      <c r="J390" s="5"/>
      <c r="L390">
        <f>SEM!M390</f>
        <v>-0.30760294399999999</v>
      </c>
      <c r="M390">
        <f>SEM!N390</f>
        <v>38.4</v>
      </c>
      <c r="O390">
        <f>ABS(L390-SEM!$C$34)</f>
        <v>7.4505289080086223</v>
      </c>
      <c r="P390">
        <f t="shared" si="6"/>
        <v>38.4</v>
      </c>
    </row>
    <row r="391" spans="10:16">
      <c r="J391" s="5"/>
      <c r="L391">
        <f>SEM!M391</f>
        <v>-0.30566915</v>
      </c>
      <c r="M391">
        <f>SEM!N391</f>
        <v>38.5</v>
      </c>
      <c r="O391">
        <f>ABS(L391-SEM!$C$34)</f>
        <v>7.4524627020086225</v>
      </c>
      <c r="P391">
        <f t="shared" ref="P391:P454" si="7">M391</f>
        <v>38.5</v>
      </c>
    </row>
    <row r="392" spans="10:16">
      <c r="J392" s="5"/>
      <c r="L392">
        <f>SEM!M392</f>
        <v>-0.30373514000000001</v>
      </c>
      <c r="M392">
        <f>SEM!N392</f>
        <v>38.6</v>
      </c>
      <c r="O392">
        <f>ABS(L392-SEM!$C$34)</f>
        <v>7.4543967120086227</v>
      </c>
      <c r="P392">
        <f t="shared" si="7"/>
        <v>38.6</v>
      </c>
    </row>
    <row r="393" spans="10:16">
      <c r="J393" s="5"/>
      <c r="L393">
        <f>SEM!M393</f>
        <v>-0.30180112999999997</v>
      </c>
      <c r="M393">
        <f>SEM!N393</f>
        <v>38.700000000000003</v>
      </c>
      <c r="O393">
        <f>ABS(L393-SEM!$C$34)</f>
        <v>7.4563307220086221</v>
      </c>
      <c r="P393">
        <f t="shared" si="7"/>
        <v>38.700000000000003</v>
      </c>
    </row>
    <row r="394" spans="10:16">
      <c r="J394" s="5"/>
      <c r="L394">
        <f>SEM!M394</f>
        <v>-0.30020439199999999</v>
      </c>
      <c r="M394">
        <f>SEM!N394</f>
        <v>38.799999999999997</v>
      </c>
      <c r="O394">
        <f>ABS(L394-SEM!$C$34)</f>
        <v>7.4579274600086221</v>
      </c>
      <c r="P394">
        <f t="shared" si="7"/>
        <v>38.799999999999997</v>
      </c>
    </row>
    <row r="395" spans="10:16">
      <c r="J395" s="5"/>
      <c r="L395">
        <f>SEM!M395</f>
        <v>-0.29890007600000001</v>
      </c>
      <c r="M395">
        <f>SEM!N395</f>
        <v>38.9</v>
      </c>
      <c r="O395">
        <f>ABS(L395-SEM!$C$34)</f>
        <v>7.4592317760086226</v>
      </c>
      <c r="P395">
        <f t="shared" si="7"/>
        <v>38.9</v>
      </c>
    </row>
    <row r="396" spans="10:16">
      <c r="J396" s="5"/>
      <c r="L396">
        <f>SEM!M396</f>
        <v>-0.29759575999999999</v>
      </c>
      <c r="M396">
        <f>SEM!N396</f>
        <v>39</v>
      </c>
      <c r="O396">
        <f>ABS(L396-SEM!$C$34)</f>
        <v>7.4605360920086223</v>
      </c>
      <c r="P396">
        <f t="shared" si="7"/>
        <v>39</v>
      </c>
    </row>
    <row r="397" spans="10:16">
      <c r="J397" s="5"/>
      <c r="L397">
        <f>SEM!M397</f>
        <v>-0.29675488700000002</v>
      </c>
      <c r="M397">
        <f>SEM!N397</f>
        <v>39.1</v>
      </c>
      <c r="O397">
        <f>ABS(L397-SEM!$C$34)</f>
        <v>7.4613769650086228</v>
      </c>
      <c r="P397">
        <f t="shared" si="7"/>
        <v>39.1</v>
      </c>
    </row>
    <row r="398" spans="10:16">
      <c r="J398" s="5"/>
      <c r="L398">
        <f>SEM!M398</f>
        <v>-0.29612554400000002</v>
      </c>
      <c r="M398">
        <f>SEM!N398</f>
        <v>39.200000000000003</v>
      </c>
      <c r="O398">
        <f>ABS(L398-SEM!$C$34)</f>
        <v>7.4620063080086227</v>
      </c>
      <c r="P398">
        <f t="shared" si="7"/>
        <v>39.200000000000003</v>
      </c>
    </row>
    <row r="399" spans="10:16">
      <c r="J399" s="5"/>
      <c r="L399">
        <f>SEM!M399</f>
        <v>-0.29549620100000001</v>
      </c>
      <c r="M399">
        <f>SEM!N399</f>
        <v>39.299999999999997</v>
      </c>
      <c r="O399">
        <f>ABS(L399-SEM!$C$34)</f>
        <v>7.4626356510086227</v>
      </c>
      <c r="P399">
        <f t="shared" si="7"/>
        <v>39.299999999999997</v>
      </c>
    </row>
    <row r="400" spans="10:16">
      <c r="J400" s="5"/>
      <c r="L400">
        <f>SEM!M400</f>
        <v>-0.29377435400000002</v>
      </c>
      <c r="M400">
        <f>SEM!N400</f>
        <v>39.4</v>
      </c>
      <c r="O400">
        <f>ABS(L400-SEM!$C$34)</f>
        <v>7.4643574980086225</v>
      </c>
      <c r="P400">
        <f t="shared" si="7"/>
        <v>39.4</v>
      </c>
    </row>
    <row r="401" spans="10:16">
      <c r="J401" s="5"/>
      <c r="L401">
        <f>SEM!M401</f>
        <v>-0.29184069499999998</v>
      </c>
      <c r="M401">
        <f>SEM!N401</f>
        <v>39.5</v>
      </c>
      <c r="O401">
        <f>ABS(L401-SEM!$C$34)</f>
        <v>7.4662911570086221</v>
      </c>
      <c r="P401">
        <f t="shared" si="7"/>
        <v>39.5</v>
      </c>
    </row>
    <row r="402" spans="10:16">
      <c r="J402" s="5"/>
      <c r="L402">
        <f>SEM!M402</f>
        <v>-0.28990703600000001</v>
      </c>
      <c r="M402">
        <f>SEM!N402</f>
        <v>39.6</v>
      </c>
      <c r="O402">
        <f>ABS(L402-SEM!$C$34)</f>
        <v>7.4682248160086226</v>
      </c>
      <c r="P402">
        <f t="shared" si="7"/>
        <v>39.6</v>
      </c>
    </row>
    <row r="403" spans="10:16">
      <c r="J403" s="5"/>
      <c r="L403">
        <f>SEM!M403</f>
        <v>-0.287950822</v>
      </c>
      <c r="M403">
        <f>SEM!N403</f>
        <v>39.700000000000003</v>
      </c>
      <c r="O403">
        <f>ABS(L403-SEM!$C$34)</f>
        <v>7.4701810300086224</v>
      </c>
      <c r="P403">
        <f t="shared" si="7"/>
        <v>39.700000000000003</v>
      </c>
    </row>
    <row r="404" spans="10:16">
      <c r="J404" s="5"/>
      <c r="L404">
        <f>SEM!M404</f>
        <v>-0.28599434800000001</v>
      </c>
      <c r="M404">
        <f>SEM!N404</f>
        <v>39.799999999999997</v>
      </c>
      <c r="O404">
        <f>ABS(L404-SEM!$C$34)</f>
        <v>7.4721375040086224</v>
      </c>
      <c r="P404">
        <f t="shared" si="7"/>
        <v>39.799999999999997</v>
      </c>
    </row>
    <row r="405" spans="10:16">
      <c r="J405" s="5"/>
      <c r="L405">
        <f>SEM!M405</f>
        <v>-0.28409647799999999</v>
      </c>
      <c r="M405">
        <f>SEM!N405</f>
        <v>39.9</v>
      </c>
      <c r="O405">
        <f>ABS(L405-SEM!$C$34)</f>
        <v>7.4740353740086221</v>
      </c>
      <c r="P405">
        <f t="shared" si="7"/>
        <v>39.9</v>
      </c>
    </row>
    <row r="406" spans="10:16">
      <c r="J406" s="5"/>
      <c r="L406">
        <f>SEM!M406</f>
        <v>-0.28255980000000003</v>
      </c>
      <c r="M406">
        <f>SEM!N406</f>
        <v>40</v>
      </c>
      <c r="O406">
        <f>ABS(L406-SEM!$C$34)</f>
        <v>7.4755720520086228</v>
      </c>
      <c r="P406">
        <f t="shared" si="7"/>
        <v>40</v>
      </c>
    </row>
    <row r="407" spans="10:16">
      <c r="J407" s="5"/>
      <c r="L407">
        <f>SEM!M407</f>
        <v>-0.28102312200000001</v>
      </c>
      <c r="M407">
        <f>SEM!N407</f>
        <v>40.1</v>
      </c>
      <c r="O407">
        <f>ABS(L407-SEM!$C$34)</f>
        <v>7.4771087300086228</v>
      </c>
      <c r="P407">
        <f t="shared" si="7"/>
        <v>40.1</v>
      </c>
    </row>
    <row r="408" spans="10:16">
      <c r="J408" s="5"/>
      <c r="L408">
        <f>SEM!M408</f>
        <v>-0.27937108199999999</v>
      </c>
      <c r="M408">
        <f>SEM!N408</f>
        <v>40.200000000000003</v>
      </c>
      <c r="O408">
        <f>ABS(L408-SEM!$C$34)</f>
        <v>7.4787607700086225</v>
      </c>
      <c r="P408">
        <f t="shared" si="7"/>
        <v>40.200000000000003</v>
      </c>
    </row>
    <row r="409" spans="10:16">
      <c r="J409" s="5"/>
      <c r="L409">
        <f>SEM!M409</f>
        <v>-0.27743742300000002</v>
      </c>
      <c r="M409">
        <f>SEM!N409</f>
        <v>40.299999999999997</v>
      </c>
      <c r="O409">
        <f>ABS(L409-SEM!$C$34)</f>
        <v>7.4806944290086221</v>
      </c>
      <c r="P409">
        <f t="shared" si="7"/>
        <v>40.299999999999997</v>
      </c>
    </row>
    <row r="410" spans="10:16">
      <c r="J410" s="5"/>
      <c r="L410">
        <f>SEM!M410</f>
        <v>-0.27550376399999998</v>
      </c>
      <c r="M410">
        <f>SEM!N410</f>
        <v>40.4</v>
      </c>
      <c r="O410">
        <f>ABS(L410-SEM!$C$34)</f>
        <v>7.4826280880086227</v>
      </c>
      <c r="P410">
        <f t="shared" si="7"/>
        <v>40.4</v>
      </c>
    </row>
    <row r="411" spans="10:16">
      <c r="J411" s="5"/>
      <c r="L411">
        <f>SEM!M411</f>
        <v>-0.27356995000000001</v>
      </c>
      <c r="M411">
        <f>SEM!N411</f>
        <v>40.5</v>
      </c>
      <c r="O411">
        <f>ABS(L411-SEM!$C$34)</f>
        <v>7.4845619020086227</v>
      </c>
      <c r="P411">
        <f t="shared" si="7"/>
        <v>40.5</v>
      </c>
    </row>
    <row r="412" spans="10:16">
      <c r="J412" s="5"/>
      <c r="L412">
        <f>SEM!M412</f>
        <v>-0.27163594000000002</v>
      </c>
      <c r="M412">
        <f>SEM!N412</f>
        <v>40.6</v>
      </c>
      <c r="O412">
        <f>ABS(L412-SEM!$C$34)</f>
        <v>7.4864959120086221</v>
      </c>
      <c r="P412">
        <f t="shared" si="7"/>
        <v>40.6</v>
      </c>
    </row>
    <row r="413" spans="10:16">
      <c r="J413" s="5"/>
      <c r="L413">
        <f>SEM!M413</f>
        <v>-0.26970192999999998</v>
      </c>
      <c r="M413">
        <f>SEM!N413</f>
        <v>40.700000000000003</v>
      </c>
      <c r="O413">
        <f>ABS(L413-SEM!$C$34)</f>
        <v>7.4884299220086223</v>
      </c>
      <c r="P413">
        <f t="shared" si="7"/>
        <v>40.700000000000003</v>
      </c>
    </row>
    <row r="414" spans="10:16">
      <c r="J414" s="5"/>
      <c r="L414">
        <f>SEM!M414</f>
        <v>-0.26867875200000002</v>
      </c>
      <c r="M414">
        <f>SEM!N414</f>
        <v>40.799999999999997</v>
      </c>
      <c r="O414">
        <f>ABS(L414-SEM!$C$34)</f>
        <v>7.4894531000086229</v>
      </c>
      <c r="P414">
        <f t="shared" si="7"/>
        <v>40.799999999999997</v>
      </c>
    </row>
    <row r="415" spans="10:16">
      <c r="J415" s="5"/>
      <c r="L415">
        <f>SEM!M415</f>
        <v>-0.268281771</v>
      </c>
      <c r="M415">
        <f>SEM!N415</f>
        <v>40.9</v>
      </c>
      <c r="O415">
        <f>ABS(L415-SEM!$C$34)</f>
        <v>7.4898500810086226</v>
      </c>
      <c r="P415">
        <f t="shared" si="7"/>
        <v>40.9</v>
      </c>
    </row>
    <row r="416" spans="10:16">
      <c r="J416" s="5"/>
      <c r="L416">
        <f>SEM!M416</f>
        <v>-0.26788478999999998</v>
      </c>
      <c r="M416">
        <f>SEM!N416</f>
        <v>41</v>
      </c>
      <c r="O416">
        <f>ABS(L416-SEM!$C$34)</f>
        <v>7.4902470620086223</v>
      </c>
      <c r="P416">
        <f t="shared" si="7"/>
        <v>41</v>
      </c>
    </row>
    <row r="417" spans="10:16">
      <c r="J417" s="5"/>
      <c r="L417">
        <f>SEM!M417</f>
        <v>-0.26778299999999999</v>
      </c>
      <c r="M417">
        <f>SEM!N417</f>
        <v>41.1</v>
      </c>
      <c r="O417">
        <f>ABS(L417-SEM!$C$34)</f>
        <v>7.4903488520086228</v>
      </c>
      <c r="P417">
        <f t="shared" si="7"/>
        <v>41.1</v>
      </c>
    </row>
    <row r="418" spans="10:16">
      <c r="J418" s="5"/>
      <c r="L418">
        <f>SEM!M418</f>
        <v>-0.26778299999999999</v>
      </c>
      <c r="M418">
        <f>SEM!N418</f>
        <v>41.2</v>
      </c>
      <c r="O418">
        <f>ABS(L418-SEM!$C$34)</f>
        <v>7.4903488520086228</v>
      </c>
      <c r="P418">
        <f t="shared" si="7"/>
        <v>41.2</v>
      </c>
    </row>
    <row r="419" spans="10:16">
      <c r="J419" s="5"/>
      <c r="L419">
        <f>SEM!M419</f>
        <v>-0.26778299999999999</v>
      </c>
      <c r="M419">
        <f>SEM!N419</f>
        <v>41.3</v>
      </c>
      <c r="O419">
        <f>ABS(L419-SEM!$C$34)</f>
        <v>7.4903488520086228</v>
      </c>
      <c r="P419">
        <f t="shared" si="7"/>
        <v>41.3</v>
      </c>
    </row>
    <row r="420" spans="10:16">
      <c r="J420" s="5"/>
      <c r="L420">
        <f>SEM!M420</f>
        <v>-0.26640830799999998</v>
      </c>
      <c r="M420">
        <f>SEM!N420</f>
        <v>41.4</v>
      </c>
      <c r="O420">
        <f>ABS(L420-SEM!$C$34)</f>
        <v>7.4917235440086225</v>
      </c>
      <c r="P420">
        <f t="shared" si="7"/>
        <v>41.4</v>
      </c>
    </row>
    <row r="421" spans="10:16">
      <c r="J421" s="5"/>
      <c r="L421">
        <f>SEM!M421</f>
        <v>-0.26487163000000002</v>
      </c>
      <c r="M421">
        <f>SEM!N421</f>
        <v>41.5</v>
      </c>
      <c r="O421">
        <f>ABS(L421-SEM!$C$34)</f>
        <v>7.4932602220086224</v>
      </c>
      <c r="P421">
        <f t="shared" si="7"/>
        <v>41.5</v>
      </c>
    </row>
    <row r="422" spans="10:16">
      <c r="J422" s="5"/>
      <c r="L422">
        <f>SEM!M422</f>
        <v>-0.26331685599999999</v>
      </c>
      <c r="M422">
        <f>SEM!N422</f>
        <v>41.6</v>
      </c>
      <c r="O422">
        <f>ABS(L422-SEM!$C$34)</f>
        <v>7.4948149960086221</v>
      </c>
      <c r="P422">
        <f t="shared" si="7"/>
        <v>41.6</v>
      </c>
    </row>
    <row r="423" spans="10:16">
      <c r="J423" s="5"/>
      <c r="L423">
        <f>SEM!M423</f>
        <v>-0.26138319700000001</v>
      </c>
      <c r="M423">
        <f>SEM!N423</f>
        <v>41.7</v>
      </c>
      <c r="O423">
        <f>ABS(L423-SEM!$C$34)</f>
        <v>7.4967486550086226</v>
      </c>
      <c r="P423">
        <f t="shared" si="7"/>
        <v>41.7</v>
      </c>
    </row>
    <row r="424" spans="10:16">
      <c r="J424" s="5"/>
      <c r="L424">
        <f>SEM!M424</f>
        <v>-0.25944953799999998</v>
      </c>
      <c r="M424">
        <f>SEM!N424</f>
        <v>41.8</v>
      </c>
      <c r="O424">
        <f>ABS(L424-SEM!$C$34)</f>
        <v>7.4986823140086223</v>
      </c>
      <c r="P424">
        <f t="shared" si="7"/>
        <v>41.8</v>
      </c>
    </row>
    <row r="425" spans="10:16">
      <c r="J425" s="5"/>
      <c r="L425">
        <f>SEM!M425</f>
        <v>-0.25789151500000002</v>
      </c>
      <c r="M425">
        <f>SEM!N425</f>
        <v>41.9</v>
      </c>
      <c r="O425">
        <f>ABS(L425-SEM!$C$34)</f>
        <v>7.5002403370086226</v>
      </c>
      <c r="P425">
        <f t="shared" si="7"/>
        <v>41.9</v>
      </c>
    </row>
    <row r="426" spans="10:16">
      <c r="J426" s="5"/>
      <c r="L426">
        <f>SEM!M426</f>
        <v>-0.25786870000000001</v>
      </c>
      <c r="M426">
        <f>SEM!N426</f>
        <v>42</v>
      </c>
      <c r="O426">
        <f>ABS(L426-SEM!$C$34)</f>
        <v>7.500263152008622</v>
      </c>
      <c r="P426">
        <f t="shared" si="7"/>
        <v>42</v>
      </c>
    </row>
    <row r="427" spans="10:16">
      <c r="J427" s="5"/>
      <c r="L427">
        <f>SEM!M427</f>
        <v>-0.257845885</v>
      </c>
      <c r="M427">
        <f>SEM!N427</f>
        <v>42.1</v>
      </c>
      <c r="O427">
        <f>ABS(L427-SEM!$C$34)</f>
        <v>7.5002859670086224</v>
      </c>
      <c r="P427">
        <f t="shared" si="7"/>
        <v>42.1</v>
      </c>
    </row>
    <row r="428" spans="10:16">
      <c r="J428" s="5"/>
      <c r="L428">
        <f>SEM!M428</f>
        <v>-0.25603333</v>
      </c>
      <c r="M428">
        <f>SEM!N428</f>
        <v>42.2</v>
      </c>
      <c r="O428">
        <f>ABS(L428-SEM!$C$34)</f>
        <v>7.5020985220086223</v>
      </c>
      <c r="P428">
        <f t="shared" si="7"/>
        <v>42.2</v>
      </c>
    </row>
    <row r="429" spans="10:16">
      <c r="J429" s="5"/>
      <c r="L429">
        <f>SEM!M429</f>
        <v>-0.25086134500000001</v>
      </c>
      <c r="M429">
        <f>SEM!N429</f>
        <v>42.3</v>
      </c>
      <c r="O429">
        <f>ABS(L429-SEM!$C$34)</f>
        <v>7.5072705070086228</v>
      </c>
      <c r="P429">
        <f t="shared" si="7"/>
        <v>42.3</v>
      </c>
    </row>
    <row r="430" spans="10:16">
      <c r="J430" s="5"/>
      <c r="L430">
        <f>SEM!M430</f>
        <v>-0.24568936</v>
      </c>
      <c r="M430">
        <f>SEM!N430</f>
        <v>42.4</v>
      </c>
      <c r="O430">
        <f>ABS(L430-SEM!$C$34)</f>
        <v>7.5124424920086224</v>
      </c>
      <c r="P430">
        <f t="shared" si="7"/>
        <v>42.4</v>
      </c>
    </row>
    <row r="431" spans="10:16">
      <c r="J431" s="5"/>
      <c r="L431">
        <f>SEM!M431</f>
        <v>-0.24181815000000001</v>
      </c>
      <c r="M431">
        <f>SEM!N431</f>
        <v>42.5</v>
      </c>
      <c r="O431">
        <f>ABS(L431-SEM!$C$34)</f>
        <v>7.5163137020086221</v>
      </c>
      <c r="P431">
        <f t="shared" si="7"/>
        <v>42.5</v>
      </c>
    </row>
    <row r="432" spans="10:16">
      <c r="J432" s="5"/>
      <c r="L432">
        <f>SEM!M432</f>
        <v>-0.239255148</v>
      </c>
      <c r="M432">
        <f>SEM!N432</f>
        <v>42.6</v>
      </c>
      <c r="O432">
        <f>ABS(L432-SEM!$C$34)</f>
        <v>7.5188767040086226</v>
      </c>
      <c r="P432">
        <f t="shared" si="7"/>
        <v>42.6</v>
      </c>
    </row>
    <row r="433" spans="10:16">
      <c r="J433" s="5"/>
      <c r="L433">
        <f>SEM!M433</f>
        <v>-0.23669214599999999</v>
      </c>
      <c r="M433">
        <f>SEM!N433</f>
        <v>42.7</v>
      </c>
      <c r="O433">
        <f>ABS(L433-SEM!$C$34)</f>
        <v>7.5214397060086222</v>
      </c>
      <c r="P433">
        <f t="shared" si="7"/>
        <v>42.7</v>
      </c>
    </row>
    <row r="434" spans="10:16">
      <c r="J434" s="5"/>
      <c r="L434">
        <f>SEM!M434</f>
        <v>-0.23520462</v>
      </c>
      <c r="M434">
        <f>SEM!N434</f>
        <v>42.8</v>
      </c>
      <c r="O434">
        <f>ABS(L434-SEM!$C$34)</f>
        <v>7.5229272320086222</v>
      </c>
      <c r="P434">
        <f t="shared" si="7"/>
        <v>42.8</v>
      </c>
    </row>
    <row r="435" spans="10:16">
      <c r="J435" s="5"/>
      <c r="L435">
        <f>SEM!M435</f>
        <v>-0.23429728499999999</v>
      </c>
      <c r="M435">
        <f>SEM!N435</f>
        <v>42.9</v>
      </c>
      <c r="O435">
        <f>ABS(L435-SEM!$C$34)</f>
        <v>7.5238345670086222</v>
      </c>
      <c r="P435">
        <f t="shared" si="7"/>
        <v>42.9</v>
      </c>
    </row>
    <row r="436" spans="10:16">
      <c r="J436" s="5"/>
      <c r="L436">
        <f>SEM!M436</f>
        <v>-0.23338995000000001</v>
      </c>
      <c r="M436">
        <f>SEM!N436</f>
        <v>43</v>
      </c>
      <c r="O436">
        <f>ABS(L436-SEM!$C$34)</f>
        <v>7.5247419020086221</v>
      </c>
      <c r="P436">
        <f t="shared" si="7"/>
        <v>43</v>
      </c>
    </row>
    <row r="437" spans="10:16">
      <c r="J437" s="5"/>
      <c r="L437">
        <f>SEM!M437</f>
        <v>-0.232686902</v>
      </c>
      <c r="M437">
        <f>SEM!N437</f>
        <v>43.1</v>
      </c>
      <c r="O437">
        <f>ABS(L437-SEM!$C$34)</f>
        <v>7.5254449500086222</v>
      </c>
      <c r="P437">
        <f t="shared" si="7"/>
        <v>43.1</v>
      </c>
    </row>
    <row r="438" spans="10:16">
      <c r="J438" s="5"/>
      <c r="L438">
        <f>SEM!M438</f>
        <v>-0.23203474399999999</v>
      </c>
      <c r="M438">
        <f>SEM!N438</f>
        <v>43.2</v>
      </c>
      <c r="O438">
        <f>ABS(L438-SEM!$C$34)</f>
        <v>7.5260971080086225</v>
      </c>
      <c r="P438">
        <f t="shared" si="7"/>
        <v>43.2</v>
      </c>
    </row>
    <row r="439" spans="10:16">
      <c r="J439" s="5"/>
      <c r="L439">
        <f>SEM!M439</f>
        <v>-0.231382586</v>
      </c>
      <c r="M439">
        <f>SEM!N439</f>
        <v>43.3</v>
      </c>
      <c r="O439">
        <f>ABS(L439-SEM!$C$34)</f>
        <v>7.5267492660086228</v>
      </c>
      <c r="P439">
        <f t="shared" si="7"/>
        <v>43.3</v>
      </c>
    </row>
    <row r="440" spans="10:16">
      <c r="J440" s="5"/>
      <c r="L440">
        <f>SEM!M440</f>
        <v>-0.229132906</v>
      </c>
      <c r="M440">
        <f>SEM!N440</f>
        <v>43.4</v>
      </c>
      <c r="O440">
        <f>ABS(L440-SEM!$C$34)</f>
        <v>7.5289989460086222</v>
      </c>
      <c r="P440">
        <f t="shared" si="7"/>
        <v>43.4</v>
      </c>
    </row>
    <row r="441" spans="10:16">
      <c r="J441" s="5"/>
      <c r="L441">
        <f>SEM!M441</f>
        <v>-0.22680191499999999</v>
      </c>
      <c r="M441">
        <f>SEM!N441</f>
        <v>43.5</v>
      </c>
      <c r="O441">
        <f>ABS(L441-SEM!$C$34)</f>
        <v>7.5313299370086222</v>
      </c>
      <c r="P441">
        <f t="shared" si="7"/>
        <v>43.5</v>
      </c>
    </row>
    <row r="442" spans="10:16">
      <c r="J442" s="5"/>
      <c r="L442">
        <f>SEM!M442</f>
        <v>-0.22470999999999999</v>
      </c>
      <c r="M442">
        <f>SEM!N442</f>
        <v>43.6</v>
      </c>
      <c r="O442">
        <f>ABS(L442-SEM!$C$34)</f>
        <v>7.5334218520086225</v>
      </c>
      <c r="P442">
        <f t="shared" si="7"/>
        <v>43.6</v>
      </c>
    </row>
    <row r="443" spans="10:16">
      <c r="J443" s="5"/>
      <c r="L443">
        <f>SEM!M443</f>
        <v>-0.22470999999999999</v>
      </c>
      <c r="M443">
        <f>SEM!N443</f>
        <v>43.7</v>
      </c>
      <c r="O443">
        <f>ABS(L443-SEM!$C$34)</f>
        <v>7.5334218520086225</v>
      </c>
      <c r="P443">
        <f t="shared" si="7"/>
        <v>43.7</v>
      </c>
    </row>
    <row r="444" spans="10:16">
      <c r="J444" s="5"/>
      <c r="L444">
        <f>SEM!M444</f>
        <v>-0.22470999999999999</v>
      </c>
      <c r="M444">
        <f>SEM!N444</f>
        <v>43.8</v>
      </c>
      <c r="O444">
        <f>ABS(L444-SEM!$C$34)</f>
        <v>7.5334218520086225</v>
      </c>
      <c r="P444">
        <f t="shared" si="7"/>
        <v>43.8</v>
      </c>
    </row>
    <row r="445" spans="10:16">
      <c r="J445" s="5"/>
      <c r="L445">
        <f>SEM!M445</f>
        <v>-0.22432044700000001</v>
      </c>
      <c r="M445">
        <f>SEM!N445</f>
        <v>43.9</v>
      </c>
      <c r="O445">
        <f>ABS(L445-SEM!$C$34)</f>
        <v>7.5338114050086222</v>
      </c>
      <c r="P445">
        <f t="shared" si="7"/>
        <v>43.9</v>
      </c>
    </row>
    <row r="446" spans="10:16">
      <c r="J446" s="5"/>
      <c r="L446">
        <f>SEM!M446</f>
        <v>-0.22278412</v>
      </c>
      <c r="M446">
        <f>SEM!N446</f>
        <v>44</v>
      </c>
      <c r="O446">
        <f>ABS(L446-SEM!$C$34)</f>
        <v>7.5353477320086224</v>
      </c>
      <c r="P446">
        <f t="shared" si="7"/>
        <v>44</v>
      </c>
    </row>
    <row r="447" spans="10:16">
      <c r="J447" s="5"/>
      <c r="L447">
        <f>SEM!M447</f>
        <v>-0.221247793</v>
      </c>
      <c r="M447">
        <f>SEM!N447</f>
        <v>44.1</v>
      </c>
      <c r="O447">
        <f>ABS(L447-SEM!$C$34)</f>
        <v>7.5368840590086226</v>
      </c>
      <c r="P447">
        <f t="shared" si="7"/>
        <v>44.1</v>
      </c>
    </row>
    <row r="448" spans="10:16">
      <c r="J448" s="5"/>
      <c r="L448">
        <f>SEM!M448</f>
        <v>-0.22017225600000001</v>
      </c>
      <c r="M448">
        <f>SEM!N448</f>
        <v>44.2</v>
      </c>
      <c r="O448">
        <f>ABS(L448-SEM!$C$34)</f>
        <v>7.5379595960086228</v>
      </c>
      <c r="P448">
        <f t="shared" si="7"/>
        <v>44.2</v>
      </c>
    </row>
    <row r="449" spans="10:16">
      <c r="J449" s="5"/>
      <c r="L449">
        <f>SEM!M449</f>
        <v>-0.21977492400000001</v>
      </c>
      <c r="M449">
        <f>SEM!N449</f>
        <v>44.3</v>
      </c>
      <c r="O449">
        <f>ABS(L449-SEM!$C$34)</f>
        <v>7.5383569280086222</v>
      </c>
      <c r="P449">
        <f t="shared" si="7"/>
        <v>44.3</v>
      </c>
    </row>
    <row r="450" spans="10:16">
      <c r="J450" s="5"/>
      <c r="L450">
        <f>SEM!M450</f>
        <v>-0.21937759200000001</v>
      </c>
      <c r="M450">
        <f>SEM!N450</f>
        <v>44.4</v>
      </c>
      <c r="O450">
        <f>ABS(L450-SEM!$C$34)</f>
        <v>7.5387542600086226</v>
      </c>
      <c r="P450">
        <f t="shared" si="7"/>
        <v>44.4</v>
      </c>
    </row>
    <row r="451" spans="10:16">
      <c r="J451" s="5"/>
      <c r="L451">
        <f>SEM!M451</f>
        <v>-0.21209676</v>
      </c>
      <c r="M451">
        <f>SEM!N451</f>
        <v>44.5</v>
      </c>
      <c r="O451">
        <f>ABS(L451-SEM!$C$34)</f>
        <v>7.5460350920086228</v>
      </c>
      <c r="P451">
        <f t="shared" si="7"/>
        <v>44.5</v>
      </c>
    </row>
    <row r="452" spans="10:16">
      <c r="J452" s="5"/>
      <c r="L452">
        <f>SEM!M452</f>
        <v>-0.199309128</v>
      </c>
      <c r="M452">
        <f>SEM!N452</f>
        <v>44.6</v>
      </c>
      <c r="O452">
        <f>ABS(L452-SEM!$C$34)</f>
        <v>7.5588227240086221</v>
      </c>
      <c r="P452">
        <f t="shared" si="7"/>
        <v>44.6</v>
      </c>
    </row>
    <row r="453" spans="10:16">
      <c r="J453" s="5"/>
      <c r="L453">
        <f>SEM!M453</f>
        <v>-0.18652149600000001</v>
      </c>
      <c r="M453">
        <f>SEM!N453</f>
        <v>44.7</v>
      </c>
      <c r="O453">
        <f>ABS(L453-SEM!$C$34)</f>
        <v>7.5716103560086223</v>
      </c>
      <c r="P453">
        <f t="shared" si="7"/>
        <v>44.7</v>
      </c>
    </row>
    <row r="454" spans="10:16">
      <c r="J454" s="5"/>
      <c r="L454">
        <f>SEM!M454</f>
        <v>-0.18248851199999999</v>
      </c>
      <c r="M454">
        <f>SEM!N454</f>
        <v>44.8</v>
      </c>
      <c r="O454">
        <f>ABS(L454-SEM!$C$34)</f>
        <v>7.5756433400086225</v>
      </c>
      <c r="P454">
        <f t="shared" si="7"/>
        <v>44.8</v>
      </c>
    </row>
    <row r="455" spans="10:16">
      <c r="J455" s="5"/>
      <c r="L455">
        <f>SEM!M455</f>
        <v>-0.182091531</v>
      </c>
      <c r="M455">
        <f>SEM!N455</f>
        <v>44.9</v>
      </c>
      <c r="O455">
        <f>ABS(L455-SEM!$C$34)</f>
        <v>7.5760403210086222</v>
      </c>
      <c r="P455">
        <f t="shared" ref="P455:P518" si="8">M455</f>
        <v>44.9</v>
      </c>
    </row>
    <row r="456" spans="10:16">
      <c r="J456" s="5"/>
      <c r="L456">
        <f>SEM!M456</f>
        <v>-0.18169455000000001</v>
      </c>
      <c r="M456">
        <f>SEM!N456</f>
        <v>45</v>
      </c>
      <c r="O456">
        <f>ABS(L456-SEM!$C$34)</f>
        <v>7.5764373020086229</v>
      </c>
      <c r="P456">
        <f t="shared" si="8"/>
        <v>45</v>
      </c>
    </row>
    <row r="457" spans="10:16">
      <c r="J457" s="5"/>
      <c r="L457">
        <f>SEM!M457</f>
        <v>-0.180538748</v>
      </c>
      <c r="M457">
        <f>SEM!N457</f>
        <v>45.1</v>
      </c>
      <c r="O457">
        <f>ABS(L457-SEM!$C$34)</f>
        <v>7.5775931040086224</v>
      </c>
      <c r="P457">
        <f t="shared" si="8"/>
        <v>45.1</v>
      </c>
    </row>
    <row r="458" spans="10:16">
      <c r="J458" s="5"/>
      <c r="L458">
        <f>SEM!M458</f>
        <v>-0.179256896</v>
      </c>
      <c r="M458">
        <f>SEM!N458</f>
        <v>45.2</v>
      </c>
      <c r="O458">
        <f>ABS(L458-SEM!$C$34)</f>
        <v>7.5788749560086224</v>
      </c>
      <c r="P458">
        <f t="shared" si="8"/>
        <v>45.2</v>
      </c>
    </row>
    <row r="459" spans="10:16">
      <c r="J459" s="5"/>
      <c r="L459">
        <f>SEM!M459</f>
        <v>-0.177980426</v>
      </c>
      <c r="M459">
        <f>SEM!N459</f>
        <v>45.3</v>
      </c>
      <c r="O459">
        <f>ABS(L459-SEM!$C$34)</f>
        <v>7.580151426008622</v>
      </c>
      <c r="P459">
        <f t="shared" si="8"/>
        <v>45.3</v>
      </c>
    </row>
    <row r="460" spans="10:16">
      <c r="J460" s="5"/>
      <c r="L460">
        <f>SEM!M460</f>
        <v>-0.17732826800000001</v>
      </c>
      <c r="M460">
        <f>SEM!N460</f>
        <v>45.4</v>
      </c>
      <c r="O460">
        <f>ABS(L460-SEM!$C$34)</f>
        <v>7.5808035840086223</v>
      </c>
      <c r="P460">
        <f t="shared" si="8"/>
        <v>45.4</v>
      </c>
    </row>
    <row r="461" spans="10:16">
      <c r="J461" s="5"/>
      <c r="L461">
        <f>SEM!M461</f>
        <v>-0.17667611</v>
      </c>
      <c r="M461">
        <f>SEM!N461</f>
        <v>45.5</v>
      </c>
      <c r="O461">
        <f>ABS(L461-SEM!$C$34)</f>
        <v>7.5814557420086226</v>
      </c>
      <c r="P461">
        <f t="shared" si="8"/>
        <v>45.5</v>
      </c>
    </row>
    <row r="462" spans="10:16">
      <c r="J462" s="5"/>
      <c r="L462">
        <f>SEM!M462</f>
        <v>-0.17588288799999999</v>
      </c>
      <c r="M462">
        <f>SEM!N462</f>
        <v>45.6</v>
      </c>
      <c r="O462">
        <f>ABS(L462-SEM!$C$34)</f>
        <v>7.5822489640086221</v>
      </c>
      <c r="P462">
        <f t="shared" si="8"/>
        <v>45.6</v>
      </c>
    </row>
    <row r="463" spans="10:16">
      <c r="J463" s="5"/>
      <c r="L463">
        <f>SEM!M463</f>
        <v>-0.17434656100000001</v>
      </c>
      <c r="M463">
        <f>SEM!N463</f>
        <v>45.7</v>
      </c>
      <c r="O463">
        <f>ABS(L463-SEM!$C$34)</f>
        <v>7.5837852910086223</v>
      </c>
      <c r="P463">
        <f t="shared" si="8"/>
        <v>45.7</v>
      </c>
    </row>
    <row r="464" spans="10:16">
      <c r="J464" s="5"/>
      <c r="L464">
        <f>SEM!M464</f>
        <v>-0.17281023400000001</v>
      </c>
      <c r="M464">
        <f>SEM!N464</f>
        <v>45.8</v>
      </c>
      <c r="O464">
        <f>ABS(L464-SEM!$C$34)</f>
        <v>7.5853216180086225</v>
      </c>
      <c r="P464">
        <f t="shared" si="8"/>
        <v>45.8</v>
      </c>
    </row>
    <row r="465" spans="10:16">
      <c r="J465" s="5"/>
      <c r="L465">
        <f>SEM!M465</f>
        <v>-0.17162761200000001</v>
      </c>
      <c r="M465">
        <f>SEM!N465</f>
        <v>45.9</v>
      </c>
      <c r="O465">
        <f>ABS(L465-SEM!$C$34)</f>
        <v>7.5865042400086224</v>
      </c>
      <c r="P465">
        <f t="shared" si="8"/>
        <v>45.9</v>
      </c>
    </row>
    <row r="466" spans="10:16">
      <c r="J466" s="5"/>
      <c r="L466">
        <f>SEM!M466</f>
        <v>-0.17123028000000001</v>
      </c>
      <c r="M466">
        <f>SEM!N466</f>
        <v>46</v>
      </c>
      <c r="O466">
        <f>ABS(L466-SEM!$C$34)</f>
        <v>7.5869015720086228</v>
      </c>
      <c r="P466">
        <f t="shared" si="8"/>
        <v>46</v>
      </c>
    </row>
    <row r="467" spans="10:16">
      <c r="J467" s="5"/>
      <c r="L467">
        <f>SEM!M467</f>
        <v>-0.17083294800000001</v>
      </c>
      <c r="M467">
        <f>SEM!N467</f>
        <v>46.1</v>
      </c>
      <c r="O467">
        <f>ABS(L467-SEM!$C$34)</f>
        <v>7.5872989040086223</v>
      </c>
      <c r="P467">
        <f t="shared" si="8"/>
        <v>46.1</v>
      </c>
    </row>
    <row r="468" spans="10:16">
      <c r="J468" s="5"/>
      <c r="L468">
        <f>SEM!M468</f>
        <v>-0.16990976399999999</v>
      </c>
      <c r="M468">
        <f>SEM!N468</f>
        <v>46.2</v>
      </c>
      <c r="O468">
        <f>ABS(L468-SEM!$C$34)</f>
        <v>7.5882220880086226</v>
      </c>
      <c r="P468">
        <f t="shared" si="8"/>
        <v>46.2</v>
      </c>
    </row>
    <row r="469" spans="10:16">
      <c r="J469" s="5"/>
      <c r="L469">
        <f>SEM!M469</f>
        <v>-0.16837308600000001</v>
      </c>
      <c r="M469">
        <f>SEM!N469</f>
        <v>46.3</v>
      </c>
      <c r="O469">
        <f>ABS(L469-SEM!$C$34)</f>
        <v>7.5897587660086225</v>
      </c>
      <c r="P469">
        <f t="shared" si="8"/>
        <v>46.3</v>
      </c>
    </row>
    <row r="470" spans="10:16">
      <c r="J470" s="5"/>
      <c r="L470">
        <f>SEM!M470</f>
        <v>-0.16683640799999999</v>
      </c>
      <c r="M470">
        <f>SEM!N470</f>
        <v>46.4</v>
      </c>
      <c r="O470">
        <f>ABS(L470-SEM!$C$34)</f>
        <v>7.5912954440086224</v>
      </c>
      <c r="P470">
        <f t="shared" si="8"/>
        <v>46.4</v>
      </c>
    </row>
    <row r="471" spans="10:16">
      <c r="J471" s="5"/>
      <c r="L471">
        <f>SEM!M471</f>
        <v>-0.16147531000000001</v>
      </c>
      <c r="M471">
        <f>SEM!N471</f>
        <v>46.5</v>
      </c>
      <c r="O471">
        <f>ABS(L471-SEM!$C$34)</f>
        <v>7.5966565420086223</v>
      </c>
      <c r="P471">
        <f t="shared" si="8"/>
        <v>46.5</v>
      </c>
    </row>
    <row r="472" spans="10:16">
      <c r="J472" s="5"/>
      <c r="L472">
        <f>SEM!M472</f>
        <v>-0.153695044</v>
      </c>
      <c r="M472">
        <f>SEM!N472</f>
        <v>46.6</v>
      </c>
      <c r="O472">
        <f>ABS(L472-SEM!$C$34)</f>
        <v>7.6044368080086224</v>
      </c>
      <c r="P472">
        <f t="shared" si="8"/>
        <v>46.6</v>
      </c>
    </row>
    <row r="473" spans="10:16">
      <c r="J473" s="5"/>
      <c r="L473">
        <f>SEM!M473</f>
        <v>-0.14591477799999999</v>
      </c>
      <c r="M473">
        <f>SEM!N473</f>
        <v>46.7</v>
      </c>
      <c r="O473">
        <f>ABS(L473-SEM!$C$34)</f>
        <v>7.6122170740086226</v>
      </c>
      <c r="P473">
        <f t="shared" si="8"/>
        <v>46.7</v>
      </c>
    </row>
    <row r="474" spans="10:16">
      <c r="J474" s="5"/>
      <c r="L474">
        <f>SEM!M474</f>
        <v>-0.143096264</v>
      </c>
      <c r="M474">
        <f>SEM!N474</f>
        <v>46.8</v>
      </c>
      <c r="O474">
        <f>ABS(L474-SEM!$C$34)</f>
        <v>7.615035588008622</v>
      </c>
      <c r="P474">
        <f t="shared" si="8"/>
        <v>46.8</v>
      </c>
    </row>
    <row r="475" spans="10:16">
      <c r="J475" s="5"/>
      <c r="L475">
        <f>SEM!M475</f>
        <v>-0.141814412</v>
      </c>
      <c r="M475">
        <f>SEM!N475</f>
        <v>46.9</v>
      </c>
      <c r="O475">
        <f>ABS(L475-SEM!$C$34)</f>
        <v>7.616317440008622</v>
      </c>
      <c r="P475">
        <f t="shared" si="8"/>
        <v>46.9</v>
      </c>
    </row>
    <row r="476" spans="10:16">
      <c r="J476" s="5"/>
      <c r="L476">
        <f>SEM!M476</f>
        <v>-0.14053256</v>
      </c>
      <c r="M476">
        <f>SEM!N476</f>
        <v>47</v>
      </c>
      <c r="O476">
        <f>ABS(L476-SEM!$C$34)</f>
        <v>7.6175992920086228</v>
      </c>
      <c r="P476">
        <f t="shared" si="8"/>
        <v>47</v>
      </c>
    </row>
    <row r="477" spans="10:16">
      <c r="J477" s="5"/>
      <c r="L477">
        <f>SEM!M477</f>
        <v>-0.138058193</v>
      </c>
      <c r="M477">
        <f>SEM!N477</f>
        <v>47.1</v>
      </c>
      <c r="O477">
        <f>ABS(L477-SEM!$C$34)</f>
        <v>7.6200736590086224</v>
      </c>
      <c r="P477">
        <f t="shared" si="8"/>
        <v>47.1</v>
      </c>
    </row>
    <row r="478" spans="10:16">
      <c r="J478" s="5"/>
      <c r="L478">
        <f>SEM!M478</f>
        <v>-0.13547237600000001</v>
      </c>
      <c r="M478">
        <f>SEM!N478</f>
        <v>47.2</v>
      </c>
      <c r="O478">
        <f>ABS(L478-SEM!$C$34)</f>
        <v>7.6226594760086224</v>
      </c>
      <c r="P478">
        <f t="shared" si="8"/>
        <v>47.2</v>
      </c>
    </row>
    <row r="479" spans="10:16">
      <c r="J479" s="5"/>
      <c r="L479">
        <f>SEM!M479</f>
        <v>-0.132929293</v>
      </c>
      <c r="M479">
        <f>SEM!N479</f>
        <v>47.3</v>
      </c>
      <c r="O479">
        <f>ABS(L479-SEM!$C$34)</f>
        <v>7.6252025590086223</v>
      </c>
      <c r="P479">
        <f t="shared" si="8"/>
        <v>47.3</v>
      </c>
    </row>
    <row r="480" spans="10:16">
      <c r="J480" s="5"/>
      <c r="L480">
        <f>SEM!M480</f>
        <v>-0.130995634</v>
      </c>
      <c r="M480">
        <f>SEM!N480</f>
        <v>47.4</v>
      </c>
      <c r="O480">
        <f>ABS(L480-SEM!$C$34)</f>
        <v>7.6271362180086228</v>
      </c>
      <c r="P480">
        <f t="shared" si="8"/>
        <v>47.4</v>
      </c>
    </row>
    <row r="481" spans="10:16">
      <c r="J481" s="5"/>
      <c r="L481">
        <f>SEM!M481</f>
        <v>-0.129061975</v>
      </c>
      <c r="M481">
        <f>SEM!N481</f>
        <v>47.5</v>
      </c>
      <c r="O481">
        <f>ABS(L481-SEM!$C$34)</f>
        <v>7.6290698770086225</v>
      </c>
      <c r="P481">
        <f t="shared" si="8"/>
        <v>47.5</v>
      </c>
    </row>
    <row r="482" spans="10:16">
      <c r="J482" s="5"/>
      <c r="L482">
        <f>SEM!M482</f>
        <v>-0.12651317200000001</v>
      </c>
      <c r="M482">
        <f>SEM!N482</f>
        <v>47.6</v>
      </c>
      <c r="O482">
        <f>ABS(L482-SEM!$C$34)</f>
        <v>7.6316186800086223</v>
      </c>
      <c r="P482">
        <f t="shared" si="8"/>
        <v>47.6</v>
      </c>
    </row>
    <row r="483" spans="10:16">
      <c r="J483" s="5"/>
      <c r="L483">
        <f>SEM!M483</f>
        <v>-0.121738519</v>
      </c>
      <c r="M483">
        <f>SEM!N483</f>
        <v>47.7</v>
      </c>
      <c r="O483">
        <f>ABS(L483-SEM!$C$34)</f>
        <v>7.6363933330086224</v>
      </c>
      <c r="P483">
        <f t="shared" si="8"/>
        <v>47.7</v>
      </c>
    </row>
    <row r="484" spans="10:16">
      <c r="J484" s="5"/>
      <c r="L484">
        <f>SEM!M484</f>
        <v>-0.116963866</v>
      </c>
      <c r="M484">
        <f>SEM!N484</f>
        <v>47.8</v>
      </c>
      <c r="O484">
        <f>ABS(L484-SEM!$C$34)</f>
        <v>7.6411679860086226</v>
      </c>
      <c r="P484">
        <f t="shared" si="8"/>
        <v>47.8</v>
      </c>
    </row>
    <row r="485" spans="10:16">
      <c r="J485" s="5"/>
      <c r="L485">
        <f>SEM!M485</f>
        <v>-0.111092842</v>
      </c>
      <c r="M485">
        <f>SEM!N485</f>
        <v>47.9</v>
      </c>
      <c r="O485">
        <f>ABS(L485-SEM!$C$34)</f>
        <v>7.6470390100086227</v>
      </c>
      <c r="P485">
        <f t="shared" si="8"/>
        <v>47.9</v>
      </c>
    </row>
    <row r="486" spans="10:16">
      <c r="J486" s="5"/>
      <c r="L486">
        <f>SEM!M486</f>
        <v>-0.10333504</v>
      </c>
      <c r="M486">
        <f>SEM!N486</f>
        <v>48</v>
      </c>
      <c r="O486">
        <f>ABS(L486-SEM!$C$34)</f>
        <v>7.6547968120086223</v>
      </c>
      <c r="P486">
        <f t="shared" si="8"/>
        <v>48</v>
      </c>
    </row>
    <row r="487" spans="10:16">
      <c r="J487" s="5"/>
      <c r="L487">
        <f>SEM!M487</f>
        <v>-9.5577238000000203E-2</v>
      </c>
      <c r="M487">
        <f>SEM!N487</f>
        <v>48.1</v>
      </c>
      <c r="O487">
        <f>ABS(L487-SEM!$C$34)</f>
        <v>7.6625546140086218</v>
      </c>
      <c r="P487">
        <f t="shared" si="8"/>
        <v>48.1</v>
      </c>
    </row>
    <row r="488" spans="10:16">
      <c r="J488" s="5"/>
      <c r="L488">
        <f>SEM!M488</f>
        <v>-8.9704410000000095E-2</v>
      </c>
      <c r="M488">
        <f>SEM!N488</f>
        <v>48.2</v>
      </c>
      <c r="O488">
        <f>ABS(L488-SEM!$C$34)</f>
        <v>7.668427442008622</v>
      </c>
      <c r="P488">
        <f t="shared" si="8"/>
        <v>48.2</v>
      </c>
    </row>
    <row r="489" spans="10:16">
      <c r="J489" s="5"/>
      <c r="L489">
        <f>SEM!M489</f>
        <v>-8.5581915000000106E-2</v>
      </c>
      <c r="M489">
        <f>SEM!N489</f>
        <v>48.3</v>
      </c>
      <c r="O489">
        <f>ABS(L489-SEM!$C$34)</f>
        <v>7.6725499370086228</v>
      </c>
      <c r="P489">
        <f t="shared" si="8"/>
        <v>48.3</v>
      </c>
    </row>
    <row r="490" spans="10:16">
      <c r="J490" s="5"/>
      <c r="L490">
        <f>SEM!M490</f>
        <v>-8.1459420000000199E-2</v>
      </c>
      <c r="M490">
        <f>SEM!N490</f>
        <v>48.4</v>
      </c>
      <c r="O490">
        <f>ABS(L490-SEM!$C$34)</f>
        <v>7.6766724320086226</v>
      </c>
      <c r="P490">
        <f t="shared" si="8"/>
        <v>48.4</v>
      </c>
    </row>
    <row r="491" spans="10:16">
      <c r="J491" s="5"/>
      <c r="L491">
        <f>SEM!M491</f>
        <v>-7.8802150000000099E-2</v>
      </c>
      <c r="M491">
        <f>SEM!N491</f>
        <v>48.5</v>
      </c>
      <c r="O491">
        <f>ABS(L491-SEM!$C$34)</f>
        <v>7.679329702008622</v>
      </c>
      <c r="P491">
        <f t="shared" si="8"/>
        <v>48.5</v>
      </c>
    </row>
    <row r="492" spans="10:16">
      <c r="J492" s="5"/>
      <c r="L492">
        <f>SEM!M492</f>
        <v>-7.6868140000000099E-2</v>
      </c>
      <c r="M492">
        <f>SEM!N492</f>
        <v>48.6</v>
      </c>
      <c r="O492">
        <f>ABS(L492-SEM!$C$34)</f>
        <v>7.6812637120086222</v>
      </c>
      <c r="P492">
        <f t="shared" si="8"/>
        <v>48.6</v>
      </c>
    </row>
    <row r="493" spans="10:16">
      <c r="J493" s="5"/>
      <c r="L493">
        <f>SEM!M493</f>
        <v>-7.4934130000000099E-2</v>
      </c>
      <c r="M493">
        <f>SEM!N493</f>
        <v>48.7</v>
      </c>
      <c r="O493">
        <f>ABS(L493-SEM!$C$34)</f>
        <v>7.6831977220086225</v>
      </c>
      <c r="P493">
        <f t="shared" si="8"/>
        <v>48.7</v>
      </c>
    </row>
    <row r="494" spans="10:16">
      <c r="J494" s="5"/>
      <c r="L494">
        <f>SEM!M494</f>
        <v>-7.1739544000000197E-2</v>
      </c>
      <c r="M494">
        <f>SEM!N494</f>
        <v>48.8</v>
      </c>
      <c r="O494">
        <f>ABS(L494-SEM!$C$34)</f>
        <v>7.6863923080086218</v>
      </c>
      <c r="P494">
        <f t="shared" si="8"/>
        <v>48.8</v>
      </c>
    </row>
    <row r="495" spans="10:16">
      <c r="J495" s="5"/>
      <c r="L495">
        <f>SEM!M495</f>
        <v>-6.8269206999999901E-2</v>
      </c>
      <c r="M495">
        <f>SEM!N495</f>
        <v>48.9</v>
      </c>
      <c r="O495">
        <f>ABS(L495-SEM!$C$34)</f>
        <v>7.6898626450086223</v>
      </c>
      <c r="P495">
        <f t="shared" si="8"/>
        <v>48.9</v>
      </c>
    </row>
    <row r="496" spans="10:16">
      <c r="J496" s="5"/>
      <c r="L496">
        <f>SEM!M496</f>
        <v>-6.4798869999999897E-2</v>
      </c>
      <c r="M496">
        <f>SEM!N496</f>
        <v>49</v>
      </c>
      <c r="O496">
        <f>ABS(L496-SEM!$C$34)</f>
        <v>7.6933329820086227</v>
      </c>
      <c r="P496">
        <f t="shared" si="8"/>
        <v>49</v>
      </c>
    </row>
    <row r="497" spans="10:16">
      <c r="J497" s="5"/>
      <c r="L497">
        <f>SEM!M497</f>
        <v>-6.4314329000000003E-2</v>
      </c>
      <c r="M497">
        <f>SEM!N497</f>
        <v>49.1</v>
      </c>
      <c r="O497">
        <f>ABS(L497-SEM!$C$34)</f>
        <v>7.6938175230086223</v>
      </c>
      <c r="P497">
        <f t="shared" si="8"/>
        <v>49.1</v>
      </c>
    </row>
    <row r="498" spans="10:16">
      <c r="J498" s="5"/>
      <c r="L498">
        <f>SEM!M498</f>
        <v>-6.3917347999999999E-2</v>
      </c>
      <c r="M498">
        <f>SEM!N498</f>
        <v>49.2</v>
      </c>
      <c r="O498">
        <f>ABS(L498-SEM!$C$34)</f>
        <v>7.6942145040086221</v>
      </c>
      <c r="P498">
        <f t="shared" si="8"/>
        <v>49.2</v>
      </c>
    </row>
    <row r="499" spans="10:16">
      <c r="J499" s="5"/>
      <c r="L499">
        <f>SEM!M499</f>
        <v>-6.3566205000000001E-2</v>
      </c>
      <c r="M499">
        <f>SEM!N499</f>
        <v>49.3</v>
      </c>
      <c r="O499">
        <f>ABS(L499-SEM!$C$34)</f>
        <v>7.6945656470086226</v>
      </c>
      <c r="P499">
        <f t="shared" si="8"/>
        <v>49.3</v>
      </c>
    </row>
    <row r="500" spans="10:16">
      <c r="J500" s="5"/>
      <c r="L500">
        <f>SEM!M500</f>
        <v>-6.3543390000000005E-2</v>
      </c>
      <c r="M500">
        <f>SEM!N500</f>
        <v>49.4</v>
      </c>
      <c r="O500">
        <f>ABS(L500-SEM!$C$34)</f>
        <v>7.694588462008622</v>
      </c>
      <c r="P500">
        <f t="shared" si="8"/>
        <v>49.4</v>
      </c>
    </row>
    <row r="501" spans="10:16">
      <c r="J501" s="5"/>
      <c r="L501">
        <f>SEM!M501</f>
        <v>-6.3520574999999996E-2</v>
      </c>
      <c r="M501">
        <f>SEM!N501</f>
        <v>49.5</v>
      </c>
      <c r="O501">
        <f>ABS(L501-SEM!$C$34)</f>
        <v>7.6946112770086224</v>
      </c>
      <c r="P501">
        <f t="shared" si="8"/>
        <v>49.5</v>
      </c>
    </row>
    <row r="502" spans="10:16">
      <c r="J502" s="5"/>
      <c r="L502">
        <f>SEM!M502</f>
        <v>-6.2446175999999999E-2</v>
      </c>
      <c r="M502">
        <f>SEM!N502</f>
        <v>49.6</v>
      </c>
      <c r="O502">
        <f>ABS(L502-SEM!$C$34)</f>
        <v>7.6956856760086225</v>
      </c>
      <c r="P502">
        <f t="shared" si="8"/>
        <v>49.6</v>
      </c>
    </row>
    <row r="503" spans="10:16">
      <c r="J503" s="5"/>
      <c r="L503">
        <f>SEM!M503</f>
        <v>-5.8578507000000002E-2</v>
      </c>
      <c r="M503">
        <f>SEM!N503</f>
        <v>49.7</v>
      </c>
      <c r="O503">
        <f>ABS(L503-SEM!$C$34)</f>
        <v>7.6995533450086224</v>
      </c>
      <c r="P503">
        <f t="shared" si="8"/>
        <v>49.7</v>
      </c>
    </row>
    <row r="504" spans="10:16">
      <c r="J504" s="5"/>
      <c r="L504">
        <f>SEM!M504</f>
        <v>-5.4710837999999998E-2</v>
      </c>
      <c r="M504">
        <f>SEM!N504</f>
        <v>49.8</v>
      </c>
      <c r="O504">
        <f>ABS(L504-SEM!$C$34)</f>
        <v>7.7034210140086223</v>
      </c>
      <c r="P504">
        <f t="shared" si="8"/>
        <v>49.8</v>
      </c>
    </row>
    <row r="505" spans="10:16">
      <c r="J505" s="5"/>
      <c r="L505">
        <f>SEM!M505</f>
        <v>-5.0843317999999998E-2</v>
      </c>
      <c r="M505">
        <f>SEM!N505</f>
        <v>49.9</v>
      </c>
      <c r="O505">
        <f>ABS(L505-SEM!$C$34)</f>
        <v>7.7072885340086223</v>
      </c>
      <c r="P505">
        <f t="shared" si="8"/>
        <v>49.9</v>
      </c>
    </row>
    <row r="506" spans="10:16">
      <c r="J506" s="5"/>
      <c r="L506">
        <f>SEM!M506</f>
        <v>-4.6975999999999997E-2</v>
      </c>
      <c r="M506">
        <f>SEM!N506</f>
        <v>50</v>
      </c>
      <c r="O506">
        <f>ABS(L506-SEM!$C$34)</f>
        <v>7.7111558520086225</v>
      </c>
      <c r="P506">
        <f t="shared" si="8"/>
        <v>50</v>
      </c>
    </row>
    <row r="507" spans="10:16">
      <c r="J507" s="5"/>
      <c r="L507">
        <f>SEM!M507</f>
        <v>-4.3108682000000002E-2</v>
      </c>
      <c r="M507">
        <f>SEM!N507</f>
        <v>50.1</v>
      </c>
      <c r="O507">
        <f>ABS(L507-SEM!$C$34)</f>
        <v>7.7150231700086227</v>
      </c>
      <c r="P507">
        <f t="shared" si="8"/>
        <v>50.1</v>
      </c>
    </row>
    <row r="508" spans="10:16">
      <c r="J508" s="5"/>
      <c r="L508">
        <f>SEM!M508</f>
        <v>-3.9456695999999999E-2</v>
      </c>
      <c r="M508">
        <f>SEM!N508</f>
        <v>50.2</v>
      </c>
      <c r="O508">
        <f>ABS(L508-SEM!$C$34)</f>
        <v>7.7186751560086222</v>
      </c>
      <c r="P508">
        <f t="shared" si="8"/>
        <v>50.2</v>
      </c>
    </row>
    <row r="509" spans="10:16">
      <c r="J509" s="5"/>
      <c r="L509">
        <f>SEM!M509</f>
        <v>-3.5963544E-2</v>
      </c>
      <c r="M509">
        <f>SEM!N509</f>
        <v>50.3</v>
      </c>
      <c r="O509">
        <f>ABS(L509-SEM!$C$34)</f>
        <v>7.7221683080086221</v>
      </c>
      <c r="P509">
        <f t="shared" si="8"/>
        <v>50.3</v>
      </c>
    </row>
    <row r="510" spans="10:16">
      <c r="J510" s="5"/>
      <c r="L510">
        <f>SEM!M510</f>
        <v>-3.2470392000000001E-2</v>
      </c>
      <c r="M510">
        <f>SEM!N510</f>
        <v>50.4</v>
      </c>
      <c r="O510">
        <f>ABS(L510-SEM!$C$34)</f>
        <v>7.7256614600086229</v>
      </c>
      <c r="P510">
        <f t="shared" si="8"/>
        <v>50.4</v>
      </c>
    </row>
    <row r="511" spans="10:16">
      <c r="J511" s="5"/>
      <c r="L511">
        <f>SEM!M511</f>
        <v>-3.1226339999999998E-2</v>
      </c>
      <c r="M511">
        <f>SEM!N511</f>
        <v>50.5</v>
      </c>
      <c r="O511">
        <f>ABS(L511-SEM!$C$34)</f>
        <v>7.7269055120086225</v>
      </c>
      <c r="P511">
        <f t="shared" si="8"/>
        <v>50.5</v>
      </c>
    </row>
    <row r="512" spans="10:16">
      <c r="J512" s="5"/>
      <c r="L512">
        <f>SEM!M512</f>
        <v>-3.0829008000000001E-2</v>
      </c>
      <c r="M512">
        <f>SEM!N512</f>
        <v>50.6</v>
      </c>
      <c r="O512">
        <f>ABS(L512-SEM!$C$34)</f>
        <v>7.727302844008622</v>
      </c>
      <c r="P512">
        <f t="shared" si="8"/>
        <v>50.6</v>
      </c>
    </row>
    <row r="513" spans="10:16">
      <c r="J513" s="5"/>
      <c r="L513">
        <f>SEM!M513</f>
        <v>-3.0431676000000001E-2</v>
      </c>
      <c r="M513">
        <f>SEM!N513</f>
        <v>50.7</v>
      </c>
      <c r="O513">
        <f>ABS(L513-SEM!$C$34)</f>
        <v>7.7277001760086224</v>
      </c>
      <c r="P513">
        <f t="shared" si="8"/>
        <v>50.7</v>
      </c>
    </row>
    <row r="514" spans="10:16">
      <c r="J514" s="5"/>
      <c r="L514">
        <f>SEM!M514</f>
        <v>-3.0159392E-2</v>
      </c>
      <c r="M514">
        <f>SEM!N514</f>
        <v>50.8</v>
      </c>
      <c r="O514">
        <f>ABS(L514-SEM!$C$34)</f>
        <v>7.7279724600086226</v>
      </c>
      <c r="P514">
        <f t="shared" si="8"/>
        <v>50.8</v>
      </c>
    </row>
    <row r="515" spans="10:16">
      <c r="J515" s="5"/>
      <c r="L515">
        <f>SEM!M515</f>
        <v>-2.9904566E-2</v>
      </c>
      <c r="M515">
        <f>SEM!N515</f>
        <v>50.9</v>
      </c>
      <c r="O515">
        <f>ABS(L515-SEM!$C$34)</f>
        <v>7.7282272860086225</v>
      </c>
      <c r="P515">
        <f t="shared" si="8"/>
        <v>50.9</v>
      </c>
    </row>
    <row r="516" spans="10:16">
      <c r="J516" s="5"/>
      <c r="L516">
        <f>SEM!M516</f>
        <v>-2.9620489999999999E-2</v>
      </c>
      <c r="M516">
        <f>SEM!N516</f>
        <v>51</v>
      </c>
      <c r="O516">
        <f>ABS(L516-SEM!$C$34)</f>
        <v>7.7285113620086223</v>
      </c>
      <c r="P516">
        <f t="shared" si="8"/>
        <v>51</v>
      </c>
    </row>
    <row r="517" spans="10:16">
      <c r="J517" s="5"/>
      <c r="L517">
        <f>SEM!M517</f>
        <v>-2.8338988999999998E-2</v>
      </c>
      <c r="M517">
        <f>SEM!N517</f>
        <v>51.1</v>
      </c>
      <c r="O517">
        <f>ABS(L517-SEM!$C$34)</f>
        <v>7.7297928630086226</v>
      </c>
      <c r="P517">
        <f t="shared" si="8"/>
        <v>51.1</v>
      </c>
    </row>
    <row r="518" spans="10:16">
      <c r="J518" s="5"/>
      <c r="L518">
        <f>SEM!M518</f>
        <v>-2.70574879999999E-2</v>
      </c>
      <c r="M518">
        <f>SEM!N518</f>
        <v>51.2</v>
      </c>
      <c r="O518">
        <f>ABS(L518-SEM!$C$34)</f>
        <v>7.7310743640086228</v>
      </c>
      <c r="P518">
        <f t="shared" si="8"/>
        <v>51.2</v>
      </c>
    </row>
    <row r="519" spans="10:16">
      <c r="J519" s="5"/>
      <c r="L519">
        <f>SEM!M519</f>
        <v>-2.56588699999999E-2</v>
      </c>
      <c r="M519">
        <f>SEM!N519</f>
        <v>51.3</v>
      </c>
      <c r="O519">
        <f>ABS(L519-SEM!$C$34)</f>
        <v>7.7324729820086224</v>
      </c>
      <c r="P519">
        <f t="shared" ref="P519:P582" si="9">M519</f>
        <v>51.3</v>
      </c>
    </row>
    <row r="520" spans="10:16">
      <c r="J520" s="5"/>
      <c r="L520">
        <f>SEM!M520</f>
        <v>-2.37248599999999E-2</v>
      </c>
      <c r="M520">
        <f>SEM!N520</f>
        <v>51.4</v>
      </c>
      <c r="O520">
        <f>ABS(L520-SEM!$C$34)</f>
        <v>7.7344069920086227</v>
      </c>
      <c r="P520">
        <f t="shared" si="9"/>
        <v>51.4</v>
      </c>
    </row>
    <row r="521" spans="10:16">
      <c r="J521" s="5"/>
      <c r="L521">
        <f>SEM!M521</f>
        <v>-2.17908499999999E-2</v>
      </c>
      <c r="M521">
        <f>SEM!N521</f>
        <v>51.5</v>
      </c>
      <c r="O521">
        <f>ABS(L521-SEM!$C$34)</f>
        <v>7.736341002008623</v>
      </c>
      <c r="P521">
        <f t="shared" si="9"/>
        <v>51.5</v>
      </c>
    </row>
    <row r="522" spans="10:16">
      <c r="J522" s="5"/>
      <c r="L522">
        <f>SEM!M522</f>
        <v>-1.9217911999999799E-2</v>
      </c>
      <c r="M522">
        <f>SEM!N522</f>
        <v>51.6</v>
      </c>
      <c r="O522">
        <f>ABS(L522-SEM!$C$34)</f>
        <v>7.7389139400086222</v>
      </c>
      <c r="P522">
        <f t="shared" si="9"/>
        <v>51.6</v>
      </c>
    </row>
    <row r="523" spans="10:16">
      <c r="J523" s="5"/>
      <c r="L523">
        <f>SEM!M523</f>
        <v>-1.53505939999999E-2</v>
      </c>
      <c r="M523">
        <f>SEM!N523</f>
        <v>51.7</v>
      </c>
      <c r="O523">
        <f>ABS(L523-SEM!$C$34)</f>
        <v>7.7427812580086224</v>
      </c>
      <c r="P523">
        <f t="shared" si="9"/>
        <v>51.7</v>
      </c>
    </row>
    <row r="524" spans="10:16">
      <c r="J524" s="5"/>
      <c r="L524">
        <f>SEM!M524</f>
        <v>-1.14832759999999E-2</v>
      </c>
      <c r="M524">
        <f>SEM!N524</f>
        <v>51.8</v>
      </c>
      <c r="O524">
        <f>ABS(L524-SEM!$C$34)</f>
        <v>7.7466485760086226</v>
      </c>
      <c r="P524">
        <f t="shared" si="9"/>
        <v>51.8</v>
      </c>
    </row>
    <row r="525" spans="10:16">
      <c r="J525" s="5"/>
      <c r="L525">
        <f>SEM!M525</f>
        <v>-9.1530129999999807E-3</v>
      </c>
      <c r="M525">
        <f>SEM!N525</f>
        <v>51.9</v>
      </c>
      <c r="O525">
        <f>ABS(L525-SEM!$C$34)</f>
        <v>7.7489788390086227</v>
      </c>
      <c r="P525">
        <f t="shared" si="9"/>
        <v>51.9</v>
      </c>
    </row>
    <row r="526" spans="10:16">
      <c r="J526" s="5"/>
      <c r="L526">
        <f>SEM!M526</f>
        <v>-8.4780399999999801E-3</v>
      </c>
      <c r="M526">
        <f>SEM!N526</f>
        <v>52</v>
      </c>
      <c r="O526">
        <f>ABS(L526-SEM!$C$34)</f>
        <v>7.7496538120086225</v>
      </c>
      <c r="P526">
        <f t="shared" si="9"/>
        <v>52</v>
      </c>
    </row>
    <row r="527" spans="10:16">
      <c r="J527" s="5"/>
      <c r="L527">
        <f>SEM!M527</f>
        <v>-7.8030669999999804E-3</v>
      </c>
      <c r="M527">
        <f>SEM!N527</f>
        <v>52.1</v>
      </c>
      <c r="O527">
        <f>ABS(L527-SEM!$C$34)</f>
        <v>7.7503287850086222</v>
      </c>
      <c r="P527">
        <f t="shared" si="9"/>
        <v>52.1</v>
      </c>
    </row>
    <row r="528" spans="10:16">
      <c r="J528" s="5"/>
      <c r="L528">
        <f>SEM!M528</f>
        <v>-7.5550000000000001E-3</v>
      </c>
      <c r="M528">
        <f>SEM!N528</f>
        <v>52.2</v>
      </c>
      <c r="O528">
        <f>ABS(L528-SEM!$C$34)</f>
        <v>7.7505768520086225</v>
      </c>
      <c r="P528">
        <f t="shared" si="9"/>
        <v>52.2</v>
      </c>
    </row>
    <row r="529" spans="10:16">
      <c r="J529" s="5"/>
      <c r="L529">
        <f>SEM!M529</f>
        <v>-7.5550000000000001E-3</v>
      </c>
      <c r="M529">
        <f>SEM!N529</f>
        <v>52.3</v>
      </c>
      <c r="O529">
        <f>ABS(L529-SEM!$C$34)</f>
        <v>7.7505768520086225</v>
      </c>
      <c r="P529">
        <f t="shared" si="9"/>
        <v>52.3</v>
      </c>
    </row>
    <row r="530" spans="10:16">
      <c r="J530" s="5"/>
      <c r="L530">
        <f>SEM!M530</f>
        <v>-7.5550000000000001E-3</v>
      </c>
      <c r="M530">
        <f>SEM!N530</f>
        <v>52.4</v>
      </c>
      <c r="O530">
        <f>ABS(L530-SEM!$C$34)</f>
        <v>7.7505768520086225</v>
      </c>
      <c r="P530">
        <f t="shared" si="9"/>
        <v>52.4</v>
      </c>
    </row>
    <row r="531" spans="10:16">
      <c r="J531" s="5"/>
      <c r="L531">
        <f>SEM!M531</f>
        <v>-6.5330999999999801E-3</v>
      </c>
      <c r="M531">
        <f>SEM!N531</f>
        <v>52.5</v>
      </c>
      <c r="O531">
        <f>ABS(L531-SEM!$C$34)</f>
        <v>7.751598752008622</v>
      </c>
      <c r="P531">
        <f t="shared" si="9"/>
        <v>52.5</v>
      </c>
    </row>
    <row r="532" spans="10:16">
      <c r="J532" s="5"/>
      <c r="L532">
        <f>SEM!M532</f>
        <v>-5.2287839999999803E-3</v>
      </c>
      <c r="M532">
        <f>SEM!N532</f>
        <v>52.6</v>
      </c>
      <c r="O532">
        <f>ABS(L532-SEM!$C$34)</f>
        <v>7.7529030680086226</v>
      </c>
      <c r="P532">
        <f t="shared" si="9"/>
        <v>52.6</v>
      </c>
    </row>
    <row r="533" spans="10:16">
      <c r="J533" s="5"/>
      <c r="L533">
        <f>SEM!M533</f>
        <v>-3.92446799999999E-3</v>
      </c>
      <c r="M533">
        <f>SEM!N533</f>
        <v>52.7</v>
      </c>
      <c r="O533">
        <f>ABS(L533-SEM!$C$34)</f>
        <v>7.7542073840086223</v>
      </c>
      <c r="P533">
        <f t="shared" si="9"/>
        <v>52.7</v>
      </c>
    </row>
    <row r="534" spans="10:16">
      <c r="J534" s="5"/>
      <c r="L534">
        <f>SEM!M534</f>
        <v>-2.2476799999996701E-4</v>
      </c>
      <c r="M534">
        <f>SEM!N534</f>
        <v>52.8</v>
      </c>
      <c r="O534">
        <f>ABS(L534-SEM!$C$34)</f>
        <v>7.7579070840086226</v>
      </c>
      <c r="P534">
        <f t="shared" si="9"/>
        <v>52.8</v>
      </c>
    </row>
    <row r="535" spans="10:16">
      <c r="J535" s="5"/>
      <c r="L535">
        <f>SEM!M535</f>
        <v>3.64290100000002E-3</v>
      </c>
      <c r="M535">
        <f>SEM!N535</f>
        <v>52.9</v>
      </c>
      <c r="O535">
        <f>ABS(L535-SEM!$C$34)</f>
        <v>7.7617747530086225</v>
      </c>
      <c r="P535">
        <f t="shared" si="9"/>
        <v>52.9</v>
      </c>
    </row>
    <row r="536" spans="10:16">
      <c r="J536" s="5"/>
      <c r="L536">
        <f>SEM!M536</f>
        <v>7.5105700000000098E-3</v>
      </c>
      <c r="M536">
        <f>SEM!N536</f>
        <v>53</v>
      </c>
      <c r="O536">
        <f>ABS(L536-SEM!$C$34)</f>
        <v>7.7656424220086224</v>
      </c>
      <c r="P536">
        <f t="shared" si="9"/>
        <v>53</v>
      </c>
    </row>
    <row r="537" spans="10:16">
      <c r="J537" s="5"/>
      <c r="L537">
        <f>SEM!M537</f>
        <v>1.1378239E-2</v>
      </c>
      <c r="M537">
        <f>SEM!N537</f>
        <v>53.1</v>
      </c>
      <c r="O537">
        <f>ABS(L537-SEM!$C$34)</f>
        <v>7.7695100910086223</v>
      </c>
      <c r="P537">
        <f t="shared" si="9"/>
        <v>53.1</v>
      </c>
    </row>
    <row r="538" spans="10:16">
      <c r="J538" s="5"/>
      <c r="L538">
        <f>SEM!M538</f>
        <v>1.5245908000000001E-2</v>
      </c>
      <c r="M538">
        <f>SEM!N538</f>
        <v>53.2</v>
      </c>
      <c r="O538">
        <f>ABS(L538-SEM!$C$34)</f>
        <v>7.7733777600086222</v>
      </c>
      <c r="P538">
        <f t="shared" si="9"/>
        <v>53.2</v>
      </c>
    </row>
    <row r="539" spans="10:16">
      <c r="J539" s="5"/>
      <c r="L539">
        <f>SEM!M539</f>
        <v>1.8199E-2</v>
      </c>
      <c r="M539">
        <f>SEM!N539</f>
        <v>53.3</v>
      </c>
      <c r="O539">
        <f>ABS(L539-SEM!$C$34)</f>
        <v>7.7763308520086225</v>
      </c>
      <c r="P539">
        <f t="shared" si="9"/>
        <v>53.3</v>
      </c>
    </row>
    <row r="540" spans="10:16">
      <c r="J540" s="5"/>
      <c r="L540">
        <f>SEM!M540</f>
        <v>1.8199E-2</v>
      </c>
      <c r="M540">
        <f>SEM!N540</f>
        <v>53.4</v>
      </c>
      <c r="O540">
        <f>ABS(L540-SEM!$C$34)</f>
        <v>7.7763308520086225</v>
      </c>
      <c r="P540">
        <f t="shared" si="9"/>
        <v>53.4</v>
      </c>
    </row>
    <row r="541" spans="10:16">
      <c r="J541" s="5"/>
      <c r="L541">
        <f>SEM!M541</f>
        <v>1.8199E-2</v>
      </c>
      <c r="M541">
        <f>SEM!N541</f>
        <v>53.5</v>
      </c>
      <c r="O541">
        <f>ABS(L541-SEM!$C$34)</f>
        <v>7.7763308520086225</v>
      </c>
      <c r="P541">
        <f t="shared" si="9"/>
        <v>53.5</v>
      </c>
    </row>
    <row r="542" spans="10:16">
      <c r="J542" s="5"/>
      <c r="L542">
        <f>SEM!M542</f>
        <v>2.10509200000005E-2</v>
      </c>
      <c r="M542">
        <f>SEM!N542</f>
        <v>53.6</v>
      </c>
      <c r="O542">
        <f>ABS(L542-SEM!$C$34)</f>
        <v>7.7791827720086228</v>
      </c>
      <c r="P542">
        <f t="shared" si="9"/>
        <v>53.6</v>
      </c>
    </row>
    <row r="543" spans="10:16">
      <c r="J543" s="5"/>
      <c r="L543">
        <f>SEM!M543</f>
        <v>2.8411390000000501E-2</v>
      </c>
      <c r="M543">
        <f>SEM!N543</f>
        <v>53.7</v>
      </c>
      <c r="O543">
        <f>ABS(L543-SEM!$C$34)</f>
        <v>7.7865432420086229</v>
      </c>
      <c r="P543">
        <f t="shared" si="9"/>
        <v>53.7</v>
      </c>
    </row>
    <row r="544" spans="10:16">
      <c r="J544" s="5"/>
      <c r="L544">
        <f>SEM!M544</f>
        <v>3.5771860000000502E-2</v>
      </c>
      <c r="M544">
        <f>SEM!N544</f>
        <v>53.8</v>
      </c>
      <c r="O544">
        <f>ABS(L544-SEM!$C$34)</f>
        <v>7.793903712008623</v>
      </c>
      <c r="P544">
        <f t="shared" si="9"/>
        <v>53.8</v>
      </c>
    </row>
    <row r="545" spans="10:16">
      <c r="J545" s="5"/>
      <c r="L545">
        <f>SEM!M545</f>
        <v>4.3346278000000502E-2</v>
      </c>
      <c r="M545">
        <f>SEM!N545</f>
        <v>53.9</v>
      </c>
      <c r="O545">
        <f>ABS(L545-SEM!$C$34)</f>
        <v>7.8014781300086229</v>
      </c>
      <c r="P545">
        <f t="shared" si="9"/>
        <v>53.9</v>
      </c>
    </row>
    <row r="546" spans="10:16">
      <c r="J546" s="5"/>
      <c r="L546">
        <f>SEM!M546</f>
        <v>5.1104080000000503E-2</v>
      </c>
      <c r="M546">
        <f>SEM!N546</f>
        <v>54</v>
      </c>
      <c r="O546">
        <f>ABS(L546-SEM!$C$34)</f>
        <v>7.8092359320086233</v>
      </c>
      <c r="P546">
        <f t="shared" si="9"/>
        <v>54</v>
      </c>
    </row>
    <row r="547" spans="10:16">
      <c r="J547" s="5"/>
      <c r="L547">
        <f>SEM!M547</f>
        <v>5.88618820000004E-2</v>
      </c>
      <c r="M547">
        <f>SEM!N547</f>
        <v>54.1</v>
      </c>
      <c r="O547">
        <f>ABS(L547-SEM!$C$34)</f>
        <v>7.8169937340086229</v>
      </c>
      <c r="P547">
        <f t="shared" si="9"/>
        <v>54.1</v>
      </c>
    </row>
    <row r="548" spans="10:16">
      <c r="J548" s="5"/>
      <c r="L548">
        <f>SEM!M548</f>
        <v>6.1270999999999999E-2</v>
      </c>
      <c r="M548">
        <f>SEM!N548</f>
        <v>54.2</v>
      </c>
      <c r="O548">
        <f>ABS(L548-SEM!$C$34)</f>
        <v>7.8194028520086221</v>
      </c>
      <c r="P548">
        <f t="shared" si="9"/>
        <v>54.2</v>
      </c>
    </row>
    <row r="549" spans="10:16">
      <c r="J549" s="5"/>
      <c r="L549">
        <f>SEM!M549</f>
        <v>6.1270999999999999E-2</v>
      </c>
      <c r="M549">
        <f>SEM!N549</f>
        <v>54.3</v>
      </c>
      <c r="O549">
        <f>ABS(L549-SEM!$C$34)</f>
        <v>7.8194028520086221</v>
      </c>
      <c r="P549">
        <f t="shared" si="9"/>
        <v>54.3</v>
      </c>
    </row>
    <row r="550" spans="10:16">
      <c r="J550" s="5"/>
      <c r="L550">
        <f>SEM!M550</f>
        <v>6.1270999999999999E-2</v>
      </c>
      <c r="M550">
        <f>SEM!N550</f>
        <v>54.4</v>
      </c>
      <c r="O550">
        <f>ABS(L550-SEM!$C$34)</f>
        <v>7.8194028520086221</v>
      </c>
      <c r="P550">
        <f t="shared" si="9"/>
        <v>54.4</v>
      </c>
    </row>
    <row r="551" spans="10:16">
      <c r="J551" s="5"/>
      <c r="L551">
        <f>SEM!M551</f>
        <v>6.2896155000000106E-2</v>
      </c>
      <c r="M551">
        <f>SEM!N551</f>
        <v>54.5</v>
      </c>
      <c r="O551">
        <f>ABS(L551-SEM!$C$34)</f>
        <v>7.8210280070086222</v>
      </c>
      <c r="P551">
        <f t="shared" si="9"/>
        <v>54.5</v>
      </c>
    </row>
    <row r="552" spans="10:16">
      <c r="J552" s="5"/>
      <c r="L552">
        <f>SEM!M552</f>
        <v>6.4829814000000097E-2</v>
      </c>
      <c r="M552">
        <f>SEM!N552</f>
        <v>54.6</v>
      </c>
      <c r="O552">
        <f>ABS(L552-SEM!$C$34)</f>
        <v>7.8229616660086227</v>
      </c>
      <c r="P552">
        <f t="shared" si="9"/>
        <v>54.6</v>
      </c>
    </row>
    <row r="553" spans="10:16">
      <c r="J553" s="5"/>
      <c r="L553">
        <f>SEM!M553</f>
        <v>6.6763473000000101E-2</v>
      </c>
      <c r="M553">
        <f>SEM!N553</f>
        <v>54.7</v>
      </c>
      <c r="O553">
        <f>ABS(L553-SEM!$C$34)</f>
        <v>7.8248953250086224</v>
      </c>
      <c r="P553">
        <f t="shared" si="9"/>
        <v>54.7</v>
      </c>
    </row>
    <row r="554" spans="10:16">
      <c r="J554" s="5"/>
      <c r="L554">
        <f>SEM!M554</f>
        <v>6.8325816000000095E-2</v>
      </c>
      <c r="M554">
        <f>SEM!N554</f>
        <v>54.8</v>
      </c>
      <c r="O554">
        <f>ABS(L554-SEM!$C$34)</f>
        <v>7.8264576680086222</v>
      </c>
      <c r="P554">
        <f t="shared" si="9"/>
        <v>54.8</v>
      </c>
    </row>
    <row r="555" spans="10:16">
      <c r="J555" s="5"/>
      <c r="L555">
        <f>SEM!M555</f>
        <v>6.9884958000000094E-2</v>
      </c>
      <c r="M555">
        <f>SEM!N555</f>
        <v>54.9</v>
      </c>
      <c r="O555">
        <f>ABS(L555-SEM!$C$34)</f>
        <v>7.8280168100086227</v>
      </c>
      <c r="P555">
        <f t="shared" si="9"/>
        <v>54.9</v>
      </c>
    </row>
    <row r="556" spans="10:16">
      <c r="J556" s="5"/>
      <c r="L556">
        <f>SEM!M556</f>
        <v>7.2045200000000198E-2</v>
      </c>
      <c r="M556">
        <f>SEM!N556</f>
        <v>55</v>
      </c>
      <c r="O556">
        <f>ABS(L556-SEM!$C$34)</f>
        <v>7.8301770520086222</v>
      </c>
      <c r="P556">
        <f t="shared" si="9"/>
        <v>55</v>
      </c>
    </row>
    <row r="557" spans="10:16">
      <c r="J557" s="5"/>
      <c r="L557">
        <f>SEM!M557</f>
        <v>7.7824064000000207E-2</v>
      </c>
      <c r="M557">
        <f>SEM!N557</f>
        <v>55.1</v>
      </c>
      <c r="O557">
        <f>ABS(L557-SEM!$C$34)</f>
        <v>7.835955916008623</v>
      </c>
      <c r="P557">
        <f t="shared" si="9"/>
        <v>55.1</v>
      </c>
    </row>
    <row r="558" spans="10:16">
      <c r="J558" s="5"/>
      <c r="L558">
        <f>SEM!M558</f>
        <v>8.3602928000000201E-2</v>
      </c>
      <c r="M558">
        <f>SEM!N558</f>
        <v>55.2</v>
      </c>
      <c r="O558">
        <f>ABS(L558-SEM!$C$34)</f>
        <v>7.8417347800086228</v>
      </c>
      <c r="P558">
        <f t="shared" si="9"/>
        <v>55.2</v>
      </c>
    </row>
    <row r="559" spans="10:16">
      <c r="J559" s="5"/>
      <c r="L559">
        <f>SEM!M559</f>
        <v>8.9852605000000196E-2</v>
      </c>
      <c r="M559">
        <f>SEM!N559</f>
        <v>55.3</v>
      </c>
      <c r="O559">
        <f>ABS(L559-SEM!$C$34)</f>
        <v>7.8479844570086223</v>
      </c>
      <c r="P559">
        <f t="shared" si="9"/>
        <v>55.3</v>
      </c>
    </row>
    <row r="560" spans="10:16">
      <c r="J560" s="5"/>
      <c r="L560">
        <f>SEM!M560</f>
        <v>9.72358900000002E-2</v>
      </c>
      <c r="M560">
        <f>SEM!N560</f>
        <v>55.4</v>
      </c>
      <c r="O560">
        <f>ABS(L560-SEM!$C$34)</f>
        <v>7.8553677420086228</v>
      </c>
      <c r="P560">
        <f t="shared" si="9"/>
        <v>55.4</v>
      </c>
    </row>
    <row r="561" spans="10:16">
      <c r="J561" s="5"/>
      <c r="L561">
        <f>SEM!M561</f>
        <v>0.10461917499999999</v>
      </c>
      <c r="M561">
        <f>SEM!N561</f>
        <v>55.5</v>
      </c>
      <c r="O561">
        <f>ABS(L561-SEM!$C$34)</f>
        <v>7.8627510270086223</v>
      </c>
      <c r="P561">
        <f t="shared" si="9"/>
        <v>55.5</v>
      </c>
    </row>
    <row r="562" spans="10:16">
      <c r="J562" s="5"/>
      <c r="L562">
        <f>SEM!M562</f>
        <v>0.109756996</v>
      </c>
      <c r="M562">
        <f>SEM!N562</f>
        <v>55.6</v>
      </c>
      <c r="O562">
        <f>ABS(L562-SEM!$C$34)</f>
        <v>7.8678888480086222</v>
      </c>
      <c r="P562">
        <f t="shared" si="9"/>
        <v>55.6</v>
      </c>
    </row>
    <row r="563" spans="10:16">
      <c r="J563" s="5"/>
      <c r="L563">
        <f>SEM!M563</f>
        <v>0.112087987</v>
      </c>
      <c r="M563">
        <f>SEM!N563</f>
        <v>55.7</v>
      </c>
      <c r="O563">
        <f>ABS(L563-SEM!$C$34)</f>
        <v>7.8702198390086222</v>
      </c>
      <c r="P563">
        <f t="shared" si="9"/>
        <v>55.7</v>
      </c>
    </row>
    <row r="564" spans="10:16">
      <c r="J564" s="5"/>
      <c r="L564">
        <f>SEM!M564</f>
        <v>0.114418978</v>
      </c>
      <c r="M564">
        <f>SEM!N564</f>
        <v>55.8</v>
      </c>
      <c r="O564">
        <f>ABS(L564-SEM!$C$34)</f>
        <v>7.8725508300086222</v>
      </c>
      <c r="P564">
        <f t="shared" si="9"/>
        <v>55.8</v>
      </c>
    </row>
    <row r="565" spans="10:16">
      <c r="J565" s="5"/>
      <c r="L565">
        <f>SEM!M565</f>
        <v>0.116276793</v>
      </c>
      <c r="M565">
        <f>SEM!N565</f>
        <v>55.9</v>
      </c>
      <c r="O565">
        <f>ABS(L565-SEM!$C$34)</f>
        <v>7.8744086450086224</v>
      </c>
      <c r="P565">
        <f t="shared" si="9"/>
        <v>55.9</v>
      </c>
    </row>
    <row r="566" spans="10:16">
      <c r="J566" s="5"/>
      <c r="L566">
        <f>SEM!M566</f>
        <v>0.11781311999999999</v>
      </c>
      <c r="M566">
        <f>SEM!N566</f>
        <v>56</v>
      </c>
      <c r="O566">
        <f>ABS(L566-SEM!$C$34)</f>
        <v>7.8759449720086225</v>
      </c>
      <c r="P566">
        <f t="shared" si="9"/>
        <v>56</v>
      </c>
    </row>
    <row r="567" spans="10:16">
      <c r="J567" s="5"/>
      <c r="L567">
        <f>SEM!M567</f>
        <v>0.119349447</v>
      </c>
      <c r="M567">
        <f>SEM!N567</f>
        <v>56.1</v>
      </c>
      <c r="O567">
        <f>ABS(L567-SEM!$C$34)</f>
        <v>7.8774812990086227</v>
      </c>
      <c r="P567">
        <f t="shared" si="9"/>
        <v>56.1</v>
      </c>
    </row>
    <row r="568" spans="10:16">
      <c r="J568" s="5"/>
      <c r="L568">
        <f>SEM!M568</f>
        <v>0.122643008</v>
      </c>
      <c r="M568">
        <f>SEM!N568</f>
        <v>56.2</v>
      </c>
      <c r="O568">
        <f>ABS(L568-SEM!$C$34)</f>
        <v>7.8807748600086223</v>
      </c>
      <c r="P568">
        <f t="shared" si="9"/>
        <v>56.2</v>
      </c>
    </row>
    <row r="569" spans="10:16">
      <c r="J569" s="5"/>
      <c r="L569">
        <f>SEM!M569</f>
        <v>0.126533492</v>
      </c>
      <c r="M569">
        <f>SEM!N569</f>
        <v>56.3</v>
      </c>
      <c r="O569">
        <f>ABS(L569-SEM!$C$34)</f>
        <v>7.8846653440086225</v>
      </c>
      <c r="P569">
        <f t="shared" si="9"/>
        <v>56.3</v>
      </c>
    </row>
    <row r="570" spans="10:16">
      <c r="J570" s="5"/>
      <c r="L570">
        <f>SEM!M570</f>
        <v>0.130423976</v>
      </c>
      <c r="M570">
        <f>SEM!N570</f>
        <v>56.4</v>
      </c>
      <c r="O570">
        <f>ABS(L570-SEM!$C$34)</f>
        <v>7.8885558280086228</v>
      </c>
      <c r="P570">
        <f t="shared" si="9"/>
        <v>56.4</v>
      </c>
    </row>
    <row r="571" spans="10:16">
      <c r="J571" s="5"/>
      <c r="L571">
        <f>SEM!M571</f>
        <v>0.132558335</v>
      </c>
      <c r="M571">
        <f>SEM!N571</f>
        <v>56.5</v>
      </c>
      <c r="O571">
        <f>ABS(L571-SEM!$C$34)</f>
        <v>7.8906901870086221</v>
      </c>
      <c r="P571">
        <f t="shared" si="9"/>
        <v>56.5</v>
      </c>
    </row>
    <row r="572" spans="10:16">
      <c r="J572" s="5"/>
      <c r="L572">
        <f>SEM!M572</f>
        <v>0.134491994</v>
      </c>
      <c r="M572">
        <f>SEM!N572</f>
        <v>56.6</v>
      </c>
      <c r="O572">
        <f>ABS(L572-SEM!$C$34)</f>
        <v>7.8926238460086227</v>
      </c>
      <c r="P572">
        <f t="shared" si="9"/>
        <v>56.6</v>
      </c>
    </row>
    <row r="573" spans="10:16">
      <c r="J573" s="5"/>
      <c r="L573">
        <f>SEM!M573</f>
        <v>0.13633200000000001</v>
      </c>
      <c r="M573">
        <f>SEM!N573</f>
        <v>56.7</v>
      </c>
      <c r="O573">
        <f>ABS(L573-SEM!$C$34)</f>
        <v>7.8944638520086228</v>
      </c>
      <c r="P573">
        <f t="shared" si="9"/>
        <v>56.7</v>
      </c>
    </row>
    <row r="574" spans="10:16">
      <c r="J574" s="5"/>
      <c r="L574">
        <f>SEM!M574</f>
        <v>0.13633200000000001</v>
      </c>
      <c r="M574">
        <f>SEM!N574</f>
        <v>56.8</v>
      </c>
      <c r="O574">
        <f>ABS(L574-SEM!$C$34)</f>
        <v>7.8944638520086228</v>
      </c>
      <c r="P574">
        <f t="shared" si="9"/>
        <v>56.8</v>
      </c>
    </row>
    <row r="575" spans="10:16">
      <c r="J575" s="5"/>
      <c r="L575">
        <f>SEM!M575</f>
        <v>0.13633200000000001</v>
      </c>
      <c r="M575">
        <f>SEM!N575</f>
        <v>56.9</v>
      </c>
      <c r="O575">
        <f>ABS(L575-SEM!$C$34)</f>
        <v>7.8944638520086228</v>
      </c>
      <c r="P575">
        <f t="shared" si="9"/>
        <v>56.9</v>
      </c>
    </row>
    <row r="576" spans="10:16">
      <c r="J576" s="5"/>
      <c r="L576">
        <f>SEM!M576</f>
        <v>0.13633655</v>
      </c>
      <c r="M576">
        <f>SEM!N576</f>
        <v>57</v>
      </c>
      <c r="O576">
        <f>ABS(L576-SEM!$C$34)</f>
        <v>7.8944684020086227</v>
      </c>
      <c r="P576">
        <f t="shared" si="9"/>
        <v>57</v>
      </c>
    </row>
    <row r="577" spans="10:16">
      <c r="J577" s="5"/>
      <c r="L577">
        <f>SEM!M577</f>
        <v>0.13635936500000001</v>
      </c>
      <c r="M577">
        <f>SEM!N577</f>
        <v>57.1</v>
      </c>
      <c r="O577">
        <f>ABS(L577-SEM!$C$34)</f>
        <v>7.8944912170086221</v>
      </c>
      <c r="P577">
        <f t="shared" si="9"/>
        <v>57.1</v>
      </c>
    </row>
    <row r="578" spans="10:16">
      <c r="J578" s="5"/>
      <c r="L578">
        <f>SEM!M578</f>
        <v>0.13638217999999999</v>
      </c>
      <c r="M578">
        <f>SEM!N578</f>
        <v>57.2</v>
      </c>
      <c r="O578">
        <f>ABS(L578-SEM!$C$34)</f>
        <v>7.8945140320086225</v>
      </c>
      <c r="P578">
        <f t="shared" si="9"/>
        <v>57.2</v>
      </c>
    </row>
    <row r="579" spans="10:16">
      <c r="J579" s="5"/>
      <c r="L579">
        <f>SEM!M579</f>
        <v>0.13684607300000001</v>
      </c>
      <c r="M579">
        <f>SEM!N579</f>
        <v>57.3</v>
      </c>
      <c r="O579">
        <f>ABS(L579-SEM!$C$34)</f>
        <v>7.8949779250086225</v>
      </c>
      <c r="P579">
        <f t="shared" si="9"/>
        <v>57.3</v>
      </c>
    </row>
    <row r="580" spans="10:16">
      <c r="J580" s="5"/>
      <c r="L580">
        <f>SEM!M580</f>
        <v>0.138127574</v>
      </c>
      <c r="M580">
        <f>SEM!N580</f>
        <v>57.4</v>
      </c>
      <c r="O580">
        <f>ABS(L580-SEM!$C$34)</f>
        <v>7.8962594260086227</v>
      </c>
      <c r="P580">
        <f t="shared" si="9"/>
        <v>57.4</v>
      </c>
    </row>
    <row r="581" spans="10:16">
      <c r="J581" s="5"/>
      <c r="L581">
        <f>SEM!M581</f>
        <v>0.13940907499999999</v>
      </c>
      <c r="M581">
        <f>SEM!N581</f>
        <v>57.5</v>
      </c>
      <c r="O581">
        <f>ABS(L581-SEM!$C$34)</f>
        <v>7.8975409270086221</v>
      </c>
      <c r="P581">
        <f t="shared" si="9"/>
        <v>57.5</v>
      </c>
    </row>
    <row r="582" spans="10:16">
      <c r="J582" s="5"/>
      <c r="L582">
        <f>SEM!M582</f>
        <v>0.14134476800000001</v>
      </c>
      <c r="M582">
        <f>SEM!N582</f>
        <v>57.6</v>
      </c>
      <c r="O582">
        <f>ABS(L582-SEM!$C$34)</f>
        <v>7.8994766200086222</v>
      </c>
      <c r="P582">
        <f t="shared" si="9"/>
        <v>57.6</v>
      </c>
    </row>
    <row r="583" spans="10:16">
      <c r="J583" s="5"/>
      <c r="L583">
        <f>SEM!M583</f>
        <v>0.14393093600000001</v>
      </c>
      <c r="M583">
        <f>SEM!N583</f>
        <v>57.7</v>
      </c>
      <c r="O583">
        <f>ABS(L583-SEM!$C$34)</f>
        <v>7.9020627880086227</v>
      </c>
      <c r="P583">
        <f t="shared" ref="P583:P646" si="10">M583</f>
        <v>57.7</v>
      </c>
    </row>
    <row r="584" spans="10:16">
      <c r="J584" s="5"/>
      <c r="L584">
        <f>SEM!M584</f>
        <v>0.14651710400000001</v>
      </c>
      <c r="M584">
        <f>SEM!N584</f>
        <v>57.8</v>
      </c>
      <c r="O584">
        <f>ABS(L584-SEM!$C$34)</f>
        <v>7.9046489560086224</v>
      </c>
      <c r="P584">
        <f t="shared" si="10"/>
        <v>57.8</v>
      </c>
    </row>
    <row r="585" spans="10:16">
      <c r="J585" s="5"/>
      <c r="L585">
        <f>SEM!M585</f>
        <v>0.147826597</v>
      </c>
      <c r="M585">
        <f>SEM!N585</f>
        <v>57.9</v>
      </c>
      <c r="O585">
        <f>ABS(L585-SEM!$C$34)</f>
        <v>7.9059584490086223</v>
      </c>
      <c r="P585">
        <f t="shared" si="10"/>
        <v>57.9</v>
      </c>
    </row>
    <row r="586" spans="10:16">
      <c r="J586" s="5"/>
      <c r="L586">
        <f>SEM!M586</f>
        <v>0.14845594000000001</v>
      </c>
      <c r="M586">
        <f>SEM!N586</f>
        <v>58</v>
      </c>
      <c r="O586">
        <f>ABS(L586-SEM!$C$34)</f>
        <v>7.9065877920086223</v>
      </c>
      <c r="P586">
        <f t="shared" si="10"/>
        <v>58</v>
      </c>
    </row>
    <row r="587" spans="10:16">
      <c r="J587" s="5"/>
      <c r="L587">
        <f>SEM!M587</f>
        <v>0.14908528300000001</v>
      </c>
      <c r="M587">
        <f>SEM!N587</f>
        <v>58.1</v>
      </c>
      <c r="O587">
        <f>ABS(L587-SEM!$C$34)</f>
        <v>7.9072171350086222</v>
      </c>
      <c r="P587">
        <f t="shared" si="10"/>
        <v>58.1</v>
      </c>
    </row>
    <row r="588" spans="10:16">
      <c r="J588" s="5"/>
      <c r="L588">
        <f>SEM!M588</f>
        <v>0.15025691199999999</v>
      </c>
      <c r="M588">
        <f>SEM!N588</f>
        <v>58.2</v>
      </c>
      <c r="O588">
        <f>ABS(L588-SEM!$C$34)</f>
        <v>7.9083887640086221</v>
      </c>
      <c r="P588">
        <f t="shared" si="10"/>
        <v>58.2</v>
      </c>
    </row>
    <row r="589" spans="10:16">
      <c r="J589" s="5"/>
      <c r="L589">
        <f>SEM!M589</f>
        <v>0.15156122799999999</v>
      </c>
      <c r="M589">
        <f>SEM!N589</f>
        <v>58.3</v>
      </c>
      <c r="O589">
        <f>ABS(L589-SEM!$C$34)</f>
        <v>7.9096930800086227</v>
      </c>
      <c r="P589">
        <f t="shared" si="10"/>
        <v>58.3</v>
      </c>
    </row>
    <row r="590" spans="10:16">
      <c r="J590" s="5"/>
      <c r="L590">
        <f>SEM!M590</f>
        <v>0.15286554399999999</v>
      </c>
      <c r="M590">
        <f>SEM!N590</f>
        <v>58.4</v>
      </c>
      <c r="O590">
        <f>ABS(L590-SEM!$C$34)</f>
        <v>7.9109973960086224</v>
      </c>
      <c r="P590">
        <f t="shared" si="10"/>
        <v>58.4</v>
      </c>
    </row>
    <row r="591" spans="10:16">
      <c r="J591" s="5"/>
      <c r="L591">
        <f>SEM!M591</f>
        <v>0.15314676999999999</v>
      </c>
      <c r="M591">
        <f>SEM!N591</f>
        <v>58.5</v>
      </c>
      <c r="O591">
        <f>ABS(L591-SEM!$C$34)</f>
        <v>7.9112786220086226</v>
      </c>
      <c r="P591">
        <f t="shared" si="10"/>
        <v>58.5</v>
      </c>
    </row>
    <row r="592" spans="10:16">
      <c r="J592" s="5"/>
      <c r="L592">
        <f>SEM!M592</f>
        <v>0.153379132</v>
      </c>
      <c r="M592">
        <f>SEM!N592</f>
        <v>58.6</v>
      </c>
      <c r="O592">
        <f>ABS(L592-SEM!$C$34)</f>
        <v>7.9115109840086228</v>
      </c>
      <c r="P592">
        <f t="shared" si="10"/>
        <v>58.6</v>
      </c>
    </row>
    <row r="593" spans="10:16">
      <c r="J593" s="5"/>
      <c r="L593">
        <f>SEM!M593</f>
        <v>0.15365811400000001</v>
      </c>
      <c r="M593">
        <f>SEM!N593</f>
        <v>58.7</v>
      </c>
      <c r="O593">
        <f>ABS(L593-SEM!$C$34)</f>
        <v>7.9117899660086222</v>
      </c>
      <c r="P593">
        <f t="shared" si="10"/>
        <v>58.7</v>
      </c>
    </row>
    <row r="594" spans="10:16">
      <c r="J594" s="5"/>
      <c r="L594">
        <f>SEM!M594</f>
        <v>0.154332736</v>
      </c>
      <c r="M594">
        <f>SEM!N594</f>
        <v>58.8</v>
      </c>
      <c r="O594">
        <f>ABS(L594-SEM!$C$34)</f>
        <v>7.9124645880086222</v>
      </c>
      <c r="P594">
        <f t="shared" si="10"/>
        <v>58.8</v>
      </c>
    </row>
    <row r="595" spans="10:16">
      <c r="J595" s="5"/>
      <c r="L595">
        <f>SEM!M595</f>
        <v>0.15500735800000001</v>
      </c>
      <c r="M595">
        <f>SEM!N595</f>
        <v>58.9</v>
      </c>
      <c r="O595">
        <f>ABS(L595-SEM!$C$34)</f>
        <v>7.9131392100086222</v>
      </c>
      <c r="P595">
        <f t="shared" si="10"/>
        <v>58.9</v>
      </c>
    </row>
    <row r="596" spans="10:16">
      <c r="J596" s="5"/>
      <c r="L596">
        <f>SEM!M596</f>
        <v>0.15816129999999901</v>
      </c>
      <c r="M596">
        <f>SEM!N596</f>
        <v>59</v>
      </c>
      <c r="O596">
        <f>ABS(L596-SEM!$C$34)</f>
        <v>7.9162931520086213</v>
      </c>
      <c r="P596">
        <f t="shared" si="10"/>
        <v>59</v>
      </c>
    </row>
    <row r="597" spans="10:16">
      <c r="J597" s="5"/>
      <c r="L597">
        <f>SEM!M597</f>
        <v>0.16850527000000001</v>
      </c>
      <c r="M597">
        <f>SEM!N597</f>
        <v>59.1</v>
      </c>
      <c r="O597">
        <f>ABS(L597-SEM!$C$34)</f>
        <v>7.9266371220086222</v>
      </c>
      <c r="P597">
        <f t="shared" si="10"/>
        <v>59.1</v>
      </c>
    </row>
    <row r="598" spans="10:16">
      <c r="J598" s="5"/>
      <c r="L598">
        <f>SEM!M598</f>
        <v>0.17884923999999999</v>
      </c>
      <c r="M598">
        <f>SEM!N598</f>
        <v>59.2</v>
      </c>
      <c r="O598">
        <f>ABS(L598-SEM!$C$34)</f>
        <v>7.9369810920086223</v>
      </c>
      <c r="P598">
        <f t="shared" si="10"/>
        <v>59.2</v>
      </c>
    </row>
    <row r="599" spans="10:16">
      <c r="J599" s="5"/>
      <c r="L599">
        <f>SEM!M599</f>
        <v>0.18550109300000001</v>
      </c>
      <c r="M599">
        <f>SEM!N599</f>
        <v>59.3</v>
      </c>
      <c r="O599">
        <f>ABS(L599-SEM!$C$34)</f>
        <v>7.9436329450086225</v>
      </c>
      <c r="P599">
        <f t="shared" si="10"/>
        <v>59.3</v>
      </c>
    </row>
    <row r="600" spans="10:16">
      <c r="J600" s="5"/>
      <c r="L600">
        <f>SEM!M600</f>
        <v>0.186782594</v>
      </c>
      <c r="M600">
        <f>SEM!N600</f>
        <v>59.4</v>
      </c>
      <c r="O600">
        <f>ABS(L600-SEM!$C$34)</f>
        <v>7.9449144460086227</v>
      </c>
      <c r="P600">
        <f t="shared" si="10"/>
        <v>59.4</v>
      </c>
    </row>
    <row r="601" spans="10:16">
      <c r="J601" s="5"/>
      <c r="L601">
        <f>SEM!M601</f>
        <v>0.18806409499999999</v>
      </c>
      <c r="M601">
        <f>SEM!N601</f>
        <v>59.5</v>
      </c>
      <c r="O601">
        <f>ABS(L601-SEM!$C$34)</f>
        <v>7.9461959470086221</v>
      </c>
      <c r="P601">
        <f t="shared" si="10"/>
        <v>59.5</v>
      </c>
    </row>
    <row r="602" spans="10:16">
      <c r="J602" s="5"/>
      <c r="L602">
        <f>SEM!M602</f>
        <v>0.18899416799999999</v>
      </c>
      <c r="M602">
        <f>SEM!N602</f>
        <v>59.6</v>
      </c>
      <c r="O602">
        <f>ABS(L602-SEM!$C$34)</f>
        <v>7.9471260200086222</v>
      </c>
      <c r="P602">
        <f t="shared" si="10"/>
        <v>59.6</v>
      </c>
    </row>
    <row r="603" spans="10:16">
      <c r="J603" s="5"/>
      <c r="L603">
        <f>SEM!M603</f>
        <v>0.189646326</v>
      </c>
      <c r="M603">
        <f>SEM!N603</f>
        <v>59.7</v>
      </c>
      <c r="O603">
        <f>ABS(L603-SEM!$C$34)</f>
        <v>7.9477781780086225</v>
      </c>
      <c r="P603">
        <f t="shared" si="10"/>
        <v>59.7</v>
      </c>
    </row>
    <row r="604" spans="10:16">
      <c r="J604" s="5"/>
      <c r="L604">
        <f>SEM!M604</f>
        <v>0.19029848399999999</v>
      </c>
      <c r="M604">
        <f>SEM!N604</f>
        <v>59.8</v>
      </c>
      <c r="O604">
        <f>ABS(L604-SEM!$C$34)</f>
        <v>7.9484303360086228</v>
      </c>
      <c r="P604">
        <f t="shared" si="10"/>
        <v>59.8</v>
      </c>
    </row>
    <row r="605" spans="10:16">
      <c r="J605" s="5"/>
      <c r="L605">
        <f>SEM!M605</f>
        <v>0.192769089</v>
      </c>
      <c r="M605">
        <f>SEM!N605</f>
        <v>59.9</v>
      </c>
      <c r="O605">
        <f>ABS(L605-SEM!$C$34)</f>
        <v>7.9509009410086229</v>
      </c>
      <c r="P605">
        <f t="shared" si="10"/>
        <v>59.9</v>
      </c>
    </row>
    <row r="606" spans="10:16">
      <c r="J606" s="5"/>
      <c r="L606">
        <f>SEM!M606</f>
        <v>0.19598460000000001</v>
      </c>
      <c r="M606">
        <f>SEM!N606</f>
        <v>60</v>
      </c>
      <c r="O606">
        <f>ABS(L606-SEM!$C$34)</f>
        <v>7.9541164520086225</v>
      </c>
      <c r="P606">
        <f t="shared" si="10"/>
        <v>60</v>
      </c>
    </row>
    <row r="607" spans="10:16">
      <c r="J607" s="5"/>
      <c r="L607">
        <f>SEM!M607</f>
        <v>0.19920011100000001</v>
      </c>
      <c r="M607">
        <f>SEM!N607</f>
        <v>60.1</v>
      </c>
      <c r="O607">
        <f>ABS(L607-SEM!$C$34)</f>
        <v>7.9573319630086221</v>
      </c>
      <c r="P607">
        <f t="shared" si="10"/>
        <v>60.1</v>
      </c>
    </row>
    <row r="608" spans="10:16">
      <c r="J608" s="5"/>
      <c r="L608">
        <f>SEM!M608</f>
        <v>0.199868252</v>
      </c>
      <c r="M608">
        <f>SEM!N608</f>
        <v>60.2</v>
      </c>
      <c r="O608">
        <f>ABS(L608-SEM!$C$34)</f>
        <v>7.9580001040086223</v>
      </c>
      <c r="P608">
        <f t="shared" si="10"/>
        <v>60.2</v>
      </c>
    </row>
    <row r="609" spans="10:16">
      <c r="J609" s="5"/>
      <c r="L609">
        <f>SEM!M609</f>
        <v>0.20012307800000001</v>
      </c>
      <c r="M609">
        <f>SEM!N609</f>
        <v>60.3</v>
      </c>
      <c r="O609">
        <f>ABS(L609-SEM!$C$34)</f>
        <v>7.9582549300086223</v>
      </c>
      <c r="P609">
        <f t="shared" si="10"/>
        <v>60.3</v>
      </c>
    </row>
    <row r="610" spans="10:16">
      <c r="J610" s="5"/>
      <c r="L610">
        <f>SEM!M610</f>
        <v>0.200379528</v>
      </c>
      <c r="M610">
        <f>SEM!N610</f>
        <v>60.4</v>
      </c>
      <c r="O610">
        <f>ABS(L610-SEM!$C$34)</f>
        <v>7.9585113800086225</v>
      </c>
      <c r="P610">
        <f t="shared" si="10"/>
        <v>60.4</v>
      </c>
    </row>
    <row r="611" spans="10:16">
      <c r="J611" s="5"/>
      <c r="L611">
        <f>SEM!M611</f>
        <v>0.20077686</v>
      </c>
      <c r="M611">
        <f>SEM!N611</f>
        <v>60.5</v>
      </c>
      <c r="O611">
        <f>ABS(L611-SEM!$C$34)</f>
        <v>7.9589087120086228</v>
      </c>
      <c r="P611">
        <f t="shared" si="10"/>
        <v>60.5</v>
      </c>
    </row>
    <row r="612" spans="10:16">
      <c r="J612" s="5"/>
      <c r="L612">
        <f>SEM!M612</f>
        <v>0.201174192</v>
      </c>
      <c r="M612">
        <f>SEM!N612</f>
        <v>60.6</v>
      </c>
      <c r="O612">
        <f>ABS(L612-SEM!$C$34)</f>
        <v>7.9593060440086223</v>
      </c>
      <c r="P612">
        <f t="shared" si="10"/>
        <v>60.6</v>
      </c>
    </row>
    <row r="613" spans="10:16">
      <c r="J613" s="5"/>
      <c r="L613">
        <f>SEM!M613</f>
        <v>0.20301630300000001</v>
      </c>
      <c r="M613">
        <f>SEM!N613</f>
        <v>60.7</v>
      </c>
      <c r="O613">
        <f>ABS(L613-SEM!$C$34)</f>
        <v>7.9611481550086225</v>
      </c>
      <c r="P613">
        <f t="shared" si="10"/>
        <v>60.7</v>
      </c>
    </row>
    <row r="614" spans="10:16">
      <c r="J614" s="5"/>
      <c r="L614">
        <f>SEM!M614</f>
        <v>0.21231043199999999</v>
      </c>
      <c r="M614">
        <f>SEM!N614</f>
        <v>60.8</v>
      </c>
      <c r="O614">
        <f>ABS(L614-SEM!$C$34)</f>
        <v>7.9704422840086222</v>
      </c>
      <c r="P614">
        <f t="shared" si="10"/>
        <v>60.8</v>
      </c>
    </row>
    <row r="615" spans="10:16">
      <c r="J615" s="5"/>
      <c r="L615">
        <f>SEM!M615</f>
        <v>0.22160456100000001</v>
      </c>
      <c r="M615">
        <f>SEM!N615</f>
        <v>60.9</v>
      </c>
      <c r="O615">
        <f>ABS(L615-SEM!$C$34)</f>
        <v>7.9797364130086228</v>
      </c>
      <c r="P615">
        <f t="shared" si="10"/>
        <v>60.9</v>
      </c>
    </row>
    <row r="616" spans="10:16">
      <c r="J616" s="5"/>
      <c r="L616">
        <f>SEM!M616</f>
        <v>0.22819038</v>
      </c>
      <c r="M616">
        <f>SEM!N616</f>
        <v>61</v>
      </c>
      <c r="O616">
        <f>ABS(L616-SEM!$C$34)</f>
        <v>7.9863222320086225</v>
      </c>
      <c r="P616">
        <f t="shared" si="10"/>
        <v>61</v>
      </c>
    </row>
    <row r="617" spans="10:16">
      <c r="J617" s="5"/>
      <c r="L617">
        <f>SEM!M617</f>
        <v>0.22884253800000001</v>
      </c>
      <c r="M617">
        <f>SEM!N617</f>
        <v>61.1</v>
      </c>
      <c r="O617">
        <f>ABS(L617-SEM!$C$34)</f>
        <v>7.9869743900086227</v>
      </c>
      <c r="P617">
        <f t="shared" si="10"/>
        <v>61.1</v>
      </c>
    </row>
    <row r="618" spans="10:16">
      <c r="J618" s="5"/>
      <c r="L618">
        <f>SEM!M618</f>
        <v>0.229494696</v>
      </c>
      <c r="M618">
        <f>SEM!N618</f>
        <v>61.2</v>
      </c>
      <c r="O618">
        <f>ABS(L618-SEM!$C$34)</f>
        <v>7.9876265480086222</v>
      </c>
      <c r="P618">
        <f t="shared" si="10"/>
        <v>61.2</v>
      </c>
    </row>
    <row r="619" spans="10:16">
      <c r="J619" s="5"/>
      <c r="L619">
        <f>SEM!M619</f>
        <v>0.230439276</v>
      </c>
      <c r="M619">
        <f>SEM!N619</f>
        <v>61.3</v>
      </c>
      <c r="O619">
        <f>ABS(L619-SEM!$C$34)</f>
        <v>7.9885711280086227</v>
      </c>
      <c r="P619">
        <f t="shared" si="10"/>
        <v>61.3</v>
      </c>
    </row>
    <row r="620" spans="10:16">
      <c r="J620" s="5"/>
      <c r="L620">
        <f>SEM!M620</f>
        <v>0.231721128</v>
      </c>
      <c r="M620">
        <f>SEM!N620</f>
        <v>61.4</v>
      </c>
      <c r="O620">
        <f>ABS(L620-SEM!$C$34)</f>
        <v>7.9898529800086227</v>
      </c>
      <c r="P620">
        <f t="shared" si="10"/>
        <v>61.4</v>
      </c>
    </row>
    <row r="621" spans="10:16">
      <c r="J621" s="5"/>
      <c r="L621">
        <f>SEM!M621</f>
        <v>0.23300298</v>
      </c>
      <c r="M621">
        <f>SEM!N621</f>
        <v>61.5</v>
      </c>
      <c r="O621">
        <f>ABS(L621-SEM!$C$34)</f>
        <v>7.9911348320086226</v>
      </c>
      <c r="P621">
        <f t="shared" si="10"/>
        <v>61.5</v>
      </c>
    </row>
    <row r="622" spans="10:16">
      <c r="J622" s="5"/>
      <c r="L622">
        <f>SEM!M622</f>
        <v>0.233509824</v>
      </c>
      <c r="M622">
        <f>SEM!N622</f>
        <v>61.6</v>
      </c>
      <c r="O622">
        <f>ABS(L622-SEM!$C$34)</f>
        <v>7.9916416760086229</v>
      </c>
      <c r="P622">
        <f t="shared" si="10"/>
        <v>61.6</v>
      </c>
    </row>
    <row r="623" spans="10:16">
      <c r="J623" s="5"/>
      <c r="L623">
        <f>SEM!M623</f>
        <v>0.233532288</v>
      </c>
      <c r="M623">
        <f>SEM!N623</f>
        <v>61.7</v>
      </c>
      <c r="O623">
        <f>ABS(L623-SEM!$C$34)</f>
        <v>7.9916641400086226</v>
      </c>
      <c r="P623">
        <f t="shared" si="10"/>
        <v>61.7</v>
      </c>
    </row>
    <row r="624" spans="10:16">
      <c r="J624" s="5"/>
      <c r="L624">
        <f>SEM!M624</f>
        <v>0.233554752</v>
      </c>
      <c r="M624">
        <f>SEM!N624</f>
        <v>61.8</v>
      </c>
      <c r="O624">
        <f>ABS(L624-SEM!$C$34)</f>
        <v>7.9916866040086223</v>
      </c>
      <c r="P624">
        <f t="shared" si="10"/>
        <v>61.8</v>
      </c>
    </row>
    <row r="625" spans="10:16">
      <c r="J625" s="5"/>
      <c r="L625">
        <f>SEM!M625</f>
        <v>0.23652411100000001</v>
      </c>
      <c r="M625">
        <f>SEM!N625</f>
        <v>61.9</v>
      </c>
      <c r="O625">
        <f>ABS(L625-SEM!$C$34)</f>
        <v>7.994655963008622</v>
      </c>
      <c r="P625">
        <f t="shared" si="10"/>
        <v>61.9</v>
      </c>
    </row>
    <row r="626" spans="10:16">
      <c r="J626" s="5"/>
      <c r="L626">
        <f>SEM!M626</f>
        <v>0.24039178</v>
      </c>
      <c r="M626">
        <f>SEM!N626</f>
        <v>62</v>
      </c>
      <c r="O626">
        <f>ABS(L626-SEM!$C$34)</f>
        <v>7.9985236320086228</v>
      </c>
      <c r="P626">
        <f t="shared" si="10"/>
        <v>62</v>
      </c>
    </row>
    <row r="627" spans="10:16">
      <c r="J627" s="5"/>
      <c r="L627">
        <f>SEM!M627</f>
        <v>0.24425944899999999</v>
      </c>
      <c r="M627">
        <f>SEM!N627</f>
        <v>62.1</v>
      </c>
      <c r="O627">
        <f>ABS(L627-SEM!$C$34)</f>
        <v>8.0023913010086218</v>
      </c>
      <c r="P627">
        <f t="shared" si="10"/>
        <v>62.1</v>
      </c>
    </row>
    <row r="628" spans="10:16">
      <c r="J628" s="5"/>
      <c r="L628">
        <f>SEM!M628</f>
        <v>0.245988716</v>
      </c>
      <c r="M628">
        <f>SEM!N628</f>
        <v>62.2</v>
      </c>
      <c r="O628">
        <f>ABS(L628-SEM!$C$34)</f>
        <v>8.0041205680086218</v>
      </c>
      <c r="P628">
        <f t="shared" si="10"/>
        <v>62.2</v>
      </c>
    </row>
    <row r="629" spans="10:16">
      <c r="J629" s="5"/>
      <c r="L629">
        <f>SEM!M629</f>
        <v>0.24752539400000001</v>
      </c>
      <c r="M629">
        <f>SEM!N629</f>
        <v>62.3</v>
      </c>
      <c r="O629">
        <f>ABS(L629-SEM!$C$34)</f>
        <v>8.0056572460086226</v>
      </c>
      <c r="P629">
        <f t="shared" si="10"/>
        <v>62.3</v>
      </c>
    </row>
    <row r="630" spans="10:16">
      <c r="J630" s="5"/>
      <c r="L630">
        <f>SEM!M630</f>
        <v>0.249089216</v>
      </c>
      <c r="M630">
        <f>SEM!N630</f>
        <v>62.4</v>
      </c>
      <c r="O630">
        <f>ABS(L630-SEM!$C$34)</f>
        <v>8.0072210680086222</v>
      </c>
      <c r="P630">
        <f t="shared" si="10"/>
        <v>62.4</v>
      </c>
    </row>
    <row r="631" spans="10:16">
      <c r="J631" s="5"/>
      <c r="L631">
        <f>SEM!M631</f>
        <v>0.25102287499999998</v>
      </c>
      <c r="M631">
        <f>SEM!N631</f>
        <v>62.5</v>
      </c>
      <c r="O631">
        <f>ABS(L631-SEM!$C$34)</f>
        <v>8.0091547270086227</v>
      </c>
      <c r="P631">
        <f t="shared" si="10"/>
        <v>62.5</v>
      </c>
    </row>
    <row r="632" spans="10:16">
      <c r="J632" s="5"/>
      <c r="L632">
        <f>SEM!M632</f>
        <v>0.25295653400000001</v>
      </c>
      <c r="M632">
        <f>SEM!N632</f>
        <v>62.6</v>
      </c>
      <c r="O632">
        <f>ABS(L632-SEM!$C$34)</f>
        <v>8.0110883860086233</v>
      </c>
      <c r="P632">
        <f t="shared" si="10"/>
        <v>62.6</v>
      </c>
    </row>
    <row r="633" spans="10:16">
      <c r="J633" s="5"/>
      <c r="L633">
        <f>SEM!M633</f>
        <v>0.25489026999999997</v>
      </c>
      <c r="M633">
        <f>SEM!N633</f>
        <v>62.7</v>
      </c>
      <c r="O633">
        <f>ABS(L633-SEM!$C$34)</f>
        <v>8.0130221220086231</v>
      </c>
      <c r="P633">
        <f t="shared" si="10"/>
        <v>62.7</v>
      </c>
    </row>
    <row r="634" spans="10:16">
      <c r="J634" s="5"/>
      <c r="L634">
        <f>SEM!M634</f>
        <v>0.25682428000000002</v>
      </c>
      <c r="M634">
        <f>SEM!N634</f>
        <v>62.8</v>
      </c>
      <c r="O634">
        <f>ABS(L634-SEM!$C$34)</f>
        <v>8.0149561320086224</v>
      </c>
      <c r="P634">
        <f t="shared" si="10"/>
        <v>62.8</v>
      </c>
    </row>
    <row r="635" spans="10:16">
      <c r="J635" s="5"/>
      <c r="L635">
        <f>SEM!M635</f>
        <v>0.25875829</v>
      </c>
      <c r="M635">
        <f>SEM!N635</f>
        <v>62.9</v>
      </c>
      <c r="O635">
        <f>ABS(L635-SEM!$C$34)</f>
        <v>8.0168901420086218</v>
      </c>
      <c r="P635">
        <f t="shared" si="10"/>
        <v>62.9</v>
      </c>
    </row>
    <row r="636" spans="10:16">
      <c r="J636" s="5"/>
      <c r="L636">
        <f>SEM!M636</f>
        <v>0.25997599999999998</v>
      </c>
      <c r="M636">
        <f>SEM!N636</f>
        <v>63</v>
      </c>
      <c r="O636">
        <f>ABS(L636-SEM!$C$34)</f>
        <v>8.0181078520086224</v>
      </c>
      <c r="P636">
        <f t="shared" si="10"/>
        <v>63</v>
      </c>
    </row>
    <row r="637" spans="10:16">
      <c r="J637" s="5"/>
      <c r="L637">
        <f>SEM!M637</f>
        <v>0.25997599999999998</v>
      </c>
      <c r="M637">
        <f>SEM!N637</f>
        <v>63.1</v>
      </c>
      <c r="O637">
        <f>ABS(L637-SEM!$C$34)</f>
        <v>8.0181078520086224</v>
      </c>
      <c r="P637">
        <f t="shared" si="10"/>
        <v>63.1</v>
      </c>
    </row>
    <row r="638" spans="10:16">
      <c r="J638" s="5"/>
      <c r="L638">
        <f>SEM!M638</f>
        <v>0.25997599999999998</v>
      </c>
      <c r="M638">
        <f>SEM!N638</f>
        <v>63.2</v>
      </c>
      <c r="O638">
        <f>ABS(L638-SEM!$C$34)</f>
        <v>8.0181078520086224</v>
      </c>
      <c r="P638">
        <f t="shared" si="10"/>
        <v>63.2</v>
      </c>
    </row>
    <row r="639" spans="10:16">
      <c r="J639" s="5"/>
      <c r="L639">
        <f>SEM!M639</f>
        <v>0.260984147</v>
      </c>
      <c r="M639">
        <f>SEM!N639</f>
        <v>63.3</v>
      </c>
      <c r="O639">
        <f>ABS(L639-SEM!$C$34)</f>
        <v>8.0191159990086227</v>
      </c>
      <c r="P639">
        <f t="shared" si="10"/>
        <v>63.3</v>
      </c>
    </row>
    <row r="640" spans="10:16">
      <c r="J640" s="5"/>
      <c r="L640">
        <f>SEM!M640</f>
        <v>0.26291780599999998</v>
      </c>
      <c r="M640">
        <f>SEM!N640</f>
        <v>63.4</v>
      </c>
      <c r="O640">
        <f>ABS(L640-SEM!$C$34)</f>
        <v>8.0210496580086232</v>
      </c>
      <c r="P640">
        <f t="shared" si="10"/>
        <v>63.4</v>
      </c>
    </row>
    <row r="641" spans="10:16">
      <c r="J641" s="5"/>
      <c r="L641">
        <f>SEM!M641</f>
        <v>0.26485146500000001</v>
      </c>
      <c r="M641">
        <f>SEM!N641</f>
        <v>63.5</v>
      </c>
      <c r="O641">
        <f>ABS(L641-SEM!$C$34)</f>
        <v>8.022983317008622</v>
      </c>
      <c r="P641">
        <f t="shared" si="10"/>
        <v>63.5</v>
      </c>
    </row>
    <row r="642" spans="10:16">
      <c r="J642" s="5"/>
      <c r="L642">
        <f>SEM!M642</f>
        <v>0.26550010400000001</v>
      </c>
      <c r="M642">
        <f>SEM!N642</f>
        <v>63.6</v>
      </c>
      <c r="O642">
        <f>ABS(L642-SEM!$C$34)</f>
        <v>8.0236319560086216</v>
      </c>
      <c r="P642">
        <f t="shared" si="10"/>
        <v>63.6</v>
      </c>
    </row>
    <row r="643" spans="10:16">
      <c r="J643" s="5"/>
      <c r="L643">
        <f>SEM!M643</f>
        <v>0.26552256800000001</v>
      </c>
      <c r="M643">
        <f>SEM!N643</f>
        <v>63.7</v>
      </c>
      <c r="O643">
        <f>ABS(L643-SEM!$C$34)</f>
        <v>8.0236544200086222</v>
      </c>
      <c r="P643">
        <f t="shared" si="10"/>
        <v>63.7</v>
      </c>
    </row>
    <row r="644" spans="10:16">
      <c r="J644" s="5"/>
      <c r="L644">
        <f>SEM!M644</f>
        <v>0.26554503200000001</v>
      </c>
      <c r="M644">
        <f>SEM!N644</f>
        <v>63.8</v>
      </c>
      <c r="O644">
        <f>ABS(L644-SEM!$C$34)</f>
        <v>8.0236768840086228</v>
      </c>
      <c r="P644">
        <f t="shared" si="10"/>
        <v>63.8</v>
      </c>
    </row>
    <row r="645" spans="10:16">
      <c r="J645" s="5"/>
      <c r="L645">
        <f>SEM!M645</f>
        <v>0.26554899999999998</v>
      </c>
      <c r="M645">
        <f>SEM!N645</f>
        <v>63.9</v>
      </c>
      <c r="O645">
        <f>ABS(L645-SEM!$C$34)</f>
        <v>8.0236808520086225</v>
      </c>
      <c r="P645">
        <f t="shared" si="10"/>
        <v>63.9</v>
      </c>
    </row>
    <row r="646" spans="10:16">
      <c r="J646" s="5"/>
      <c r="L646">
        <f>SEM!M646</f>
        <v>0.26554899999999998</v>
      </c>
      <c r="M646">
        <f>SEM!N646</f>
        <v>64</v>
      </c>
      <c r="O646">
        <f>ABS(L646-SEM!$C$34)</f>
        <v>8.0236808520086225</v>
      </c>
      <c r="P646">
        <f t="shared" si="10"/>
        <v>64</v>
      </c>
    </row>
    <row r="647" spans="10:16">
      <c r="J647" s="5"/>
      <c r="L647">
        <f>SEM!M647</f>
        <v>0.26554899999999998</v>
      </c>
      <c r="M647">
        <f>SEM!N647</f>
        <v>64.099999999999994</v>
      </c>
      <c r="O647">
        <f>ABS(L647-SEM!$C$34)</f>
        <v>8.0236808520086225</v>
      </c>
      <c r="P647">
        <f t="shared" ref="P647:P710" si="11">M647</f>
        <v>64.099999999999994</v>
      </c>
    </row>
    <row r="648" spans="10:16">
      <c r="J648" s="5"/>
      <c r="L648">
        <f>SEM!M648</f>
        <v>0.26743341999999998</v>
      </c>
      <c r="M648">
        <f>SEM!N648</f>
        <v>64.2</v>
      </c>
      <c r="O648">
        <f>ABS(L648-SEM!$C$34)</f>
        <v>8.0255652720086221</v>
      </c>
      <c r="P648">
        <f t="shared" si="11"/>
        <v>64.2</v>
      </c>
    </row>
    <row r="649" spans="10:16">
      <c r="J649" s="5"/>
      <c r="L649">
        <f>SEM!M649</f>
        <v>0.26936743000000002</v>
      </c>
      <c r="M649">
        <f>SEM!N649</f>
        <v>64.3</v>
      </c>
      <c r="O649">
        <f>ABS(L649-SEM!$C$34)</f>
        <v>8.0274992820086233</v>
      </c>
      <c r="P649">
        <f t="shared" si="11"/>
        <v>64.3</v>
      </c>
    </row>
    <row r="650" spans="10:16">
      <c r="J650" s="5"/>
      <c r="L650">
        <f>SEM!M650</f>
        <v>0.27227388400000002</v>
      </c>
      <c r="M650">
        <f>SEM!N650</f>
        <v>64.400000000000006</v>
      </c>
      <c r="O650">
        <f>ABS(L650-SEM!$C$34)</f>
        <v>8.030405736008623</v>
      </c>
      <c r="P650">
        <f t="shared" si="11"/>
        <v>64.400000000000006</v>
      </c>
    </row>
    <row r="651" spans="10:16">
      <c r="J651" s="5"/>
      <c r="L651">
        <f>SEM!M651</f>
        <v>0.28196534499999998</v>
      </c>
      <c r="M651">
        <f>SEM!N651</f>
        <v>64.5</v>
      </c>
      <c r="O651">
        <f>ABS(L651-SEM!$C$34)</f>
        <v>8.0400971970086221</v>
      </c>
      <c r="P651">
        <f t="shared" si="11"/>
        <v>64.5</v>
      </c>
    </row>
    <row r="652" spans="10:16">
      <c r="J652" s="5"/>
      <c r="L652">
        <f>SEM!M652</f>
        <v>0.29165680599999999</v>
      </c>
      <c r="M652">
        <f>SEM!N652</f>
        <v>64.599999999999994</v>
      </c>
      <c r="O652">
        <f>ABS(L652-SEM!$C$34)</f>
        <v>8.0497886580086231</v>
      </c>
      <c r="P652">
        <f t="shared" si="11"/>
        <v>64.599999999999994</v>
      </c>
    </row>
    <row r="653" spans="10:16">
      <c r="J653" s="5"/>
      <c r="L653">
        <f>SEM!M653</f>
        <v>0.30213338499999998</v>
      </c>
      <c r="M653">
        <f>SEM!N653</f>
        <v>64.7</v>
      </c>
      <c r="O653">
        <f>ABS(L653-SEM!$C$34)</f>
        <v>8.0602652370086219</v>
      </c>
      <c r="P653">
        <f t="shared" si="11"/>
        <v>64.7</v>
      </c>
    </row>
    <row r="654" spans="10:16">
      <c r="J654" s="5"/>
      <c r="L654">
        <f>SEM!M654</f>
        <v>0.31466583999999997</v>
      </c>
      <c r="M654">
        <f>SEM!N654</f>
        <v>64.8</v>
      </c>
      <c r="O654">
        <f>ABS(L654-SEM!$C$34)</f>
        <v>8.0727976920086224</v>
      </c>
      <c r="P654">
        <f t="shared" si="11"/>
        <v>64.8</v>
      </c>
    </row>
    <row r="655" spans="10:16">
      <c r="J655" s="5"/>
      <c r="L655">
        <f>SEM!M655</f>
        <v>0.32719829499999997</v>
      </c>
      <c r="M655">
        <f>SEM!N655</f>
        <v>64.900000000000006</v>
      </c>
      <c r="O655">
        <f>ABS(L655-SEM!$C$34)</f>
        <v>8.085330147008623</v>
      </c>
      <c r="P655">
        <f t="shared" si="11"/>
        <v>64.900000000000006</v>
      </c>
    </row>
    <row r="656" spans="10:16">
      <c r="J656" s="5"/>
      <c r="L656">
        <f>SEM!M656</f>
        <v>0.33521109999999998</v>
      </c>
      <c r="M656">
        <f>SEM!N656</f>
        <v>65</v>
      </c>
      <c r="O656">
        <f>ABS(L656-SEM!$C$34)</f>
        <v>8.0933429520086229</v>
      </c>
      <c r="P656">
        <f t="shared" si="11"/>
        <v>65</v>
      </c>
    </row>
    <row r="657" spans="10:16">
      <c r="J657" s="5"/>
      <c r="L657">
        <f>SEM!M657</f>
        <v>0.33716757400000003</v>
      </c>
      <c r="M657">
        <f>SEM!N657</f>
        <v>65.099999999999994</v>
      </c>
      <c r="O657">
        <f>ABS(L657-SEM!$C$34)</f>
        <v>8.0952994260086228</v>
      </c>
      <c r="P657">
        <f t="shared" si="11"/>
        <v>65.099999999999994</v>
      </c>
    </row>
    <row r="658" spans="10:16">
      <c r="J658" s="5"/>
      <c r="L658">
        <f>SEM!M658</f>
        <v>0.33912404800000001</v>
      </c>
      <c r="M658">
        <f>SEM!N658</f>
        <v>65.2</v>
      </c>
      <c r="O658">
        <f>ABS(L658-SEM!$C$34)</f>
        <v>8.0972559000086228</v>
      </c>
      <c r="P658">
        <f t="shared" si="11"/>
        <v>65.2</v>
      </c>
    </row>
    <row r="659" spans="10:16">
      <c r="J659" s="5"/>
      <c r="L659">
        <f>SEM!M659</f>
        <v>0.34031297900000002</v>
      </c>
      <c r="M659">
        <f>SEM!N659</f>
        <v>65.3</v>
      </c>
      <c r="O659">
        <f>ABS(L659-SEM!$C$34)</f>
        <v>8.0984448310086226</v>
      </c>
      <c r="P659">
        <f t="shared" si="11"/>
        <v>65.3</v>
      </c>
    </row>
    <row r="660" spans="10:16">
      <c r="J660" s="5"/>
      <c r="L660">
        <f>SEM!M660</f>
        <v>0.34094232200000002</v>
      </c>
      <c r="M660">
        <f>SEM!N660</f>
        <v>65.400000000000006</v>
      </c>
      <c r="O660">
        <f>ABS(L660-SEM!$C$34)</f>
        <v>8.0990741740086225</v>
      </c>
      <c r="P660">
        <f t="shared" si="11"/>
        <v>65.400000000000006</v>
      </c>
    </row>
    <row r="661" spans="10:16">
      <c r="J661" s="5"/>
      <c r="L661">
        <f>SEM!M661</f>
        <v>0.34157166500000002</v>
      </c>
      <c r="M661">
        <f>SEM!N661</f>
        <v>65.5</v>
      </c>
      <c r="O661">
        <f>ABS(L661-SEM!$C$34)</f>
        <v>8.0997035170086225</v>
      </c>
      <c r="P661">
        <f t="shared" si="11"/>
        <v>65.5</v>
      </c>
    </row>
    <row r="662" spans="10:16">
      <c r="J662" s="5"/>
      <c r="L662">
        <f>SEM!M662</f>
        <v>0.34427307200000001</v>
      </c>
      <c r="M662">
        <f>SEM!N662</f>
        <v>65.599999999999994</v>
      </c>
      <c r="O662">
        <f>ABS(L662-SEM!$C$34)</f>
        <v>8.1024049240086224</v>
      </c>
      <c r="P662">
        <f t="shared" si="11"/>
        <v>65.599999999999994</v>
      </c>
    </row>
    <row r="663" spans="10:16">
      <c r="J663" s="5"/>
      <c r="L663">
        <f>SEM!M663</f>
        <v>0.347743409</v>
      </c>
      <c r="M663">
        <f>SEM!N663</f>
        <v>65.7</v>
      </c>
      <c r="O663">
        <f>ABS(L663-SEM!$C$34)</f>
        <v>8.105875261008622</v>
      </c>
      <c r="P663">
        <f t="shared" si="11"/>
        <v>65.7</v>
      </c>
    </row>
    <row r="664" spans="10:16">
      <c r="J664" s="5"/>
      <c r="L664">
        <f>SEM!M664</f>
        <v>0.35121374599999999</v>
      </c>
      <c r="M664">
        <f>SEM!N664</f>
        <v>65.8</v>
      </c>
      <c r="O664">
        <f>ABS(L664-SEM!$C$34)</f>
        <v>8.1093455980086233</v>
      </c>
      <c r="P664">
        <f t="shared" si="11"/>
        <v>65.8</v>
      </c>
    </row>
    <row r="665" spans="10:16">
      <c r="J665" s="5"/>
      <c r="L665">
        <f>SEM!M665</f>
        <v>0.35333158999999997</v>
      </c>
      <c r="M665">
        <f>SEM!N665</f>
        <v>65.900000000000006</v>
      </c>
      <c r="O665">
        <f>ABS(L665-SEM!$C$34)</f>
        <v>8.1114634420086222</v>
      </c>
      <c r="P665">
        <f t="shared" si="11"/>
        <v>65.900000000000006</v>
      </c>
    </row>
    <row r="666" spans="10:16">
      <c r="J666" s="5"/>
      <c r="L666">
        <f>SEM!M666</f>
        <v>0.35526560000000001</v>
      </c>
      <c r="M666">
        <f>SEM!N666</f>
        <v>66</v>
      </c>
      <c r="O666">
        <f>ABS(L666-SEM!$C$34)</f>
        <v>8.1133974520086216</v>
      </c>
      <c r="P666">
        <f t="shared" si="11"/>
        <v>66</v>
      </c>
    </row>
    <row r="667" spans="10:16">
      <c r="J667" s="5"/>
      <c r="L667">
        <f>SEM!M667</f>
        <v>0.35713899999999998</v>
      </c>
      <c r="M667">
        <f>SEM!N667</f>
        <v>66.099999999999994</v>
      </c>
      <c r="O667">
        <f>ABS(L667-SEM!$C$34)</f>
        <v>8.1152708520086225</v>
      </c>
      <c r="P667">
        <f t="shared" si="11"/>
        <v>66.099999999999994</v>
      </c>
    </row>
    <row r="668" spans="10:16">
      <c r="J668" s="5"/>
      <c r="L668">
        <f>SEM!M668</f>
        <v>0.35713899999999998</v>
      </c>
      <c r="M668">
        <f>SEM!N668</f>
        <v>66.2</v>
      </c>
      <c r="O668">
        <f>ABS(L668-SEM!$C$34)</f>
        <v>8.1152708520086225</v>
      </c>
      <c r="P668">
        <f t="shared" si="11"/>
        <v>66.2</v>
      </c>
    </row>
    <row r="669" spans="10:16">
      <c r="J669" s="5"/>
      <c r="L669">
        <f>SEM!M669</f>
        <v>0.35713899999999998</v>
      </c>
      <c r="M669">
        <f>SEM!N669</f>
        <v>66.3</v>
      </c>
      <c r="O669">
        <f>ABS(L669-SEM!$C$34)</f>
        <v>8.1152708520086225</v>
      </c>
      <c r="P669">
        <f t="shared" si="11"/>
        <v>66.3</v>
      </c>
    </row>
    <row r="670" spans="10:16">
      <c r="J670" s="5"/>
      <c r="L670">
        <f>SEM!M670</f>
        <v>0.35749573600000001</v>
      </c>
      <c r="M670">
        <f>SEM!N670</f>
        <v>66.400000000000006</v>
      </c>
      <c r="O670">
        <f>ABS(L670-SEM!$C$34)</f>
        <v>8.1156275880086231</v>
      </c>
      <c r="P670">
        <f t="shared" si="11"/>
        <v>66.400000000000006</v>
      </c>
    </row>
    <row r="671" spans="10:16">
      <c r="J671" s="5"/>
      <c r="L671">
        <f>SEM!M671</f>
        <v>0.35945220999999999</v>
      </c>
      <c r="M671">
        <f>SEM!N671</f>
        <v>66.5</v>
      </c>
      <c r="O671">
        <f>ABS(L671-SEM!$C$34)</f>
        <v>8.117584062008623</v>
      </c>
      <c r="P671">
        <f t="shared" si="11"/>
        <v>66.5</v>
      </c>
    </row>
    <row r="672" spans="10:16">
      <c r="J672" s="5"/>
      <c r="L672">
        <f>SEM!M672</f>
        <v>0.36140868399999998</v>
      </c>
      <c r="M672">
        <f>SEM!N672</f>
        <v>66.599999999999994</v>
      </c>
      <c r="O672">
        <f>ABS(L672-SEM!$C$34)</f>
        <v>8.119540536008623</v>
      </c>
      <c r="P672">
        <f t="shared" si="11"/>
        <v>66.599999999999994</v>
      </c>
    </row>
    <row r="673" spans="10:16">
      <c r="J673" s="5"/>
      <c r="L673">
        <f>SEM!M673</f>
        <v>0.36400222300000001</v>
      </c>
      <c r="M673">
        <f>SEM!N673</f>
        <v>66.7</v>
      </c>
      <c r="O673">
        <f>ABS(L673-SEM!$C$34)</f>
        <v>8.1221340750086224</v>
      </c>
      <c r="P673">
        <f t="shared" si="11"/>
        <v>66.7</v>
      </c>
    </row>
    <row r="674" spans="10:16">
      <c r="J674" s="5"/>
      <c r="L674">
        <f>SEM!M674</f>
        <v>0.36786989199999998</v>
      </c>
      <c r="M674">
        <f>SEM!N674</f>
        <v>66.8</v>
      </c>
      <c r="O674">
        <f>ABS(L674-SEM!$C$34)</f>
        <v>8.1260017440086223</v>
      </c>
      <c r="P674">
        <f t="shared" si="11"/>
        <v>66.8</v>
      </c>
    </row>
    <row r="675" spans="10:16">
      <c r="J675" s="5"/>
      <c r="L675">
        <f>SEM!M675</f>
        <v>0.37173756099999999</v>
      </c>
      <c r="M675">
        <f>SEM!N675</f>
        <v>66.900000000000006</v>
      </c>
      <c r="O675">
        <f>ABS(L675-SEM!$C$34)</f>
        <v>8.1298694130086222</v>
      </c>
      <c r="P675">
        <f t="shared" si="11"/>
        <v>66.900000000000006</v>
      </c>
    </row>
    <row r="676" spans="10:16">
      <c r="J676" s="5"/>
      <c r="L676">
        <f>SEM!M676</f>
        <v>0.37436372000000001</v>
      </c>
      <c r="M676">
        <f>SEM!N676</f>
        <v>67</v>
      </c>
      <c r="O676">
        <f>ABS(L676-SEM!$C$34)</f>
        <v>8.1324955720086223</v>
      </c>
      <c r="P676">
        <f t="shared" si="11"/>
        <v>67</v>
      </c>
    </row>
    <row r="677" spans="10:16">
      <c r="J677" s="5"/>
      <c r="L677">
        <f>SEM!M677</f>
        <v>0.37566803599999998</v>
      </c>
      <c r="M677">
        <f>SEM!N677</f>
        <v>67.099999999999994</v>
      </c>
      <c r="O677">
        <f>ABS(L677-SEM!$C$34)</f>
        <v>8.1337998880086229</v>
      </c>
      <c r="P677">
        <f t="shared" si="11"/>
        <v>67.099999999999994</v>
      </c>
    </row>
    <row r="678" spans="10:16">
      <c r="J678" s="5"/>
      <c r="L678">
        <f>SEM!M678</f>
        <v>0.37697235200000001</v>
      </c>
      <c r="M678">
        <f>SEM!N678</f>
        <v>67.2</v>
      </c>
      <c r="O678">
        <f>ABS(L678-SEM!$C$34)</f>
        <v>8.1351042040086217</v>
      </c>
      <c r="P678">
        <f t="shared" si="11"/>
        <v>67.2</v>
      </c>
    </row>
    <row r="679" spans="10:16">
      <c r="J679" s="5"/>
      <c r="L679">
        <f>SEM!M679</f>
        <v>0.37784783900000002</v>
      </c>
      <c r="M679">
        <f>SEM!N679</f>
        <v>67.3</v>
      </c>
      <c r="O679">
        <f>ABS(L679-SEM!$C$34)</f>
        <v>8.1359796910086217</v>
      </c>
      <c r="P679">
        <f t="shared" si="11"/>
        <v>67.3</v>
      </c>
    </row>
    <row r="680" spans="10:16">
      <c r="J680" s="5"/>
      <c r="L680">
        <f>SEM!M680</f>
        <v>0.37847718200000002</v>
      </c>
      <c r="M680">
        <f>SEM!N680</f>
        <v>67.400000000000006</v>
      </c>
      <c r="O680">
        <f>ABS(L680-SEM!$C$34)</f>
        <v>8.1366090340086217</v>
      </c>
      <c r="P680">
        <f t="shared" si="11"/>
        <v>67.400000000000006</v>
      </c>
    </row>
    <row r="681" spans="10:16">
      <c r="J681" s="5"/>
      <c r="L681">
        <f>SEM!M681</f>
        <v>0.37910652500000003</v>
      </c>
      <c r="M681">
        <f>SEM!N681</f>
        <v>67.5</v>
      </c>
      <c r="O681">
        <f>ABS(L681-SEM!$C$34)</f>
        <v>8.1372383770086216</v>
      </c>
      <c r="P681">
        <f t="shared" si="11"/>
        <v>67.5</v>
      </c>
    </row>
    <row r="682" spans="10:16">
      <c r="J682" s="5"/>
      <c r="L682">
        <f>SEM!M682</f>
        <v>0.37924099999999999</v>
      </c>
      <c r="M682">
        <f>SEM!N682</f>
        <v>67.599999999999994</v>
      </c>
      <c r="O682">
        <f>ABS(L682-SEM!$C$34)</f>
        <v>8.1373728520086228</v>
      </c>
      <c r="P682">
        <f t="shared" si="11"/>
        <v>67.599999999999994</v>
      </c>
    </row>
    <row r="683" spans="10:16">
      <c r="J683" s="5"/>
      <c r="L683">
        <f>SEM!M683</f>
        <v>0.37924099999999999</v>
      </c>
      <c r="M683">
        <f>SEM!N683</f>
        <v>67.7</v>
      </c>
      <c r="O683">
        <f>ABS(L683-SEM!$C$34)</f>
        <v>8.1373728520086228</v>
      </c>
      <c r="P683">
        <f t="shared" si="11"/>
        <v>67.7</v>
      </c>
    </row>
    <row r="684" spans="10:16">
      <c r="J684" s="5"/>
      <c r="L684">
        <f>SEM!M684</f>
        <v>0.37924099999999999</v>
      </c>
      <c r="M684">
        <f>SEM!N684</f>
        <v>67.8</v>
      </c>
      <c r="O684">
        <f>ABS(L684-SEM!$C$34)</f>
        <v>8.1373728520086228</v>
      </c>
      <c r="P684">
        <f t="shared" si="11"/>
        <v>67.8</v>
      </c>
    </row>
    <row r="685" spans="10:16">
      <c r="J685" s="5"/>
      <c r="L685">
        <f>SEM!M685</f>
        <v>0.37926238499999998</v>
      </c>
      <c r="M685">
        <f>SEM!N685</f>
        <v>67.900000000000006</v>
      </c>
      <c r="O685">
        <f>ABS(L685-SEM!$C$34)</f>
        <v>8.137394237008623</v>
      </c>
      <c r="P685">
        <f t="shared" si="11"/>
        <v>67.900000000000006</v>
      </c>
    </row>
    <row r="686" spans="10:16">
      <c r="J686" s="5"/>
      <c r="L686">
        <f>SEM!M686</f>
        <v>0.37928519999999999</v>
      </c>
      <c r="M686">
        <f>SEM!N686</f>
        <v>68</v>
      </c>
      <c r="O686">
        <f>ABS(L686-SEM!$C$34)</f>
        <v>8.1374170520086224</v>
      </c>
      <c r="P686">
        <f t="shared" si="11"/>
        <v>68</v>
      </c>
    </row>
    <row r="687" spans="10:16">
      <c r="J687" s="5"/>
      <c r="L687">
        <f>SEM!M687</f>
        <v>0.37947677899999999</v>
      </c>
      <c r="M687">
        <f>SEM!N687</f>
        <v>68.099999999999994</v>
      </c>
      <c r="O687">
        <f>ABS(L687-SEM!$C$34)</f>
        <v>8.1376086310086215</v>
      </c>
      <c r="P687">
        <f t="shared" si="11"/>
        <v>68.099999999999994</v>
      </c>
    </row>
    <row r="688" spans="10:16">
      <c r="J688" s="5"/>
      <c r="L688">
        <f>SEM!M688</f>
        <v>0.38141043800000002</v>
      </c>
      <c r="M688">
        <f>SEM!N688</f>
        <v>68.2</v>
      </c>
      <c r="O688">
        <f>ABS(L688-SEM!$C$34)</f>
        <v>8.1395422900086221</v>
      </c>
      <c r="P688">
        <f t="shared" si="11"/>
        <v>68.2</v>
      </c>
    </row>
    <row r="689" spans="10:16">
      <c r="J689" s="5"/>
      <c r="L689">
        <f>SEM!M689</f>
        <v>0.38334409699999999</v>
      </c>
      <c r="M689">
        <f>SEM!N689</f>
        <v>68.3</v>
      </c>
      <c r="O689">
        <f>ABS(L689-SEM!$C$34)</f>
        <v>8.1414759490086226</v>
      </c>
      <c r="P689">
        <f t="shared" si="11"/>
        <v>68.3</v>
      </c>
    </row>
    <row r="690" spans="10:16">
      <c r="J690" s="5"/>
      <c r="L690">
        <f>SEM!M690</f>
        <v>0.38512168400000002</v>
      </c>
      <c r="M690">
        <f>SEM!N690</f>
        <v>68.400000000000006</v>
      </c>
      <c r="O690">
        <f>ABS(L690-SEM!$C$34)</f>
        <v>8.143253536008622</v>
      </c>
      <c r="P690">
        <f t="shared" si="11"/>
        <v>68.400000000000006</v>
      </c>
    </row>
    <row r="691" spans="10:16">
      <c r="J691" s="5"/>
      <c r="L691">
        <f>SEM!M691</f>
        <v>0.38640318499999998</v>
      </c>
      <c r="M691">
        <f>SEM!N691</f>
        <v>68.5</v>
      </c>
      <c r="O691">
        <f>ABS(L691-SEM!$C$34)</f>
        <v>8.1445350370086231</v>
      </c>
      <c r="P691">
        <f t="shared" si="11"/>
        <v>68.5</v>
      </c>
    </row>
    <row r="692" spans="10:16">
      <c r="J692" s="5"/>
      <c r="L692">
        <f>SEM!M692</f>
        <v>0.387684686</v>
      </c>
      <c r="M692">
        <f>SEM!N692</f>
        <v>68.599999999999994</v>
      </c>
      <c r="O692">
        <f>ABS(L692-SEM!$C$34)</f>
        <v>8.1458165380086225</v>
      </c>
      <c r="P692">
        <f t="shared" si="11"/>
        <v>68.599999999999994</v>
      </c>
    </row>
    <row r="693" spans="10:16">
      <c r="J693" s="5"/>
      <c r="L693">
        <f>SEM!M693</f>
        <v>0.39310303900000099</v>
      </c>
      <c r="M693">
        <f>SEM!N693</f>
        <v>68.7</v>
      </c>
      <c r="O693">
        <f>ABS(L693-SEM!$C$34)</f>
        <v>8.1512348910086239</v>
      </c>
      <c r="P693">
        <f t="shared" si="11"/>
        <v>68.7</v>
      </c>
    </row>
    <row r="694" spans="10:16">
      <c r="J694" s="5"/>
      <c r="L694">
        <f>SEM!M694</f>
        <v>0.40498333600000103</v>
      </c>
      <c r="M694">
        <f>SEM!N694</f>
        <v>68.8</v>
      </c>
      <c r="O694">
        <f>ABS(L694-SEM!$C$34)</f>
        <v>8.1631151880086232</v>
      </c>
      <c r="P694">
        <f t="shared" si="11"/>
        <v>68.8</v>
      </c>
    </row>
    <row r="695" spans="10:16">
      <c r="J695" s="5"/>
      <c r="L695">
        <f>SEM!M695</f>
        <v>0.41686363300000101</v>
      </c>
      <c r="M695">
        <f>SEM!N695</f>
        <v>68.900000000000006</v>
      </c>
      <c r="O695">
        <f>ABS(L695-SEM!$C$34)</f>
        <v>8.1749954850086226</v>
      </c>
      <c r="P695">
        <f t="shared" si="11"/>
        <v>68.900000000000006</v>
      </c>
    </row>
    <row r="696" spans="10:16">
      <c r="J696" s="5"/>
      <c r="L696">
        <f>SEM!M696</f>
        <v>0.42266601999999998</v>
      </c>
      <c r="M696">
        <f>SEM!N696</f>
        <v>69</v>
      </c>
      <c r="O696">
        <f>ABS(L696-SEM!$C$34)</f>
        <v>8.1807978720086219</v>
      </c>
      <c r="P696">
        <f t="shared" si="11"/>
        <v>69</v>
      </c>
    </row>
    <row r="697" spans="10:16">
      <c r="J697" s="5"/>
      <c r="L697">
        <f>SEM!M697</f>
        <v>0.42331817799999999</v>
      </c>
      <c r="M697">
        <f>SEM!N697</f>
        <v>69.099999999999994</v>
      </c>
      <c r="O697">
        <f>ABS(L697-SEM!$C$34)</f>
        <v>8.181450030008623</v>
      </c>
      <c r="P697">
        <f t="shared" si="11"/>
        <v>69.099999999999994</v>
      </c>
    </row>
    <row r="698" spans="10:16">
      <c r="J698" s="5"/>
      <c r="L698">
        <f>SEM!M698</f>
        <v>0.423970336</v>
      </c>
      <c r="M698">
        <f>SEM!N698</f>
        <v>69.2</v>
      </c>
      <c r="O698">
        <f>ABS(L698-SEM!$C$34)</f>
        <v>8.1821021880086224</v>
      </c>
      <c r="P698">
        <f t="shared" si="11"/>
        <v>69.2</v>
      </c>
    </row>
    <row r="699" spans="10:16">
      <c r="J699" s="5"/>
      <c r="L699">
        <f>SEM!M699</f>
        <v>0.42596142399999998</v>
      </c>
      <c r="M699">
        <f>SEM!N699</f>
        <v>69.3</v>
      </c>
      <c r="O699">
        <f>ABS(L699-SEM!$C$34)</f>
        <v>8.1840932760086229</v>
      </c>
      <c r="P699">
        <f t="shared" si="11"/>
        <v>69.3</v>
      </c>
    </row>
    <row r="700" spans="10:16">
      <c r="J700" s="5"/>
      <c r="L700">
        <f>SEM!M700</f>
        <v>0.42854759199999998</v>
      </c>
      <c r="M700">
        <f>SEM!N700</f>
        <v>69.400000000000006</v>
      </c>
      <c r="O700">
        <f>ABS(L700-SEM!$C$34)</f>
        <v>8.1866794440086217</v>
      </c>
      <c r="P700">
        <f t="shared" si="11"/>
        <v>69.400000000000006</v>
      </c>
    </row>
    <row r="701" spans="10:16">
      <c r="J701" s="5"/>
      <c r="L701">
        <f>SEM!M701</f>
        <v>0.43113375999999998</v>
      </c>
      <c r="M701">
        <f>SEM!N701</f>
        <v>69.5</v>
      </c>
      <c r="O701">
        <f>ABS(L701-SEM!$C$34)</f>
        <v>8.1892656120086222</v>
      </c>
      <c r="P701">
        <f t="shared" si="11"/>
        <v>69.5</v>
      </c>
    </row>
    <row r="702" spans="10:16">
      <c r="J702" s="5"/>
      <c r="L702">
        <f>SEM!M702</f>
        <v>0.43664618399999999</v>
      </c>
      <c r="M702">
        <f>SEM!N702</f>
        <v>69.599999999999994</v>
      </c>
      <c r="O702">
        <f>ABS(L702-SEM!$C$34)</f>
        <v>8.1947780360086231</v>
      </c>
      <c r="P702">
        <f t="shared" si="11"/>
        <v>69.599999999999994</v>
      </c>
    </row>
    <row r="703" spans="10:16">
      <c r="J703" s="5"/>
      <c r="L703">
        <f>SEM!M703</f>
        <v>0.44270233799999997</v>
      </c>
      <c r="M703">
        <f>SEM!N703</f>
        <v>69.7</v>
      </c>
      <c r="O703">
        <f>ABS(L703-SEM!$C$34)</f>
        <v>8.2008341900086226</v>
      </c>
      <c r="P703">
        <f t="shared" si="11"/>
        <v>69.7</v>
      </c>
    </row>
    <row r="704" spans="10:16">
      <c r="J704" s="5"/>
      <c r="L704">
        <f>SEM!M704</f>
        <v>0.44875849200000001</v>
      </c>
      <c r="M704">
        <f>SEM!N704</f>
        <v>69.8</v>
      </c>
      <c r="O704">
        <f>ABS(L704-SEM!$C$34)</f>
        <v>8.2068903440086221</v>
      </c>
      <c r="P704">
        <f t="shared" si="11"/>
        <v>69.8</v>
      </c>
    </row>
    <row r="705" spans="10:16">
      <c r="J705" s="5"/>
      <c r="L705">
        <f>SEM!M705</f>
        <v>0.450715641</v>
      </c>
      <c r="M705">
        <f>SEM!N705</f>
        <v>69.900000000000006</v>
      </c>
      <c r="O705">
        <f>ABS(L705-SEM!$C$34)</f>
        <v>8.2088474930086228</v>
      </c>
      <c r="P705">
        <f t="shared" si="11"/>
        <v>69.900000000000006</v>
      </c>
    </row>
    <row r="706" spans="10:16">
      <c r="J706" s="5"/>
      <c r="L706">
        <f>SEM!M706</f>
        <v>0.45264929999999998</v>
      </c>
      <c r="M706">
        <f>SEM!N706</f>
        <v>70</v>
      </c>
      <c r="O706">
        <f>ABS(L706-SEM!$C$34)</f>
        <v>8.2107811520086216</v>
      </c>
      <c r="P706">
        <f t="shared" si="11"/>
        <v>70</v>
      </c>
    </row>
    <row r="707" spans="10:16">
      <c r="J707" s="5"/>
      <c r="L707">
        <f>SEM!M707</f>
        <v>0.45430531499999999</v>
      </c>
      <c r="M707">
        <f>SEM!N707</f>
        <v>70.099999999999994</v>
      </c>
      <c r="O707">
        <f>ABS(L707-SEM!$C$34)</f>
        <v>8.2124371670086216</v>
      </c>
      <c r="P707">
        <f t="shared" si="11"/>
        <v>70.099999999999994</v>
      </c>
    </row>
    <row r="708" spans="10:16">
      <c r="J708" s="5"/>
      <c r="L708">
        <f>SEM!M708</f>
        <v>0.45432813</v>
      </c>
      <c r="M708">
        <f>SEM!N708</f>
        <v>70.2</v>
      </c>
      <c r="O708">
        <f>ABS(L708-SEM!$C$34)</f>
        <v>8.2124599820086228</v>
      </c>
      <c r="P708">
        <f t="shared" si="11"/>
        <v>70.2</v>
      </c>
    </row>
    <row r="709" spans="10:16">
      <c r="J709" s="5"/>
      <c r="L709">
        <f>SEM!M709</f>
        <v>0.45435094500000001</v>
      </c>
      <c r="M709">
        <f>SEM!N709</f>
        <v>70.3</v>
      </c>
      <c r="O709">
        <f>ABS(L709-SEM!$C$34)</f>
        <v>8.2124827970086223</v>
      </c>
      <c r="P709">
        <f t="shared" si="11"/>
        <v>70.3</v>
      </c>
    </row>
    <row r="710" spans="10:16">
      <c r="J710" s="5"/>
      <c r="L710">
        <f>SEM!M710</f>
        <v>0.45493993599999999</v>
      </c>
      <c r="M710">
        <f>SEM!N710</f>
        <v>70.400000000000006</v>
      </c>
      <c r="O710">
        <f>ABS(L710-SEM!$C$34)</f>
        <v>8.213071788008623</v>
      </c>
      <c r="P710">
        <f t="shared" si="11"/>
        <v>70.400000000000006</v>
      </c>
    </row>
    <row r="711" spans="10:16">
      <c r="J711" s="5"/>
      <c r="L711">
        <f>SEM!M711</f>
        <v>0.45687359500000002</v>
      </c>
      <c r="M711">
        <f>SEM!N711</f>
        <v>70.5</v>
      </c>
      <c r="O711">
        <f>ABS(L711-SEM!$C$34)</f>
        <v>8.2150054470086218</v>
      </c>
      <c r="P711">
        <f t="shared" ref="P711:P774" si="12">M711</f>
        <v>70.5</v>
      </c>
    </row>
    <row r="712" spans="10:16">
      <c r="J712" s="5"/>
      <c r="L712">
        <f>SEM!M712</f>
        <v>0.458807254</v>
      </c>
      <c r="M712">
        <f>SEM!N712</f>
        <v>70.599999999999994</v>
      </c>
      <c r="O712">
        <f>ABS(L712-SEM!$C$34)</f>
        <v>8.2169391060086223</v>
      </c>
      <c r="P712">
        <f t="shared" si="12"/>
        <v>70.599999999999994</v>
      </c>
    </row>
    <row r="713" spans="10:16">
      <c r="J713" s="5"/>
      <c r="L713">
        <f>SEM!M713</f>
        <v>0.46248110100000001</v>
      </c>
      <c r="M713">
        <f>SEM!N713</f>
        <v>70.7</v>
      </c>
      <c r="O713">
        <f>ABS(L713-SEM!$C$34)</f>
        <v>8.2206129530086223</v>
      </c>
      <c r="P713">
        <f t="shared" si="12"/>
        <v>70.7</v>
      </c>
    </row>
    <row r="714" spans="10:16">
      <c r="J714" s="5"/>
      <c r="L714">
        <f>SEM!M714</f>
        <v>0.46830524400000001</v>
      </c>
      <c r="M714">
        <f>SEM!N714</f>
        <v>70.8</v>
      </c>
      <c r="O714">
        <f>ABS(L714-SEM!$C$34)</f>
        <v>8.2264370960086222</v>
      </c>
      <c r="P714">
        <f t="shared" si="12"/>
        <v>70.8</v>
      </c>
    </row>
    <row r="715" spans="10:16">
      <c r="J715" s="5"/>
      <c r="L715">
        <f>SEM!M715</f>
        <v>0.47412938700000001</v>
      </c>
      <c r="M715">
        <f>SEM!N715</f>
        <v>70.900000000000006</v>
      </c>
      <c r="O715">
        <f>ABS(L715-SEM!$C$34)</f>
        <v>8.2322612390086221</v>
      </c>
      <c r="P715">
        <f t="shared" si="12"/>
        <v>70.900000000000006</v>
      </c>
    </row>
    <row r="716" spans="10:16">
      <c r="J716" s="5"/>
      <c r="L716">
        <f>SEM!M716</f>
        <v>0.47970215999999999</v>
      </c>
      <c r="M716">
        <f>SEM!N716</f>
        <v>71</v>
      </c>
      <c r="O716">
        <f>ABS(L716-SEM!$C$34)</f>
        <v>8.2378340120086229</v>
      </c>
      <c r="P716">
        <f t="shared" si="12"/>
        <v>71</v>
      </c>
    </row>
    <row r="717" spans="10:16">
      <c r="J717" s="5"/>
      <c r="L717">
        <f>SEM!M717</f>
        <v>0.48510615600000001</v>
      </c>
      <c r="M717">
        <f>SEM!N717</f>
        <v>71.099999999999994</v>
      </c>
      <c r="O717">
        <f>ABS(L717-SEM!$C$34)</f>
        <v>8.2432380080086229</v>
      </c>
      <c r="P717">
        <f t="shared" si="12"/>
        <v>71.099999999999994</v>
      </c>
    </row>
    <row r="718" spans="10:16">
      <c r="J718" s="5"/>
      <c r="L718">
        <f>SEM!M718</f>
        <v>0.49051015199999998</v>
      </c>
      <c r="M718">
        <f>SEM!N718</f>
        <v>71.2</v>
      </c>
      <c r="O718">
        <f>ABS(L718-SEM!$C$34)</f>
        <v>8.248642004008623</v>
      </c>
      <c r="P718">
        <f t="shared" si="12"/>
        <v>71.2</v>
      </c>
    </row>
    <row r="719" spans="10:16">
      <c r="J719" s="5"/>
      <c r="L719">
        <f>SEM!M719</f>
        <v>0.491865</v>
      </c>
      <c r="M719">
        <f>SEM!N719</f>
        <v>71.3</v>
      </c>
      <c r="O719">
        <f>ABS(L719-SEM!$C$34)</f>
        <v>8.2499968520086231</v>
      </c>
      <c r="P719">
        <f t="shared" si="12"/>
        <v>71.3</v>
      </c>
    </row>
    <row r="720" spans="10:16">
      <c r="J720" s="5"/>
      <c r="L720">
        <f>SEM!M720</f>
        <v>0.491865</v>
      </c>
      <c r="M720">
        <f>SEM!N720</f>
        <v>71.400000000000006</v>
      </c>
      <c r="O720">
        <f>ABS(L720-SEM!$C$34)</f>
        <v>8.2499968520086231</v>
      </c>
      <c r="P720">
        <f t="shared" si="12"/>
        <v>71.400000000000006</v>
      </c>
    </row>
    <row r="721" spans="10:16">
      <c r="J721" s="5"/>
      <c r="L721">
        <f>SEM!M721</f>
        <v>0.491865</v>
      </c>
      <c r="M721">
        <f>SEM!N721</f>
        <v>71.5</v>
      </c>
      <c r="O721">
        <f>ABS(L721-SEM!$C$34)</f>
        <v>8.2499968520086231</v>
      </c>
      <c r="P721">
        <f t="shared" si="12"/>
        <v>71.5</v>
      </c>
    </row>
    <row r="722" spans="10:16">
      <c r="J722" s="5"/>
      <c r="L722">
        <f>SEM!M722</f>
        <v>0.49222271200000001</v>
      </c>
      <c r="M722">
        <f>SEM!N722</f>
        <v>71.599999999999994</v>
      </c>
      <c r="O722">
        <f>ABS(L722-SEM!$C$34)</f>
        <v>8.2503545640086227</v>
      </c>
      <c r="P722">
        <f t="shared" si="12"/>
        <v>71.599999999999994</v>
      </c>
    </row>
    <row r="723" spans="10:16">
      <c r="J723" s="5"/>
      <c r="L723">
        <f>SEM!M723</f>
        <v>0.49262004399999998</v>
      </c>
      <c r="M723">
        <f>SEM!N723</f>
        <v>71.7</v>
      </c>
      <c r="O723">
        <f>ABS(L723-SEM!$C$34)</f>
        <v>8.250751896008623</v>
      </c>
      <c r="P723">
        <f t="shared" si="12"/>
        <v>71.7</v>
      </c>
    </row>
    <row r="724" spans="10:16">
      <c r="J724" s="5"/>
      <c r="L724">
        <f>SEM!M724</f>
        <v>0.49305542800000002</v>
      </c>
      <c r="M724">
        <f>SEM!N724</f>
        <v>71.8</v>
      </c>
      <c r="O724">
        <f>ABS(L724-SEM!$C$34)</f>
        <v>8.2511872800086223</v>
      </c>
      <c r="P724">
        <f t="shared" si="12"/>
        <v>71.8</v>
      </c>
    </row>
    <row r="725" spans="10:16">
      <c r="J725" s="5"/>
      <c r="L725">
        <f>SEM!M725</f>
        <v>0.494194774</v>
      </c>
      <c r="M725">
        <f>SEM!N725</f>
        <v>71.900000000000006</v>
      </c>
      <c r="O725">
        <f>ABS(L725-SEM!$C$34)</f>
        <v>8.2523266260086228</v>
      </c>
      <c r="P725">
        <f t="shared" si="12"/>
        <v>71.900000000000006</v>
      </c>
    </row>
    <row r="726" spans="10:16">
      <c r="J726" s="5"/>
      <c r="L726">
        <f>SEM!M726</f>
        <v>0.49533411999999999</v>
      </c>
      <c r="M726">
        <f>SEM!N726</f>
        <v>72</v>
      </c>
      <c r="O726">
        <f>ABS(L726-SEM!$C$34)</f>
        <v>8.2534659720086232</v>
      </c>
      <c r="P726">
        <f t="shared" si="12"/>
        <v>72</v>
      </c>
    </row>
    <row r="727" spans="10:16">
      <c r="J727" s="5"/>
      <c r="L727">
        <f>SEM!M727</f>
        <v>0.49854758900000001</v>
      </c>
      <c r="M727">
        <f>SEM!N727</f>
        <v>72.099999999999994</v>
      </c>
      <c r="O727">
        <f>ABS(L727-SEM!$C$34)</f>
        <v>8.2566794410086217</v>
      </c>
      <c r="P727">
        <f t="shared" si="12"/>
        <v>72.099999999999994</v>
      </c>
    </row>
    <row r="728" spans="10:16">
      <c r="J728" s="5"/>
      <c r="L728">
        <f>SEM!M728</f>
        <v>0.50994069799999997</v>
      </c>
      <c r="M728">
        <f>SEM!N728</f>
        <v>72.2</v>
      </c>
      <c r="O728">
        <f>ABS(L728-SEM!$C$34)</f>
        <v>8.2680725500086218</v>
      </c>
      <c r="P728">
        <f t="shared" si="12"/>
        <v>72.2</v>
      </c>
    </row>
    <row r="729" spans="10:16">
      <c r="J729" s="5"/>
      <c r="L729">
        <f>SEM!M729</f>
        <v>0.52133380699999998</v>
      </c>
      <c r="M729">
        <f>SEM!N729</f>
        <v>72.3</v>
      </c>
      <c r="O729">
        <f>ABS(L729-SEM!$C$34)</f>
        <v>8.279465659008622</v>
      </c>
      <c r="P729">
        <f t="shared" si="12"/>
        <v>72.3</v>
      </c>
    </row>
    <row r="730" spans="10:16">
      <c r="J730" s="5"/>
      <c r="L730">
        <f>SEM!M730</f>
        <v>0.53015838000000004</v>
      </c>
      <c r="M730">
        <f>SEM!N730</f>
        <v>72.400000000000006</v>
      </c>
      <c r="O730">
        <f>ABS(L730-SEM!$C$34)</f>
        <v>8.288290232008622</v>
      </c>
      <c r="P730">
        <f t="shared" si="12"/>
        <v>72.400000000000006</v>
      </c>
    </row>
    <row r="731" spans="10:16">
      <c r="J731" s="5"/>
      <c r="L731">
        <f>SEM!M731</f>
        <v>0.53428087499999999</v>
      </c>
      <c r="M731">
        <f>SEM!N731</f>
        <v>72.5</v>
      </c>
      <c r="O731">
        <f>ABS(L731-SEM!$C$34)</f>
        <v>8.2924127270086228</v>
      </c>
      <c r="P731">
        <f t="shared" si="12"/>
        <v>72.5</v>
      </c>
    </row>
    <row r="732" spans="10:16">
      <c r="J732" s="5"/>
      <c r="L732">
        <f>SEM!M732</f>
        <v>0.53840337000000005</v>
      </c>
      <c r="M732">
        <f>SEM!N732</f>
        <v>72.599999999999994</v>
      </c>
      <c r="O732">
        <f>ABS(L732-SEM!$C$34)</f>
        <v>8.2965352220086217</v>
      </c>
      <c r="P732">
        <f t="shared" si="12"/>
        <v>72.599999999999994</v>
      </c>
    </row>
    <row r="733" spans="10:16">
      <c r="J733" s="5"/>
      <c r="L733">
        <f>SEM!M733</f>
        <v>0.54240886799999999</v>
      </c>
      <c r="M733">
        <f>SEM!N733</f>
        <v>72.7</v>
      </c>
      <c r="O733">
        <f>ABS(L733-SEM!$C$34)</f>
        <v>8.3005407200086232</v>
      </c>
      <c r="P733">
        <f t="shared" si="12"/>
        <v>72.7</v>
      </c>
    </row>
    <row r="734" spans="10:16">
      <c r="J734" s="5"/>
      <c r="L734">
        <f>SEM!M734</f>
        <v>0.54629935200000002</v>
      </c>
      <c r="M734">
        <f>SEM!N734</f>
        <v>72.8</v>
      </c>
      <c r="O734">
        <f>ABS(L734-SEM!$C$34)</f>
        <v>8.3044312040086226</v>
      </c>
      <c r="P734">
        <f t="shared" si="12"/>
        <v>72.8</v>
      </c>
    </row>
    <row r="735" spans="10:16">
      <c r="J735" s="5"/>
      <c r="L735">
        <f>SEM!M735</f>
        <v>0.55018983600000004</v>
      </c>
      <c r="M735">
        <f>SEM!N735</f>
        <v>72.900000000000006</v>
      </c>
      <c r="O735">
        <f>ABS(L735-SEM!$C$34)</f>
        <v>8.3083216880086219</v>
      </c>
      <c r="P735">
        <f t="shared" si="12"/>
        <v>72.900000000000006</v>
      </c>
    </row>
    <row r="736" spans="10:16">
      <c r="J736" s="5"/>
      <c r="L736">
        <f>SEM!M736</f>
        <v>0.55363779999999996</v>
      </c>
      <c r="M736">
        <f>SEM!N736</f>
        <v>73</v>
      </c>
      <c r="O736">
        <f>ABS(L736-SEM!$C$34)</f>
        <v>8.3117696520086231</v>
      </c>
      <c r="P736">
        <f t="shared" si="12"/>
        <v>73</v>
      </c>
    </row>
    <row r="737" spans="10:16">
      <c r="J737" s="5"/>
      <c r="L737">
        <f>SEM!M737</f>
        <v>0.55685295999999995</v>
      </c>
      <c r="M737">
        <f>SEM!N737</f>
        <v>73.099999999999994</v>
      </c>
      <c r="O737">
        <f>ABS(L737-SEM!$C$34)</f>
        <v>8.3149848120086229</v>
      </c>
      <c r="P737">
        <f t="shared" si="12"/>
        <v>73.099999999999994</v>
      </c>
    </row>
    <row r="738" spans="10:16">
      <c r="J738" s="5"/>
      <c r="L738">
        <f>SEM!M738</f>
        <v>0.56006811999999995</v>
      </c>
      <c r="M738">
        <f>SEM!N738</f>
        <v>73.2</v>
      </c>
      <c r="O738">
        <f>ABS(L738-SEM!$C$34)</f>
        <v>8.3181999720086228</v>
      </c>
      <c r="P738">
        <f t="shared" si="12"/>
        <v>73.2</v>
      </c>
    </row>
    <row r="739" spans="10:16">
      <c r="J739" s="5"/>
      <c r="L739">
        <f>SEM!M739</f>
        <v>0.56279425599999999</v>
      </c>
      <c r="M739">
        <f>SEM!N739</f>
        <v>73.3</v>
      </c>
      <c r="O739">
        <f>ABS(L739-SEM!$C$34)</f>
        <v>8.3209261080086225</v>
      </c>
      <c r="P739">
        <f t="shared" si="12"/>
        <v>73.3</v>
      </c>
    </row>
    <row r="740" spans="10:16">
      <c r="J740" s="5"/>
      <c r="L740">
        <f>SEM!M740</f>
        <v>0.56540288800000005</v>
      </c>
      <c r="M740">
        <f>SEM!N740</f>
        <v>73.400000000000006</v>
      </c>
      <c r="O740">
        <f>ABS(L740-SEM!$C$34)</f>
        <v>8.3235347400086219</v>
      </c>
      <c r="P740">
        <f t="shared" si="12"/>
        <v>73.400000000000006</v>
      </c>
    </row>
    <row r="741" spans="10:16">
      <c r="J741" s="5"/>
      <c r="L741">
        <f>SEM!M741</f>
        <v>0.56801151999999999</v>
      </c>
      <c r="M741">
        <f>SEM!N741</f>
        <v>73.5</v>
      </c>
      <c r="O741">
        <f>ABS(L741-SEM!$C$34)</f>
        <v>8.3261433720086231</v>
      </c>
      <c r="P741">
        <f t="shared" si="12"/>
        <v>73.5</v>
      </c>
    </row>
    <row r="742" spans="10:16">
      <c r="J742" s="5"/>
      <c r="L742">
        <f>SEM!M742</f>
        <v>0.56812300000000004</v>
      </c>
      <c r="M742">
        <f>SEM!N742</f>
        <v>73.599999999999994</v>
      </c>
      <c r="O742">
        <f>ABS(L742-SEM!$C$34)</f>
        <v>8.3262548520086224</v>
      </c>
      <c r="P742">
        <f t="shared" si="12"/>
        <v>73.599999999999994</v>
      </c>
    </row>
    <row r="743" spans="10:16">
      <c r="J743" s="5"/>
      <c r="L743">
        <f>SEM!M743</f>
        <v>0.56812300000000004</v>
      </c>
      <c r="M743">
        <f>SEM!N743</f>
        <v>73.7</v>
      </c>
      <c r="O743">
        <f>ABS(L743-SEM!$C$34)</f>
        <v>8.3262548520086224</v>
      </c>
      <c r="P743">
        <f t="shared" si="12"/>
        <v>73.7</v>
      </c>
    </row>
    <row r="744" spans="10:16">
      <c r="J744" s="5"/>
      <c r="L744">
        <f>SEM!M744</f>
        <v>0.56847111800000005</v>
      </c>
      <c r="M744">
        <f>SEM!N744</f>
        <v>73.8</v>
      </c>
      <c r="O744">
        <f>ABS(L744-SEM!$C$34)</f>
        <v>8.3266029700086222</v>
      </c>
      <c r="P744">
        <f t="shared" si="12"/>
        <v>73.8</v>
      </c>
    </row>
    <row r="745" spans="10:16">
      <c r="J745" s="5"/>
      <c r="L745">
        <f>SEM!M745</f>
        <v>0.571686629</v>
      </c>
      <c r="M745">
        <f>SEM!N745</f>
        <v>73.900000000000006</v>
      </c>
      <c r="O745">
        <f>ABS(L745-SEM!$C$34)</f>
        <v>8.3298184810086227</v>
      </c>
      <c r="P745">
        <f t="shared" si="12"/>
        <v>73.900000000000006</v>
      </c>
    </row>
    <row r="746" spans="10:16">
      <c r="J746" s="5"/>
      <c r="L746">
        <f>SEM!M746</f>
        <v>0.57490213999999995</v>
      </c>
      <c r="M746">
        <f>SEM!N746</f>
        <v>74</v>
      </c>
      <c r="O746">
        <f>ABS(L746-SEM!$C$34)</f>
        <v>8.3330339920086232</v>
      </c>
      <c r="P746">
        <f t="shared" si="12"/>
        <v>74</v>
      </c>
    </row>
    <row r="747" spans="10:16">
      <c r="J747" s="5"/>
      <c r="L747">
        <f>SEM!M747</f>
        <v>0.577851385</v>
      </c>
      <c r="M747">
        <f>SEM!N747</f>
        <v>74.099999999999994</v>
      </c>
      <c r="O747">
        <f>ABS(L747-SEM!$C$34)</f>
        <v>8.3359832370086231</v>
      </c>
      <c r="P747">
        <f t="shared" si="12"/>
        <v>74.099999999999994</v>
      </c>
    </row>
    <row r="748" spans="10:16">
      <c r="J748" s="5"/>
      <c r="L748">
        <f>SEM!M748</f>
        <v>0.58003987000000001</v>
      </c>
      <c r="M748">
        <f>SEM!N748</f>
        <v>74.2</v>
      </c>
      <c r="O748">
        <f>ABS(L748-SEM!$C$34)</f>
        <v>8.3381717220086227</v>
      </c>
      <c r="P748">
        <f t="shared" si="12"/>
        <v>74.2</v>
      </c>
    </row>
    <row r="749" spans="10:16">
      <c r="J749" s="5"/>
      <c r="L749">
        <f>SEM!M749</f>
        <v>0.58222835500000003</v>
      </c>
      <c r="M749">
        <f>SEM!N749</f>
        <v>74.3</v>
      </c>
      <c r="O749">
        <f>ABS(L749-SEM!$C$34)</f>
        <v>8.3403602070086222</v>
      </c>
      <c r="P749">
        <f t="shared" si="12"/>
        <v>74.3</v>
      </c>
    </row>
    <row r="750" spans="10:16">
      <c r="J750" s="5"/>
      <c r="L750">
        <f>SEM!M750</f>
        <v>0.58431244000000004</v>
      </c>
      <c r="M750">
        <f>SEM!N750</f>
        <v>74.400000000000006</v>
      </c>
      <c r="O750">
        <f>ABS(L750-SEM!$C$34)</f>
        <v>8.3424442920086221</v>
      </c>
      <c r="P750">
        <f t="shared" si="12"/>
        <v>74.400000000000006</v>
      </c>
    </row>
    <row r="751" spans="10:16">
      <c r="J751" s="5"/>
      <c r="L751">
        <f>SEM!M751</f>
        <v>0.58624644999999997</v>
      </c>
      <c r="M751">
        <f>SEM!N751</f>
        <v>74.5</v>
      </c>
      <c r="O751">
        <f>ABS(L751-SEM!$C$34)</f>
        <v>8.3443783020086215</v>
      </c>
      <c r="P751">
        <f t="shared" si="12"/>
        <v>74.5</v>
      </c>
    </row>
    <row r="752" spans="10:16">
      <c r="J752" s="5"/>
      <c r="L752">
        <f>SEM!M752</f>
        <v>0.58818046000000002</v>
      </c>
      <c r="M752">
        <f>SEM!N752</f>
        <v>74.599999999999994</v>
      </c>
      <c r="O752">
        <f>ABS(L752-SEM!$C$34)</f>
        <v>8.3463123120086227</v>
      </c>
      <c r="P752">
        <f t="shared" si="12"/>
        <v>74.599999999999994</v>
      </c>
    </row>
    <row r="753" spans="10:16">
      <c r="J753" s="5"/>
      <c r="L753">
        <f>SEM!M753</f>
        <v>0.589891269</v>
      </c>
      <c r="M753">
        <f>SEM!N753</f>
        <v>74.7</v>
      </c>
      <c r="O753">
        <f>ABS(L753-SEM!$C$34)</f>
        <v>8.3480231210086231</v>
      </c>
      <c r="P753">
        <f t="shared" si="12"/>
        <v>74.7</v>
      </c>
    </row>
    <row r="754" spans="10:16">
      <c r="J754" s="5"/>
      <c r="L754">
        <f>SEM!M754</f>
        <v>0.59142759600000006</v>
      </c>
      <c r="M754">
        <f>SEM!N754</f>
        <v>74.8</v>
      </c>
      <c r="O754">
        <f>ABS(L754-SEM!$C$34)</f>
        <v>8.3495594480086233</v>
      </c>
      <c r="P754">
        <f t="shared" si="12"/>
        <v>74.8</v>
      </c>
    </row>
    <row r="755" spans="10:16">
      <c r="J755" s="5"/>
      <c r="L755">
        <f>SEM!M755</f>
        <v>0.592963923</v>
      </c>
      <c r="M755">
        <f>SEM!N755</f>
        <v>74.900000000000006</v>
      </c>
      <c r="O755">
        <f>ABS(L755-SEM!$C$34)</f>
        <v>8.3510957750086217</v>
      </c>
      <c r="P755">
        <f t="shared" si="12"/>
        <v>74.900000000000006</v>
      </c>
    </row>
    <row r="756" spans="10:16">
      <c r="J756" s="5"/>
      <c r="L756">
        <f>SEM!M756</f>
        <v>0.60289824999999997</v>
      </c>
      <c r="M756">
        <f>SEM!N756</f>
        <v>75</v>
      </c>
      <c r="O756">
        <f>ABS(L756-SEM!$C$34)</f>
        <v>8.3610301020086233</v>
      </c>
      <c r="P756">
        <f t="shared" si="12"/>
        <v>75</v>
      </c>
    </row>
    <row r="757" spans="10:16">
      <c r="J757" s="5"/>
      <c r="L757">
        <f>SEM!M757</f>
        <v>0.61622536900000002</v>
      </c>
      <c r="M757">
        <f>SEM!N757</f>
        <v>75.099999999999994</v>
      </c>
      <c r="O757">
        <f>ABS(L757-SEM!$C$34)</f>
        <v>8.3743572210086228</v>
      </c>
      <c r="P757">
        <f t="shared" si="12"/>
        <v>75.099999999999994</v>
      </c>
    </row>
    <row r="758" spans="10:16">
      <c r="J758" s="5"/>
      <c r="L758">
        <f>SEM!M758</f>
        <v>0.62955248799999997</v>
      </c>
      <c r="M758">
        <f>SEM!N758</f>
        <v>75.2</v>
      </c>
      <c r="O758">
        <f>ABS(L758-SEM!$C$34)</f>
        <v>8.3876843400086223</v>
      </c>
      <c r="P758">
        <f t="shared" si="12"/>
        <v>75.2</v>
      </c>
    </row>
    <row r="759" spans="10:16">
      <c r="J759" s="5"/>
      <c r="L759">
        <f>SEM!M759</f>
        <v>0.63941783200000002</v>
      </c>
      <c r="M759">
        <f>SEM!N759</f>
        <v>75.3</v>
      </c>
      <c r="O759">
        <f>ABS(L759-SEM!$C$34)</f>
        <v>8.3975496840086219</v>
      </c>
      <c r="P759">
        <f t="shared" si="12"/>
        <v>75.3</v>
      </c>
    </row>
    <row r="760" spans="10:16">
      <c r="J760" s="5"/>
      <c r="L760">
        <f>SEM!M760</f>
        <v>0.64873477599999996</v>
      </c>
      <c r="M760">
        <f>SEM!N760</f>
        <v>75.400000000000006</v>
      </c>
      <c r="O760">
        <f>ABS(L760-SEM!$C$34)</f>
        <v>8.4068666280086219</v>
      </c>
      <c r="P760">
        <f t="shared" si="12"/>
        <v>75.400000000000006</v>
      </c>
    </row>
    <row r="761" spans="10:16">
      <c r="J761" s="5"/>
      <c r="L761">
        <f>SEM!M761</f>
        <v>0.65795583999999996</v>
      </c>
      <c r="M761">
        <f>SEM!N761</f>
        <v>75.5</v>
      </c>
      <c r="O761">
        <f>ABS(L761-SEM!$C$34)</f>
        <v>8.4160876920086221</v>
      </c>
      <c r="P761">
        <f t="shared" si="12"/>
        <v>75.5</v>
      </c>
    </row>
    <row r="762" spans="10:16">
      <c r="J762" s="5"/>
      <c r="L762">
        <f>SEM!M762</f>
        <v>0.66054200799999996</v>
      </c>
      <c r="M762">
        <f>SEM!N762</f>
        <v>75.599999999999994</v>
      </c>
      <c r="O762">
        <f>ABS(L762-SEM!$C$34)</f>
        <v>8.4186738600086226</v>
      </c>
      <c r="P762">
        <f t="shared" si="12"/>
        <v>75.599999999999994</v>
      </c>
    </row>
    <row r="763" spans="10:16">
      <c r="J763" s="5"/>
      <c r="L763">
        <f>SEM!M763</f>
        <v>0.66312817599999996</v>
      </c>
      <c r="M763">
        <f>SEM!N763</f>
        <v>75.7</v>
      </c>
      <c r="O763">
        <f>ABS(L763-SEM!$C$34)</f>
        <v>8.4212600280086232</v>
      </c>
      <c r="P763">
        <f t="shared" si="12"/>
        <v>75.7</v>
      </c>
    </row>
    <row r="764" spans="10:16">
      <c r="J764" s="5"/>
      <c r="L764">
        <f>SEM!M764</f>
        <v>0.66549875800000002</v>
      </c>
      <c r="M764">
        <f>SEM!N764</f>
        <v>75.8</v>
      </c>
      <c r="O764">
        <f>ABS(L764-SEM!$C$34)</f>
        <v>8.4236306100086225</v>
      </c>
      <c r="P764">
        <f t="shared" si="12"/>
        <v>75.8</v>
      </c>
    </row>
    <row r="765" spans="10:16">
      <c r="J765" s="5"/>
      <c r="L765">
        <f>SEM!M765</f>
        <v>0.66678025900000004</v>
      </c>
      <c r="M765">
        <f>SEM!N765</f>
        <v>75.900000000000006</v>
      </c>
      <c r="O765">
        <f>ABS(L765-SEM!$C$34)</f>
        <v>8.4249121110086218</v>
      </c>
      <c r="P765">
        <f t="shared" si="12"/>
        <v>75.900000000000006</v>
      </c>
    </row>
    <row r="766" spans="10:16">
      <c r="J766" s="5"/>
      <c r="L766">
        <f>SEM!M766</f>
        <v>0.66806175999999995</v>
      </c>
      <c r="M766">
        <f>SEM!N766</f>
        <v>76</v>
      </c>
      <c r="O766">
        <f>ABS(L766-SEM!$C$34)</f>
        <v>8.4261936120086229</v>
      </c>
      <c r="P766">
        <f t="shared" si="12"/>
        <v>76</v>
      </c>
    </row>
    <row r="767" spans="10:16">
      <c r="J767" s="5"/>
      <c r="L767">
        <f>SEM!M767</f>
        <v>0.67024169499999997</v>
      </c>
      <c r="M767">
        <f>SEM!N767</f>
        <v>76.099999999999994</v>
      </c>
      <c r="O767">
        <f>ABS(L767-SEM!$C$34)</f>
        <v>8.4283735470086221</v>
      </c>
      <c r="P767">
        <f t="shared" si="12"/>
        <v>76.099999999999994</v>
      </c>
    </row>
    <row r="768" spans="10:16">
      <c r="J768" s="5"/>
      <c r="L768">
        <f>SEM!M768</f>
        <v>0.67436419000000003</v>
      </c>
      <c r="M768">
        <f>SEM!N768</f>
        <v>76.2</v>
      </c>
      <c r="O768">
        <f>ABS(L768-SEM!$C$34)</f>
        <v>8.4324960420086228</v>
      </c>
      <c r="P768">
        <f t="shared" si="12"/>
        <v>76.2</v>
      </c>
    </row>
    <row r="769" spans="10:16">
      <c r="J769" s="5"/>
      <c r="L769">
        <f>SEM!M769</f>
        <v>0.67848668499999998</v>
      </c>
      <c r="M769">
        <f>SEM!N769</f>
        <v>76.3</v>
      </c>
      <c r="O769">
        <f>ABS(L769-SEM!$C$34)</f>
        <v>8.4366185370086217</v>
      </c>
      <c r="P769">
        <f t="shared" si="12"/>
        <v>76.3</v>
      </c>
    </row>
    <row r="770" spans="10:16">
      <c r="J770" s="5"/>
      <c r="L770">
        <f>SEM!M770</f>
        <v>0.68522186399999996</v>
      </c>
      <c r="M770">
        <f>SEM!N770</f>
        <v>76.400000000000006</v>
      </c>
      <c r="O770">
        <f>ABS(L770-SEM!$C$34)</f>
        <v>8.4433537160086232</v>
      </c>
      <c r="P770">
        <f t="shared" si="12"/>
        <v>76.400000000000006</v>
      </c>
    </row>
    <row r="771" spans="10:16">
      <c r="J771" s="5"/>
      <c r="L771">
        <f>SEM!M771</f>
        <v>0.69493614000000004</v>
      </c>
      <c r="M771">
        <f>SEM!N771</f>
        <v>76.5</v>
      </c>
      <c r="O771">
        <f>ABS(L771-SEM!$C$34)</f>
        <v>8.4530679920086218</v>
      </c>
      <c r="P771">
        <f t="shared" si="12"/>
        <v>76.5</v>
      </c>
    </row>
    <row r="772" spans="10:16">
      <c r="J772" s="5"/>
      <c r="L772">
        <f>SEM!M772</f>
        <v>0.704650416</v>
      </c>
      <c r="M772">
        <f>SEM!N772</f>
        <v>76.599999999999994</v>
      </c>
      <c r="O772">
        <f>ABS(L772-SEM!$C$34)</f>
        <v>8.4627822680086222</v>
      </c>
      <c r="P772">
        <f t="shared" si="12"/>
        <v>76.599999999999994</v>
      </c>
    </row>
    <row r="773" spans="10:16">
      <c r="J773" s="5"/>
      <c r="L773">
        <f>SEM!M773</f>
        <v>0.71409105500000003</v>
      </c>
      <c r="M773">
        <f>SEM!N773</f>
        <v>76.7</v>
      </c>
      <c r="O773">
        <f>ABS(L773-SEM!$C$34)</f>
        <v>8.4722229070086232</v>
      </c>
      <c r="P773">
        <f t="shared" si="12"/>
        <v>76.7</v>
      </c>
    </row>
    <row r="774" spans="10:16">
      <c r="J774" s="5"/>
      <c r="L774">
        <f>SEM!M774</f>
        <v>0.72336272000000001</v>
      </c>
      <c r="M774">
        <f>SEM!N774</f>
        <v>76.8</v>
      </c>
      <c r="O774">
        <f>ABS(L774-SEM!$C$34)</f>
        <v>8.4814945720086232</v>
      </c>
      <c r="P774">
        <f t="shared" si="12"/>
        <v>76.8</v>
      </c>
    </row>
    <row r="775" spans="10:16">
      <c r="J775" s="5"/>
      <c r="L775">
        <f>SEM!M775</f>
        <v>0.732634385</v>
      </c>
      <c r="M775">
        <f>SEM!N775</f>
        <v>76.900000000000006</v>
      </c>
      <c r="O775">
        <f>ABS(L775-SEM!$C$34)</f>
        <v>8.4907662370086232</v>
      </c>
      <c r="P775">
        <f t="shared" ref="P775:P838" si="13">M775</f>
        <v>76.900000000000006</v>
      </c>
    </row>
    <row r="776" spans="10:16">
      <c r="J776" s="5"/>
      <c r="L776">
        <f>SEM!M776</f>
        <v>0.74025742999999999</v>
      </c>
      <c r="M776">
        <f>SEM!N776</f>
        <v>77</v>
      </c>
      <c r="O776">
        <f>ABS(L776-SEM!$C$34)</f>
        <v>8.4983892820086222</v>
      </c>
      <c r="P776">
        <f t="shared" si="13"/>
        <v>77</v>
      </c>
    </row>
    <row r="777" spans="10:16">
      <c r="J777" s="5"/>
      <c r="L777">
        <f>SEM!M777</f>
        <v>0.74738588900000003</v>
      </c>
      <c r="M777">
        <f>SEM!N777</f>
        <v>77.099999999999994</v>
      </c>
      <c r="O777">
        <f>ABS(L777-SEM!$C$34)</f>
        <v>8.5055177410086227</v>
      </c>
      <c r="P777">
        <f t="shared" si="13"/>
        <v>77.099999999999994</v>
      </c>
    </row>
    <row r="778" spans="10:16">
      <c r="J778" s="5"/>
      <c r="L778">
        <f>SEM!M778</f>
        <v>0.75451434799999995</v>
      </c>
      <c r="M778">
        <f>SEM!N778</f>
        <v>77.2</v>
      </c>
      <c r="O778">
        <f>ABS(L778-SEM!$C$34)</f>
        <v>8.5126462000086232</v>
      </c>
      <c r="P778">
        <f t="shared" si="13"/>
        <v>77.2</v>
      </c>
    </row>
    <row r="779" spans="10:16">
      <c r="J779" s="5"/>
      <c r="L779">
        <f>SEM!M779</f>
        <v>0.75566213900000001</v>
      </c>
      <c r="M779">
        <f>SEM!N779</f>
        <v>77.3</v>
      </c>
      <c r="O779">
        <f>ABS(L779-SEM!$C$34)</f>
        <v>8.5137939910086224</v>
      </c>
      <c r="P779">
        <f t="shared" si="13"/>
        <v>77.3</v>
      </c>
    </row>
    <row r="780" spans="10:16">
      <c r="J780" s="5"/>
      <c r="L780">
        <f>SEM!M780</f>
        <v>0.75629148199999996</v>
      </c>
      <c r="M780">
        <f>SEM!N780</f>
        <v>77.400000000000006</v>
      </c>
      <c r="O780">
        <f>ABS(L780-SEM!$C$34)</f>
        <v>8.5144233340086224</v>
      </c>
      <c r="P780">
        <f t="shared" si="13"/>
        <v>77.400000000000006</v>
      </c>
    </row>
    <row r="781" spans="10:16">
      <c r="J781" s="5"/>
      <c r="L781">
        <f>SEM!M781</f>
        <v>0.756877625</v>
      </c>
      <c r="M781">
        <f>SEM!N781</f>
        <v>77.5</v>
      </c>
      <c r="O781">
        <f>ABS(L781-SEM!$C$34)</f>
        <v>8.515009477008622</v>
      </c>
      <c r="P781">
        <f t="shared" si="13"/>
        <v>77.5</v>
      </c>
    </row>
    <row r="782" spans="10:16">
      <c r="J782" s="5"/>
      <c r="L782">
        <f>SEM!M782</f>
        <v>0.75690044000000001</v>
      </c>
      <c r="M782">
        <f>SEM!N782</f>
        <v>77.599999999999994</v>
      </c>
      <c r="O782">
        <f>ABS(L782-SEM!$C$34)</f>
        <v>8.5150322920086232</v>
      </c>
      <c r="P782">
        <f t="shared" si="13"/>
        <v>77.599999999999994</v>
      </c>
    </row>
    <row r="783" spans="10:16">
      <c r="J783" s="5"/>
      <c r="L783">
        <f>SEM!M783</f>
        <v>0.75692325500000002</v>
      </c>
      <c r="M783">
        <f>SEM!N783</f>
        <v>77.7</v>
      </c>
      <c r="O783">
        <f>ABS(L783-SEM!$C$34)</f>
        <v>8.5150551070086227</v>
      </c>
      <c r="P783">
        <f t="shared" si="13"/>
        <v>77.7</v>
      </c>
    </row>
    <row r="784" spans="10:16">
      <c r="J784" s="5"/>
      <c r="L784">
        <f>SEM!M784</f>
        <v>0.75823018400000097</v>
      </c>
      <c r="M784">
        <f>SEM!N784</f>
        <v>77.8</v>
      </c>
      <c r="O784">
        <f>ABS(L784-SEM!$C$34)</f>
        <v>8.5163620360086227</v>
      </c>
      <c r="P784">
        <f t="shared" si="13"/>
        <v>77.8</v>
      </c>
    </row>
    <row r="785" spans="10:16">
      <c r="J785" s="5"/>
      <c r="L785">
        <f>SEM!M785</f>
        <v>0.76403151200000097</v>
      </c>
      <c r="M785">
        <f>SEM!N785</f>
        <v>77.900000000000006</v>
      </c>
      <c r="O785">
        <f>ABS(L785-SEM!$C$34)</f>
        <v>8.5221633640086232</v>
      </c>
      <c r="P785">
        <f t="shared" si="13"/>
        <v>77.900000000000006</v>
      </c>
    </row>
    <row r="786" spans="10:16">
      <c r="J786" s="5"/>
      <c r="L786">
        <f>SEM!M786</f>
        <v>0.76983284000000096</v>
      </c>
      <c r="M786">
        <f>SEM!N786</f>
        <v>78</v>
      </c>
      <c r="O786">
        <f>ABS(L786-SEM!$C$34)</f>
        <v>8.5279646920086236</v>
      </c>
      <c r="P786">
        <f t="shared" si="13"/>
        <v>78</v>
      </c>
    </row>
    <row r="787" spans="10:16">
      <c r="J787" s="5"/>
      <c r="L787">
        <f>SEM!M787</f>
        <v>0.77573778900000001</v>
      </c>
      <c r="M787">
        <f>SEM!N787</f>
        <v>78.099999999999994</v>
      </c>
      <c r="O787">
        <f>ABS(L787-SEM!$C$34)</f>
        <v>8.5338696410086232</v>
      </c>
      <c r="P787">
        <f t="shared" si="13"/>
        <v>78.099999999999994</v>
      </c>
    </row>
    <row r="788" spans="10:16">
      <c r="J788" s="5"/>
      <c r="L788">
        <f>SEM!M788</f>
        <v>0.78181675800000106</v>
      </c>
      <c r="M788">
        <f>SEM!N788</f>
        <v>78.2</v>
      </c>
      <c r="O788">
        <f>ABS(L788-SEM!$C$34)</f>
        <v>8.5399486100086239</v>
      </c>
      <c r="P788">
        <f t="shared" si="13"/>
        <v>78.2</v>
      </c>
    </row>
    <row r="789" spans="10:16">
      <c r="J789" s="5"/>
      <c r="L789">
        <f>SEM!M789</f>
        <v>0.78789572699999999</v>
      </c>
      <c r="M789">
        <f>SEM!N789</f>
        <v>78.3</v>
      </c>
      <c r="O789">
        <f>ABS(L789-SEM!$C$34)</f>
        <v>8.5460275790086229</v>
      </c>
      <c r="P789">
        <f t="shared" si="13"/>
        <v>78.3</v>
      </c>
    </row>
    <row r="790" spans="10:16">
      <c r="J790" s="5"/>
      <c r="L790">
        <f>SEM!M790</f>
        <v>0.79247362399999999</v>
      </c>
      <c r="M790">
        <f>SEM!N790</f>
        <v>78.400000000000006</v>
      </c>
      <c r="O790">
        <f>ABS(L790-SEM!$C$34)</f>
        <v>8.5506054760086219</v>
      </c>
      <c r="P790">
        <f t="shared" si="13"/>
        <v>78.400000000000006</v>
      </c>
    </row>
    <row r="791" spans="10:16">
      <c r="J791" s="5"/>
      <c r="L791">
        <f>SEM!M791</f>
        <v>0.79568913500000005</v>
      </c>
      <c r="M791">
        <f>SEM!N791</f>
        <v>78.5</v>
      </c>
      <c r="O791">
        <f>ABS(L791-SEM!$C$34)</f>
        <v>8.5538209870086224</v>
      </c>
      <c r="P791">
        <f t="shared" si="13"/>
        <v>78.5</v>
      </c>
    </row>
    <row r="792" spans="10:16">
      <c r="J792" s="5"/>
      <c r="L792">
        <f>SEM!M792</f>
        <v>0.798904646</v>
      </c>
      <c r="M792">
        <f>SEM!N792</f>
        <v>78.599999999999994</v>
      </c>
      <c r="O792">
        <f>ABS(L792-SEM!$C$34)</f>
        <v>8.5570364980086229</v>
      </c>
      <c r="P792">
        <f t="shared" si="13"/>
        <v>78.599999999999994</v>
      </c>
    </row>
    <row r="793" spans="10:16">
      <c r="J793" s="5"/>
      <c r="L793">
        <f>SEM!M793</f>
        <v>0.79994900000000002</v>
      </c>
      <c r="M793">
        <f>SEM!N793</f>
        <v>78.7</v>
      </c>
      <c r="O793">
        <f>ABS(L793-SEM!$C$34)</f>
        <v>8.5580808520086222</v>
      </c>
      <c r="P793">
        <f t="shared" si="13"/>
        <v>78.7</v>
      </c>
    </row>
    <row r="794" spans="10:16">
      <c r="J794" s="5"/>
      <c r="L794">
        <f>SEM!M794</f>
        <v>0.79994900000000002</v>
      </c>
      <c r="M794">
        <f>SEM!N794</f>
        <v>78.8</v>
      </c>
      <c r="O794">
        <f>ABS(L794-SEM!$C$34)</f>
        <v>8.5580808520086222</v>
      </c>
      <c r="P794">
        <f t="shared" si="13"/>
        <v>78.8</v>
      </c>
    </row>
    <row r="795" spans="10:16">
      <c r="J795" s="5"/>
      <c r="L795">
        <f>SEM!M795</f>
        <v>0.79994900000000002</v>
      </c>
      <c r="M795">
        <f>SEM!N795</f>
        <v>78.900000000000006</v>
      </c>
      <c r="O795">
        <f>ABS(L795-SEM!$C$34)</f>
        <v>8.5580808520086222</v>
      </c>
      <c r="P795">
        <f t="shared" si="13"/>
        <v>78.900000000000006</v>
      </c>
    </row>
    <row r="796" spans="10:16">
      <c r="J796" s="5"/>
      <c r="L796">
        <f>SEM!M796</f>
        <v>0.80048752999999995</v>
      </c>
      <c r="M796">
        <f>SEM!N796</f>
        <v>79</v>
      </c>
      <c r="O796">
        <f>ABS(L796-SEM!$C$34)</f>
        <v>8.5586193820086223</v>
      </c>
      <c r="P796">
        <f t="shared" si="13"/>
        <v>79</v>
      </c>
    </row>
    <row r="797" spans="10:16">
      <c r="J797" s="5"/>
      <c r="L797">
        <f>SEM!M797</f>
        <v>0.80113933699999995</v>
      </c>
      <c r="M797">
        <f>SEM!N797</f>
        <v>79.099999999999994</v>
      </c>
      <c r="O797">
        <f>ABS(L797-SEM!$C$34)</f>
        <v>8.5592711890086228</v>
      </c>
      <c r="P797">
        <f t="shared" si="13"/>
        <v>79.099999999999994</v>
      </c>
    </row>
    <row r="798" spans="10:16">
      <c r="J798" s="5"/>
      <c r="L798">
        <f>SEM!M798</f>
        <v>0.80179114399999996</v>
      </c>
      <c r="M798">
        <f>SEM!N798</f>
        <v>79.2</v>
      </c>
      <c r="O798">
        <f>ABS(L798-SEM!$C$34)</f>
        <v>8.5599229960086216</v>
      </c>
      <c r="P798">
        <f t="shared" si="13"/>
        <v>79.2</v>
      </c>
    </row>
    <row r="799" spans="10:16">
      <c r="J799" s="5"/>
      <c r="L799">
        <f>SEM!M799</f>
        <v>0.80180600000000002</v>
      </c>
      <c r="M799">
        <f>SEM!N799</f>
        <v>79.3</v>
      </c>
      <c r="O799">
        <f>ABS(L799-SEM!$C$34)</f>
        <v>8.5599378520086233</v>
      </c>
      <c r="P799">
        <f t="shared" si="13"/>
        <v>79.3</v>
      </c>
    </row>
    <row r="800" spans="10:16">
      <c r="J800" s="5"/>
      <c r="L800">
        <f>SEM!M800</f>
        <v>0.80180600000000002</v>
      </c>
      <c r="M800">
        <f>SEM!N800</f>
        <v>79.400000000000006</v>
      </c>
      <c r="O800">
        <f>ABS(L800-SEM!$C$34)</f>
        <v>8.5599378520086233</v>
      </c>
      <c r="P800">
        <f t="shared" si="13"/>
        <v>79.400000000000006</v>
      </c>
    </row>
    <row r="801" spans="10:16">
      <c r="J801" s="5"/>
      <c r="L801">
        <f>SEM!M801</f>
        <v>0.80205395000000002</v>
      </c>
      <c r="M801">
        <f>SEM!N801</f>
        <v>79.5</v>
      </c>
      <c r="O801">
        <f>ABS(L801-SEM!$C$34)</f>
        <v>8.5601858020086219</v>
      </c>
      <c r="P801">
        <f t="shared" si="13"/>
        <v>79.5</v>
      </c>
    </row>
    <row r="802" spans="10:16">
      <c r="J802" s="5"/>
      <c r="L802">
        <f>SEM!M802</f>
        <v>0.80398795999999995</v>
      </c>
      <c r="M802">
        <f>SEM!N802</f>
        <v>79.599999999999994</v>
      </c>
      <c r="O802">
        <f>ABS(L802-SEM!$C$34)</f>
        <v>8.562119812008623</v>
      </c>
      <c r="P802">
        <f t="shared" si="13"/>
        <v>79.599999999999994</v>
      </c>
    </row>
    <row r="803" spans="10:16">
      <c r="J803" s="5"/>
      <c r="L803">
        <f>SEM!M803</f>
        <v>0.80592196999999999</v>
      </c>
      <c r="M803">
        <f>SEM!N803</f>
        <v>79.7</v>
      </c>
      <c r="O803">
        <f>ABS(L803-SEM!$C$34)</f>
        <v>8.5640538220086224</v>
      </c>
      <c r="P803">
        <f t="shared" si="13"/>
        <v>79.7</v>
      </c>
    </row>
    <row r="804" spans="10:16">
      <c r="J804" s="5"/>
      <c r="L804">
        <f>SEM!M804</f>
        <v>0.80972885800000005</v>
      </c>
      <c r="M804">
        <f>SEM!N804</f>
        <v>79.8</v>
      </c>
      <c r="O804">
        <f>ABS(L804-SEM!$C$34)</f>
        <v>8.5678607100086221</v>
      </c>
      <c r="P804">
        <f t="shared" si="13"/>
        <v>79.8</v>
      </c>
    </row>
    <row r="805" spans="10:16">
      <c r="J805" s="5"/>
      <c r="L805">
        <f>SEM!M805</f>
        <v>0.81837082900000002</v>
      </c>
      <c r="M805">
        <f>SEM!N805</f>
        <v>79.900000000000006</v>
      </c>
      <c r="O805">
        <f>ABS(L805-SEM!$C$34)</f>
        <v>8.5765026810086233</v>
      </c>
      <c r="P805">
        <f t="shared" si="13"/>
        <v>79.900000000000006</v>
      </c>
    </row>
    <row r="806" spans="10:16">
      <c r="J806" s="5"/>
      <c r="L806">
        <f>SEM!M806</f>
        <v>0.82701279999999999</v>
      </c>
      <c r="M806">
        <f>SEM!N806</f>
        <v>80</v>
      </c>
      <c r="O806">
        <f>ABS(L806-SEM!$C$34)</f>
        <v>8.5851446520086228</v>
      </c>
      <c r="P806">
        <f t="shared" si="13"/>
        <v>80</v>
      </c>
    </row>
    <row r="807" spans="10:16">
      <c r="J807" s="5"/>
      <c r="L807">
        <f>SEM!M807</f>
        <v>0.835284217</v>
      </c>
      <c r="M807">
        <f>SEM!N807</f>
        <v>80.099999999999994</v>
      </c>
      <c r="O807">
        <f>ABS(L807-SEM!$C$34)</f>
        <v>8.5934160690086223</v>
      </c>
      <c r="P807">
        <f t="shared" si="13"/>
        <v>80.099999999999994</v>
      </c>
    </row>
    <row r="808" spans="10:16">
      <c r="J808" s="5"/>
      <c r="L808">
        <f>SEM!M808</f>
        <v>0.84306483399999999</v>
      </c>
      <c r="M808">
        <f>SEM!N808</f>
        <v>80.2</v>
      </c>
      <c r="O808">
        <f>ABS(L808-SEM!$C$34)</f>
        <v>8.6011966860086222</v>
      </c>
      <c r="P808">
        <f t="shared" si="13"/>
        <v>80.2</v>
      </c>
    </row>
    <row r="809" spans="10:16">
      <c r="J809" s="5"/>
      <c r="L809">
        <f>SEM!M809</f>
        <v>0.85084545099999997</v>
      </c>
      <c r="M809">
        <f>SEM!N809</f>
        <v>80.3</v>
      </c>
      <c r="O809">
        <f>ABS(L809-SEM!$C$34)</f>
        <v>8.6089773030086221</v>
      </c>
      <c r="P809">
        <f t="shared" si="13"/>
        <v>80.3</v>
      </c>
    </row>
    <row r="810" spans="10:16">
      <c r="J810" s="5"/>
      <c r="L810">
        <f>SEM!M810</f>
        <v>0.85950592000000003</v>
      </c>
      <c r="M810">
        <f>SEM!N810</f>
        <v>80.400000000000006</v>
      </c>
      <c r="O810">
        <f>ABS(L810-SEM!$C$34)</f>
        <v>8.6176377720086226</v>
      </c>
      <c r="P810">
        <f t="shared" si="13"/>
        <v>80.400000000000006</v>
      </c>
    </row>
    <row r="811" spans="10:16">
      <c r="J811" s="5"/>
      <c r="L811">
        <f>SEM!M811</f>
        <v>0.86880040000000003</v>
      </c>
      <c r="M811">
        <f>SEM!N811</f>
        <v>80.5</v>
      </c>
      <c r="O811">
        <f>ABS(L811-SEM!$C$34)</f>
        <v>8.626932252008622</v>
      </c>
      <c r="P811">
        <f t="shared" si="13"/>
        <v>80.5</v>
      </c>
    </row>
    <row r="812" spans="10:16">
      <c r="J812" s="5"/>
      <c r="L812">
        <f>SEM!M812</f>
        <v>0.87809488000000002</v>
      </c>
      <c r="M812">
        <f>SEM!N812</f>
        <v>80.599999999999994</v>
      </c>
      <c r="O812">
        <f>ABS(L812-SEM!$C$34)</f>
        <v>8.6362267320086232</v>
      </c>
      <c r="P812">
        <f t="shared" si="13"/>
        <v>80.599999999999994</v>
      </c>
    </row>
    <row r="813" spans="10:16">
      <c r="J813" s="5"/>
      <c r="L813">
        <f>SEM!M813</f>
        <v>0.88768002700000004</v>
      </c>
      <c r="M813">
        <f>SEM!N813</f>
        <v>80.7</v>
      </c>
      <c r="O813">
        <f>ABS(L813-SEM!$C$34)</f>
        <v>8.6458118790086225</v>
      </c>
      <c r="P813">
        <f t="shared" si="13"/>
        <v>80.7</v>
      </c>
    </row>
    <row r="814" spans="10:16">
      <c r="J814" s="5"/>
      <c r="L814">
        <f>SEM!M814</f>
        <v>0.89737148799999999</v>
      </c>
      <c r="M814">
        <f>SEM!N814</f>
        <v>80.8</v>
      </c>
      <c r="O814">
        <f>ABS(L814-SEM!$C$34)</f>
        <v>8.6555033400086216</v>
      </c>
      <c r="P814">
        <f t="shared" si="13"/>
        <v>80.8</v>
      </c>
    </row>
    <row r="815" spans="10:16">
      <c r="J815" s="5"/>
      <c r="L815">
        <f>SEM!M815</f>
        <v>0.90706294899999995</v>
      </c>
      <c r="M815">
        <f>SEM!N815</f>
        <v>80.900000000000006</v>
      </c>
      <c r="O815">
        <f>ABS(L815-SEM!$C$34)</f>
        <v>8.6651948010086226</v>
      </c>
      <c r="P815">
        <f t="shared" si="13"/>
        <v>80.900000000000006</v>
      </c>
    </row>
    <row r="816" spans="10:16">
      <c r="J816" s="5"/>
      <c r="L816">
        <f>SEM!M816</f>
        <v>0.91161088999999995</v>
      </c>
      <c r="M816">
        <f>SEM!N816</f>
        <v>81</v>
      </c>
      <c r="O816">
        <f>ABS(L816-SEM!$C$34)</f>
        <v>8.6697427420086228</v>
      </c>
      <c r="P816">
        <f t="shared" si="13"/>
        <v>81</v>
      </c>
    </row>
    <row r="817" spans="10:16">
      <c r="J817" s="5"/>
      <c r="L817">
        <f>SEM!M817</f>
        <v>0.91547855899999997</v>
      </c>
      <c r="M817">
        <f>SEM!N817</f>
        <v>81.099999999999994</v>
      </c>
      <c r="O817">
        <f>ABS(L817-SEM!$C$34)</f>
        <v>8.6736104110086227</v>
      </c>
      <c r="P817">
        <f t="shared" si="13"/>
        <v>81.099999999999994</v>
      </c>
    </row>
    <row r="818" spans="10:16">
      <c r="J818" s="5"/>
      <c r="L818">
        <f>SEM!M818</f>
        <v>0.91942977199999998</v>
      </c>
      <c r="M818">
        <f>SEM!N818</f>
        <v>81.2</v>
      </c>
      <c r="O818">
        <f>ABS(L818-SEM!$C$34)</f>
        <v>8.6775616240086215</v>
      </c>
      <c r="P818">
        <f t="shared" si="13"/>
        <v>81.2</v>
      </c>
    </row>
    <row r="819" spans="10:16">
      <c r="J819" s="5"/>
      <c r="L819">
        <f>SEM!M819</f>
        <v>0.92574110300000001</v>
      </c>
      <c r="M819">
        <f>SEM!N819</f>
        <v>81.3</v>
      </c>
      <c r="O819">
        <f>ABS(L819-SEM!$C$34)</f>
        <v>8.6838729550086224</v>
      </c>
      <c r="P819">
        <f t="shared" si="13"/>
        <v>81.3</v>
      </c>
    </row>
    <row r="820" spans="10:16">
      <c r="J820" s="5"/>
      <c r="L820">
        <f>SEM!M820</f>
        <v>0.93205243400000004</v>
      </c>
      <c r="M820">
        <f>SEM!N820</f>
        <v>81.400000000000006</v>
      </c>
      <c r="O820">
        <f>ABS(L820-SEM!$C$34)</f>
        <v>8.6901842860086234</v>
      </c>
      <c r="P820">
        <f t="shared" si="13"/>
        <v>81.400000000000006</v>
      </c>
    </row>
    <row r="821" spans="10:16">
      <c r="J821" s="5"/>
      <c r="L821">
        <f>SEM!M821</f>
        <v>0.93775159500000005</v>
      </c>
      <c r="M821">
        <f>SEM!N821</f>
        <v>81.5</v>
      </c>
      <c r="O821">
        <f>ABS(L821-SEM!$C$34)</f>
        <v>8.6958834470086224</v>
      </c>
      <c r="P821">
        <f t="shared" si="13"/>
        <v>81.5</v>
      </c>
    </row>
    <row r="822" spans="10:16">
      <c r="J822" s="5"/>
      <c r="L822">
        <f>SEM!M822</f>
        <v>0.94075720799999996</v>
      </c>
      <c r="M822">
        <f>SEM!N822</f>
        <v>81.599999999999994</v>
      </c>
      <c r="O822">
        <f>ABS(L822-SEM!$C$34)</f>
        <v>8.6988890600086215</v>
      </c>
      <c r="P822">
        <f t="shared" si="13"/>
        <v>81.599999999999994</v>
      </c>
    </row>
    <row r="823" spans="10:16">
      <c r="J823" s="5"/>
      <c r="L823">
        <f>SEM!M823</f>
        <v>0.94376282099999997</v>
      </c>
      <c r="M823">
        <f>SEM!N823</f>
        <v>81.7</v>
      </c>
      <c r="O823">
        <f>ABS(L823-SEM!$C$34)</f>
        <v>8.7018946730086224</v>
      </c>
      <c r="P823">
        <f t="shared" si="13"/>
        <v>81.7</v>
      </c>
    </row>
    <row r="824" spans="10:16">
      <c r="J824" s="5"/>
      <c r="L824">
        <f>SEM!M824</f>
        <v>0.94779409000000003</v>
      </c>
      <c r="M824">
        <f>SEM!N824</f>
        <v>81.8</v>
      </c>
      <c r="O824">
        <f>ABS(L824-SEM!$C$34)</f>
        <v>8.7059259420086228</v>
      </c>
      <c r="P824">
        <f t="shared" si="13"/>
        <v>81.8</v>
      </c>
    </row>
    <row r="825" spans="10:16">
      <c r="J825" s="5"/>
      <c r="L825">
        <f>SEM!M825</f>
        <v>0.95385059500000002</v>
      </c>
      <c r="M825">
        <f>SEM!N825</f>
        <v>81.900000000000006</v>
      </c>
      <c r="O825">
        <f>ABS(L825-SEM!$C$34)</f>
        <v>8.7119824470086229</v>
      </c>
      <c r="P825">
        <f t="shared" si="13"/>
        <v>81.900000000000006</v>
      </c>
    </row>
    <row r="826" spans="10:16">
      <c r="J826" s="5"/>
      <c r="L826">
        <f>SEM!M826</f>
        <v>0.95990710000000101</v>
      </c>
      <c r="M826">
        <f>SEM!N826</f>
        <v>82</v>
      </c>
      <c r="O826">
        <f>ABS(L826-SEM!$C$34)</f>
        <v>8.718038952008623</v>
      </c>
      <c r="P826">
        <f t="shared" si="13"/>
        <v>82</v>
      </c>
    </row>
    <row r="827" spans="10:16">
      <c r="J827" s="5"/>
      <c r="L827">
        <f>SEM!M827</f>
        <v>0.96647472400000101</v>
      </c>
      <c r="M827">
        <f>SEM!N827</f>
        <v>82.1</v>
      </c>
      <c r="O827">
        <f>ABS(L827-SEM!$C$34)</f>
        <v>8.7246065760086235</v>
      </c>
      <c r="P827">
        <f t="shared" si="13"/>
        <v>82.1</v>
      </c>
    </row>
    <row r="828" spans="10:16">
      <c r="J828" s="5"/>
      <c r="L828">
        <f>SEM!M828</f>
        <v>0.97358036800000103</v>
      </c>
      <c r="M828">
        <f>SEM!N828</f>
        <v>82.2</v>
      </c>
      <c r="O828">
        <f>ABS(L828-SEM!$C$34)</f>
        <v>8.7317122200086228</v>
      </c>
      <c r="P828">
        <f t="shared" si="13"/>
        <v>82.2</v>
      </c>
    </row>
    <row r="829" spans="10:16">
      <c r="J829" s="5"/>
      <c r="L829">
        <f>SEM!M829</f>
        <v>0.98068601200000105</v>
      </c>
      <c r="M829">
        <f>SEM!N829</f>
        <v>82.3</v>
      </c>
      <c r="O829">
        <f>ABS(L829-SEM!$C$34)</f>
        <v>8.7388178640086238</v>
      </c>
      <c r="P829">
        <f t="shared" si="13"/>
        <v>82.3</v>
      </c>
    </row>
    <row r="830" spans="10:16">
      <c r="J830" s="5"/>
      <c r="L830">
        <f>SEM!M830</f>
        <v>0.98819328800000095</v>
      </c>
      <c r="M830">
        <f>SEM!N830</f>
        <v>82.4</v>
      </c>
      <c r="O830">
        <f>ABS(L830-SEM!$C$34)</f>
        <v>8.7463251400086239</v>
      </c>
      <c r="P830">
        <f t="shared" si="13"/>
        <v>82.4</v>
      </c>
    </row>
    <row r="831" spans="10:16">
      <c r="J831" s="5"/>
      <c r="L831">
        <f>SEM!M831</f>
        <v>0.99592827500000103</v>
      </c>
      <c r="M831">
        <f>SEM!N831</f>
        <v>82.5</v>
      </c>
      <c r="O831">
        <f>ABS(L831-SEM!$C$34)</f>
        <v>8.7540601270086231</v>
      </c>
      <c r="P831">
        <f t="shared" si="13"/>
        <v>82.5</v>
      </c>
    </row>
    <row r="832" spans="10:16">
      <c r="J832" s="5"/>
      <c r="L832">
        <f>SEM!M832</f>
        <v>1.0036632619999999</v>
      </c>
      <c r="M832">
        <f>SEM!N832</f>
        <v>82.6</v>
      </c>
      <c r="O832">
        <f>ABS(L832-SEM!$C$34)</f>
        <v>8.7617951140086223</v>
      </c>
      <c r="P832">
        <f t="shared" si="13"/>
        <v>82.6</v>
      </c>
    </row>
    <row r="833" spans="10:16">
      <c r="J833" s="5"/>
      <c r="L833">
        <f>SEM!M833</f>
        <v>1.009576697</v>
      </c>
      <c r="M833">
        <f>SEM!N833</f>
        <v>82.7</v>
      </c>
      <c r="O833">
        <f>ABS(L833-SEM!$C$34)</f>
        <v>8.7677085490086224</v>
      </c>
      <c r="P833">
        <f t="shared" si="13"/>
        <v>82.7</v>
      </c>
    </row>
    <row r="834" spans="10:16">
      <c r="J834" s="5"/>
      <c r="L834">
        <f>SEM!M834</f>
        <v>1.0150035079999999</v>
      </c>
      <c r="M834">
        <f>SEM!N834</f>
        <v>82.8</v>
      </c>
      <c r="O834">
        <f>ABS(L834-SEM!$C$34)</f>
        <v>8.7731353600086219</v>
      </c>
      <c r="P834">
        <f t="shared" si="13"/>
        <v>82.8</v>
      </c>
    </row>
    <row r="835" spans="10:16">
      <c r="J835" s="5"/>
      <c r="L835">
        <f>SEM!M835</f>
        <v>1.0204303189999999</v>
      </c>
      <c r="M835">
        <f>SEM!N835</f>
        <v>82.9</v>
      </c>
      <c r="O835">
        <f>ABS(L835-SEM!$C$34)</f>
        <v>8.7785621710086232</v>
      </c>
      <c r="P835">
        <f t="shared" si="13"/>
        <v>82.9</v>
      </c>
    </row>
    <row r="836" spans="10:16">
      <c r="J836" s="5"/>
      <c r="L836">
        <f>SEM!M836</f>
        <v>1.02219974</v>
      </c>
      <c r="M836">
        <f>SEM!N836</f>
        <v>83</v>
      </c>
      <c r="O836">
        <f>ABS(L836-SEM!$C$34)</f>
        <v>8.780331592008622</v>
      </c>
      <c r="P836">
        <f t="shared" si="13"/>
        <v>83</v>
      </c>
    </row>
    <row r="837" spans="10:16">
      <c r="J837" s="5"/>
      <c r="L837">
        <f>SEM!M837</f>
        <v>1.0237364179999999</v>
      </c>
      <c r="M837">
        <f>SEM!N837</f>
        <v>83.1</v>
      </c>
      <c r="O837">
        <f>ABS(L837-SEM!$C$34)</f>
        <v>8.7818682700086228</v>
      </c>
      <c r="P837">
        <f t="shared" si="13"/>
        <v>83.1</v>
      </c>
    </row>
    <row r="838" spans="10:16">
      <c r="J838" s="5"/>
      <c r="L838">
        <f>SEM!M838</f>
        <v>1.0252286799999999</v>
      </c>
      <c r="M838">
        <f>SEM!N838</f>
        <v>83.2</v>
      </c>
      <c r="O838">
        <f>ABS(L838-SEM!$C$34)</f>
        <v>8.7833605320086221</v>
      </c>
      <c r="P838">
        <f t="shared" si="13"/>
        <v>83.2</v>
      </c>
    </row>
    <row r="839" spans="10:16">
      <c r="J839" s="5"/>
      <c r="L839">
        <f>SEM!M839</f>
        <v>1.0262781700000001</v>
      </c>
      <c r="M839">
        <f>SEM!N839</f>
        <v>83.3</v>
      </c>
      <c r="O839">
        <f>ABS(L839-SEM!$C$34)</f>
        <v>8.7844100220086219</v>
      </c>
      <c r="P839">
        <f t="shared" ref="P839:P902" si="14">M839</f>
        <v>83.3</v>
      </c>
    </row>
    <row r="840" spans="10:16">
      <c r="J840" s="5"/>
      <c r="L840">
        <f>SEM!M840</f>
        <v>1.0273276600000001</v>
      </c>
      <c r="M840">
        <f>SEM!N840</f>
        <v>83.4</v>
      </c>
      <c r="O840">
        <f>ABS(L840-SEM!$C$34)</f>
        <v>8.7854595120086216</v>
      </c>
      <c r="P840">
        <f t="shared" si="14"/>
        <v>83.4</v>
      </c>
    </row>
    <row r="841" spans="10:16">
      <c r="J841" s="5"/>
      <c r="L841">
        <f>SEM!M841</f>
        <v>1.02875472</v>
      </c>
      <c r="M841">
        <f>SEM!N841</f>
        <v>83.5</v>
      </c>
      <c r="O841">
        <f>ABS(L841-SEM!$C$34)</f>
        <v>8.7868865720086227</v>
      </c>
      <c r="P841">
        <f t="shared" si="14"/>
        <v>83.5</v>
      </c>
    </row>
    <row r="842" spans="10:16">
      <c r="J842" s="5"/>
      <c r="L842">
        <f>SEM!M842</f>
        <v>1.0313633520000001</v>
      </c>
      <c r="M842">
        <f>SEM!N842</f>
        <v>83.6</v>
      </c>
      <c r="O842">
        <f>ABS(L842-SEM!$C$34)</f>
        <v>8.7894952040086221</v>
      </c>
      <c r="P842">
        <f t="shared" si="14"/>
        <v>83.6</v>
      </c>
    </row>
    <row r="843" spans="10:16">
      <c r="J843" s="5"/>
      <c r="L843">
        <f>SEM!M843</f>
        <v>1.0339719839999999</v>
      </c>
      <c r="M843">
        <f>SEM!N843</f>
        <v>83.7</v>
      </c>
      <c r="O843">
        <f>ABS(L843-SEM!$C$34)</f>
        <v>8.7921038360086214</v>
      </c>
      <c r="P843">
        <f t="shared" si="14"/>
        <v>83.7</v>
      </c>
    </row>
    <row r="844" spans="10:16">
      <c r="J844" s="5"/>
      <c r="L844">
        <f>SEM!M844</f>
        <v>1.037331888</v>
      </c>
      <c r="M844">
        <f>SEM!N844</f>
        <v>83.8</v>
      </c>
      <c r="O844">
        <f>ABS(L844-SEM!$C$34)</f>
        <v>8.7954637400086231</v>
      </c>
      <c r="P844">
        <f t="shared" si="14"/>
        <v>83.8</v>
      </c>
    </row>
    <row r="845" spans="10:16">
      <c r="J845" s="5"/>
      <c r="L845">
        <f>SEM!M845</f>
        <v>1.041851364</v>
      </c>
      <c r="M845">
        <f>SEM!N845</f>
        <v>83.9</v>
      </c>
      <c r="O845">
        <f>ABS(L845-SEM!$C$34)</f>
        <v>8.7999832160086218</v>
      </c>
      <c r="P845">
        <f t="shared" si="14"/>
        <v>83.9</v>
      </c>
    </row>
    <row r="846" spans="10:16">
      <c r="J846" s="5"/>
      <c r="L846">
        <f>SEM!M846</f>
        <v>1.04637084</v>
      </c>
      <c r="M846">
        <f>SEM!N846</f>
        <v>84</v>
      </c>
      <c r="O846">
        <f>ABS(L846-SEM!$C$34)</f>
        <v>8.8045026920086222</v>
      </c>
      <c r="P846">
        <f t="shared" si="14"/>
        <v>84</v>
      </c>
    </row>
    <row r="847" spans="10:16">
      <c r="J847" s="5"/>
      <c r="L847">
        <f>SEM!M847</f>
        <v>1.0494832190000001</v>
      </c>
      <c r="M847">
        <f>SEM!N847</f>
        <v>84.1</v>
      </c>
      <c r="O847">
        <f>ABS(L847-SEM!$C$34)</f>
        <v>8.8076150710086232</v>
      </c>
      <c r="P847">
        <f t="shared" si="14"/>
        <v>84.1</v>
      </c>
    </row>
    <row r="848" spans="10:16">
      <c r="J848" s="5"/>
      <c r="L848">
        <f>SEM!M848</f>
        <v>1.0514168779999999</v>
      </c>
      <c r="M848">
        <f>SEM!N848</f>
        <v>84.2</v>
      </c>
      <c r="O848">
        <f>ABS(L848-SEM!$C$34)</f>
        <v>8.8095487300086219</v>
      </c>
      <c r="P848">
        <f t="shared" si="14"/>
        <v>84.2</v>
      </c>
    </row>
    <row r="849" spans="10:16">
      <c r="J849" s="5"/>
      <c r="L849">
        <f>SEM!M849</f>
        <v>1.053350537</v>
      </c>
      <c r="M849">
        <f>SEM!N849</f>
        <v>84.3</v>
      </c>
      <c r="O849">
        <f>ABS(L849-SEM!$C$34)</f>
        <v>8.8114823890086225</v>
      </c>
      <c r="P849">
        <f t="shared" si="14"/>
        <v>84.3</v>
      </c>
    </row>
    <row r="850" spans="10:16">
      <c r="J850" s="5"/>
      <c r="L850">
        <f>SEM!M850</f>
        <v>1.0552844400000001</v>
      </c>
      <c r="M850">
        <f>SEM!N850</f>
        <v>84.4</v>
      </c>
      <c r="O850">
        <f>ABS(L850-SEM!$C$34)</f>
        <v>8.8134162920086219</v>
      </c>
      <c r="P850">
        <f t="shared" si="14"/>
        <v>84.4</v>
      </c>
    </row>
    <row r="851" spans="10:16">
      <c r="J851" s="5"/>
      <c r="L851">
        <f>SEM!M851</f>
        <v>1.0572184499999999</v>
      </c>
      <c r="M851">
        <f>SEM!N851</f>
        <v>84.5</v>
      </c>
      <c r="O851">
        <f>ABS(L851-SEM!$C$34)</f>
        <v>8.815350302008623</v>
      </c>
      <c r="P851">
        <f t="shared" si="14"/>
        <v>84.5</v>
      </c>
    </row>
    <row r="852" spans="10:16">
      <c r="J852" s="5"/>
      <c r="L852">
        <f>SEM!M852</f>
        <v>1.05915246</v>
      </c>
      <c r="M852">
        <f>SEM!N852</f>
        <v>84.6</v>
      </c>
      <c r="O852">
        <f>ABS(L852-SEM!$C$34)</f>
        <v>8.8172843120086224</v>
      </c>
      <c r="P852">
        <f t="shared" si="14"/>
        <v>84.6</v>
      </c>
    </row>
    <row r="853" spans="10:16">
      <c r="J853" s="5"/>
      <c r="L853">
        <f>SEM!M853</f>
        <v>1.05945</v>
      </c>
      <c r="M853">
        <f>SEM!N853</f>
        <v>84.7</v>
      </c>
      <c r="O853">
        <f>ABS(L853-SEM!$C$34)</f>
        <v>8.8175818520086224</v>
      </c>
      <c r="P853">
        <f t="shared" si="14"/>
        <v>84.7</v>
      </c>
    </row>
    <row r="854" spans="10:16">
      <c r="J854" s="5"/>
      <c r="L854">
        <f>SEM!M854</f>
        <v>1.05945</v>
      </c>
      <c r="M854">
        <f>SEM!N854</f>
        <v>84.8</v>
      </c>
      <c r="O854">
        <f>ABS(L854-SEM!$C$34)</f>
        <v>8.8175818520086224</v>
      </c>
      <c r="P854">
        <f t="shared" si="14"/>
        <v>84.8</v>
      </c>
    </row>
    <row r="855" spans="10:16">
      <c r="J855" s="5"/>
      <c r="L855">
        <f>SEM!M855</f>
        <v>1.05945</v>
      </c>
      <c r="M855">
        <f>SEM!N855</f>
        <v>84.9</v>
      </c>
      <c r="O855">
        <f>ABS(L855-SEM!$C$34)</f>
        <v>8.8175818520086224</v>
      </c>
      <c r="P855">
        <f t="shared" si="14"/>
        <v>84.9</v>
      </c>
    </row>
    <row r="856" spans="10:16">
      <c r="J856" s="5"/>
      <c r="L856">
        <f>SEM!M856</f>
        <v>1.06098195</v>
      </c>
      <c r="M856">
        <f>SEM!N856</f>
        <v>85</v>
      </c>
      <c r="O856">
        <f>ABS(L856-SEM!$C$34)</f>
        <v>8.8191138020086228</v>
      </c>
      <c r="P856">
        <f t="shared" si="14"/>
        <v>85</v>
      </c>
    </row>
    <row r="857" spans="10:16">
      <c r="J857" s="5"/>
      <c r="L857">
        <f>SEM!M857</f>
        <v>1.0625182769999999</v>
      </c>
      <c r="M857">
        <f>SEM!N857</f>
        <v>85.1</v>
      </c>
      <c r="O857">
        <f>ABS(L857-SEM!$C$34)</f>
        <v>8.820650129008623</v>
      </c>
      <c r="P857">
        <f t="shared" si="14"/>
        <v>85.1</v>
      </c>
    </row>
    <row r="858" spans="10:16">
      <c r="J858" s="5"/>
      <c r="L858">
        <f>SEM!M858</f>
        <v>1.063885864</v>
      </c>
      <c r="M858">
        <f>SEM!N858</f>
        <v>85.2</v>
      </c>
      <c r="O858">
        <f>ABS(L858-SEM!$C$34)</f>
        <v>8.8220177160086219</v>
      </c>
      <c r="P858">
        <f t="shared" si="14"/>
        <v>85.2</v>
      </c>
    </row>
    <row r="859" spans="10:16">
      <c r="J859" s="5"/>
      <c r="L859">
        <f>SEM!M859</f>
        <v>1.0642831960000001</v>
      </c>
      <c r="M859">
        <f>SEM!N859</f>
        <v>85.3</v>
      </c>
      <c r="O859">
        <f>ABS(L859-SEM!$C$34)</f>
        <v>8.8224150480086223</v>
      </c>
      <c r="P859">
        <f t="shared" si="14"/>
        <v>85.3</v>
      </c>
    </row>
    <row r="860" spans="10:16">
      <c r="J860" s="5"/>
      <c r="L860">
        <f>SEM!M860</f>
        <v>1.064680528</v>
      </c>
      <c r="M860">
        <f>SEM!N860</f>
        <v>85.4</v>
      </c>
      <c r="O860">
        <f>ABS(L860-SEM!$C$34)</f>
        <v>8.8228123800086227</v>
      </c>
      <c r="P860">
        <f t="shared" si="14"/>
        <v>85.4</v>
      </c>
    </row>
    <row r="861" spans="10:16">
      <c r="J861" s="5"/>
      <c r="L861">
        <f>SEM!M861</f>
        <v>1.06541869</v>
      </c>
      <c r="M861">
        <f>SEM!N861</f>
        <v>85.5</v>
      </c>
      <c r="O861">
        <f>ABS(L861-SEM!$C$34)</f>
        <v>8.823550542008622</v>
      </c>
      <c r="P861">
        <f t="shared" si="14"/>
        <v>85.5</v>
      </c>
    </row>
    <row r="862" spans="10:16">
      <c r="J862" s="5"/>
      <c r="L862">
        <f>SEM!M862</f>
        <v>1.0669553679999999</v>
      </c>
      <c r="M862">
        <f>SEM!N862</f>
        <v>85.6</v>
      </c>
      <c r="O862">
        <f>ABS(L862-SEM!$C$34)</f>
        <v>8.8250872200086228</v>
      </c>
      <c r="P862">
        <f t="shared" si="14"/>
        <v>85.6</v>
      </c>
    </row>
    <row r="863" spans="10:16">
      <c r="J863" s="5"/>
      <c r="L863">
        <f>SEM!M863</f>
        <v>1.068492046</v>
      </c>
      <c r="M863">
        <f>SEM!N863</f>
        <v>85.7</v>
      </c>
      <c r="O863">
        <f>ABS(L863-SEM!$C$34)</f>
        <v>8.8266238980086218</v>
      </c>
      <c r="P863">
        <f t="shared" si="14"/>
        <v>85.7</v>
      </c>
    </row>
    <row r="864" spans="10:16">
      <c r="J864" s="5"/>
      <c r="L864">
        <f>SEM!M864</f>
        <v>1.0736995380000001</v>
      </c>
      <c r="M864">
        <f>SEM!N864</f>
        <v>85.8</v>
      </c>
      <c r="O864">
        <f>ABS(L864-SEM!$C$34)</f>
        <v>8.8318313900086221</v>
      </c>
      <c r="P864">
        <f t="shared" si="14"/>
        <v>85.8</v>
      </c>
    </row>
    <row r="865" spans="10:16">
      <c r="J865" s="5"/>
      <c r="L865">
        <f>SEM!M865</f>
        <v>1.0833909989999999</v>
      </c>
      <c r="M865">
        <f>SEM!N865</f>
        <v>85.9</v>
      </c>
      <c r="O865">
        <f>ABS(L865-SEM!$C$34)</f>
        <v>8.841522851008623</v>
      </c>
      <c r="P865">
        <f t="shared" si="14"/>
        <v>85.9</v>
      </c>
    </row>
    <row r="866" spans="10:16">
      <c r="J866" s="5"/>
      <c r="L866">
        <f>SEM!M866</f>
        <v>1.09308246</v>
      </c>
      <c r="M866">
        <f>SEM!N866</f>
        <v>86</v>
      </c>
      <c r="O866">
        <f>ABS(L866-SEM!$C$34)</f>
        <v>8.8512143120086222</v>
      </c>
      <c r="P866">
        <f t="shared" si="14"/>
        <v>86</v>
      </c>
    </row>
    <row r="867" spans="10:16">
      <c r="J867" s="5"/>
      <c r="L867">
        <f>SEM!M867</f>
        <v>1.097732076</v>
      </c>
      <c r="M867">
        <f>SEM!N867</f>
        <v>86.1</v>
      </c>
      <c r="O867">
        <f>ABS(L867-SEM!$C$34)</f>
        <v>8.8558639280086222</v>
      </c>
      <c r="P867">
        <f t="shared" si="14"/>
        <v>86.1</v>
      </c>
    </row>
    <row r="868" spans="10:16">
      <c r="J868" s="5"/>
      <c r="L868">
        <f>SEM!M868</f>
        <v>1.0990363919999999</v>
      </c>
      <c r="M868">
        <f>SEM!N868</f>
        <v>86.2</v>
      </c>
      <c r="O868">
        <f>ABS(L868-SEM!$C$34)</f>
        <v>8.8571682440086228</v>
      </c>
      <c r="P868">
        <f t="shared" si="14"/>
        <v>86.2</v>
      </c>
    </row>
    <row r="869" spans="10:16">
      <c r="J869" s="5"/>
      <c r="L869">
        <f>SEM!M869</f>
        <v>1.1003407080000001</v>
      </c>
      <c r="M869">
        <f>SEM!N869</f>
        <v>86.3</v>
      </c>
      <c r="O869">
        <f>ABS(L869-SEM!$C$34)</f>
        <v>8.8584725600086216</v>
      </c>
      <c r="P869">
        <f t="shared" si="14"/>
        <v>86.3</v>
      </c>
    </row>
    <row r="870" spans="10:16">
      <c r="J870" s="5"/>
      <c r="L870">
        <f>SEM!M870</f>
        <v>1.1011545119999999</v>
      </c>
      <c r="M870">
        <f>SEM!N870</f>
        <v>86.4</v>
      </c>
      <c r="O870">
        <f>ABS(L870-SEM!$C$34)</f>
        <v>8.8592863640086215</v>
      </c>
      <c r="P870">
        <f t="shared" si="14"/>
        <v>86.4</v>
      </c>
    </row>
    <row r="871" spans="10:16">
      <c r="J871" s="5"/>
      <c r="L871">
        <f>SEM!M871</f>
        <v>1.10180667</v>
      </c>
      <c r="M871">
        <f>SEM!N871</f>
        <v>86.5</v>
      </c>
      <c r="O871">
        <f>ABS(L871-SEM!$C$34)</f>
        <v>8.8599385220086226</v>
      </c>
      <c r="P871">
        <f t="shared" si="14"/>
        <v>86.5</v>
      </c>
    </row>
    <row r="872" spans="10:16">
      <c r="J872" s="5"/>
      <c r="L872">
        <f>SEM!M872</f>
        <v>1.1024588280000001</v>
      </c>
      <c r="M872">
        <f>SEM!N872</f>
        <v>86.6</v>
      </c>
      <c r="O872">
        <f>ABS(L872-SEM!$C$34)</f>
        <v>8.860590680008622</v>
      </c>
      <c r="P872">
        <f t="shared" si="14"/>
        <v>86.6</v>
      </c>
    </row>
    <row r="873" spans="10:16">
      <c r="J873" s="5"/>
      <c r="L873">
        <f>SEM!M873</f>
        <v>1.103679684</v>
      </c>
      <c r="M873">
        <f>SEM!N873</f>
        <v>86.7</v>
      </c>
      <c r="O873">
        <f>ABS(L873-SEM!$C$34)</f>
        <v>8.8618115360086218</v>
      </c>
      <c r="P873">
        <f t="shared" si="14"/>
        <v>86.7</v>
      </c>
    </row>
    <row r="874" spans="10:16">
      <c r="J874" s="5"/>
      <c r="L874">
        <f>SEM!M874</f>
        <v>1.104961536</v>
      </c>
      <c r="M874">
        <f>SEM!N874</f>
        <v>86.8</v>
      </c>
      <c r="O874">
        <f>ABS(L874-SEM!$C$34)</f>
        <v>8.8630933880086218</v>
      </c>
      <c r="P874">
        <f t="shared" si="14"/>
        <v>86.8</v>
      </c>
    </row>
    <row r="875" spans="10:16">
      <c r="J875" s="5"/>
      <c r="L875">
        <f>SEM!M875</f>
        <v>1.106187794</v>
      </c>
      <c r="M875">
        <f>SEM!N875</f>
        <v>86.9</v>
      </c>
      <c r="O875">
        <f>ABS(L875-SEM!$C$34)</f>
        <v>8.8643196460086227</v>
      </c>
      <c r="P875">
        <f t="shared" si="14"/>
        <v>86.9</v>
      </c>
    </row>
    <row r="876" spans="10:16">
      <c r="J876" s="5"/>
      <c r="L876">
        <f>SEM!M876</f>
        <v>1.1064426199999999</v>
      </c>
      <c r="M876">
        <f>SEM!N876</f>
        <v>87</v>
      </c>
      <c r="O876">
        <f>ABS(L876-SEM!$C$34)</f>
        <v>8.8645744720086217</v>
      </c>
      <c r="P876">
        <f t="shared" si="14"/>
        <v>87</v>
      </c>
    </row>
    <row r="877" spans="10:16">
      <c r="J877" s="5"/>
      <c r="L877">
        <f>SEM!M877</f>
        <v>1.1066974460000001</v>
      </c>
      <c r="M877">
        <f>SEM!N877</f>
        <v>87.1</v>
      </c>
      <c r="O877">
        <f>ABS(L877-SEM!$C$34)</f>
        <v>8.8648292980086225</v>
      </c>
      <c r="P877">
        <f t="shared" si="14"/>
        <v>87.1</v>
      </c>
    </row>
    <row r="878" spans="10:16">
      <c r="J878" s="5"/>
      <c r="L878">
        <f>SEM!M878</f>
        <v>1.110794552</v>
      </c>
      <c r="M878">
        <f>SEM!N878</f>
        <v>87.2</v>
      </c>
      <c r="O878">
        <f>ABS(L878-SEM!$C$34)</f>
        <v>8.8689264040086222</v>
      </c>
      <c r="P878">
        <f t="shared" si="14"/>
        <v>87.2</v>
      </c>
    </row>
    <row r="879" spans="10:16">
      <c r="J879" s="5"/>
      <c r="L879">
        <f>SEM!M879</f>
        <v>1.1297804929999999</v>
      </c>
      <c r="M879">
        <f>SEM!N879</f>
        <v>87.3</v>
      </c>
      <c r="O879">
        <f>ABS(L879-SEM!$C$34)</f>
        <v>8.8879123450086226</v>
      </c>
      <c r="P879">
        <f t="shared" si="14"/>
        <v>87.3</v>
      </c>
    </row>
    <row r="880" spans="10:16">
      <c r="J880" s="5"/>
      <c r="L880">
        <f>SEM!M880</f>
        <v>1.1487664339999999</v>
      </c>
      <c r="M880">
        <f>SEM!N880</f>
        <v>87.4</v>
      </c>
      <c r="O880">
        <f>ABS(L880-SEM!$C$34)</f>
        <v>8.906898286008623</v>
      </c>
      <c r="P880">
        <f t="shared" si="14"/>
        <v>87.4</v>
      </c>
    </row>
    <row r="881" spans="10:16">
      <c r="J881" s="5"/>
      <c r="L881">
        <f>SEM!M881</f>
        <v>1.16421825</v>
      </c>
      <c r="M881">
        <f>SEM!N881</f>
        <v>87.5</v>
      </c>
      <c r="O881">
        <f>ABS(L881-SEM!$C$34)</f>
        <v>8.9223501020086218</v>
      </c>
      <c r="P881">
        <f t="shared" si="14"/>
        <v>87.5</v>
      </c>
    </row>
    <row r="882" spans="10:16">
      <c r="J882" s="5"/>
      <c r="L882">
        <f>SEM!M882</f>
        <v>1.1732803679999999</v>
      </c>
      <c r="M882">
        <f>SEM!N882</f>
        <v>87.6</v>
      </c>
      <c r="O882">
        <f>ABS(L882-SEM!$C$34)</f>
        <v>8.9314122200086228</v>
      </c>
      <c r="P882">
        <f t="shared" si="14"/>
        <v>87.6</v>
      </c>
    </row>
    <row r="883" spans="10:16">
      <c r="J883" s="5"/>
      <c r="L883">
        <f>SEM!M883</f>
        <v>1.182342486</v>
      </c>
      <c r="M883">
        <f>SEM!N883</f>
        <v>87.7</v>
      </c>
      <c r="O883">
        <f>ABS(L883-SEM!$C$34)</f>
        <v>8.940474338008622</v>
      </c>
      <c r="P883">
        <f t="shared" si="14"/>
        <v>87.7</v>
      </c>
    </row>
    <row r="884" spans="10:16">
      <c r="J884" s="5"/>
      <c r="L884">
        <f>SEM!M884</f>
        <v>1.1874588779999999</v>
      </c>
      <c r="M884">
        <f>SEM!N884</f>
        <v>87.8</v>
      </c>
      <c r="O884">
        <f>ABS(L884-SEM!$C$34)</f>
        <v>8.9455907300086217</v>
      </c>
      <c r="P884">
        <f t="shared" si="14"/>
        <v>87.8</v>
      </c>
    </row>
    <row r="885" spans="10:16">
      <c r="J885" s="5"/>
      <c r="L885">
        <f>SEM!M885</f>
        <v>1.188740379</v>
      </c>
      <c r="M885">
        <f>SEM!N885</f>
        <v>87.9</v>
      </c>
      <c r="O885">
        <f>ABS(L885-SEM!$C$34)</f>
        <v>8.9468722310086228</v>
      </c>
      <c r="P885">
        <f t="shared" si="14"/>
        <v>87.9</v>
      </c>
    </row>
    <row r="886" spans="10:16">
      <c r="J886" s="5"/>
      <c r="L886">
        <f>SEM!M886</f>
        <v>1.19002188</v>
      </c>
      <c r="M886">
        <f>SEM!N886</f>
        <v>88</v>
      </c>
      <c r="O886">
        <f>ABS(L886-SEM!$C$34)</f>
        <v>8.9481537320086222</v>
      </c>
      <c r="P886">
        <f t="shared" si="14"/>
        <v>88</v>
      </c>
    </row>
    <row r="887" spans="10:16">
      <c r="J887" s="5"/>
      <c r="L887">
        <f>SEM!M887</f>
        <v>1.1925912059999999</v>
      </c>
      <c r="M887">
        <f>SEM!N887</f>
        <v>88.1</v>
      </c>
      <c r="O887">
        <f>ABS(L887-SEM!$C$34)</f>
        <v>8.9507230580086219</v>
      </c>
      <c r="P887">
        <f t="shared" si="14"/>
        <v>88.1</v>
      </c>
    </row>
    <row r="888" spans="10:16">
      <c r="J888" s="5"/>
      <c r="L888">
        <f>SEM!M888</f>
        <v>1.1958295320000001</v>
      </c>
      <c r="M888">
        <f>SEM!N888</f>
        <v>88.2</v>
      </c>
      <c r="O888">
        <f>ABS(L888-SEM!$C$34)</f>
        <v>8.9539613840086218</v>
      </c>
      <c r="P888">
        <f t="shared" si="14"/>
        <v>88.2</v>
      </c>
    </row>
    <row r="889" spans="10:16">
      <c r="J889" s="5"/>
      <c r="L889">
        <f>SEM!M889</f>
        <v>1.199067858</v>
      </c>
      <c r="M889">
        <f>SEM!N889</f>
        <v>88.3</v>
      </c>
      <c r="O889">
        <f>ABS(L889-SEM!$C$34)</f>
        <v>8.9571997100086218</v>
      </c>
      <c r="P889">
        <f t="shared" si="14"/>
        <v>88.3</v>
      </c>
    </row>
    <row r="890" spans="10:16">
      <c r="J890" s="5"/>
      <c r="L890">
        <f>SEM!M890</f>
        <v>1.204076924</v>
      </c>
      <c r="M890">
        <f>SEM!N890</f>
        <v>88.4</v>
      </c>
      <c r="O890">
        <f>ABS(L890-SEM!$C$34)</f>
        <v>8.9622087760086231</v>
      </c>
      <c r="P890">
        <f t="shared" si="14"/>
        <v>88.4</v>
      </c>
    </row>
    <row r="891" spans="10:16">
      <c r="J891" s="5"/>
      <c r="L891">
        <f>SEM!M891</f>
        <v>1.209503735</v>
      </c>
      <c r="M891">
        <f>SEM!N891</f>
        <v>88.5</v>
      </c>
      <c r="O891">
        <f>ABS(L891-SEM!$C$34)</f>
        <v>8.9676355870086226</v>
      </c>
      <c r="P891">
        <f t="shared" si="14"/>
        <v>88.5</v>
      </c>
    </row>
    <row r="892" spans="10:16">
      <c r="J892" s="5"/>
      <c r="L892">
        <f>SEM!M892</f>
        <v>1.2149305459999999</v>
      </c>
      <c r="M892">
        <f>SEM!N892</f>
        <v>88.6</v>
      </c>
      <c r="O892">
        <f>ABS(L892-SEM!$C$34)</f>
        <v>8.9730623980086222</v>
      </c>
      <c r="P892">
        <f t="shared" si="14"/>
        <v>88.6</v>
      </c>
    </row>
    <row r="893" spans="10:16">
      <c r="J893" s="5"/>
      <c r="L893">
        <f>SEM!M893</f>
        <v>1.217003533</v>
      </c>
      <c r="M893">
        <f>SEM!N893</f>
        <v>88.7</v>
      </c>
      <c r="O893">
        <f>ABS(L893-SEM!$C$34)</f>
        <v>8.9751353850086222</v>
      </c>
      <c r="P893">
        <f t="shared" si="14"/>
        <v>88.7</v>
      </c>
    </row>
    <row r="894" spans="10:16">
      <c r="J894" s="5"/>
      <c r="L894">
        <f>SEM!M894</f>
        <v>1.2189371920000001</v>
      </c>
      <c r="M894">
        <f>SEM!N894</f>
        <v>88.8</v>
      </c>
      <c r="O894">
        <f>ABS(L894-SEM!$C$34)</f>
        <v>8.9770690440086227</v>
      </c>
      <c r="P894">
        <f t="shared" si="14"/>
        <v>88.8</v>
      </c>
    </row>
    <row r="895" spans="10:16">
      <c r="J895" s="5"/>
      <c r="L895">
        <f>SEM!M895</f>
        <v>1.2210157749999999</v>
      </c>
      <c r="M895">
        <f>SEM!N895</f>
        <v>88.9</v>
      </c>
      <c r="O895">
        <f>ABS(L895-SEM!$C$34)</f>
        <v>8.9791476270086221</v>
      </c>
      <c r="P895">
        <f t="shared" si="14"/>
        <v>88.9</v>
      </c>
    </row>
    <row r="896" spans="10:16">
      <c r="J896" s="5"/>
      <c r="L896">
        <f>SEM!M896</f>
        <v>1.2242537499999999</v>
      </c>
      <c r="M896">
        <f>SEM!N896</f>
        <v>89</v>
      </c>
      <c r="O896">
        <f>ABS(L896-SEM!$C$34)</f>
        <v>8.9823856020086232</v>
      </c>
      <c r="P896">
        <f t="shared" si="14"/>
        <v>89</v>
      </c>
    </row>
    <row r="897" spans="10:16">
      <c r="J897" s="5"/>
      <c r="L897">
        <f>SEM!M897</f>
        <v>1.2274917249999999</v>
      </c>
      <c r="M897">
        <f>SEM!N897</f>
        <v>89.1</v>
      </c>
      <c r="O897">
        <f>ABS(L897-SEM!$C$34)</f>
        <v>8.9856235770086226</v>
      </c>
      <c r="P897">
        <f t="shared" si="14"/>
        <v>89.1</v>
      </c>
    </row>
    <row r="898" spans="10:16">
      <c r="J898" s="5"/>
      <c r="L898">
        <f>SEM!M898</f>
        <v>1.2315725120000001</v>
      </c>
      <c r="M898">
        <f>SEM!N898</f>
        <v>89.2</v>
      </c>
      <c r="O898">
        <f>ABS(L898-SEM!$C$34)</f>
        <v>8.9897043640086221</v>
      </c>
      <c r="P898">
        <f t="shared" si="14"/>
        <v>89.2</v>
      </c>
    </row>
    <row r="899" spans="10:16">
      <c r="J899" s="5"/>
      <c r="L899">
        <f>SEM!M899</f>
        <v>1.2380259979999999</v>
      </c>
      <c r="M899">
        <f>SEM!N899</f>
        <v>89.3</v>
      </c>
      <c r="O899">
        <f>ABS(L899-SEM!$C$34)</f>
        <v>8.9961578500086219</v>
      </c>
      <c r="P899">
        <f t="shared" si="14"/>
        <v>89.3</v>
      </c>
    </row>
    <row r="900" spans="10:16">
      <c r="J900" s="5"/>
      <c r="L900">
        <f>SEM!M900</f>
        <v>1.244479484</v>
      </c>
      <c r="M900">
        <f>SEM!N900</f>
        <v>89.4</v>
      </c>
      <c r="O900">
        <f>ABS(L900-SEM!$C$34)</f>
        <v>9.0026113360086217</v>
      </c>
      <c r="P900">
        <f t="shared" si="14"/>
        <v>89.4</v>
      </c>
    </row>
    <row r="901" spans="10:16">
      <c r="J901" s="5"/>
      <c r="L901">
        <f>SEM!M901</f>
        <v>1.24890181</v>
      </c>
      <c r="M901">
        <f>SEM!N901</f>
        <v>89.5</v>
      </c>
      <c r="O901">
        <f>ABS(L901-SEM!$C$34)</f>
        <v>9.007033662008622</v>
      </c>
      <c r="P901">
        <f t="shared" si="14"/>
        <v>89.5</v>
      </c>
    </row>
    <row r="902" spans="10:16">
      <c r="J902" s="5"/>
      <c r="L902">
        <f>SEM!M902</f>
        <v>1.2504384879999999</v>
      </c>
      <c r="M902">
        <f>SEM!N902</f>
        <v>89.6</v>
      </c>
      <c r="O902">
        <f>ABS(L902-SEM!$C$34)</f>
        <v>9.0085703400086228</v>
      </c>
      <c r="P902">
        <f t="shared" si="14"/>
        <v>89.6</v>
      </c>
    </row>
    <row r="903" spans="10:16">
      <c r="J903" s="5"/>
      <c r="L903">
        <f>SEM!M903</f>
        <v>1.251975166</v>
      </c>
      <c r="M903">
        <f>SEM!N903</f>
        <v>89.7</v>
      </c>
      <c r="O903">
        <f>ABS(L903-SEM!$C$34)</f>
        <v>9.0101070180086218</v>
      </c>
      <c r="P903">
        <f t="shared" ref="P903:P966" si="15">M903</f>
        <v>89.7</v>
      </c>
    </row>
    <row r="904" spans="10:16">
      <c r="J904" s="5"/>
      <c r="L904">
        <f>SEM!M904</f>
        <v>1.257021196</v>
      </c>
      <c r="M904">
        <f>SEM!N904</f>
        <v>89.8</v>
      </c>
      <c r="O904">
        <f>ABS(L904-SEM!$C$34)</f>
        <v>9.0151530480086226</v>
      </c>
      <c r="P904">
        <f t="shared" si="15"/>
        <v>89.8</v>
      </c>
    </row>
    <row r="905" spans="10:16">
      <c r="J905" s="5"/>
      <c r="L905">
        <f>SEM!M905</f>
        <v>1.2647789979999999</v>
      </c>
      <c r="M905">
        <f>SEM!N905</f>
        <v>89.9</v>
      </c>
      <c r="O905">
        <f>ABS(L905-SEM!$C$34)</f>
        <v>9.022910850008623</v>
      </c>
      <c r="P905">
        <f t="shared" si="15"/>
        <v>89.9</v>
      </c>
    </row>
    <row r="906" spans="10:16">
      <c r="J906" s="5"/>
      <c r="L906">
        <f>SEM!M906</f>
        <v>1.2725367999999999</v>
      </c>
      <c r="M906">
        <f>SEM!N906</f>
        <v>90</v>
      </c>
      <c r="O906">
        <f>ABS(L906-SEM!$C$34)</f>
        <v>9.0306686520086217</v>
      </c>
      <c r="P906">
        <f t="shared" si="15"/>
        <v>90</v>
      </c>
    </row>
    <row r="907" spans="10:16">
      <c r="J907" s="5"/>
      <c r="L907">
        <f>SEM!M907</f>
        <v>1.2761460739999999</v>
      </c>
      <c r="M907">
        <f>SEM!N907</f>
        <v>90.1</v>
      </c>
      <c r="O907">
        <f>ABS(L907-SEM!$C$34)</f>
        <v>9.0342779260086221</v>
      </c>
      <c r="P907">
        <f t="shared" si="15"/>
        <v>90.1</v>
      </c>
    </row>
    <row r="908" spans="10:16">
      <c r="J908" s="5"/>
      <c r="L908">
        <f>SEM!M908</f>
        <v>1.2781025479999999</v>
      </c>
      <c r="M908">
        <f>SEM!N908</f>
        <v>90.2</v>
      </c>
      <c r="O908">
        <f>ABS(L908-SEM!$C$34)</f>
        <v>9.0362344000086221</v>
      </c>
      <c r="P908">
        <f t="shared" si="15"/>
        <v>90.2</v>
      </c>
    </row>
    <row r="909" spans="10:16">
      <c r="J909" s="5"/>
      <c r="L909">
        <f>SEM!M909</f>
        <v>1.2800590220000001</v>
      </c>
      <c r="M909">
        <f>SEM!N909</f>
        <v>90.3</v>
      </c>
      <c r="O909">
        <f>ABS(L909-SEM!$C$34)</f>
        <v>9.0381908740086221</v>
      </c>
      <c r="P909">
        <f t="shared" si="15"/>
        <v>90.3</v>
      </c>
    </row>
    <row r="910" spans="10:16">
      <c r="J910" s="5"/>
      <c r="L910">
        <f>SEM!M910</f>
        <v>1.28387172</v>
      </c>
      <c r="M910">
        <f>SEM!N910</f>
        <v>90.4</v>
      </c>
      <c r="O910">
        <f>ABS(L910-SEM!$C$34)</f>
        <v>9.0420035720086229</v>
      </c>
      <c r="P910">
        <f t="shared" si="15"/>
        <v>90.4</v>
      </c>
    </row>
    <row r="911" spans="10:16">
      <c r="J911" s="5"/>
      <c r="L911">
        <f>SEM!M911</f>
        <v>1.2879714</v>
      </c>
      <c r="M911">
        <f>SEM!N911</f>
        <v>90.5</v>
      </c>
      <c r="O911">
        <f>ABS(L911-SEM!$C$34)</f>
        <v>9.0461032520086224</v>
      </c>
      <c r="P911">
        <f t="shared" si="15"/>
        <v>90.5</v>
      </c>
    </row>
    <row r="912" spans="10:16">
      <c r="J912" s="5"/>
      <c r="L912">
        <f>SEM!M912</f>
        <v>1.29208941</v>
      </c>
      <c r="M912">
        <f>SEM!N912</f>
        <v>90.6</v>
      </c>
      <c r="O912">
        <f>ABS(L912-SEM!$C$34)</f>
        <v>9.0502212620086233</v>
      </c>
      <c r="P912">
        <f t="shared" si="15"/>
        <v>90.6</v>
      </c>
    </row>
    <row r="913" spans="10:16">
      <c r="J913" s="5"/>
      <c r="L913">
        <f>SEM!M913</f>
        <v>1.297261395</v>
      </c>
      <c r="M913">
        <f>SEM!N913</f>
        <v>90.7</v>
      </c>
      <c r="O913">
        <f>ABS(L913-SEM!$C$34)</f>
        <v>9.055393247008622</v>
      </c>
      <c r="P913">
        <f t="shared" si="15"/>
        <v>90.7</v>
      </c>
    </row>
    <row r="914" spans="10:16">
      <c r="J914" s="5"/>
      <c r="L914">
        <f>SEM!M914</f>
        <v>1.3024333800000001</v>
      </c>
      <c r="M914">
        <f>SEM!N914</f>
        <v>90.8</v>
      </c>
      <c r="O914">
        <f>ABS(L914-SEM!$C$34)</f>
        <v>9.0605652320086225</v>
      </c>
      <c r="P914">
        <f t="shared" si="15"/>
        <v>90.8</v>
      </c>
    </row>
    <row r="915" spans="10:16">
      <c r="J915" s="5"/>
      <c r="L915">
        <f>SEM!M915</f>
        <v>1.3090190049999999</v>
      </c>
      <c r="M915">
        <f>SEM!N915</f>
        <v>90.9</v>
      </c>
      <c r="O915">
        <f>ABS(L915-SEM!$C$34)</f>
        <v>9.0671508570086221</v>
      </c>
      <c r="P915">
        <f t="shared" si="15"/>
        <v>90.9</v>
      </c>
    </row>
    <row r="916" spans="10:16">
      <c r="J916" s="5"/>
      <c r="L916">
        <f>SEM!M916</f>
        <v>1.32260095</v>
      </c>
      <c r="M916">
        <f>SEM!N916</f>
        <v>91</v>
      </c>
      <c r="O916">
        <f>ABS(L916-SEM!$C$34)</f>
        <v>9.0807328020086224</v>
      </c>
      <c r="P916">
        <f t="shared" si="15"/>
        <v>91</v>
      </c>
    </row>
    <row r="917" spans="10:16">
      <c r="J917" s="5"/>
      <c r="L917">
        <f>SEM!M917</f>
        <v>1.3361828950000001</v>
      </c>
      <c r="M917">
        <f>SEM!N917</f>
        <v>91.1</v>
      </c>
      <c r="O917">
        <f>ABS(L917-SEM!$C$34)</f>
        <v>9.0943147470086227</v>
      </c>
      <c r="P917">
        <f t="shared" si="15"/>
        <v>91.1</v>
      </c>
    </row>
    <row r="918" spans="10:16">
      <c r="J918" s="5"/>
      <c r="L918">
        <f>SEM!M918</f>
        <v>1.3457131280000001</v>
      </c>
      <c r="M918">
        <f>SEM!N918</f>
        <v>91.2</v>
      </c>
      <c r="O918">
        <f>ABS(L918-SEM!$C$34)</f>
        <v>9.1038449800086223</v>
      </c>
      <c r="P918">
        <f t="shared" si="15"/>
        <v>91.2</v>
      </c>
    </row>
    <row r="919" spans="10:16">
      <c r="J919" s="5"/>
      <c r="L919">
        <f>SEM!M919</f>
        <v>1.346597297</v>
      </c>
      <c r="M919">
        <f>SEM!N919</f>
        <v>91.3</v>
      </c>
      <c r="O919">
        <f>ABS(L919-SEM!$C$34)</f>
        <v>9.1047291490086231</v>
      </c>
      <c r="P919">
        <f t="shared" si="15"/>
        <v>91.3</v>
      </c>
    </row>
    <row r="920" spans="10:16">
      <c r="J920" s="5"/>
      <c r="L920">
        <f>SEM!M920</f>
        <v>1.3474814660000001</v>
      </c>
      <c r="M920">
        <f>SEM!N920</f>
        <v>91.4</v>
      </c>
      <c r="O920">
        <f>ABS(L920-SEM!$C$34)</f>
        <v>9.1056133180086221</v>
      </c>
      <c r="P920">
        <f t="shared" si="15"/>
        <v>91.4</v>
      </c>
    </row>
    <row r="921" spans="10:16">
      <c r="J921" s="5"/>
      <c r="L921">
        <f>SEM!M921</f>
        <v>1.352823275</v>
      </c>
      <c r="M921">
        <f>SEM!N921</f>
        <v>91.5</v>
      </c>
      <c r="O921">
        <f>ABS(L921-SEM!$C$34)</f>
        <v>9.1109551270086229</v>
      </c>
      <c r="P921">
        <f t="shared" si="15"/>
        <v>91.5</v>
      </c>
    </row>
    <row r="922" spans="10:16">
      <c r="J922" s="5"/>
      <c r="L922">
        <f>SEM!M922</f>
        <v>1.36319006</v>
      </c>
      <c r="M922">
        <f>SEM!N922</f>
        <v>91.6</v>
      </c>
      <c r="O922">
        <f>ABS(L922-SEM!$C$34)</f>
        <v>9.1213219120086215</v>
      </c>
      <c r="P922">
        <f t="shared" si="15"/>
        <v>91.6</v>
      </c>
    </row>
    <row r="923" spans="10:16">
      <c r="J923" s="5"/>
      <c r="L923">
        <f>SEM!M923</f>
        <v>1.373556845</v>
      </c>
      <c r="M923">
        <f>SEM!N923</f>
        <v>91.7</v>
      </c>
      <c r="O923">
        <f>ABS(L923-SEM!$C$34)</f>
        <v>9.131688697008622</v>
      </c>
      <c r="P923">
        <f t="shared" si="15"/>
        <v>91.7</v>
      </c>
    </row>
    <row r="924" spans="10:16">
      <c r="J924" s="5"/>
      <c r="L924">
        <f>SEM!M924</f>
        <v>1.380841328</v>
      </c>
      <c r="M924">
        <f>SEM!N924</f>
        <v>91.8</v>
      </c>
      <c r="O924">
        <f>ABS(L924-SEM!$C$34)</f>
        <v>9.1389731800086231</v>
      </c>
      <c r="P924">
        <f t="shared" si="15"/>
        <v>91.8</v>
      </c>
    </row>
    <row r="925" spans="10:16">
      <c r="J925" s="5"/>
      <c r="L925">
        <f>SEM!M925</f>
        <v>1.3862453239999999</v>
      </c>
      <c r="M925">
        <f>SEM!N925</f>
        <v>91.9</v>
      </c>
      <c r="O925">
        <f>ABS(L925-SEM!$C$34)</f>
        <v>9.1443771760086214</v>
      </c>
      <c r="P925">
        <f t="shared" si="15"/>
        <v>91.9</v>
      </c>
    </row>
    <row r="926" spans="10:16">
      <c r="J926" s="5"/>
      <c r="L926">
        <f>SEM!M926</f>
        <v>1.39164932</v>
      </c>
      <c r="M926">
        <f>SEM!N926</f>
        <v>92</v>
      </c>
      <c r="O926">
        <f>ABS(L926-SEM!$C$34)</f>
        <v>9.1497811720086233</v>
      </c>
      <c r="P926">
        <f t="shared" si="15"/>
        <v>92</v>
      </c>
    </row>
    <row r="927" spans="10:16">
      <c r="J927" s="5"/>
      <c r="L927">
        <f>SEM!M927</f>
        <v>1.4033673449999999</v>
      </c>
      <c r="M927">
        <f>SEM!N927</f>
        <v>92.1</v>
      </c>
      <c r="O927">
        <f>ABS(L927-SEM!$C$34)</f>
        <v>9.1614991970086219</v>
      </c>
      <c r="P927">
        <f t="shared" si="15"/>
        <v>92.1</v>
      </c>
    </row>
    <row r="928" spans="10:16">
      <c r="J928" s="5"/>
      <c r="L928">
        <f>SEM!M928</f>
        <v>1.41694929</v>
      </c>
      <c r="M928">
        <f>SEM!N928</f>
        <v>92.2</v>
      </c>
      <c r="O928">
        <f>ABS(L928-SEM!$C$34)</f>
        <v>9.1750811420086222</v>
      </c>
      <c r="P928">
        <f t="shared" si="15"/>
        <v>92.2</v>
      </c>
    </row>
    <row r="929" spans="10:16">
      <c r="J929" s="5"/>
      <c r="L929">
        <f>SEM!M929</f>
        <v>1.4305312349999999</v>
      </c>
      <c r="M929">
        <f>SEM!N929</f>
        <v>92.3</v>
      </c>
      <c r="O929">
        <f>ABS(L929-SEM!$C$34)</f>
        <v>9.1886630870086226</v>
      </c>
      <c r="P929">
        <f t="shared" si="15"/>
        <v>92.3</v>
      </c>
    </row>
    <row r="930" spans="10:16">
      <c r="J930" s="5"/>
      <c r="L930">
        <f>SEM!M930</f>
        <v>1.4540897880000001</v>
      </c>
      <c r="M930">
        <f>SEM!N930</f>
        <v>92.4</v>
      </c>
      <c r="O930">
        <f>ABS(L930-SEM!$C$34)</f>
        <v>9.2122216400086216</v>
      </c>
      <c r="P930">
        <f t="shared" si="15"/>
        <v>92.4</v>
      </c>
    </row>
    <row r="931" spans="10:16">
      <c r="J931" s="5"/>
      <c r="L931">
        <f>SEM!M931</f>
        <v>1.4784797249999999</v>
      </c>
      <c r="M931">
        <f>SEM!N931</f>
        <v>92.5</v>
      </c>
      <c r="O931">
        <f>ABS(L931-SEM!$C$34)</f>
        <v>9.2366115770086221</v>
      </c>
      <c r="P931">
        <f t="shared" si="15"/>
        <v>92.5</v>
      </c>
    </row>
    <row r="932" spans="10:16">
      <c r="J932" s="5"/>
      <c r="L932">
        <f>SEM!M932</f>
        <v>1.501735958</v>
      </c>
      <c r="M932">
        <f>SEM!N932</f>
        <v>92.6</v>
      </c>
      <c r="O932">
        <f>ABS(L932-SEM!$C$34)</f>
        <v>9.2598678100086218</v>
      </c>
      <c r="P932">
        <f t="shared" si="15"/>
        <v>92.6</v>
      </c>
    </row>
    <row r="933" spans="10:16">
      <c r="J933" s="5"/>
      <c r="L933">
        <f>SEM!M933</f>
        <v>1.5108208910000001</v>
      </c>
      <c r="M933">
        <f>SEM!N933</f>
        <v>92.7</v>
      </c>
      <c r="O933">
        <f>ABS(L933-SEM!$C$34)</f>
        <v>9.2689527430086223</v>
      </c>
      <c r="P933">
        <f t="shared" si="15"/>
        <v>92.7</v>
      </c>
    </row>
    <row r="934" spans="10:16">
      <c r="J934" s="5"/>
      <c r="L934">
        <f>SEM!M934</f>
        <v>1.5199058240000001</v>
      </c>
      <c r="M934">
        <f>SEM!N934</f>
        <v>92.8</v>
      </c>
      <c r="O934">
        <f>ABS(L934-SEM!$C$34)</f>
        <v>9.2780376760086227</v>
      </c>
      <c r="P934">
        <f t="shared" si="15"/>
        <v>92.8</v>
      </c>
    </row>
    <row r="935" spans="10:16">
      <c r="J935" s="5"/>
      <c r="L935">
        <f>SEM!M935</f>
        <v>1.53656188</v>
      </c>
      <c r="M935">
        <f>SEM!N935</f>
        <v>92.9</v>
      </c>
      <c r="O935">
        <f>ABS(L935-SEM!$C$34)</f>
        <v>9.2946937320086231</v>
      </c>
      <c r="P935">
        <f t="shared" si="15"/>
        <v>92.9</v>
      </c>
    </row>
    <row r="936" spans="10:16">
      <c r="J936" s="5"/>
      <c r="L936">
        <f>SEM!M936</f>
        <v>1.5792856</v>
      </c>
      <c r="M936">
        <f>SEM!N936</f>
        <v>93</v>
      </c>
      <c r="O936">
        <f>ABS(L936-SEM!$C$34)</f>
        <v>9.3374174520086228</v>
      </c>
      <c r="P936">
        <f t="shared" si="15"/>
        <v>93</v>
      </c>
    </row>
    <row r="937" spans="10:16">
      <c r="J937" s="5"/>
      <c r="L937">
        <f>SEM!M937</f>
        <v>1.6220093200000001</v>
      </c>
      <c r="M937">
        <f>SEM!N937</f>
        <v>93.1</v>
      </c>
      <c r="O937">
        <f>ABS(L937-SEM!$C$34)</f>
        <v>9.3801411720086225</v>
      </c>
      <c r="P937">
        <f t="shared" si="15"/>
        <v>93.1</v>
      </c>
    </row>
    <row r="938" spans="10:16">
      <c r="J938" s="5"/>
      <c r="L938">
        <f>SEM!M938</f>
        <v>1.6513467879999999</v>
      </c>
      <c r="M938">
        <f>SEM!N938</f>
        <v>93.2</v>
      </c>
      <c r="O938">
        <f>ABS(L938-SEM!$C$34)</f>
        <v>9.4094786400086221</v>
      </c>
      <c r="P938">
        <f t="shared" si="15"/>
        <v>93.2</v>
      </c>
    </row>
    <row r="939" spans="10:16">
      <c r="J939" s="5"/>
      <c r="L939">
        <f>SEM!M939</f>
        <v>1.6584752469999999</v>
      </c>
      <c r="M939">
        <f>SEM!N939</f>
        <v>93.3</v>
      </c>
      <c r="O939">
        <f>ABS(L939-SEM!$C$34)</f>
        <v>9.4166070990086226</v>
      </c>
      <c r="P939">
        <f t="shared" si="15"/>
        <v>93.3</v>
      </c>
    </row>
    <row r="940" spans="10:16">
      <c r="J940" s="5"/>
      <c r="L940">
        <f>SEM!M940</f>
        <v>1.665603706</v>
      </c>
      <c r="M940">
        <f>SEM!N940</f>
        <v>93.4</v>
      </c>
      <c r="O940">
        <f>ABS(L940-SEM!$C$34)</f>
        <v>9.4237355580086231</v>
      </c>
      <c r="P940">
        <f t="shared" si="15"/>
        <v>93.4</v>
      </c>
    </row>
    <row r="941" spans="10:16">
      <c r="J941" s="5"/>
      <c r="L941">
        <f>SEM!M941</f>
        <v>1.6857215699999999</v>
      </c>
      <c r="M941">
        <f>SEM!N941</f>
        <v>93.5</v>
      </c>
      <c r="O941">
        <f>ABS(L941-SEM!$C$34)</f>
        <v>9.4438534220086225</v>
      </c>
      <c r="P941">
        <f t="shared" si="15"/>
        <v>93.5</v>
      </c>
    </row>
    <row r="942" spans="10:16">
      <c r="J942" s="5"/>
      <c r="L942">
        <f>SEM!M942</f>
        <v>1.7174947920000001</v>
      </c>
      <c r="M942">
        <f>SEM!N942</f>
        <v>93.6</v>
      </c>
      <c r="O942">
        <f>ABS(L942-SEM!$C$34)</f>
        <v>9.4756266440086225</v>
      </c>
      <c r="P942">
        <f t="shared" si="15"/>
        <v>93.6</v>
      </c>
    </row>
    <row r="943" spans="10:16">
      <c r="J943" s="5"/>
      <c r="L943">
        <f>SEM!M943</f>
        <v>1.7492680140000001</v>
      </c>
      <c r="M943">
        <f>SEM!N943</f>
        <v>93.7</v>
      </c>
      <c r="O943">
        <f>ABS(L943-SEM!$C$34)</f>
        <v>9.5073998660086225</v>
      </c>
      <c r="P943">
        <f t="shared" si="15"/>
        <v>93.7</v>
      </c>
    </row>
    <row r="944" spans="10:16">
      <c r="J944" s="5"/>
      <c r="L944">
        <f>SEM!M944</f>
        <v>1.7647420439999999</v>
      </c>
      <c r="M944">
        <f>SEM!N944</f>
        <v>93.8</v>
      </c>
      <c r="O944">
        <f>ABS(L944-SEM!$C$34)</f>
        <v>9.5228738960086226</v>
      </c>
      <c r="P944">
        <f t="shared" si="15"/>
        <v>93.8</v>
      </c>
    </row>
    <row r="945" spans="10:16">
      <c r="J945" s="5"/>
      <c r="L945">
        <f>SEM!M945</f>
        <v>1.7724773819999999</v>
      </c>
      <c r="M945">
        <f>SEM!N945</f>
        <v>93.9</v>
      </c>
      <c r="O945">
        <f>ABS(L945-SEM!$C$34)</f>
        <v>9.5306092340086224</v>
      </c>
      <c r="P945">
        <f t="shared" si="15"/>
        <v>93.9</v>
      </c>
    </row>
    <row r="946" spans="10:16">
      <c r="J946" s="5"/>
      <c r="L946">
        <f>SEM!M946</f>
        <v>1.78021272</v>
      </c>
      <c r="M946">
        <f>SEM!N946</f>
        <v>94</v>
      </c>
      <c r="O946">
        <f>ABS(L946-SEM!$C$34)</f>
        <v>9.5383445720086222</v>
      </c>
      <c r="P946">
        <f t="shared" si="15"/>
        <v>94</v>
      </c>
    </row>
    <row r="947" spans="10:16">
      <c r="J947" s="5"/>
      <c r="L947">
        <f>SEM!M947</f>
        <v>1.799978871</v>
      </c>
      <c r="M947">
        <f>SEM!N947</f>
        <v>94.1</v>
      </c>
      <c r="O947">
        <f>ABS(L947-SEM!$C$34)</f>
        <v>9.5581107230086229</v>
      </c>
      <c r="P947">
        <f t="shared" si="15"/>
        <v>94.1</v>
      </c>
    </row>
    <row r="948" spans="10:16">
      <c r="J948" s="5"/>
      <c r="L948">
        <f>SEM!M948</f>
        <v>1.8222256020000001</v>
      </c>
      <c r="M948">
        <f>SEM!N948</f>
        <v>94.2</v>
      </c>
      <c r="O948">
        <f>ABS(L948-SEM!$C$34)</f>
        <v>9.580357454008622</v>
      </c>
      <c r="P948">
        <f t="shared" si="15"/>
        <v>94.2</v>
      </c>
    </row>
    <row r="949" spans="10:16">
      <c r="J949" s="5"/>
      <c r="L949">
        <f>SEM!M949</f>
        <v>1.8444723329999999</v>
      </c>
      <c r="M949">
        <f>SEM!N949</f>
        <v>94.3</v>
      </c>
      <c r="O949">
        <f>ABS(L949-SEM!$C$34)</f>
        <v>9.602604185008623</v>
      </c>
      <c r="P949">
        <f t="shared" si="15"/>
        <v>94.3</v>
      </c>
    </row>
    <row r="950" spans="10:16">
      <c r="J950" s="5"/>
      <c r="L950">
        <f>SEM!M950</f>
        <v>1.846171944</v>
      </c>
      <c r="M950">
        <f>SEM!N950</f>
        <v>94.4</v>
      </c>
      <c r="O950">
        <f>ABS(L950-SEM!$C$34)</f>
        <v>9.6043037960086224</v>
      </c>
      <c r="P950">
        <f t="shared" si="15"/>
        <v>94.4</v>
      </c>
    </row>
    <row r="951" spans="10:16">
      <c r="J951" s="5"/>
      <c r="L951">
        <f>SEM!M951</f>
        <v>1.847453445</v>
      </c>
      <c r="M951">
        <f>SEM!N951</f>
        <v>94.5</v>
      </c>
      <c r="O951">
        <f>ABS(L951-SEM!$C$34)</f>
        <v>9.6055852970086217</v>
      </c>
      <c r="P951">
        <f t="shared" si="15"/>
        <v>94.5</v>
      </c>
    </row>
    <row r="952" spans="10:16">
      <c r="J952" s="5"/>
      <c r="L952">
        <f>SEM!M952</f>
        <v>1.849021802</v>
      </c>
      <c r="M952">
        <f>SEM!N952</f>
        <v>94.6</v>
      </c>
      <c r="O952">
        <f>ABS(L952-SEM!$C$34)</f>
        <v>9.6071536540086218</v>
      </c>
      <c r="P952">
        <f t="shared" si="15"/>
        <v>94.6</v>
      </c>
    </row>
    <row r="953" spans="10:16">
      <c r="J953" s="5"/>
      <c r="L953">
        <f>SEM!M953</f>
        <v>1.852492139</v>
      </c>
      <c r="M953">
        <f>SEM!N953</f>
        <v>94.7</v>
      </c>
      <c r="O953">
        <f>ABS(L953-SEM!$C$34)</f>
        <v>9.6106239910086231</v>
      </c>
      <c r="P953">
        <f t="shared" si="15"/>
        <v>94.7</v>
      </c>
    </row>
    <row r="954" spans="10:16">
      <c r="J954" s="5"/>
      <c r="L954">
        <f>SEM!M954</f>
        <v>1.855962476</v>
      </c>
      <c r="M954">
        <f>SEM!N954</f>
        <v>94.8</v>
      </c>
      <c r="O954">
        <f>ABS(L954-SEM!$C$34)</f>
        <v>9.6140943280086226</v>
      </c>
      <c r="P954">
        <f t="shared" si="15"/>
        <v>94.8</v>
      </c>
    </row>
    <row r="955" spans="10:16">
      <c r="J955" s="5"/>
      <c r="L955">
        <f>SEM!M955</f>
        <v>1.8594793430000001</v>
      </c>
      <c r="M955">
        <f>SEM!N955</f>
        <v>94.9</v>
      </c>
      <c r="O955">
        <f>ABS(L955-SEM!$C$34)</f>
        <v>9.6176111950086227</v>
      </c>
      <c r="P955">
        <f t="shared" si="15"/>
        <v>94.9</v>
      </c>
    </row>
    <row r="956" spans="10:16">
      <c r="J956" s="5"/>
      <c r="L956">
        <f>SEM!M956</f>
        <v>1.86311465</v>
      </c>
      <c r="M956">
        <f>SEM!N956</f>
        <v>95</v>
      </c>
      <c r="O956">
        <f>ABS(L956-SEM!$C$34)</f>
        <v>9.6212465020086224</v>
      </c>
      <c r="P956">
        <f t="shared" si="15"/>
        <v>95</v>
      </c>
    </row>
    <row r="957" spans="10:16">
      <c r="J957" s="5"/>
      <c r="L957">
        <f>SEM!M957</f>
        <v>1.8667499569999999</v>
      </c>
      <c r="M957">
        <f>SEM!N957</f>
        <v>95.1</v>
      </c>
      <c r="O957">
        <f>ABS(L957-SEM!$C$34)</f>
        <v>9.6248818090086221</v>
      </c>
      <c r="P957">
        <f t="shared" si="15"/>
        <v>95.1</v>
      </c>
    </row>
    <row r="958" spans="10:16">
      <c r="J958" s="5"/>
      <c r="L958">
        <f>SEM!M958</f>
        <v>1.8768609199999999</v>
      </c>
      <c r="M958">
        <f>SEM!N958</f>
        <v>95.2</v>
      </c>
      <c r="O958">
        <f>ABS(L958-SEM!$C$34)</f>
        <v>9.6349927720086228</v>
      </c>
      <c r="P958">
        <f t="shared" si="15"/>
        <v>95.2</v>
      </c>
    </row>
    <row r="959" spans="10:16">
      <c r="J959" s="5"/>
      <c r="L959">
        <f>SEM!M959</f>
        <v>1.8954498799999999</v>
      </c>
      <c r="M959">
        <f>SEM!N959</f>
        <v>95.3</v>
      </c>
      <c r="O959">
        <f>ABS(L959-SEM!$C$34)</f>
        <v>9.6535817320086217</v>
      </c>
      <c r="P959">
        <f t="shared" si="15"/>
        <v>95.3</v>
      </c>
    </row>
    <row r="960" spans="10:16">
      <c r="J960" s="5"/>
      <c r="L960">
        <f>SEM!M960</f>
        <v>1.9140388399999999</v>
      </c>
      <c r="M960">
        <f>SEM!N960</f>
        <v>95.4</v>
      </c>
      <c r="O960">
        <f>ABS(L960-SEM!$C$34)</f>
        <v>9.6721706920086223</v>
      </c>
      <c r="P960">
        <f t="shared" si="15"/>
        <v>95.4</v>
      </c>
    </row>
    <row r="961" spans="10:16">
      <c r="J961" s="5"/>
      <c r="L961">
        <f>SEM!M961</f>
        <v>1.92402969</v>
      </c>
      <c r="M961">
        <f>SEM!N961</f>
        <v>95.5</v>
      </c>
      <c r="O961">
        <f>ABS(L961-SEM!$C$34)</f>
        <v>9.6821615420086218</v>
      </c>
      <c r="P961">
        <f t="shared" si="15"/>
        <v>95.5</v>
      </c>
    </row>
    <row r="962" spans="10:16">
      <c r="J962" s="5"/>
      <c r="L962">
        <f>SEM!M962</f>
        <v>1.927897008</v>
      </c>
      <c r="M962">
        <f>SEM!N962</f>
        <v>95.6</v>
      </c>
      <c r="O962">
        <f>ABS(L962-SEM!$C$34)</f>
        <v>9.6860288600086228</v>
      </c>
      <c r="P962">
        <f t="shared" si="15"/>
        <v>95.6</v>
      </c>
    </row>
    <row r="963" spans="10:16">
      <c r="J963" s="5"/>
      <c r="L963">
        <f>SEM!M963</f>
        <v>1.9317643259999999</v>
      </c>
      <c r="M963">
        <f>SEM!N963</f>
        <v>95.7</v>
      </c>
      <c r="O963">
        <f>ABS(L963-SEM!$C$34)</f>
        <v>9.6898961780086221</v>
      </c>
      <c r="P963">
        <f t="shared" si="15"/>
        <v>95.7</v>
      </c>
    </row>
    <row r="964" spans="10:16">
      <c r="J964" s="5"/>
      <c r="L964">
        <f>SEM!M964</f>
        <v>1.9356651840000001</v>
      </c>
      <c r="M964">
        <f>SEM!N964</f>
        <v>95.8</v>
      </c>
      <c r="O964">
        <f>ABS(L964-SEM!$C$34)</f>
        <v>9.6937970360086219</v>
      </c>
      <c r="P964">
        <f t="shared" si="15"/>
        <v>95.8</v>
      </c>
    </row>
    <row r="965" spans="10:16">
      <c r="J965" s="5"/>
      <c r="L965">
        <f>SEM!M965</f>
        <v>1.9395781320000001</v>
      </c>
      <c r="M965">
        <f>SEM!N965</f>
        <v>95.9</v>
      </c>
      <c r="O965">
        <f>ABS(L965-SEM!$C$34)</f>
        <v>9.6977099840086218</v>
      </c>
      <c r="P965">
        <f t="shared" si="15"/>
        <v>95.9</v>
      </c>
    </row>
    <row r="966" spans="10:16">
      <c r="J966" s="5"/>
      <c r="L966">
        <f>SEM!M966</f>
        <v>1.94349108</v>
      </c>
      <c r="M966">
        <f>SEM!N966</f>
        <v>96</v>
      </c>
      <c r="O966">
        <f>ABS(L966-SEM!$C$34)</f>
        <v>9.7016229320086218</v>
      </c>
      <c r="P966">
        <f t="shared" si="15"/>
        <v>96</v>
      </c>
    </row>
    <row r="967" spans="10:16">
      <c r="J967" s="5"/>
      <c r="L967">
        <f>SEM!M967</f>
        <v>1.945278343</v>
      </c>
      <c r="M967">
        <f>SEM!N967</f>
        <v>96.1</v>
      </c>
      <c r="O967">
        <f>ABS(L967-SEM!$C$34)</f>
        <v>9.7034101950086225</v>
      </c>
      <c r="P967">
        <f t="shared" ref="P967:P1006" si="16">M967</f>
        <v>96.1</v>
      </c>
    </row>
    <row r="968" spans="10:16">
      <c r="J968" s="5"/>
      <c r="L968">
        <f>SEM!M968</f>
        <v>1.946792206</v>
      </c>
      <c r="M968">
        <f>SEM!N968</f>
        <v>96.2</v>
      </c>
      <c r="O968">
        <f>ABS(L968-SEM!$C$34)</f>
        <v>9.704924058008622</v>
      </c>
      <c r="P968">
        <f t="shared" si="16"/>
        <v>96.2</v>
      </c>
    </row>
    <row r="969" spans="10:16">
      <c r="J969" s="5"/>
      <c r="L969">
        <f>SEM!M969</f>
        <v>1.949040361</v>
      </c>
      <c r="M969">
        <f>SEM!N969</f>
        <v>96.3</v>
      </c>
      <c r="O969">
        <f>ABS(L969-SEM!$C$34)</f>
        <v>9.7071722130086222</v>
      </c>
      <c r="P969">
        <f t="shared" si="16"/>
        <v>96.3</v>
      </c>
    </row>
    <row r="970" spans="10:16">
      <c r="J970" s="5"/>
      <c r="L970">
        <f>SEM!M970</f>
        <v>1.9703801080000001</v>
      </c>
      <c r="M970">
        <f>SEM!N970</f>
        <v>96.4</v>
      </c>
      <c r="O970">
        <f>ABS(L970-SEM!$C$34)</f>
        <v>9.7285119600086229</v>
      </c>
      <c r="P970">
        <f t="shared" si="16"/>
        <v>96.4</v>
      </c>
    </row>
    <row r="971" spans="10:16">
      <c r="J971" s="5"/>
      <c r="L971">
        <f>SEM!M971</f>
        <v>1.9917198549999999</v>
      </c>
      <c r="M971">
        <f>SEM!N971</f>
        <v>96.5</v>
      </c>
      <c r="O971">
        <f>ABS(L971-SEM!$C$34)</f>
        <v>9.7498517070086219</v>
      </c>
      <c r="P971">
        <f t="shared" si="16"/>
        <v>96.5</v>
      </c>
    </row>
    <row r="972" spans="10:16">
      <c r="J972" s="5"/>
      <c r="L972">
        <f>SEM!M972</f>
        <v>2.0094585760000001</v>
      </c>
      <c r="M972">
        <f>SEM!N972</f>
        <v>96.6</v>
      </c>
      <c r="O972">
        <f>ABS(L972-SEM!$C$34)</f>
        <v>9.7675904280086225</v>
      </c>
      <c r="P972">
        <f t="shared" si="16"/>
        <v>96.6</v>
      </c>
    </row>
    <row r="973" spans="10:16">
      <c r="J973" s="5"/>
      <c r="L973">
        <f>SEM!M973</f>
        <v>2.0116474119999999</v>
      </c>
      <c r="M973">
        <f>SEM!N973</f>
        <v>96.7</v>
      </c>
      <c r="O973">
        <f>ABS(L973-SEM!$C$34)</f>
        <v>9.7697792640086227</v>
      </c>
      <c r="P973">
        <f t="shared" si="16"/>
        <v>96.7</v>
      </c>
    </row>
    <row r="974" spans="10:16">
      <c r="J974" s="5"/>
      <c r="L974">
        <f>SEM!M974</f>
        <v>2.0138362480000001</v>
      </c>
      <c r="M974">
        <f>SEM!N974</f>
        <v>96.8</v>
      </c>
      <c r="O974">
        <f>ABS(L974-SEM!$C$34)</f>
        <v>9.7719681000086229</v>
      </c>
      <c r="P974">
        <f t="shared" si="16"/>
        <v>96.8</v>
      </c>
    </row>
    <row r="975" spans="10:16">
      <c r="J975" s="5"/>
      <c r="L975">
        <f>SEM!M975</f>
        <v>2.0170287299999998</v>
      </c>
      <c r="M975">
        <f>SEM!N975</f>
        <v>96.9</v>
      </c>
      <c r="O975">
        <f>ABS(L975-SEM!$C$34)</f>
        <v>9.7751605820086223</v>
      </c>
      <c r="P975">
        <f t="shared" si="16"/>
        <v>96.9</v>
      </c>
    </row>
    <row r="976" spans="10:16">
      <c r="J976" s="5"/>
      <c r="L976">
        <f>SEM!M976</f>
        <v>2.0221779</v>
      </c>
      <c r="M976">
        <f>SEM!N976</f>
        <v>97</v>
      </c>
      <c r="O976">
        <f>ABS(L976-SEM!$C$34)</f>
        <v>9.7803097520086233</v>
      </c>
      <c r="P976">
        <f t="shared" si="16"/>
        <v>97</v>
      </c>
    </row>
    <row r="977" spans="10:16">
      <c r="J977" s="5"/>
      <c r="L977">
        <f>SEM!M977</f>
        <v>2.0273270700000001</v>
      </c>
      <c r="M977">
        <f>SEM!N977</f>
        <v>97.1</v>
      </c>
      <c r="O977">
        <f>ABS(L977-SEM!$C$34)</f>
        <v>9.7854589220086226</v>
      </c>
      <c r="P977">
        <f t="shared" si="16"/>
        <v>97.1</v>
      </c>
    </row>
    <row r="978" spans="10:16">
      <c r="J978" s="5"/>
      <c r="L978">
        <f>SEM!M978</f>
        <v>2.037361384</v>
      </c>
      <c r="M978">
        <f>SEM!N978</f>
        <v>97.2</v>
      </c>
      <c r="O978">
        <f>ABS(L978-SEM!$C$34)</f>
        <v>9.7954932360086229</v>
      </c>
      <c r="P978">
        <f t="shared" si="16"/>
        <v>97.2</v>
      </c>
    </row>
    <row r="979" spans="10:16">
      <c r="J979" s="5"/>
      <c r="L979">
        <f>SEM!M979</f>
        <v>2.052479656</v>
      </c>
      <c r="M979">
        <f>SEM!N979</f>
        <v>97.3</v>
      </c>
      <c r="O979">
        <f>ABS(L979-SEM!$C$34)</f>
        <v>9.8106115080086234</v>
      </c>
      <c r="P979">
        <f t="shared" si="16"/>
        <v>97.3</v>
      </c>
    </row>
    <row r="980" spans="10:16">
      <c r="J980" s="5"/>
      <c r="L980">
        <f>SEM!M980</f>
        <v>2.0675979280000001</v>
      </c>
      <c r="M980">
        <f>SEM!N980</f>
        <v>97.4</v>
      </c>
      <c r="O980">
        <f>ABS(L980-SEM!$C$34)</f>
        <v>9.8257297800086221</v>
      </c>
      <c r="P980">
        <f t="shared" si="16"/>
        <v>97.4</v>
      </c>
    </row>
    <row r="981" spans="10:16">
      <c r="J981" s="5"/>
      <c r="L981">
        <f>SEM!M981</f>
        <v>2.078997625</v>
      </c>
      <c r="M981">
        <f>SEM!N981</f>
        <v>97.5</v>
      </c>
      <c r="O981">
        <f>ABS(L981-SEM!$C$34)</f>
        <v>9.8371294770086219</v>
      </c>
      <c r="P981">
        <f t="shared" si="16"/>
        <v>97.5</v>
      </c>
    </row>
    <row r="982" spans="10:16">
      <c r="J982" s="5"/>
      <c r="L982">
        <f>SEM!M982</f>
        <v>2.0883149200000002</v>
      </c>
      <c r="M982">
        <f>SEM!N982</f>
        <v>97.6</v>
      </c>
      <c r="O982">
        <f>ABS(L982-SEM!$C$34)</f>
        <v>9.8464467720086226</v>
      </c>
      <c r="P982">
        <f t="shared" si="16"/>
        <v>97.6</v>
      </c>
    </row>
    <row r="983" spans="10:16">
      <c r="J983" s="5"/>
      <c r="L983">
        <f>SEM!M983</f>
        <v>2.097632215</v>
      </c>
      <c r="M983">
        <f>SEM!N983</f>
        <v>97.7</v>
      </c>
      <c r="O983">
        <f>ABS(L983-SEM!$C$34)</f>
        <v>9.8557640670086215</v>
      </c>
      <c r="P983">
        <f t="shared" si="16"/>
        <v>97.7</v>
      </c>
    </row>
    <row r="984" spans="10:16">
      <c r="J984" s="5"/>
      <c r="L984">
        <f>SEM!M984</f>
        <v>2.11030914</v>
      </c>
      <c r="M984">
        <f>SEM!N984</f>
        <v>97.8</v>
      </c>
      <c r="O984">
        <f>ABS(L984-SEM!$C$34)</f>
        <v>9.8684409920086225</v>
      </c>
      <c r="P984">
        <f t="shared" si="16"/>
        <v>97.8</v>
      </c>
    </row>
    <row r="985" spans="10:16">
      <c r="J985" s="5"/>
      <c r="L985">
        <f>SEM!M985</f>
        <v>2.12386827</v>
      </c>
      <c r="M985">
        <f>SEM!N985</f>
        <v>97.9</v>
      </c>
      <c r="O985">
        <f>ABS(L985-SEM!$C$34)</f>
        <v>9.8820001220086233</v>
      </c>
      <c r="P985">
        <f t="shared" si="16"/>
        <v>97.9</v>
      </c>
    </row>
    <row r="986" spans="10:16">
      <c r="J986" s="5"/>
      <c r="L986">
        <f>SEM!M986</f>
        <v>2.1374274</v>
      </c>
      <c r="M986">
        <f>SEM!N986</f>
        <v>98</v>
      </c>
      <c r="O986">
        <f>ABS(L986-SEM!$C$34)</f>
        <v>9.8955592520086224</v>
      </c>
      <c r="P986">
        <f t="shared" si="16"/>
        <v>98</v>
      </c>
    </row>
    <row r="987" spans="10:16">
      <c r="J987" s="5"/>
      <c r="L987">
        <f>SEM!M987</f>
        <v>2.1418684730000002</v>
      </c>
      <c r="M987">
        <f>SEM!N987</f>
        <v>98.1</v>
      </c>
      <c r="O987">
        <f>ABS(L987-SEM!$C$34)</f>
        <v>9.900000325008623</v>
      </c>
      <c r="P987">
        <f t="shared" si="16"/>
        <v>98.1</v>
      </c>
    </row>
    <row r="988" spans="10:16">
      <c r="J988" s="5"/>
      <c r="L988">
        <f>SEM!M988</f>
        <v>2.1457586059999998</v>
      </c>
      <c r="M988">
        <f>SEM!N988</f>
        <v>98.2</v>
      </c>
      <c r="O988">
        <f>ABS(L988-SEM!$C$34)</f>
        <v>9.9038904580086218</v>
      </c>
      <c r="P988">
        <f t="shared" si="16"/>
        <v>98.2</v>
      </c>
    </row>
    <row r="989" spans="10:16">
      <c r="J989" s="5"/>
      <c r="L989">
        <f>SEM!M989</f>
        <v>2.1497910679999999</v>
      </c>
      <c r="M989">
        <f>SEM!N989</f>
        <v>98.3</v>
      </c>
      <c r="O989">
        <f>ABS(L989-SEM!$C$34)</f>
        <v>9.9079229200086232</v>
      </c>
      <c r="P989">
        <f t="shared" si="16"/>
        <v>98.3</v>
      </c>
    </row>
    <row r="990" spans="10:16">
      <c r="J990" s="5"/>
      <c r="L990">
        <f>SEM!M990</f>
        <v>2.1551950639999999</v>
      </c>
      <c r="M990">
        <f>SEM!N990</f>
        <v>98.4</v>
      </c>
      <c r="O990">
        <f>ABS(L990-SEM!$C$34)</f>
        <v>9.9133269160086215</v>
      </c>
      <c r="P990">
        <f t="shared" si="16"/>
        <v>98.4</v>
      </c>
    </row>
    <row r="991" spans="10:16">
      <c r="J991" s="5"/>
      <c r="L991">
        <f>SEM!M991</f>
        <v>2.16059906</v>
      </c>
      <c r="M991">
        <f>SEM!N991</f>
        <v>98.5</v>
      </c>
      <c r="O991">
        <f>ABS(L991-SEM!$C$34)</f>
        <v>9.9187309120086233</v>
      </c>
      <c r="P991">
        <f t="shared" si="16"/>
        <v>98.5</v>
      </c>
    </row>
    <row r="992" spans="10:16">
      <c r="J992" s="5"/>
      <c r="L992">
        <f>SEM!M992</f>
        <v>2.1865279019999999</v>
      </c>
      <c r="M992">
        <f>SEM!N992</f>
        <v>98.6</v>
      </c>
      <c r="O992">
        <f>ABS(L992-SEM!$C$34)</f>
        <v>9.9446597540086223</v>
      </c>
      <c r="P992">
        <f t="shared" si="16"/>
        <v>98.6</v>
      </c>
    </row>
    <row r="993" spans="10:16">
      <c r="J993" s="5"/>
      <c r="L993">
        <f>SEM!M993</f>
        <v>2.2757019089999999</v>
      </c>
      <c r="M993">
        <f>SEM!N993</f>
        <v>98.7</v>
      </c>
      <c r="O993">
        <f>ABS(L993-SEM!$C$34)</f>
        <v>10.033833761008623</v>
      </c>
      <c r="P993">
        <f t="shared" si="16"/>
        <v>98.7</v>
      </c>
    </row>
    <row r="994" spans="10:16">
      <c r="J994" s="5"/>
      <c r="L994">
        <f>SEM!M994</f>
        <v>2.3648759159999999</v>
      </c>
      <c r="M994">
        <f>SEM!N994</f>
        <v>98.8</v>
      </c>
      <c r="O994">
        <f>ABS(L994-SEM!$C$34)</f>
        <v>10.123007768008623</v>
      </c>
      <c r="P994">
        <f t="shared" si="16"/>
        <v>98.8</v>
      </c>
    </row>
    <row r="995" spans="10:16">
      <c r="J995" s="5"/>
      <c r="L995">
        <f>SEM!M995</f>
        <v>2.431466871</v>
      </c>
      <c r="M995">
        <f>SEM!N995</f>
        <v>98.9</v>
      </c>
      <c r="O995">
        <f>ABS(L995-SEM!$C$34)</f>
        <v>10.189598723008622</v>
      </c>
      <c r="P995">
        <f t="shared" si="16"/>
        <v>98.9</v>
      </c>
    </row>
    <row r="996" spans="10:16">
      <c r="J996" s="5"/>
      <c r="L996">
        <f>SEM!M996</f>
        <v>2.46361461</v>
      </c>
      <c r="M996">
        <f>SEM!N996</f>
        <v>99</v>
      </c>
      <c r="O996">
        <f>ABS(L996-SEM!$C$34)</f>
        <v>10.221746462008623</v>
      </c>
      <c r="P996">
        <f t="shared" si="16"/>
        <v>99</v>
      </c>
    </row>
    <row r="997" spans="10:16">
      <c r="J997" s="5"/>
      <c r="L997">
        <f>SEM!M997</f>
        <v>2.495762349</v>
      </c>
      <c r="M997">
        <f>SEM!N997</f>
        <v>99.1</v>
      </c>
      <c r="O997">
        <f>ABS(L997-SEM!$C$34)</f>
        <v>10.253894201008622</v>
      </c>
      <c r="P997">
        <f t="shared" si="16"/>
        <v>99.1</v>
      </c>
    </row>
    <row r="998" spans="10:16">
      <c r="J998" s="5"/>
      <c r="L998">
        <f>SEM!M998</f>
        <v>2.526520584</v>
      </c>
      <c r="M998">
        <f>SEM!N998</f>
        <v>99.2</v>
      </c>
      <c r="O998">
        <f>ABS(L998-SEM!$C$34)</f>
        <v>10.284652436008622</v>
      </c>
      <c r="P998">
        <f t="shared" si="16"/>
        <v>99.2</v>
      </c>
    </row>
    <row r="999" spans="10:16">
      <c r="J999" s="5"/>
      <c r="L999">
        <f>SEM!M999</f>
        <v>2.5561281359999999</v>
      </c>
      <c r="M999">
        <f>SEM!N999</f>
        <v>99.3</v>
      </c>
      <c r="O999">
        <f>ABS(L999-SEM!$C$34)</f>
        <v>10.314259988008622</v>
      </c>
      <c r="P999">
        <f t="shared" si="16"/>
        <v>99.3</v>
      </c>
    </row>
    <row r="1000" spans="10:16">
      <c r="J1000" s="5"/>
      <c r="L1000">
        <f>SEM!M1000</f>
        <v>2.5857356880000002</v>
      </c>
      <c r="M1000">
        <f>SEM!N1000</f>
        <v>99.4</v>
      </c>
      <c r="O1000">
        <f>ABS(L1000-SEM!$C$34)</f>
        <v>10.343867540008622</v>
      </c>
      <c r="P1000">
        <f t="shared" si="16"/>
        <v>99.4</v>
      </c>
    </row>
    <row r="1001" spans="10:16">
      <c r="J1001" s="5"/>
      <c r="L1001">
        <f>SEM!M1001</f>
        <v>2.6079292949999999</v>
      </c>
      <c r="M1001">
        <f>SEM!N1001</f>
        <v>99.5</v>
      </c>
      <c r="O1001">
        <f>ABS(L1001-SEM!$C$34)</f>
        <v>10.366061147008622</v>
      </c>
      <c r="P1001">
        <f t="shared" si="16"/>
        <v>99.5</v>
      </c>
    </row>
    <row r="1002" spans="10:16">
      <c r="J1002" s="5"/>
      <c r="L1002">
        <f>SEM!M1002</f>
        <v>2.6269152359999999</v>
      </c>
      <c r="M1002">
        <f>SEM!N1002</f>
        <v>99.6</v>
      </c>
      <c r="O1002">
        <f>ABS(L1002-SEM!$C$34)</f>
        <v>10.385047088008623</v>
      </c>
      <c r="P1002">
        <f t="shared" si="16"/>
        <v>99.6</v>
      </c>
    </row>
    <row r="1003" spans="10:16">
      <c r="J1003" s="5"/>
      <c r="L1003">
        <f>SEM!M1003</f>
        <v>2.6459011769999998</v>
      </c>
      <c r="M1003">
        <f>SEM!N1003</f>
        <v>99.7</v>
      </c>
      <c r="O1003">
        <f>ABS(L1003-SEM!$C$34)</f>
        <v>10.404033029008623</v>
      </c>
      <c r="P1003">
        <f t="shared" si="16"/>
        <v>99.7</v>
      </c>
    </row>
    <row r="1004" spans="10:16">
      <c r="J1004" s="5"/>
      <c r="L1004">
        <f>SEM!M1004</f>
        <v>2.7662285739999999</v>
      </c>
      <c r="M1004">
        <f>SEM!N1004</f>
        <v>99.8</v>
      </c>
      <c r="O1004">
        <f>ABS(L1004-SEM!$C$34)</f>
        <v>10.524360426008622</v>
      </c>
      <c r="P1004">
        <f t="shared" si="16"/>
        <v>99.8</v>
      </c>
    </row>
    <row r="1005" spans="10:16">
      <c r="J1005" s="5"/>
      <c r="L1005">
        <f>SEM!M1005</f>
        <v>2.9045797869999999</v>
      </c>
      <c r="M1005">
        <f>SEM!N1005</f>
        <v>99.9</v>
      </c>
      <c r="O1005">
        <f>ABS(L1005-SEM!$C$34)</f>
        <v>10.662711639008622</v>
      </c>
      <c r="P1005">
        <f t="shared" si="16"/>
        <v>99.9</v>
      </c>
    </row>
    <row r="1006" spans="10:16">
      <c r="J1006" s="5"/>
      <c r="L1006">
        <f>SEM!M1006</f>
        <v>3.0429309999999998</v>
      </c>
      <c r="M1006">
        <f>SEM!N1006</f>
        <v>100</v>
      </c>
      <c r="O1006">
        <f>ABS(L1006-SEM!$C$34)</f>
        <v>10.801062852008622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topLeftCell="A9" zoomScale="70" zoomScaleNormal="70" workbookViewId="0">
      <selection activeCell="J34" sqref="J34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str">
        <f>SD_PERC_FONO!A42</f>
        <v xml:space="preserve"> 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s="59" t="s">
        <v>1</v>
      </c>
      <c r="C5" s="59" t="s">
        <v>17</v>
      </c>
      <c r="H5" s="9" t="s">
        <v>33</v>
      </c>
      <c r="I5" s="57" t="s">
        <v>18</v>
      </c>
      <c r="J5" s="58"/>
      <c r="M5" s="27" t="s">
        <v>11</v>
      </c>
      <c r="N5" s="28" t="s">
        <v>44</v>
      </c>
    </row>
    <row r="6" spans="1:14">
      <c r="B6" s="59" t="s">
        <v>62</v>
      </c>
      <c r="C6" s="59">
        <v>13.601097203557799</v>
      </c>
      <c r="I6" s="10" t="s">
        <v>36</v>
      </c>
      <c r="J6">
        <v>18.693430488099999</v>
      </c>
      <c r="M6" s="59">
        <v>-2.880255</v>
      </c>
      <c r="N6" s="59">
        <v>0</v>
      </c>
    </row>
    <row r="7" spans="1:14">
      <c r="B7" s="59" t="s">
        <v>63</v>
      </c>
      <c r="C7" s="59">
        <v>-8.2701849571884298E-2</v>
      </c>
      <c r="M7" s="59">
        <v>-2.829196434</v>
      </c>
      <c r="N7" s="59">
        <v>0.1</v>
      </c>
    </row>
    <row r="8" spans="1:14">
      <c r="B8" s="59" t="s">
        <v>65</v>
      </c>
      <c r="C8" s="59">
        <v>0.26553706468240001</v>
      </c>
      <c r="I8" s="9"/>
      <c r="J8" s="9"/>
      <c r="M8" s="59">
        <v>-2.778137868</v>
      </c>
      <c r="N8" s="59">
        <v>0.2</v>
      </c>
    </row>
    <row r="9" spans="1:14">
      <c r="B9" s="59" t="s">
        <v>70</v>
      </c>
      <c r="C9" s="59">
        <v>-2.0994005835599601</v>
      </c>
      <c r="H9" s="9" t="s">
        <v>34</v>
      </c>
      <c r="I9" s="57" t="s">
        <v>37</v>
      </c>
      <c r="J9" s="58"/>
      <c r="M9" s="59">
        <v>-2.7134066269999999</v>
      </c>
      <c r="N9" s="59">
        <v>0.3</v>
      </c>
    </row>
    <row r="10" spans="1:14">
      <c r="B10" s="29"/>
      <c r="C10" s="30"/>
      <c r="I10" s="12" t="s">
        <v>3</v>
      </c>
      <c r="J10" s="13" t="s">
        <v>36</v>
      </c>
      <c r="M10" s="59">
        <v>-2.5717988360000001</v>
      </c>
      <c r="N10" s="59">
        <v>0.4</v>
      </c>
    </row>
    <row r="11" spans="1:14">
      <c r="B11" s="29"/>
      <c r="C11" s="30"/>
      <c r="I11" s="14"/>
      <c r="J11" s="15"/>
      <c r="M11" s="59">
        <v>-2.4301910449999999</v>
      </c>
      <c r="N11" s="59">
        <v>0.5</v>
      </c>
    </row>
    <row r="12" spans="1:14">
      <c r="B12" s="29"/>
      <c r="C12" s="30"/>
      <c r="I12" s="14"/>
      <c r="J12" s="15"/>
      <c r="M12" s="59">
        <v>-2.323924608</v>
      </c>
      <c r="N12" s="59">
        <v>0.6</v>
      </c>
    </row>
    <row r="13" spans="1:14">
      <c r="B13" s="29"/>
      <c r="C13" s="30"/>
      <c r="I13" s="14"/>
      <c r="J13" s="15"/>
      <c r="M13" s="59">
        <v>-2.2993433759999999</v>
      </c>
      <c r="N13" s="59">
        <v>0.7</v>
      </c>
    </row>
    <row r="14" spans="1:14">
      <c r="B14" s="29"/>
      <c r="C14" s="30"/>
      <c r="I14" s="14"/>
      <c r="J14" s="15"/>
      <c r="M14" s="59">
        <v>-2.2747621439999999</v>
      </c>
      <c r="N14" s="59">
        <v>0.8</v>
      </c>
    </row>
    <row r="15" spans="1:14">
      <c r="B15" s="29"/>
      <c r="C15" s="30"/>
      <c r="I15" s="14"/>
      <c r="J15" s="15"/>
      <c r="M15" s="59">
        <v>-2.2369850250000001</v>
      </c>
      <c r="N15" s="59">
        <v>0.9</v>
      </c>
    </row>
    <row r="16" spans="1:14">
      <c r="B16" s="29"/>
      <c r="C16" s="30"/>
      <c r="I16" s="14"/>
      <c r="J16" s="15"/>
      <c r="M16" s="59">
        <v>-2.1832732500000001</v>
      </c>
      <c r="N16" s="59">
        <v>1</v>
      </c>
    </row>
    <row r="17" spans="1:14">
      <c r="B17" s="29"/>
      <c r="C17" s="30"/>
      <c r="I17" s="14"/>
      <c r="J17" s="15"/>
      <c r="M17" s="59">
        <v>-2.129561475</v>
      </c>
      <c r="N17" s="59">
        <v>1.1000000000000001</v>
      </c>
    </row>
    <row r="18" spans="1:14">
      <c r="B18" s="29"/>
      <c r="C18" s="30"/>
      <c r="I18" s="14"/>
      <c r="J18" s="15"/>
      <c r="M18" s="59">
        <v>-2.0950524480000001</v>
      </c>
      <c r="N18" s="59">
        <v>1.2</v>
      </c>
    </row>
    <row r="19" spans="1:14">
      <c r="B19" s="29"/>
      <c r="C19" s="30"/>
      <c r="I19" s="14"/>
      <c r="J19" s="15"/>
      <c r="M19" s="59">
        <v>-2.0731339019999999</v>
      </c>
      <c r="N19" s="59">
        <v>1.3</v>
      </c>
    </row>
    <row r="20" spans="1:14">
      <c r="B20" s="29"/>
      <c r="C20" s="30"/>
      <c r="I20" s="14"/>
      <c r="J20" s="15"/>
      <c r="M20" s="59">
        <v>-2.0512153560000002</v>
      </c>
      <c r="N20" s="59">
        <v>1.4</v>
      </c>
    </row>
    <row r="21" spans="1:14">
      <c r="B21" s="29"/>
      <c r="C21" s="30"/>
      <c r="I21" s="14"/>
      <c r="J21" s="15"/>
      <c r="M21" s="59">
        <v>-2.0145911650000001</v>
      </c>
      <c r="N21" s="59">
        <v>1.5</v>
      </c>
    </row>
    <row r="22" spans="1:14">
      <c r="B22" s="29"/>
      <c r="C22" s="30"/>
      <c r="I22" s="16"/>
      <c r="J22" s="17"/>
      <c r="M22" s="59">
        <v>-1.973194576</v>
      </c>
      <c r="N22" s="59">
        <v>1.6</v>
      </c>
    </row>
    <row r="23" spans="1:14">
      <c r="B23" s="29"/>
      <c r="C23" s="30"/>
      <c r="M23" s="59">
        <v>-1.9317979869999999</v>
      </c>
      <c r="N23" s="59">
        <v>1.7</v>
      </c>
    </row>
    <row r="24" spans="1:14">
      <c r="B24" s="31"/>
      <c r="C24" s="11"/>
      <c r="M24" s="59">
        <v>-1.896147976</v>
      </c>
      <c r="N24" s="59">
        <v>1.8</v>
      </c>
    </row>
    <row r="25" spans="1:14">
      <c r="H25" s="9" t="s">
        <v>35</v>
      </c>
      <c r="I25" s="57" t="s">
        <v>42</v>
      </c>
      <c r="J25" s="58"/>
      <c r="M25" s="59">
        <v>-1.861094308</v>
      </c>
      <c r="N25" s="59">
        <v>1.9</v>
      </c>
    </row>
    <row r="26" spans="1:14">
      <c r="I26" s="12" t="s">
        <v>1</v>
      </c>
      <c r="J26" s="13" t="s">
        <v>17</v>
      </c>
      <c r="M26" s="59">
        <v>-1.8243914999999999</v>
      </c>
      <c r="N26" s="59">
        <v>2</v>
      </c>
    </row>
    <row r="27" spans="1:14">
      <c r="A27" s="34">
        <v>4</v>
      </c>
      <c r="B27" s="2" t="s">
        <v>2</v>
      </c>
      <c r="C27" s="63">
        <f>C6+(C7*('Normative data'!C6-71.28))+(FONO!C8*'Normative data'!C8)+(C9*'Normative data'!C7)</f>
        <v>19.496085041041713</v>
      </c>
      <c r="M27" s="59">
        <v>-1.760395425</v>
      </c>
      <c r="N27" s="59">
        <v>2.1</v>
      </c>
    </row>
    <row r="28" spans="1:14">
      <c r="B28" s="2" t="s">
        <v>6</v>
      </c>
      <c r="C28" s="2"/>
      <c r="D28" s="2"/>
      <c r="E28" s="2"/>
      <c r="F28" s="2"/>
      <c r="M28" s="59">
        <v>-1.6963993500000001</v>
      </c>
      <c r="N28" s="59">
        <v>2.2000000000000002</v>
      </c>
    </row>
    <row r="29" spans="1:14">
      <c r="B29" s="2" t="s">
        <v>7</v>
      </c>
      <c r="C29" s="2"/>
      <c r="D29" s="2"/>
      <c r="E29" s="2"/>
      <c r="F29" s="2"/>
      <c r="M29" s="59">
        <v>-1.6397580249999999</v>
      </c>
      <c r="N29" s="59">
        <v>2.2999999999999998</v>
      </c>
    </row>
    <row r="30" spans="1:14">
      <c r="B30" s="2" t="s">
        <v>8</v>
      </c>
      <c r="M30" s="59">
        <v>-1.6111252</v>
      </c>
      <c r="N30" s="59">
        <v>2.4</v>
      </c>
    </row>
    <row r="31" spans="1:14">
      <c r="I31" s="14"/>
      <c r="J31" s="15"/>
      <c r="M31" s="59">
        <v>-1.582492375</v>
      </c>
      <c r="N31" s="59">
        <v>2.5</v>
      </c>
    </row>
    <row r="32" spans="1:14">
      <c r="I32" s="35"/>
      <c r="J32" s="17"/>
      <c r="M32" s="59">
        <v>-1.562631544</v>
      </c>
      <c r="N32" s="59">
        <v>2.6</v>
      </c>
    </row>
    <row r="33" spans="2:14">
      <c r="B33" t="s">
        <v>9</v>
      </c>
      <c r="C33">
        <f>'Normative data'!C19-FONO!C27</f>
        <v>-19.496085041041713</v>
      </c>
      <c r="M33" s="59">
        <v>-1.5584349879999999</v>
      </c>
      <c r="N33" s="59">
        <v>2.7</v>
      </c>
    </row>
    <row r="34" spans="2:14">
      <c r="B34" t="s">
        <v>12</v>
      </c>
      <c r="C34">
        <f>(C33/SD_PERC_FONO!I38)</f>
        <v>-4.5092353902756068</v>
      </c>
      <c r="I34" t="s">
        <v>41</v>
      </c>
      <c r="J34">
        <f>SD_PERC_FONO!I38</f>
        <v>4.3235900000000003</v>
      </c>
      <c r="M34" s="59">
        <v>-1.554238432</v>
      </c>
      <c r="N34" s="59">
        <v>2.8</v>
      </c>
    </row>
    <row r="35" spans="2:14">
      <c r="M35" s="59">
        <v>-1.54806679</v>
      </c>
      <c r="N35" s="59">
        <v>2.9</v>
      </c>
    </row>
    <row r="36" spans="2:14">
      <c r="M36" s="59">
        <v>-1.5399973</v>
      </c>
      <c r="N36" s="59">
        <v>3</v>
      </c>
    </row>
    <row r="37" spans="2:14">
      <c r="M37" s="59">
        <v>-1.53192781</v>
      </c>
      <c r="N37" s="59">
        <v>3.1</v>
      </c>
    </row>
    <row r="38" spans="2:14">
      <c r="M38" s="59">
        <v>-1.5267924239999999</v>
      </c>
      <c r="N38" s="59">
        <v>3.2</v>
      </c>
    </row>
    <row r="39" spans="2:14">
      <c r="M39" s="59">
        <v>-1.523162031</v>
      </c>
      <c r="N39" s="59">
        <v>3.3</v>
      </c>
    </row>
    <row r="40" spans="2:14">
      <c r="M40" s="59">
        <v>-1.5195316379999999</v>
      </c>
      <c r="N40" s="59">
        <v>3.4</v>
      </c>
    </row>
    <row r="41" spans="2:14">
      <c r="M41" s="59">
        <v>-1.516296825</v>
      </c>
      <c r="N41" s="59">
        <v>3.5</v>
      </c>
    </row>
    <row r="42" spans="2:14">
      <c r="M42" s="59">
        <v>-1.51315362</v>
      </c>
      <c r="N42" s="59">
        <v>3.6</v>
      </c>
    </row>
    <row r="43" spans="2:14">
      <c r="M43" s="59">
        <v>-1.510010415</v>
      </c>
      <c r="N43" s="59">
        <v>3.7</v>
      </c>
    </row>
    <row r="44" spans="2:14">
      <c r="M44" s="59">
        <v>-1.502658434</v>
      </c>
      <c r="N44" s="59">
        <v>3.8</v>
      </c>
    </row>
    <row r="45" spans="2:14">
      <c r="M45" s="59">
        <v>-1.495144577</v>
      </c>
      <c r="N45" s="59">
        <v>3.9</v>
      </c>
    </row>
    <row r="46" spans="2:14">
      <c r="M46" s="59">
        <v>-1.4879042</v>
      </c>
      <c r="N46" s="59">
        <v>4</v>
      </c>
    </row>
    <row r="47" spans="2:14">
      <c r="M47" s="59">
        <v>-1.4827901299999999</v>
      </c>
      <c r="N47" s="59">
        <v>4.0999999999999996</v>
      </c>
    </row>
    <row r="48" spans="2:14">
      <c r="M48" s="59">
        <v>-1.4776760600000001</v>
      </c>
      <c r="N48" s="59">
        <v>4.2</v>
      </c>
    </row>
    <row r="49" spans="13:14">
      <c r="M49" s="59">
        <v>-1.4719932950000001</v>
      </c>
      <c r="N49" s="59">
        <v>4.3</v>
      </c>
    </row>
    <row r="50" spans="13:14">
      <c r="M50" s="59">
        <v>-1.46473286</v>
      </c>
      <c r="N50" s="59">
        <v>4.4000000000000004</v>
      </c>
    </row>
    <row r="51" spans="13:14">
      <c r="M51" s="59">
        <v>-1.457472425</v>
      </c>
      <c r="N51" s="59">
        <v>4.5</v>
      </c>
    </row>
    <row r="52" spans="13:14">
      <c r="M52" s="59">
        <v>-1.4528954700000001</v>
      </c>
      <c r="N52" s="59">
        <v>4.5999999999999996</v>
      </c>
    </row>
    <row r="53" spans="13:14">
      <c r="M53" s="59">
        <v>-1.4520864149999999</v>
      </c>
      <c r="N53" s="59">
        <v>4.7</v>
      </c>
    </row>
    <row r="54" spans="13:14">
      <c r="M54" s="59">
        <v>-1.45127736</v>
      </c>
      <c r="N54" s="59">
        <v>4.8</v>
      </c>
    </row>
    <row r="55" spans="13:14">
      <c r="M55" s="59">
        <v>-1.4474693750000001</v>
      </c>
      <c r="N55" s="59">
        <v>4.9000000000000004</v>
      </c>
    </row>
    <row r="56" spans="13:14">
      <c r="M56" s="59">
        <v>-1.4413707499999999</v>
      </c>
      <c r="N56" s="59">
        <v>5</v>
      </c>
    </row>
    <row r="57" spans="13:14">
      <c r="M57" s="59">
        <v>-1.435272125</v>
      </c>
      <c r="N57" s="59">
        <v>5.0999999999999996</v>
      </c>
    </row>
    <row r="58" spans="13:14">
      <c r="M58" s="59">
        <v>-1.4335519999999999</v>
      </c>
      <c r="N58" s="59">
        <v>5.2</v>
      </c>
    </row>
    <row r="59" spans="13:14">
      <c r="M59" s="59">
        <v>-1.4335519999999999</v>
      </c>
      <c r="N59" s="59">
        <v>5.3</v>
      </c>
    </row>
    <row r="60" spans="13:14">
      <c r="M60" s="59">
        <v>-1.4335519999999999</v>
      </c>
      <c r="N60" s="59">
        <v>5.4</v>
      </c>
    </row>
    <row r="61" spans="13:14">
      <c r="M61" s="59">
        <v>-1.4252584399999999</v>
      </c>
      <c r="N61" s="59">
        <v>5.5</v>
      </c>
    </row>
    <row r="62" spans="13:14">
      <c r="M62" s="59">
        <v>-1.4157140479999999</v>
      </c>
      <c r="N62" s="59">
        <v>5.6</v>
      </c>
    </row>
    <row r="63" spans="13:14">
      <c r="M63" s="59">
        <v>-1.406297315</v>
      </c>
      <c r="N63" s="59">
        <v>5.7</v>
      </c>
    </row>
    <row r="64" spans="13:14">
      <c r="M64" s="59">
        <v>-1.40315411</v>
      </c>
      <c r="N64" s="59">
        <v>5.8</v>
      </c>
    </row>
    <row r="65" spans="13:14">
      <c r="M65" s="59">
        <v>-1.400010905</v>
      </c>
      <c r="N65" s="59">
        <v>5.9</v>
      </c>
    </row>
    <row r="66" spans="13:14">
      <c r="M66" s="59">
        <v>-1.39697468</v>
      </c>
      <c r="N66" s="59">
        <v>6</v>
      </c>
    </row>
    <row r="67" spans="13:14">
      <c r="M67" s="59">
        <v>-1.394457308</v>
      </c>
      <c r="N67" s="59">
        <v>6.1</v>
      </c>
    </row>
    <row r="68" spans="13:14">
      <c r="M68" s="59">
        <v>-1.391939936</v>
      </c>
      <c r="N68" s="59">
        <v>6.2</v>
      </c>
    </row>
    <row r="69" spans="13:14">
      <c r="M69" s="59">
        <v>-1.3886435420000001</v>
      </c>
      <c r="N69" s="59">
        <v>6.3</v>
      </c>
    </row>
    <row r="70" spans="13:14">
      <c r="M70" s="59">
        <v>-1.3837063759999999</v>
      </c>
      <c r="N70" s="59">
        <v>6.4</v>
      </c>
    </row>
    <row r="71" spans="13:14">
      <c r="M71" s="59">
        <v>-1.37876921</v>
      </c>
      <c r="N71" s="59">
        <v>6.5</v>
      </c>
    </row>
    <row r="72" spans="13:14">
      <c r="M72" s="59">
        <v>-1.37308355</v>
      </c>
      <c r="N72" s="59">
        <v>6.6</v>
      </c>
    </row>
    <row r="73" spans="13:14">
      <c r="M73" s="59">
        <v>-1.366563725</v>
      </c>
      <c r="N73" s="59">
        <v>6.7</v>
      </c>
    </row>
    <row r="74" spans="13:14">
      <c r="M74" s="59">
        <v>-1.3600439</v>
      </c>
      <c r="N74" s="59">
        <v>6.8</v>
      </c>
    </row>
    <row r="75" spans="13:14">
      <c r="M75" s="59">
        <v>-1.3530992150000001</v>
      </c>
      <c r="N75" s="59">
        <v>6.9</v>
      </c>
    </row>
    <row r="76" spans="13:14">
      <c r="M76" s="59">
        <v>-1.34589845</v>
      </c>
      <c r="N76" s="59">
        <v>7</v>
      </c>
    </row>
    <row r="77" spans="13:14">
      <c r="M77" s="59">
        <v>-1.3386976850000001</v>
      </c>
      <c r="N77" s="59">
        <v>7.1</v>
      </c>
    </row>
    <row r="78" spans="13:14">
      <c r="M78" s="59">
        <v>-1.3316244880000001</v>
      </c>
      <c r="N78" s="59">
        <v>7.2</v>
      </c>
    </row>
    <row r="79" spans="13:14">
      <c r="M79" s="59">
        <v>-1.324588342</v>
      </c>
      <c r="N79" s="59">
        <v>7.3</v>
      </c>
    </row>
    <row r="80" spans="13:14">
      <c r="M80" s="59">
        <v>-1.3175521960000001</v>
      </c>
      <c r="N80" s="59">
        <v>7.4</v>
      </c>
    </row>
    <row r="81" spans="13:14">
      <c r="M81" s="59">
        <v>-1.3092326249999999</v>
      </c>
      <c r="N81" s="59">
        <v>7.5</v>
      </c>
    </row>
    <row r="82" spans="13:14">
      <c r="M82" s="59">
        <v>-1.3008103799999999</v>
      </c>
      <c r="N82" s="59">
        <v>7.6</v>
      </c>
    </row>
    <row r="83" spans="13:14">
      <c r="M83" s="59">
        <v>-1.292950383</v>
      </c>
      <c r="N83" s="59">
        <v>7.7</v>
      </c>
    </row>
    <row r="84" spans="13:14">
      <c r="M84" s="59">
        <v>-1.2918373620000001</v>
      </c>
      <c r="N84" s="59">
        <v>7.8</v>
      </c>
    </row>
    <row r="85" spans="13:14">
      <c r="M85" s="59">
        <v>-1.290724341</v>
      </c>
      <c r="N85" s="59">
        <v>7.9</v>
      </c>
    </row>
    <row r="86" spans="13:14">
      <c r="M86" s="59">
        <v>-1.2891622</v>
      </c>
      <c r="N86" s="59">
        <v>8</v>
      </c>
    </row>
    <row r="87" spans="13:14">
      <c r="M87" s="59">
        <v>-1.286078665</v>
      </c>
      <c r="N87" s="59">
        <v>8.1</v>
      </c>
    </row>
    <row r="88" spans="13:14">
      <c r="M88" s="59">
        <v>-1.28299513</v>
      </c>
      <c r="N88" s="59">
        <v>8.1999999999999993</v>
      </c>
    </row>
    <row r="89" spans="13:14">
      <c r="M89" s="59">
        <v>-1.2805402859999999</v>
      </c>
      <c r="N89" s="59">
        <v>8.3000000000000007</v>
      </c>
    </row>
    <row r="90" spans="13:14">
      <c r="M90" s="59">
        <v>-1.279115928</v>
      </c>
      <c r="N90" s="59">
        <v>8.4</v>
      </c>
    </row>
    <row r="91" spans="13:14">
      <c r="M91" s="59">
        <v>-1.27769157</v>
      </c>
      <c r="N91" s="59">
        <v>8.5</v>
      </c>
    </row>
    <row r="92" spans="13:14">
      <c r="M92" s="59">
        <v>-1.276700964</v>
      </c>
      <c r="N92" s="59">
        <v>8.6</v>
      </c>
    </row>
    <row r="93" spans="13:14">
      <c r="M93" s="59">
        <v>-1.2760951380000001</v>
      </c>
      <c r="N93" s="59">
        <v>8.6999999999999993</v>
      </c>
    </row>
    <row r="94" spans="13:14">
      <c r="M94" s="59">
        <v>-1.2754893119999999</v>
      </c>
      <c r="N94" s="59">
        <v>8.8000000000000007</v>
      </c>
    </row>
    <row r="95" spans="13:14">
      <c r="M95" s="59">
        <v>-1.269588202</v>
      </c>
      <c r="N95" s="59">
        <v>8.9</v>
      </c>
    </row>
    <row r="96" spans="13:14">
      <c r="M96" s="59">
        <v>-1.2612056199999999</v>
      </c>
      <c r="N96" s="59">
        <v>9</v>
      </c>
    </row>
    <row r="97" spans="13:14">
      <c r="M97" s="59">
        <v>-1.2528230380000001</v>
      </c>
      <c r="N97" s="59">
        <v>9.1</v>
      </c>
    </row>
    <row r="98" spans="13:14">
      <c r="M98" s="59">
        <v>-1.2493603639999999</v>
      </c>
      <c r="N98" s="59">
        <v>9.1999999999999993</v>
      </c>
    </row>
    <row r="99" spans="13:14">
      <c r="M99" s="59">
        <v>-1.246891781</v>
      </c>
      <c r="N99" s="59">
        <v>9.3000000000000007</v>
      </c>
    </row>
    <row r="100" spans="13:14">
      <c r="M100" s="59">
        <v>-1.244423198</v>
      </c>
      <c r="N100" s="59">
        <v>9.4</v>
      </c>
    </row>
    <row r="101" spans="13:14">
      <c r="M101" s="59">
        <v>-1.2424438250000001</v>
      </c>
      <c r="N101" s="59">
        <v>9.5</v>
      </c>
    </row>
    <row r="102" spans="13:14">
      <c r="M102" s="59">
        <v>-1.24047296</v>
      </c>
      <c r="N102" s="59">
        <v>9.6</v>
      </c>
    </row>
    <row r="103" spans="13:14">
      <c r="M103" s="59">
        <v>-1.2376774800000001</v>
      </c>
      <c r="N103" s="59">
        <v>9.6999999999999993</v>
      </c>
    </row>
    <row r="104" spans="13:14">
      <c r="M104" s="59">
        <v>-1.2295483199999999</v>
      </c>
      <c r="N104" s="59">
        <v>9.8000000000000007</v>
      </c>
    </row>
    <row r="105" spans="13:14">
      <c r="M105" s="59">
        <v>-1.2214191599999999</v>
      </c>
      <c r="N105" s="59">
        <v>9.9</v>
      </c>
    </row>
    <row r="106" spans="13:14">
      <c r="M106" s="59">
        <v>-1.2153611</v>
      </c>
      <c r="N106" s="59">
        <v>10</v>
      </c>
    </row>
    <row r="107" spans="13:14">
      <c r="M107" s="59">
        <v>-1.214501501</v>
      </c>
      <c r="N107" s="59">
        <v>10.1</v>
      </c>
    </row>
    <row r="108" spans="13:14">
      <c r="M108" s="59">
        <v>-1.213641902</v>
      </c>
      <c r="N108" s="59">
        <v>10.199999999999999</v>
      </c>
    </row>
    <row r="109" spans="13:14">
      <c r="M109" s="59">
        <v>-1.208295425</v>
      </c>
      <c r="N109" s="59">
        <v>10.3</v>
      </c>
    </row>
    <row r="110" spans="13:14">
      <c r="M110" s="59">
        <v>-1.1971423999999999</v>
      </c>
      <c r="N110" s="59">
        <v>10.4</v>
      </c>
    </row>
    <row r="111" spans="13:14">
      <c r="M111" s="59">
        <v>-1.1859893749999999</v>
      </c>
      <c r="N111" s="59">
        <v>10.5</v>
      </c>
    </row>
    <row r="112" spans="13:14">
      <c r="M112" s="59">
        <v>-1.1785981160000001</v>
      </c>
      <c r="N112" s="59">
        <v>10.6</v>
      </c>
    </row>
    <row r="113" spans="13:14">
      <c r="M113" s="59">
        <v>-1.1738547020000001</v>
      </c>
      <c r="N113" s="59">
        <v>10.7</v>
      </c>
    </row>
    <row r="114" spans="13:14">
      <c r="M114" s="59">
        <v>-1.1691112880000001</v>
      </c>
      <c r="N114" s="59">
        <v>10.8</v>
      </c>
    </row>
    <row r="115" spans="13:14">
      <c r="M115" s="59">
        <v>-1.1651534210000001</v>
      </c>
      <c r="N115" s="59">
        <v>10.9</v>
      </c>
    </row>
    <row r="116" spans="13:14">
      <c r="M116" s="59">
        <v>-1.1614745900000001</v>
      </c>
      <c r="N116" s="59">
        <v>11</v>
      </c>
    </row>
    <row r="117" spans="13:14">
      <c r="M117" s="59">
        <v>-1.1577957590000001</v>
      </c>
      <c r="N117" s="59">
        <v>11.1</v>
      </c>
    </row>
    <row r="118" spans="13:14">
      <c r="M118" s="59">
        <v>-1.1534841920000001</v>
      </c>
      <c r="N118" s="59">
        <v>11.2</v>
      </c>
    </row>
    <row r="119" spans="13:14">
      <c r="M119" s="59">
        <v>-1.1490935330000001</v>
      </c>
      <c r="N119" s="59">
        <v>11.3</v>
      </c>
    </row>
    <row r="120" spans="13:14">
      <c r="M120" s="59">
        <v>-1.1447063040000001</v>
      </c>
      <c r="N120" s="59">
        <v>11.4</v>
      </c>
    </row>
    <row r="121" spans="13:14">
      <c r="M121" s="59">
        <v>-1.1404016400000001</v>
      </c>
      <c r="N121" s="59">
        <v>11.5</v>
      </c>
    </row>
    <row r="122" spans="13:14">
      <c r="M122" s="59">
        <v>-1.1360969759999999</v>
      </c>
      <c r="N122" s="59">
        <v>11.6</v>
      </c>
    </row>
    <row r="123" spans="13:14">
      <c r="M123" s="59">
        <v>-1.132154112</v>
      </c>
      <c r="N123" s="59">
        <v>11.7</v>
      </c>
    </row>
    <row r="124" spans="13:14">
      <c r="M124" s="59">
        <v>-1.1297448480000001</v>
      </c>
      <c r="N124" s="59">
        <v>11.8</v>
      </c>
    </row>
    <row r="125" spans="13:14">
      <c r="M125" s="59">
        <v>-1.1273355839999999</v>
      </c>
      <c r="N125" s="59">
        <v>11.9</v>
      </c>
    </row>
    <row r="126" spans="13:14">
      <c r="M126" s="59">
        <v>-1.12553964</v>
      </c>
      <c r="N126" s="59">
        <v>12</v>
      </c>
    </row>
    <row r="127" spans="13:14">
      <c r="M127" s="59">
        <v>-1.1249243369999999</v>
      </c>
      <c r="N127" s="59">
        <v>12.1</v>
      </c>
    </row>
    <row r="128" spans="13:14">
      <c r="M128" s="59">
        <v>-1.1243090339999999</v>
      </c>
      <c r="N128" s="59">
        <v>12.2</v>
      </c>
    </row>
    <row r="129" spans="13:14">
      <c r="M129" s="59">
        <v>-1.120783525</v>
      </c>
      <c r="N129" s="59">
        <v>12.3</v>
      </c>
    </row>
    <row r="130" spans="13:14">
      <c r="M130" s="59">
        <v>-1.1142637</v>
      </c>
      <c r="N130" s="59">
        <v>12.4</v>
      </c>
    </row>
    <row r="131" spans="13:14">
      <c r="M131" s="59">
        <v>-1.1077438749999999</v>
      </c>
      <c r="N131" s="59">
        <v>12.5</v>
      </c>
    </row>
    <row r="132" spans="13:14">
      <c r="M132" s="59">
        <v>-1.0991136619999999</v>
      </c>
      <c r="N132" s="59">
        <v>12.6</v>
      </c>
    </row>
    <row r="133" spans="13:14">
      <c r="M133" s="59">
        <v>-1.089316199</v>
      </c>
      <c r="N133" s="59">
        <v>12.7</v>
      </c>
    </row>
    <row r="134" spans="13:14">
      <c r="M134" s="59">
        <v>-1.079518736</v>
      </c>
      <c r="N134" s="59">
        <v>12.8</v>
      </c>
    </row>
    <row r="135" spans="13:14">
      <c r="M135" s="59">
        <v>-1.0732969370000001</v>
      </c>
      <c r="N135" s="59">
        <v>12.9</v>
      </c>
    </row>
    <row r="136" spans="13:14">
      <c r="M136" s="59">
        <v>-1.06799789</v>
      </c>
      <c r="N136" s="59">
        <v>13</v>
      </c>
    </row>
    <row r="137" spans="13:14">
      <c r="M137" s="59">
        <v>-1.0626988429999999</v>
      </c>
      <c r="N137" s="59">
        <v>13.1</v>
      </c>
    </row>
    <row r="138" spans="13:14">
      <c r="M138" s="59">
        <v>-1.052388256</v>
      </c>
      <c r="N138" s="59">
        <v>13.2</v>
      </c>
    </row>
    <row r="139" spans="13:14">
      <c r="M139" s="59">
        <v>-1.041790864</v>
      </c>
      <c r="N139" s="59">
        <v>13.3</v>
      </c>
    </row>
    <row r="140" spans="13:14">
      <c r="M140" s="59">
        <v>-1.03210746</v>
      </c>
      <c r="N140" s="59">
        <v>13.4</v>
      </c>
    </row>
    <row r="141" spans="13:14">
      <c r="M141" s="59">
        <v>-1.03094565</v>
      </c>
      <c r="N141" s="59">
        <v>13.5</v>
      </c>
    </row>
    <row r="142" spans="13:14">
      <c r="M142" s="59">
        <v>-1.0297838399999999</v>
      </c>
      <c r="N142" s="59">
        <v>13.6</v>
      </c>
    </row>
    <row r="143" spans="13:14">
      <c r="M143" s="59">
        <v>-1.0266339929999999</v>
      </c>
      <c r="N143" s="59">
        <v>13.7</v>
      </c>
    </row>
    <row r="144" spans="13:14">
      <c r="M144" s="59">
        <v>-1.017451482</v>
      </c>
      <c r="N144" s="59">
        <v>13.8</v>
      </c>
    </row>
    <row r="145" spans="13:14">
      <c r="M145" s="59">
        <v>-1.0082689709999999</v>
      </c>
      <c r="N145" s="59">
        <v>13.9</v>
      </c>
    </row>
    <row r="146" spans="13:14">
      <c r="M146" s="59">
        <v>-1.00097828</v>
      </c>
      <c r="N146" s="59">
        <v>14</v>
      </c>
    </row>
    <row r="147" spans="13:14">
      <c r="M147" s="59">
        <v>-0.99653883200000004</v>
      </c>
      <c r="N147" s="59">
        <v>14.1</v>
      </c>
    </row>
    <row r="148" spans="13:14">
      <c r="M148" s="59">
        <v>-0.99209938399999997</v>
      </c>
      <c r="N148" s="59">
        <v>14.2</v>
      </c>
    </row>
    <row r="149" spans="13:14">
      <c r="M149" s="59">
        <v>-0.98885036000000004</v>
      </c>
      <c r="N149" s="59">
        <v>14.3</v>
      </c>
    </row>
    <row r="150" spans="13:14">
      <c r="M150" s="59">
        <v>-0.98657587999999996</v>
      </c>
      <c r="N150" s="59">
        <v>14.4</v>
      </c>
    </row>
    <row r="151" spans="13:14">
      <c r="M151" s="59">
        <v>-0.98430139999999999</v>
      </c>
      <c r="N151" s="59">
        <v>14.5</v>
      </c>
    </row>
    <row r="152" spans="13:14">
      <c r="M152" s="59">
        <v>-0.98362099999999997</v>
      </c>
      <c r="N152" s="59">
        <v>14.6</v>
      </c>
    </row>
    <row r="153" spans="13:14">
      <c r="M153" s="59">
        <v>-0.98362099999999997</v>
      </c>
      <c r="N153" s="59">
        <v>14.7</v>
      </c>
    </row>
    <row r="154" spans="13:14">
      <c r="M154" s="59">
        <v>-0.98362099999999997</v>
      </c>
      <c r="N154" s="59">
        <v>14.8</v>
      </c>
    </row>
    <row r="155" spans="13:14">
      <c r="M155" s="59">
        <v>-0.98309685300000005</v>
      </c>
      <c r="N155" s="59">
        <v>14.9</v>
      </c>
    </row>
    <row r="156" spans="13:14">
      <c r="M156" s="59">
        <v>-0.98248155000000004</v>
      </c>
      <c r="N156" s="59">
        <v>15</v>
      </c>
    </row>
    <row r="157" spans="13:14">
      <c r="M157" s="59">
        <v>-0.98185940999999999</v>
      </c>
      <c r="N157" s="59">
        <v>15.1</v>
      </c>
    </row>
    <row r="158" spans="13:14">
      <c r="M158" s="59">
        <v>-0.97884431999999999</v>
      </c>
      <c r="N158" s="59">
        <v>15.2</v>
      </c>
    </row>
    <row r="159" spans="13:14">
      <c r="M159" s="59">
        <v>-0.97582922999999999</v>
      </c>
      <c r="N159" s="59">
        <v>15.3</v>
      </c>
    </row>
    <row r="160" spans="13:14">
      <c r="M160" s="59">
        <v>-0.97318339200000004</v>
      </c>
      <c r="N160" s="59">
        <v>15.4</v>
      </c>
    </row>
    <row r="161" spans="13:14">
      <c r="M161" s="59">
        <v>-0.97256843999999998</v>
      </c>
      <c r="N161" s="59">
        <v>15.5</v>
      </c>
    </row>
    <row r="162" spans="13:14">
      <c r="M162" s="59">
        <v>-0.97195348800000003</v>
      </c>
      <c r="N162" s="59">
        <v>15.6</v>
      </c>
    </row>
    <row r="163" spans="13:14">
      <c r="M163" s="59">
        <v>-0.96974402199999998</v>
      </c>
      <c r="N163" s="59">
        <v>15.7</v>
      </c>
    </row>
    <row r="164" spans="13:14">
      <c r="M164" s="59">
        <v>-0.96389846800000001</v>
      </c>
      <c r="N164" s="59">
        <v>15.8</v>
      </c>
    </row>
    <row r="165" spans="13:14">
      <c r="M165" s="59">
        <v>-0.95805291400000003</v>
      </c>
      <c r="N165" s="59">
        <v>15.9</v>
      </c>
    </row>
    <row r="166" spans="13:14">
      <c r="M166" s="59">
        <v>-0.95475648000000002</v>
      </c>
      <c r="N166" s="59">
        <v>16</v>
      </c>
    </row>
    <row r="167" spans="13:14">
      <c r="M167" s="59">
        <v>-0.95450305800000002</v>
      </c>
      <c r="N167" s="59">
        <v>16.100000000000001</v>
      </c>
    </row>
    <row r="168" spans="13:14">
      <c r="M168" s="59">
        <v>-0.95424963600000001</v>
      </c>
      <c r="N168" s="59">
        <v>16.2</v>
      </c>
    </row>
    <row r="169" spans="13:14">
      <c r="M169" s="59">
        <v>-0.95194161600000005</v>
      </c>
      <c r="N169" s="59">
        <v>16.3</v>
      </c>
    </row>
    <row r="170" spans="13:14">
      <c r="M170" s="59">
        <v>-0.94830244799999996</v>
      </c>
      <c r="N170" s="59">
        <v>16.399999999999999</v>
      </c>
    </row>
    <row r="171" spans="13:14">
      <c r="M171" s="59">
        <v>-0.94466327999999999</v>
      </c>
      <c r="N171" s="59">
        <v>16.5</v>
      </c>
    </row>
    <row r="172" spans="13:14">
      <c r="M172" s="59">
        <v>-0.94373678000000005</v>
      </c>
      <c r="N172" s="59">
        <v>16.600000000000001</v>
      </c>
    </row>
    <row r="173" spans="13:14">
      <c r="M173" s="59">
        <v>-0.94367710999999999</v>
      </c>
      <c r="N173" s="59">
        <v>16.7</v>
      </c>
    </row>
    <row r="174" spans="13:14">
      <c r="M174" s="59">
        <v>-0.94361744000000003</v>
      </c>
      <c r="N174" s="59">
        <v>16.8</v>
      </c>
    </row>
    <row r="175" spans="13:14">
      <c r="M175" s="59">
        <v>-0.940809585</v>
      </c>
      <c r="N175" s="59">
        <v>16.899999999999999</v>
      </c>
    </row>
    <row r="176" spans="13:14">
      <c r="M176" s="59">
        <v>-0.93772604999999998</v>
      </c>
      <c r="N176" s="59">
        <v>17</v>
      </c>
    </row>
    <row r="177" spans="13:14">
      <c r="M177" s="59">
        <v>-0.93467638799999997</v>
      </c>
      <c r="N177" s="59">
        <v>17.100000000000001</v>
      </c>
    </row>
    <row r="178" spans="13:14">
      <c r="M178" s="59">
        <v>-0.93215901599999995</v>
      </c>
      <c r="N178" s="59">
        <v>17.2</v>
      </c>
    </row>
    <row r="179" spans="13:14">
      <c r="M179" s="59">
        <v>-0.92964164400000004</v>
      </c>
      <c r="N179" s="59">
        <v>17.3</v>
      </c>
    </row>
    <row r="180" spans="13:14">
      <c r="M180" s="59">
        <v>-0.92742034600000001</v>
      </c>
      <c r="N180" s="59">
        <v>17.399999999999999</v>
      </c>
    </row>
    <row r="181" spans="13:14">
      <c r="M181" s="59">
        <v>-0.92630732500000001</v>
      </c>
      <c r="N181" s="59">
        <v>17.5</v>
      </c>
    </row>
    <row r="182" spans="13:14">
      <c r="M182" s="59">
        <v>-0.92519430400000002</v>
      </c>
      <c r="N182" s="59">
        <v>17.600000000000001</v>
      </c>
    </row>
    <row r="183" spans="13:14">
      <c r="M183" s="59">
        <v>-0.923368305</v>
      </c>
      <c r="N183" s="59">
        <v>17.7</v>
      </c>
    </row>
    <row r="184" spans="13:14">
      <c r="M184" s="59">
        <v>-0.92028476999999997</v>
      </c>
      <c r="N184" s="59">
        <v>17.8</v>
      </c>
    </row>
    <row r="185" spans="13:14">
      <c r="M185" s="59">
        <v>-0.91720123499999995</v>
      </c>
      <c r="N185" s="59">
        <v>17.899999999999999</v>
      </c>
    </row>
    <row r="186" spans="13:14">
      <c r="M186" s="59">
        <v>-0.9153192</v>
      </c>
      <c r="N186" s="59">
        <v>18</v>
      </c>
    </row>
    <row r="187" spans="13:14">
      <c r="M187" s="59">
        <v>-0.91457858999999997</v>
      </c>
      <c r="N187" s="59">
        <v>18.100000000000001</v>
      </c>
    </row>
    <row r="188" spans="13:14">
      <c r="M188" s="59">
        <v>-0.91383798000000005</v>
      </c>
      <c r="N188" s="59">
        <v>18.2</v>
      </c>
    </row>
    <row r="189" spans="13:14">
      <c r="M189" s="59">
        <v>-0.91318055099999995</v>
      </c>
      <c r="N189" s="59">
        <v>18.3</v>
      </c>
    </row>
    <row r="190" spans="13:14">
      <c r="M190" s="59">
        <v>-0.91256524800000005</v>
      </c>
      <c r="N190" s="59">
        <v>18.399999999999999</v>
      </c>
    </row>
    <row r="191" spans="13:14">
      <c r="M191" s="59">
        <v>-0.91194994500000004</v>
      </c>
      <c r="N191" s="59">
        <v>18.5</v>
      </c>
    </row>
    <row r="192" spans="13:14">
      <c r="M192" s="59">
        <v>-0.89994841000000003</v>
      </c>
      <c r="N192" s="59">
        <v>18.600000000000001</v>
      </c>
    </row>
    <row r="193" spans="13:14">
      <c r="M193" s="59">
        <v>-0.88535909499999998</v>
      </c>
      <c r="N193" s="59">
        <v>18.7</v>
      </c>
    </row>
    <row r="194" spans="13:14">
      <c r="M194" s="59">
        <v>-0.87076978000000005</v>
      </c>
      <c r="N194" s="59">
        <v>18.8</v>
      </c>
    </row>
    <row r="195" spans="13:14">
      <c r="M195" s="59">
        <v>-0.86705660200000001</v>
      </c>
      <c r="N195" s="59">
        <v>18.899999999999999</v>
      </c>
    </row>
    <row r="196" spans="13:14">
      <c r="M196" s="59">
        <v>-0.86372842000000005</v>
      </c>
      <c r="N196" s="59">
        <v>19</v>
      </c>
    </row>
    <row r="197" spans="13:14">
      <c r="M197" s="59">
        <v>-0.860623688</v>
      </c>
      <c r="N197" s="59">
        <v>19.100000000000001</v>
      </c>
    </row>
    <row r="198" spans="13:14">
      <c r="M198" s="59">
        <v>-0.85920845599999995</v>
      </c>
      <c r="N198" s="59">
        <v>19.2</v>
      </c>
    </row>
    <row r="199" spans="13:14">
      <c r="M199" s="59">
        <v>-0.85779322400000002</v>
      </c>
      <c r="N199" s="59">
        <v>19.3</v>
      </c>
    </row>
    <row r="200" spans="13:14">
      <c r="M200" s="59">
        <v>-0.856393972</v>
      </c>
      <c r="N200" s="59">
        <v>19.399999999999999</v>
      </c>
    </row>
    <row r="201" spans="13:14">
      <c r="M201" s="59">
        <v>-0.85503841000000003</v>
      </c>
      <c r="N201" s="59">
        <v>19.5</v>
      </c>
    </row>
    <row r="202" spans="13:14">
      <c r="M202" s="59">
        <v>-0.85368284800000005</v>
      </c>
      <c r="N202" s="59">
        <v>19.600000000000001</v>
      </c>
    </row>
    <row r="203" spans="13:14">
      <c r="M203" s="59">
        <v>-0.85016447500000003</v>
      </c>
      <c r="N203" s="59">
        <v>19.7</v>
      </c>
    </row>
    <row r="204" spans="13:14">
      <c r="M204" s="59">
        <v>-0.84364465</v>
      </c>
      <c r="N204" s="59">
        <v>19.8</v>
      </c>
    </row>
    <row r="205" spans="13:14">
      <c r="M205" s="59">
        <v>-0.83712482499999996</v>
      </c>
      <c r="N205" s="59">
        <v>19.899999999999999</v>
      </c>
    </row>
    <row r="206" spans="13:14">
      <c r="M206" s="59">
        <v>-0.83290819999999999</v>
      </c>
      <c r="N206" s="59">
        <v>20</v>
      </c>
    </row>
    <row r="207" spans="13:14">
      <c r="M207" s="59">
        <v>-0.83043049099999999</v>
      </c>
      <c r="N207" s="59">
        <v>20.100000000000001</v>
      </c>
    </row>
    <row r="208" spans="13:14">
      <c r="M208" s="59">
        <v>-0.827952782</v>
      </c>
      <c r="N208" s="59">
        <v>20.2</v>
      </c>
    </row>
    <row r="209" spans="13:14">
      <c r="M209" s="59">
        <v>-0.82668441299999995</v>
      </c>
      <c r="N209" s="59">
        <v>20.3</v>
      </c>
    </row>
    <row r="210" spans="13:14">
      <c r="M210" s="59">
        <v>-0.82588448400000003</v>
      </c>
      <c r="N210" s="59">
        <v>20.399999999999999</v>
      </c>
    </row>
    <row r="211" spans="13:14">
      <c r="M211" s="59">
        <v>-0.825084555</v>
      </c>
      <c r="N211" s="59">
        <v>20.5</v>
      </c>
    </row>
    <row r="212" spans="13:14">
      <c r="M212" s="59">
        <v>-0.82074451199999998</v>
      </c>
      <c r="N212" s="59">
        <v>20.6</v>
      </c>
    </row>
    <row r="213" spans="13:14">
      <c r="M213" s="59">
        <v>-0.81588386400000001</v>
      </c>
      <c r="N213" s="59">
        <v>20.7</v>
      </c>
    </row>
    <row r="214" spans="13:14">
      <c r="M214" s="59">
        <v>-0.81100744800000002</v>
      </c>
      <c r="N214" s="59">
        <v>20.8</v>
      </c>
    </row>
    <row r="215" spans="13:14">
      <c r="M215" s="59">
        <v>-0.80545497899999996</v>
      </c>
      <c r="N215" s="59">
        <v>20.9</v>
      </c>
    </row>
    <row r="216" spans="13:14">
      <c r="M216" s="59">
        <v>-0.79990251000000001</v>
      </c>
      <c r="N216" s="59">
        <v>21</v>
      </c>
    </row>
    <row r="217" spans="13:14">
      <c r="M217" s="59">
        <v>-0.79517598099999998</v>
      </c>
      <c r="N217" s="59">
        <v>21.1</v>
      </c>
    </row>
    <row r="218" spans="13:14">
      <c r="M218" s="59">
        <v>-0.79437605200000005</v>
      </c>
      <c r="N218" s="59">
        <v>21.2</v>
      </c>
    </row>
    <row r="219" spans="13:14">
      <c r="M219" s="59">
        <v>-0.79357612300000002</v>
      </c>
      <c r="N219" s="59">
        <v>21.3</v>
      </c>
    </row>
    <row r="220" spans="13:14">
      <c r="M220" s="59">
        <v>-0.79303599999999996</v>
      </c>
      <c r="N220" s="59">
        <v>21.4</v>
      </c>
    </row>
    <row r="221" spans="13:14">
      <c r="M221" s="59">
        <v>-0.79303599999999996</v>
      </c>
      <c r="N221" s="59">
        <v>21.5</v>
      </c>
    </row>
    <row r="222" spans="13:14">
      <c r="M222" s="59">
        <v>-0.79303599999999996</v>
      </c>
      <c r="N222" s="59">
        <v>21.6</v>
      </c>
    </row>
    <row r="223" spans="13:14">
      <c r="M223" s="59">
        <v>-0.78878768700000002</v>
      </c>
      <c r="N223" s="59">
        <v>21.7</v>
      </c>
    </row>
    <row r="224" spans="13:14">
      <c r="M224" s="59">
        <v>-0.77985859800000001</v>
      </c>
      <c r="N224" s="59">
        <v>21.8</v>
      </c>
    </row>
    <row r="225" spans="13:14">
      <c r="M225" s="59">
        <v>-0.77092950900000001</v>
      </c>
      <c r="N225" s="59">
        <v>21.9</v>
      </c>
    </row>
    <row r="226" spans="13:14">
      <c r="M226" s="59">
        <v>-0.76578595999999999</v>
      </c>
      <c r="N226" s="59">
        <v>22</v>
      </c>
    </row>
    <row r="227" spans="13:14">
      <c r="M227" s="59">
        <v>-0.76289652799999996</v>
      </c>
      <c r="N227" s="59">
        <v>22.1</v>
      </c>
    </row>
    <row r="228" spans="13:14">
      <c r="M228" s="59">
        <v>-0.76000709600000005</v>
      </c>
      <c r="N228" s="59">
        <v>22.2</v>
      </c>
    </row>
    <row r="229" spans="13:14">
      <c r="M229" s="59">
        <v>-0.75654136100000002</v>
      </c>
      <c r="N229" s="59">
        <v>22.3</v>
      </c>
    </row>
    <row r="230" spans="13:14">
      <c r="M230" s="59">
        <v>-0.75291096800000001</v>
      </c>
      <c r="N230" s="59">
        <v>22.4</v>
      </c>
    </row>
    <row r="231" spans="13:14">
      <c r="M231" s="59">
        <v>-0.749280575</v>
      </c>
      <c r="N231" s="59">
        <v>22.5</v>
      </c>
    </row>
    <row r="232" spans="13:14">
      <c r="M232" s="59">
        <v>-0.74878662799999995</v>
      </c>
      <c r="N232" s="59">
        <v>22.6</v>
      </c>
    </row>
    <row r="233" spans="13:14">
      <c r="M233" s="59">
        <v>-0.74853320599999995</v>
      </c>
      <c r="N233" s="59">
        <v>22.7</v>
      </c>
    </row>
    <row r="234" spans="13:14">
      <c r="M234" s="59">
        <v>-0.74829999999999997</v>
      </c>
      <c r="N234" s="59">
        <v>22.8</v>
      </c>
    </row>
    <row r="235" spans="13:14">
      <c r="M235" s="59">
        <v>-0.74829999999999997</v>
      </c>
      <c r="N235" s="59">
        <v>22.9</v>
      </c>
    </row>
    <row r="236" spans="13:14">
      <c r="M236" s="59">
        <v>-0.74829999999999997</v>
      </c>
      <c r="N236" s="59">
        <v>23</v>
      </c>
    </row>
    <row r="237" spans="13:14">
      <c r="M237" s="59">
        <v>-0.74760210400000005</v>
      </c>
      <c r="N237" s="59">
        <v>23.1</v>
      </c>
    </row>
    <row r="238" spans="13:14">
      <c r="M238" s="59">
        <v>-0.74457788800000002</v>
      </c>
      <c r="N238" s="59">
        <v>23.2</v>
      </c>
    </row>
    <row r="239" spans="13:14">
      <c r="M239" s="59">
        <v>-0.741553672</v>
      </c>
      <c r="N239" s="59">
        <v>23.3</v>
      </c>
    </row>
    <row r="240" spans="13:14">
      <c r="M240" s="59">
        <v>-0.73719481600000003</v>
      </c>
      <c r="N240" s="59">
        <v>23.4</v>
      </c>
    </row>
    <row r="241" spans="13:14">
      <c r="M241" s="59">
        <v>-0.73067464000000004</v>
      </c>
      <c r="N241" s="59">
        <v>23.5</v>
      </c>
    </row>
    <row r="242" spans="13:14">
      <c r="M242" s="59">
        <v>-0.72415446400000005</v>
      </c>
      <c r="N242" s="59">
        <v>23.6</v>
      </c>
    </row>
    <row r="243" spans="13:14">
      <c r="M243" s="59">
        <v>-0.72064536199999996</v>
      </c>
      <c r="N243" s="59">
        <v>23.7</v>
      </c>
    </row>
    <row r="244" spans="13:14">
      <c r="M244" s="59">
        <v>-0.71977698800000001</v>
      </c>
      <c r="N244" s="59">
        <v>23.8</v>
      </c>
    </row>
    <row r="245" spans="13:14">
      <c r="M245" s="59">
        <v>-0.71890861399999995</v>
      </c>
      <c r="N245" s="59">
        <v>23.9</v>
      </c>
    </row>
    <row r="246" spans="13:14">
      <c r="M246" s="59">
        <v>-0.71673944000000001</v>
      </c>
      <c r="N246" s="59">
        <v>24</v>
      </c>
    </row>
    <row r="247" spans="13:14">
      <c r="M247" s="59">
        <v>-0.71396864599999998</v>
      </c>
      <c r="N247" s="59">
        <v>24.1</v>
      </c>
    </row>
    <row r="248" spans="13:14">
      <c r="M248" s="59">
        <v>-0.71119785199999996</v>
      </c>
      <c r="N248" s="59">
        <v>24.2</v>
      </c>
    </row>
    <row r="249" spans="13:14">
      <c r="M249" s="59">
        <v>-0.70801158399999997</v>
      </c>
      <c r="N249" s="59">
        <v>24.3</v>
      </c>
    </row>
    <row r="250" spans="13:14">
      <c r="M250" s="59">
        <v>-0.70474307199999997</v>
      </c>
      <c r="N250" s="59">
        <v>24.4</v>
      </c>
    </row>
    <row r="251" spans="13:14">
      <c r="M251" s="59">
        <v>-0.70147455999999997</v>
      </c>
      <c r="N251" s="59">
        <v>24.5</v>
      </c>
    </row>
    <row r="252" spans="13:14">
      <c r="M252" s="59">
        <v>-0.69638677999999998</v>
      </c>
      <c r="N252" s="59">
        <v>24.6</v>
      </c>
    </row>
    <row r="253" spans="13:14">
      <c r="M253" s="59">
        <v>-0.69127271000000001</v>
      </c>
      <c r="N253" s="59">
        <v>24.7</v>
      </c>
    </row>
    <row r="254" spans="13:14">
      <c r="M254" s="59">
        <v>-0.686639216</v>
      </c>
      <c r="N254" s="59">
        <v>24.8</v>
      </c>
    </row>
    <row r="255" spans="13:14">
      <c r="M255" s="59">
        <v>-0.68503935800000004</v>
      </c>
      <c r="N255" s="59">
        <v>24.9</v>
      </c>
    </row>
    <row r="256" spans="13:14">
      <c r="M256" s="59">
        <v>-0.68343949999999998</v>
      </c>
      <c r="N256" s="59">
        <v>25</v>
      </c>
    </row>
    <row r="257" spans="13:14">
      <c r="M257" s="59">
        <v>-0.68196568999999996</v>
      </c>
      <c r="N257" s="59">
        <v>25.1</v>
      </c>
    </row>
    <row r="258" spans="13:14">
      <c r="M258" s="59">
        <v>-0.68080388000000003</v>
      </c>
      <c r="N258" s="59">
        <v>25.2</v>
      </c>
    </row>
    <row r="259" spans="13:14">
      <c r="M259" s="59">
        <v>-0.67964206999999999</v>
      </c>
      <c r="N259" s="59">
        <v>25.3</v>
      </c>
    </row>
    <row r="260" spans="13:14">
      <c r="M260" s="59">
        <v>-0.67469124400000002</v>
      </c>
      <c r="N260" s="59">
        <v>25.4</v>
      </c>
    </row>
    <row r="261" spans="13:14">
      <c r="M261" s="59">
        <v>-0.66489343000000001</v>
      </c>
      <c r="N261" s="59">
        <v>25.5</v>
      </c>
    </row>
    <row r="262" spans="13:14">
      <c r="M262" s="59">
        <v>-0.65509561599999999</v>
      </c>
      <c r="N262" s="59">
        <v>25.6</v>
      </c>
    </row>
    <row r="263" spans="13:14">
      <c r="M263" s="59">
        <v>-0.64893520599999999</v>
      </c>
      <c r="N263" s="59">
        <v>25.7</v>
      </c>
    </row>
    <row r="264" spans="13:14">
      <c r="M264" s="59">
        <v>-0.64530516400000004</v>
      </c>
      <c r="N264" s="59">
        <v>25.8</v>
      </c>
    </row>
    <row r="265" spans="13:14">
      <c r="M265" s="59">
        <v>-0.64167512199999999</v>
      </c>
      <c r="N265" s="59">
        <v>25.9</v>
      </c>
    </row>
    <row r="266" spans="13:14">
      <c r="M266" s="59">
        <v>-0.64073400000000003</v>
      </c>
      <c r="N266" s="59">
        <v>26</v>
      </c>
    </row>
    <row r="267" spans="13:14">
      <c r="M267" s="59">
        <v>-0.64073400000000003</v>
      </c>
      <c r="N267" s="59">
        <v>26.1</v>
      </c>
    </row>
    <row r="268" spans="13:14">
      <c r="M268" s="59">
        <v>-0.64073400000000003</v>
      </c>
      <c r="N268" s="59">
        <v>26.2</v>
      </c>
    </row>
    <row r="269" spans="13:14">
      <c r="M269" s="59">
        <v>-0.64067265200000001</v>
      </c>
      <c r="N269" s="59">
        <v>26.3</v>
      </c>
    </row>
    <row r="270" spans="13:14">
      <c r="M270" s="59">
        <v>-0.64060385600000003</v>
      </c>
      <c r="N270" s="59">
        <v>26.4</v>
      </c>
    </row>
    <row r="271" spans="13:14">
      <c r="M271" s="59">
        <v>-0.640477925</v>
      </c>
      <c r="N271" s="59">
        <v>26.5</v>
      </c>
    </row>
    <row r="272" spans="13:14">
      <c r="M272" s="59">
        <v>-0.63907217000000005</v>
      </c>
      <c r="N272" s="59">
        <v>26.6</v>
      </c>
    </row>
    <row r="273" spans="13:14">
      <c r="M273" s="59">
        <v>-0.63766641499999999</v>
      </c>
      <c r="N273" s="59">
        <v>26.7</v>
      </c>
    </row>
    <row r="274" spans="13:14">
      <c r="M274" s="59">
        <v>-0.63648390399999999</v>
      </c>
      <c r="N274" s="59">
        <v>26.8</v>
      </c>
    </row>
    <row r="275" spans="13:14">
      <c r="M275" s="59">
        <v>-0.63623048199999999</v>
      </c>
      <c r="N275" s="59">
        <v>26.9</v>
      </c>
    </row>
    <row r="276" spans="13:14">
      <c r="M276" s="59">
        <v>-0.63597705999999998</v>
      </c>
      <c r="N276" s="59">
        <v>27</v>
      </c>
    </row>
    <row r="277" spans="13:14">
      <c r="M277" s="59">
        <v>-0.63581100000000002</v>
      </c>
      <c r="N277" s="59">
        <v>27.1</v>
      </c>
    </row>
    <row r="278" spans="13:14">
      <c r="M278" s="59">
        <v>-0.63581100000000002</v>
      </c>
      <c r="N278" s="59">
        <v>27.2</v>
      </c>
    </row>
    <row r="279" spans="13:14">
      <c r="M279" s="59">
        <v>-0.63581100000000002</v>
      </c>
      <c r="N279" s="59">
        <v>27.3</v>
      </c>
    </row>
    <row r="280" spans="13:14">
      <c r="M280" s="59">
        <v>-0.63401131799999999</v>
      </c>
      <c r="N280" s="59">
        <v>27.4</v>
      </c>
    </row>
    <row r="281" spans="13:14">
      <c r="M281" s="59">
        <v>-0.63038092499999998</v>
      </c>
      <c r="N281" s="59">
        <v>27.5</v>
      </c>
    </row>
    <row r="282" spans="13:14">
      <c r="M282" s="59">
        <v>-0.62675053199999997</v>
      </c>
      <c r="N282" s="59">
        <v>27.6</v>
      </c>
    </row>
    <row r="283" spans="13:14">
      <c r="M283" s="59">
        <v>-0.62347380500000005</v>
      </c>
      <c r="N283" s="59">
        <v>27.7</v>
      </c>
    </row>
    <row r="284" spans="13:14">
      <c r="M284" s="59">
        <v>-0.62039027000000002</v>
      </c>
      <c r="N284" s="59">
        <v>27.8</v>
      </c>
    </row>
    <row r="285" spans="13:14">
      <c r="M285" s="59">
        <v>-0.617306735</v>
      </c>
      <c r="N285" s="59">
        <v>27.9</v>
      </c>
    </row>
    <row r="286" spans="13:14">
      <c r="M286" s="59">
        <v>-0.61619215999999999</v>
      </c>
      <c r="N286" s="59">
        <v>28</v>
      </c>
    </row>
    <row r="287" spans="13:14">
      <c r="M287" s="59">
        <v>-0.61557685699999998</v>
      </c>
      <c r="N287" s="59">
        <v>28.1</v>
      </c>
    </row>
    <row r="288" spans="13:14">
      <c r="M288" s="59">
        <v>-0.61496155399999997</v>
      </c>
      <c r="N288" s="59">
        <v>28.2</v>
      </c>
    </row>
    <row r="289" spans="13:14">
      <c r="M289" s="59">
        <v>-0.60914412500000004</v>
      </c>
      <c r="N289" s="59">
        <v>28.3</v>
      </c>
    </row>
    <row r="290" spans="13:14">
      <c r="M290" s="59">
        <v>-0.60304550000000001</v>
      </c>
      <c r="N290" s="59">
        <v>28.4</v>
      </c>
    </row>
    <row r="291" spans="13:14">
      <c r="M291" s="59">
        <v>-0.597192995</v>
      </c>
      <c r="N291" s="59">
        <v>28.5</v>
      </c>
    </row>
    <row r="292" spans="13:14">
      <c r="M292" s="59">
        <v>-0.59356260199999999</v>
      </c>
      <c r="N292" s="59">
        <v>28.6</v>
      </c>
    </row>
    <row r="293" spans="13:14">
      <c r="M293" s="59">
        <v>-0.58993220899999999</v>
      </c>
      <c r="N293" s="59">
        <v>28.7</v>
      </c>
    </row>
    <row r="294" spans="13:14">
      <c r="M294" s="59">
        <v>-0.586639472</v>
      </c>
      <c r="N294" s="59">
        <v>28.8</v>
      </c>
    </row>
    <row r="295" spans="13:14">
      <c r="M295" s="59">
        <v>-0.584355866</v>
      </c>
      <c r="N295" s="59">
        <v>28.9</v>
      </c>
    </row>
    <row r="296" spans="13:14">
      <c r="M296" s="59">
        <v>-0.58207226000000001</v>
      </c>
      <c r="N296" s="59">
        <v>29</v>
      </c>
    </row>
    <row r="297" spans="13:14">
      <c r="M297" s="59">
        <v>-0.58013748799999998</v>
      </c>
      <c r="N297" s="59">
        <v>29.1</v>
      </c>
    </row>
    <row r="298" spans="13:14">
      <c r="M298" s="59">
        <v>-0.57872225600000005</v>
      </c>
      <c r="N298" s="59">
        <v>29.2</v>
      </c>
    </row>
    <row r="299" spans="13:14">
      <c r="M299" s="59">
        <v>-0.577307024</v>
      </c>
      <c r="N299" s="59">
        <v>29.3</v>
      </c>
    </row>
    <row r="300" spans="13:14">
      <c r="M300" s="59">
        <v>-0.57626465999999998</v>
      </c>
      <c r="N300" s="59">
        <v>29.4</v>
      </c>
    </row>
    <row r="301" spans="13:14">
      <c r="M301" s="59">
        <v>-0.57552404999999995</v>
      </c>
      <c r="N301" s="59">
        <v>29.5</v>
      </c>
    </row>
    <row r="302" spans="13:14">
      <c r="M302" s="59">
        <v>-0.57478344000000003</v>
      </c>
      <c r="N302" s="59">
        <v>29.6</v>
      </c>
    </row>
    <row r="303" spans="13:14">
      <c r="M303" s="59">
        <v>-0.57296343999999999</v>
      </c>
      <c r="N303" s="59">
        <v>29.7</v>
      </c>
    </row>
    <row r="304" spans="13:14">
      <c r="M304" s="59">
        <v>-0.57068896000000002</v>
      </c>
      <c r="N304" s="59">
        <v>29.8</v>
      </c>
    </row>
    <row r="305" spans="13:14">
      <c r="M305" s="59">
        <v>-0.56841448000000006</v>
      </c>
      <c r="N305" s="59">
        <v>29.9</v>
      </c>
    </row>
    <row r="306" spans="13:14">
      <c r="M306" s="59">
        <v>-0.56734150000000005</v>
      </c>
      <c r="N306" s="59">
        <v>30</v>
      </c>
    </row>
    <row r="307" spans="13:14">
      <c r="M307" s="59">
        <v>-0.56647277500000004</v>
      </c>
      <c r="N307" s="59">
        <v>30.1</v>
      </c>
    </row>
    <row r="308" spans="13:14">
      <c r="M308" s="59">
        <v>-0.565600938</v>
      </c>
      <c r="N308" s="59">
        <v>30.2</v>
      </c>
    </row>
    <row r="309" spans="13:14">
      <c r="M309" s="59">
        <v>-0.56418605700000002</v>
      </c>
      <c r="N309" s="59">
        <v>30.3</v>
      </c>
    </row>
    <row r="310" spans="13:14">
      <c r="M310" s="59">
        <v>-0.56277117600000004</v>
      </c>
      <c r="N310" s="59">
        <v>30.4</v>
      </c>
    </row>
    <row r="311" spans="13:14">
      <c r="M311" s="59">
        <v>-0.56136553499999997</v>
      </c>
      <c r="N311" s="59">
        <v>30.5</v>
      </c>
    </row>
    <row r="312" spans="13:14">
      <c r="M312" s="59">
        <v>-0.56000962200000004</v>
      </c>
      <c r="N312" s="59">
        <v>30.6</v>
      </c>
    </row>
    <row r="313" spans="13:14">
      <c r="M313" s="59">
        <v>-0.558653709</v>
      </c>
      <c r="N313" s="59">
        <v>30.7</v>
      </c>
    </row>
    <row r="314" spans="13:14">
      <c r="M314" s="59">
        <v>-0.55684419600000001</v>
      </c>
      <c r="N314" s="59">
        <v>30.8</v>
      </c>
    </row>
    <row r="315" spans="13:14">
      <c r="M315" s="59">
        <v>-0.55401408299999999</v>
      </c>
      <c r="N315" s="59">
        <v>30.9</v>
      </c>
    </row>
    <row r="316" spans="13:14">
      <c r="M316" s="59">
        <v>-0.55118396999999997</v>
      </c>
      <c r="N316" s="59">
        <v>31</v>
      </c>
    </row>
    <row r="317" spans="13:14">
      <c r="M317" s="59">
        <v>-0.54950838800000001</v>
      </c>
      <c r="N317" s="59">
        <v>31.1</v>
      </c>
    </row>
    <row r="318" spans="13:14">
      <c r="M318" s="59">
        <v>-0.54919529600000005</v>
      </c>
      <c r="N318" s="59">
        <v>31.2</v>
      </c>
    </row>
    <row r="319" spans="13:14">
      <c r="M319" s="59">
        <v>-0.54888220399999998</v>
      </c>
      <c r="N319" s="59">
        <v>31.3</v>
      </c>
    </row>
    <row r="320" spans="13:14">
      <c r="M320" s="59">
        <v>-0.54760033399999997</v>
      </c>
      <c r="N320" s="59">
        <v>31.4</v>
      </c>
    </row>
    <row r="321" spans="13:14">
      <c r="M321" s="59">
        <v>-0.54569826499999996</v>
      </c>
      <c r="N321" s="59">
        <v>31.5</v>
      </c>
    </row>
    <row r="322" spans="13:14">
      <c r="M322" s="59">
        <v>-0.54379619599999995</v>
      </c>
      <c r="N322" s="59">
        <v>31.6</v>
      </c>
    </row>
    <row r="323" spans="13:14">
      <c r="M323" s="59">
        <v>-0.54202655899999996</v>
      </c>
      <c r="N323" s="59">
        <v>31.7</v>
      </c>
    </row>
    <row r="324" spans="13:14">
      <c r="M324" s="59">
        <v>-0.54029858600000003</v>
      </c>
      <c r="N324" s="59">
        <v>31.8</v>
      </c>
    </row>
    <row r="325" spans="13:14">
      <c r="M325" s="59">
        <v>-0.53857061299999998</v>
      </c>
      <c r="N325" s="59">
        <v>31.9</v>
      </c>
    </row>
    <row r="326" spans="13:14">
      <c r="M326" s="59">
        <v>-0.53762600000000005</v>
      </c>
      <c r="N326" s="59">
        <v>32</v>
      </c>
    </row>
    <row r="327" spans="13:14">
      <c r="M327" s="59">
        <v>-0.53675727500000003</v>
      </c>
      <c r="N327" s="59">
        <v>32.1</v>
      </c>
    </row>
    <row r="328" spans="13:14">
      <c r="M328" s="59">
        <v>-0.53576990400000002</v>
      </c>
      <c r="N328" s="59">
        <v>32.200000000000003</v>
      </c>
    </row>
    <row r="329" spans="13:14">
      <c r="M329" s="59">
        <v>-0.53300823600000002</v>
      </c>
      <c r="N329" s="59">
        <v>32.299999999999997</v>
      </c>
    </row>
    <row r="330" spans="13:14">
      <c r="M330" s="59">
        <v>-0.53024656800000003</v>
      </c>
      <c r="N330" s="59">
        <v>32.4</v>
      </c>
    </row>
    <row r="331" spans="13:14">
      <c r="M331" s="59">
        <v>-0.52778535000000004</v>
      </c>
      <c r="N331" s="59">
        <v>32.5</v>
      </c>
    </row>
    <row r="332" spans="13:14">
      <c r="M332" s="59">
        <v>-0.52642978799999995</v>
      </c>
      <c r="N332" s="59">
        <v>32.6</v>
      </c>
    </row>
    <row r="333" spans="13:14">
      <c r="M333" s="59">
        <v>-0.52507422599999998</v>
      </c>
      <c r="N333" s="59">
        <v>32.700000000000003</v>
      </c>
    </row>
    <row r="334" spans="13:14">
      <c r="M334" s="59">
        <v>-0.52360448800000003</v>
      </c>
      <c r="N334" s="59">
        <v>32.799999999999997</v>
      </c>
    </row>
    <row r="335" spans="13:14">
      <c r="M335" s="59">
        <v>-0.52193583399999999</v>
      </c>
      <c r="N335" s="59">
        <v>32.9</v>
      </c>
    </row>
    <row r="336" spans="13:14">
      <c r="M336" s="59">
        <v>-0.52026718000000005</v>
      </c>
      <c r="N336" s="59">
        <v>33</v>
      </c>
    </row>
    <row r="337" spans="13:14">
      <c r="M337" s="59">
        <v>-0.51755632799999995</v>
      </c>
      <c r="N337" s="59">
        <v>33.1</v>
      </c>
    </row>
    <row r="338" spans="13:14">
      <c r="M338" s="59">
        <v>-0.51386661600000005</v>
      </c>
      <c r="N338" s="59">
        <v>33.200000000000003</v>
      </c>
    </row>
    <row r="339" spans="13:14">
      <c r="M339" s="59">
        <v>-0.51017690400000004</v>
      </c>
      <c r="N339" s="59">
        <v>33.299999999999997</v>
      </c>
    </row>
    <row r="340" spans="13:14">
      <c r="M340" s="59">
        <v>-0.50881759800000004</v>
      </c>
      <c r="N340" s="59">
        <v>33.4</v>
      </c>
    </row>
    <row r="341" spans="13:14">
      <c r="M341" s="59">
        <v>-0.50862349500000004</v>
      </c>
      <c r="N341" s="59">
        <v>33.5</v>
      </c>
    </row>
    <row r="342" spans="13:14">
      <c r="M342" s="59">
        <v>-0.50842939200000004</v>
      </c>
      <c r="N342" s="59">
        <v>33.6</v>
      </c>
    </row>
    <row r="343" spans="13:14">
      <c r="M343" s="59">
        <v>-0.50804959999999999</v>
      </c>
      <c r="N343" s="59">
        <v>33.700000000000003</v>
      </c>
    </row>
    <row r="344" spans="13:14">
      <c r="M344" s="59">
        <v>-0.50762839999999998</v>
      </c>
      <c r="N344" s="59">
        <v>33.799999999999997</v>
      </c>
    </row>
    <row r="345" spans="13:14">
      <c r="M345" s="59">
        <v>-0.50720719999999997</v>
      </c>
      <c r="N345" s="59">
        <v>33.9</v>
      </c>
    </row>
    <row r="346" spans="13:14">
      <c r="M346" s="59">
        <v>-0.50623145999999997</v>
      </c>
      <c r="N346" s="59">
        <v>34</v>
      </c>
    </row>
    <row r="347" spans="13:14">
      <c r="M347" s="59">
        <v>-0.505237779</v>
      </c>
      <c r="N347" s="59">
        <v>34.1</v>
      </c>
    </row>
    <row r="348" spans="13:14">
      <c r="M348" s="59">
        <v>-0.503633208</v>
      </c>
      <c r="N348" s="59">
        <v>34.200000000000003</v>
      </c>
    </row>
    <row r="349" spans="13:14">
      <c r="M349" s="59">
        <v>-0.49753423200000002</v>
      </c>
      <c r="N349" s="59">
        <v>34.299999999999997</v>
      </c>
    </row>
    <row r="350" spans="13:14">
      <c r="M350" s="59">
        <v>-0.49143525599999999</v>
      </c>
      <c r="N350" s="59">
        <v>34.4</v>
      </c>
    </row>
    <row r="351" spans="13:14">
      <c r="M351" s="59">
        <v>-0.48605448000000001</v>
      </c>
      <c r="N351" s="59">
        <v>34.5</v>
      </c>
    </row>
    <row r="352" spans="13:14">
      <c r="M352" s="59">
        <v>-0.48260906399999998</v>
      </c>
      <c r="N352" s="59">
        <v>34.6</v>
      </c>
    </row>
    <row r="353" spans="13:14">
      <c r="M353" s="59">
        <v>-0.479163648</v>
      </c>
      <c r="N353" s="59">
        <v>34.700000000000003</v>
      </c>
    </row>
    <row r="354" spans="13:14">
      <c r="M354" s="59">
        <v>-0.47621195999999999</v>
      </c>
      <c r="N354" s="59">
        <v>34.799999999999997</v>
      </c>
    </row>
    <row r="355" spans="13:14">
      <c r="M355" s="59">
        <v>-0.47393748000000002</v>
      </c>
      <c r="N355" s="59">
        <v>34.9</v>
      </c>
    </row>
    <row r="356" spans="13:14">
      <c r="M356" s="59">
        <v>-0.471663</v>
      </c>
      <c r="N356" s="59">
        <v>35</v>
      </c>
    </row>
    <row r="357" spans="13:14">
      <c r="M357" s="59">
        <v>-0.470227695</v>
      </c>
      <c r="N357" s="59">
        <v>35.1</v>
      </c>
    </row>
    <row r="358" spans="13:14">
      <c r="M358" s="59">
        <v>-0.46941864</v>
      </c>
      <c r="N358" s="59">
        <v>35.200000000000003</v>
      </c>
    </row>
    <row r="359" spans="13:14">
      <c r="M359" s="59">
        <v>-0.468609585</v>
      </c>
      <c r="N359" s="59">
        <v>35.299999999999997</v>
      </c>
    </row>
    <row r="360" spans="13:14">
      <c r="M360" s="59">
        <v>-0.46780713400000001</v>
      </c>
      <c r="N360" s="59">
        <v>35.4</v>
      </c>
    </row>
    <row r="361" spans="13:14">
      <c r="M361" s="59">
        <v>-0.46700720499999998</v>
      </c>
      <c r="N361" s="59">
        <v>35.5</v>
      </c>
    </row>
    <row r="362" spans="13:14">
      <c r="M362" s="59">
        <v>-0.466207276</v>
      </c>
      <c r="N362" s="59">
        <v>35.6</v>
      </c>
    </row>
    <row r="363" spans="13:14">
      <c r="M363" s="59">
        <v>-0.46433898699999998</v>
      </c>
      <c r="N363" s="59">
        <v>35.700000000000003</v>
      </c>
    </row>
    <row r="364" spans="13:14">
      <c r="M364" s="59">
        <v>-0.46231757800000001</v>
      </c>
      <c r="N364" s="59">
        <v>35.799999999999997</v>
      </c>
    </row>
    <row r="365" spans="13:14">
      <c r="M365" s="59">
        <v>-0.46026893499999999</v>
      </c>
      <c r="N365" s="59">
        <v>35.9</v>
      </c>
    </row>
    <row r="366" spans="13:14">
      <c r="M366" s="59">
        <v>-0.45718540000000002</v>
      </c>
      <c r="N366" s="59">
        <v>36</v>
      </c>
    </row>
    <row r="367" spans="13:14">
      <c r="M367" s="59">
        <v>-0.45410186499999999</v>
      </c>
      <c r="N367" s="59">
        <v>36.1</v>
      </c>
    </row>
    <row r="368" spans="13:14">
      <c r="M368" s="59">
        <v>-0.45037706399999999</v>
      </c>
      <c r="N368" s="59">
        <v>36.200000000000003</v>
      </c>
    </row>
    <row r="369" spans="13:14">
      <c r="M369" s="59">
        <v>-0.44366313600000001</v>
      </c>
      <c r="N369" s="59">
        <v>36.299999999999997</v>
      </c>
    </row>
    <row r="370" spans="13:14">
      <c r="M370" s="59">
        <v>-0.43694920799999998</v>
      </c>
      <c r="N370" s="59">
        <v>36.4</v>
      </c>
    </row>
    <row r="371" spans="13:14">
      <c r="M371" s="59">
        <v>-0.43023528</v>
      </c>
      <c r="N371" s="59">
        <v>36.5</v>
      </c>
    </row>
    <row r="372" spans="13:14">
      <c r="M372" s="59">
        <v>-0.42352135200000002</v>
      </c>
      <c r="N372" s="59">
        <v>36.6</v>
      </c>
    </row>
    <row r="373" spans="13:14">
      <c r="M373" s="59">
        <v>-0.41680742399999998</v>
      </c>
      <c r="N373" s="59">
        <v>36.700000000000003</v>
      </c>
    </row>
    <row r="374" spans="13:14">
      <c r="M374" s="59">
        <v>-0.41221382400000001</v>
      </c>
      <c r="N374" s="59">
        <v>36.799999999999997</v>
      </c>
    </row>
    <row r="375" spans="13:14">
      <c r="M375" s="59">
        <v>-0.409929867</v>
      </c>
      <c r="N375" s="59">
        <v>36.9</v>
      </c>
    </row>
    <row r="376" spans="13:14">
      <c r="M376" s="59">
        <v>-0.40764591</v>
      </c>
      <c r="N376" s="59">
        <v>37</v>
      </c>
    </row>
    <row r="377" spans="13:14">
      <c r="M377" s="59">
        <v>-0.40439795099999998</v>
      </c>
      <c r="N377" s="59">
        <v>37.1</v>
      </c>
    </row>
    <row r="378" spans="13:14">
      <c r="M378" s="59">
        <v>-0.400582932</v>
      </c>
      <c r="N378" s="59">
        <v>37.200000000000003</v>
      </c>
    </row>
    <row r="379" spans="13:14">
      <c r="M379" s="59">
        <v>-0.39676791300000003</v>
      </c>
      <c r="N379" s="59">
        <v>37.299999999999997</v>
      </c>
    </row>
    <row r="380" spans="13:14">
      <c r="M380" s="59">
        <v>-0.39539724799999998</v>
      </c>
      <c r="N380" s="59">
        <v>37.4</v>
      </c>
    </row>
    <row r="381" spans="13:14">
      <c r="M381" s="59">
        <v>-0.39471349999999999</v>
      </c>
      <c r="N381" s="59">
        <v>37.5</v>
      </c>
    </row>
    <row r="382" spans="13:14">
      <c r="M382" s="59">
        <v>-0.39402975200000001</v>
      </c>
      <c r="N382" s="59">
        <v>37.6</v>
      </c>
    </row>
    <row r="383" spans="13:14">
      <c r="M383" s="59">
        <v>-0.39398300000000003</v>
      </c>
      <c r="N383" s="59">
        <v>37.700000000000003</v>
      </c>
    </row>
    <row r="384" spans="13:14">
      <c r="M384" s="59">
        <v>-0.39398300000000003</v>
      </c>
      <c r="N384" s="59">
        <v>37.799999999999997</v>
      </c>
    </row>
    <row r="385" spans="13:14">
      <c r="M385" s="59">
        <v>-0.39398300000000003</v>
      </c>
      <c r="N385" s="59">
        <v>37.9</v>
      </c>
    </row>
    <row r="386" spans="13:14">
      <c r="M386" s="59">
        <v>-0.39398300000000003</v>
      </c>
      <c r="N386" s="59">
        <v>38</v>
      </c>
    </row>
    <row r="387" spans="13:14">
      <c r="M387" s="59">
        <v>-0.39398300000000003</v>
      </c>
      <c r="N387" s="59">
        <v>38.1</v>
      </c>
    </row>
    <row r="388" spans="13:14">
      <c r="M388" s="59">
        <v>-0.392173096</v>
      </c>
      <c r="N388" s="59">
        <v>38.200000000000003</v>
      </c>
    </row>
    <row r="389" spans="13:14">
      <c r="M389" s="59">
        <v>-0.38442582400000003</v>
      </c>
      <c r="N389" s="59">
        <v>38.299999999999997</v>
      </c>
    </row>
    <row r="390" spans="13:14">
      <c r="M390" s="59">
        <v>-0.376678552</v>
      </c>
      <c r="N390" s="59">
        <v>38.4</v>
      </c>
    </row>
    <row r="391" spans="13:14">
      <c r="M391" s="59">
        <v>-0.36889712499999999</v>
      </c>
      <c r="N391" s="59">
        <v>38.5</v>
      </c>
    </row>
    <row r="392" spans="13:14">
      <c r="M392" s="59">
        <v>-0.36106104999999999</v>
      </c>
      <c r="N392" s="59">
        <v>38.6</v>
      </c>
    </row>
    <row r="393" spans="13:14">
      <c r="M393" s="59">
        <v>-0.353224975</v>
      </c>
      <c r="N393" s="59">
        <v>38.700000000000003</v>
      </c>
    </row>
    <row r="394" spans="13:14">
      <c r="M394" s="59">
        <v>-0.34674776400000001</v>
      </c>
      <c r="N394" s="59">
        <v>38.799999999999997</v>
      </c>
    </row>
    <row r="395" spans="13:14">
      <c r="M395" s="59">
        <v>-0.34144871700000001</v>
      </c>
      <c r="N395" s="59">
        <v>38.9</v>
      </c>
    </row>
    <row r="396" spans="13:14">
      <c r="M396" s="59">
        <v>-0.33614967000000001</v>
      </c>
      <c r="N396" s="59">
        <v>39</v>
      </c>
    </row>
    <row r="397" spans="13:14">
      <c r="M397" s="59">
        <v>-0.33081013500000001</v>
      </c>
      <c r="N397" s="59">
        <v>39.1</v>
      </c>
    </row>
    <row r="398" spans="13:14">
      <c r="M398" s="59">
        <v>-0.32545212000000001</v>
      </c>
      <c r="N398" s="59">
        <v>39.200000000000003</v>
      </c>
    </row>
    <row r="399" spans="13:14">
      <c r="M399" s="59">
        <v>-0.32009410500000002</v>
      </c>
      <c r="N399" s="59">
        <v>39.299999999999997</v>
      </c>
    </row>
    <row r="400" spans="13:14">
      <c r="M400" s="59">
        <v>-0.31876624199999998</v>
      </c>
      <c r="N400" s="59">
        <v>39.4</v>
      </c>
    </row>
    <row r="401" spans="13:14">
      <c r="M401" s="59">
        <v>-0.318219735</v>
      </c>
      <c r="N401" s="59">
        <v>39.5</v>
      </c>
    </row>
    <row r="402" spans="13:14">
      <c r="M402" s="59">
        <v>-0.31767322799999997</v>
      </c>
      <c r="N402" s="59">
        <v>39.6</v>
      </c>
    </row>
    <row r="403" spans="13:14">
      <c r="M403" s="59">
        <v>-0.31686681799999999</v>
      </c>
      <c r="N403" s="59">
        <v>39.700000000000003</v>
      </c>
    </row>
    <row r="404" spans="13:14">
      <c r="M404" s="59">
        <v>-0.31605741199999998</v>
      </c>
      <c r="N404" s="59">
        <v>39.799999999999997</v>
      </c>
    </row>
    <row r="405" spans="13:14">
      <c r="M405" s="59">
        <v>-0.31485424200000001</v>
      </c>
      <c r="N405" s="59">
        <v>39.9</v>
      </c>
    </row>
    <row r="406" spans="13:14">
      <c r="M406" s="59">
        <v>-0.31122420000000001</v>
      </c>
      <c r="N406" s="59">
        <v>40</v>
      </c>
    </row>
    <row r="407" spans="13:14">
      <c r="M407" s="59">
        <v>-0.30759415800000001</v>
      </c>
      <c r="N407" s="59">
        <v>40.1</v>
      </c>
    </row>
    <row r="408" spans="13:14">
      <c r="M408" s="59">
        <v>-0.30287190000000003</v>
      </c>
      <c r="N408" s="59">
        <v>40.200000000000003</v>
      </c>
    </row>
    <row r="409" spans="13:14">
      <c r="M409" s="59">
        <v>-0.29548334999999998</v>
      </c>
      <c r="N409" s="59">
        <v>40.299999999999997</v>
      </c>
    </row>
    <row r="410" spans="13:14">
      <c r="M410" s="59">
        <v>-0.28809479999999998</v>
      </c>
      <c r="N410" s="59">
        <v>40.4</v>
      </c>
    </row>
    <row r="411" spans="13:14">
      <c r="M411" s="59">
        <v>-0.28260717000000002</v>
      </c>
      <c r="N411" s="59">
        <v>40.5</v>
      </c>
    </row>
    <row r="412" spans="13:14">
      <c r="M412" s="59">
        <v>-0.27952328399999998</v>
      </c>
      <c r="N412" s="59">
        <v>40.6</v>
      </c>
    </row>
    <row r="413" spans="13:14">
      <c r="M413" s="59">
        <v>-0.276439398</v>
      </c>
      <c r="N413" s="59">
        <v>40.700000000000003</v>
      </c>
    </row>
    <row r="414" spans="13:14">
      <c r="M414" s="59">
        <v>-0.27489450399999998</v>
      </c>
      <c r="N414" s="59">
        <v>40.799999999999997</v>
      </c>
    </row>
    <row r="415" spans="13:14">
      <c r="M415" s="59">
        <v>-0.27440766700000002</v>
      </c>
      <c r="N415" s="59">
        <v>40.9</v>
      </c>
    </row>
    <row r="416" spans="13:14">
      <c r="M416" s="59">
        <v>-0.27392083</v>
      </c>
      <c r="N416" s="59">
        <v>41</v>
      </c>
    </row>
    <row r="417" spans="13:14">
      <c r="M417" s="59">
        <v>-0.27196038700000003</v>
      </c>
      <c r="N417" s="59">
        <v>41.1</v>
      </c>
    </row>
    <row r="418" spans="13:14">
      <c r="M418" s="59">
        <v>-0.269491804</v>
      </c>
      <c r="N418" s="59">
        <v>41.2</v>
      </c>
    </row>
    <row r="419" spans="13:14">
      <c r="M419" s="59">
        <v>-0.26702322099999998</v>
      </c>
      <c r="N419" s="59">
        <v>41.3</v>
      </c>
    </row>
    <row r="420" spans="13:14">
      <c r="M420" s="59">
        <v>-0.265216864</v>
      </c>
      <c r="N420" s="59">
        <v>41.4</v>
      </c>
    </row>
    <row r="421" spans="13:14">
      <c r="M421" s="59">
        <v>-0.26348853999999999</v>
      </c>
      <c r="N421" s="59">
        <v>41.5</v>
      </c>
    </row>
    <row r="422" spans="13:14">
      <c r="M422" s="59">
        <v>-0.26147115999999998</v>
      </c>
      <c r="N422" s="59">
        <v>41.6</v>
      </c>
    </row>
    <row r="423" spans="13:14">
      <c r="M423" s="59">
        <v>-0.25340167000000002</v>
      </c>
      <c r="N423" s="59">
        <v>41.7</v>
      </c>
    </row>
    <row r="424" spans="13:14">
      <c r="M424" s="59">
        <v>-0.24533218000000001</v>
      </c>
      <c r="N424" s="59">
        <v>41.8</v>
      </c>
    </row>
    <row r="425" spans="13:14">
      <c r="M425" s="59">
        <v>-0.23884900000000001</v>
      </c>
      <c r="N425" s="59">
        <v>41.9</v>
      </c>
    </row>
    <row r="426" spans="13:14">
      <c r="M426" s="59">
        <v>-0.23884900000000001</v>
      </c>
      <c r="N426" s="59">
        <v>42</v>
      </c>
    </row>
    <row r="427" spans="13:14">
      <c r="M427" s="59">
        <v>-0.23884900000000001</v>
      </c>
      <c r="N427" s="59">
        <v>42.1</v>
      </c>
    </row>
    <row r="428" spans="13:14">
      <c r="M428" s="59">
        <v>-0.23686088799999999</v>
      </c>
      <c r="N428" s="59">
        <v>42.2</v>
      </c>
    </row>
    <row r="429" spans="13:14">
      <c r="M429" s="59">
        <v>-0.23114099199999999</v>
      </c>
      <c r="N429" s="59">
        <v>42.3</v>
      </c>
    </row>
    <row r="430" spans="13:14">
      <c r="M430" s="59">
        <v>-0.22542109599999999</v>
      </c>
      <c r="N430" s="59">
        <v>42.4</v>
      </c>
    </row>
    <row r="431" spans="13:14">
      <c r="M431" s="59">
        <v>-0.22135179999999999</v>
      </c>
      <c r="N431" s="59">
        <v>42.5</v>
      </c>
    </row>
    <row r="432" spans="13:14">
      <c r="M432" s="59">
        <v>-0.21894253599999999</v>
      </c>
      <c r="N432" s="59">
        <v>42.6</v>
      </c>
    </row>
    <row r="433" spans="13:14">
      <c r="M433" s="59">
        <v>-0.216533272</v>
      </c>
      <c r="N433" s="59">
        <v>42.7</v>
      </c>
    </row>
    <row r="434" spans="13:14">
      <c r="M434" s="59">
        <v>-0.215289544</v>
      </c>
      <c r="N434" s="59">
        <v>42.8</v>
      </c>
    </row>
    <row r="435" spans="13:14">
      <c r="M435" s="59">
        <v>-0.214674592</v>
      </c>
      <c r="N435" s="59">
        <v>42.9</v>
      </c>
    </row>
    <row r="436" spans="13:14">
      <c r="M436" s="59">
        <v>-0.21405964</v>
      </c>
      <c r="N436" s="59">
        <v>43</v>
      </c>
    </row>
    <row r="437" spans="13:14">
      <c r="M437" s="59">
        <v>-0.210780246</v>
      </c>
      <c r="N437" s="59">
        <v>43.1</v>
      </c>
    </row>
    <row r="438" spans="13:14">
      <c r="M438" s="59">
        <v>-0.20683711199999999</v>
      </c>
      <c r="N438" s="59">
        <v>43.2</v>
      </c>
    </row>
    <row r="439" spans="13:14">
      <c r="M439" s="59">
        <v>-0.202893978</v>
      </c>
      <c r="N439" s="59">
        <v>43.3</v>
      </c>
    </row>
    <row r="440" spans="13:14">
      <c r="M440" s="59">
        <v>-0.20135631200000001</v>
      </c>
      <c r="N440" s="59">
        <v>43.4</v>
      </c>
    </row>
    <row r="441" spans="13:14">
      <c r="M441" s="59">
        <v>-0.19994107999999999</v>
      </c>
      <c r="N441" s="59">
        <v>43.5</v>
      </c>
    </row>
    <row r="442" spans="13:14">
      <c r="M442" s="59">
        <v>-0.19862106800000001</v>
      </c>
      <c r="N442" s="59">
        <v>43.6</v>
      </c>
    </row>
    <row r="443" spans="13:14">
      <c r="M443" s="59">
        <v>-0.19813423099999999</v>
      </c>
      <c r="N443" s="59">
        <v>43.7</v>
      </c>
    </row>
    <row r="444" spans="13:14">
      <c r="M444" s="59">
        <v>-0.197647394</v>
      </c>
      <c r="N444" s="59">
        <v>43.8</v>
      </c>
    </row>
    <row r="445" spans="13:14">
      <c r="M445" s="59">
        <v>-0.19634602900000001</v>
      </c>
      <c r="N445" s="59">
        <v>43.9</v>
      </c>
    </row>
    <row r="446" spans="13:14">
      <c r="M446" s="59">
        <v>-0.19264684000000001</v>
      </c>
      <c r="N446" s="59">
        <v>44</v>
      </c>
    </row>
    <row r="447" spans="13:14">
      <c r="M447" s="59">
        <v>-0.18894765099999999</v>
      </c>
      <c r="N447" s="59">
        <v>44.1</v>
      </c>
    </row>
    <row r="448" spans="13:14">
      <c r="M448" s="59">
        <v>-0.18582483999999999</v>
      </c>
      <c r="N448" s="59">
        <v>44.2</v>
      </c>
    </row>
    <row r="449" spans="13:14">
      <c r="M449" s="59">
        <v>-0.18355036</v>
      </c>
      <c r="N449" s="59">
        <v>44.3</v>
      </c>
    </row>
    <row r="450" spans="13:14">
      <c r="M450" s="59">
        <v>-0.18127588</v>
      </c>
      <c r="N450" s="59">
        <v>44.4</v>
      </c>
    </row>
    <row r="451" spans="13:14">
      <c r="M451" s="59">
        <v>-0.18012421000000001</v>
      </c>
      <c r="N451" s="59">
        <v>44.5</v>
      </c>
    </row>
    <row r="452" spans="13:14">
      <c r="M452" s="59">
        <v>-0.179870788</v>
      </c>
      <c r="N452" s="59">
        <v>44.6</v>
      </c>
    </row>
    <row r="453" spans="13:14">
      <c r="M453" s="59">
        <v>-0.179617366</v>
      </c>
      <c r="N453" s="59">
        <v>44.7</v>
      </c>
    </row>
    <row r="454" spans="13:14">
      <c r="M454" s="59">
        <v>-0.17541305600000001</v>
      </c>
      <c r="N454" s="59">
        <v>44.8</v>
      </c>
    </row>
    <row r="455" spans="13:14">
      <c r="M455" s="59">
        <v>-0.16956785299999999</v>
      </c>
      <c r="N455" s="59">
        <v>44.9</v>
      </c>
    </row>
    <row r="456" spans="13:14">
      <c r="M456" s="59">
        <v>-0.16372265</v>
      </c>
      <c r="N456" s="59">
        <v>45</v>
      </c>
    </row>
    <row r="457" spans="13:14">
      <c r="M457" s="59">
        <v>-0.16289000000000001</v>
      </c>
      <c r="N457" s="59">
        <v>45.1</v>
      </c>
    </row>
    <row r="458" spans="13:14">
      <c r="M458" s="59">
        <v>-0.16289000000000001</v>
      </c>
      <c r="N458" s="59">
        <v>45.2</v>
      </c>
    </row>
    <row r="459" spans="13:14">
      <c r="M459" s="59">
        <v>-0.162858383</v>
      </c>
      <c r="N459" s="59">
        <v>45.3</v>
      </c>
    </row>
    <row r="460" spans="13:14">
      <c r="M460" s="59">
        <v>-0.159159194</v>
      </c>
      <c r="N460" s="59">
        <v>45.4</v>
      </c>
    </row>
    <row r="461" spans="13:14">
      <c r="M461" s="59">
        <v>-0.15546000500000001</v>
      </c>
      <c r="N461" s="59">
        <v>45.5</v>
      </c>
    </row>
    <row r="462" spans="13:14">
      <c r="M462" s="59">
        <v>-0.151839048</v>
      </c>
      <c r="N462" s="59">
        <v>45.6</v>
      </c>
    </row>
    <row r="463" spans="13:14">
      <c r="M463" s="59">
        <v>-0.14863020599999999</v>
      </c>
      <c r="N463" s="59">
        <v>45.7</v>
      </c>
    </row>
    <row r="464" spans="13:14">
      <c r="M464" s="59">
        <v>-0.145421364</v>
      </c>
      <c r="N464" s="59">
        <v>45.8</v>
      </c>
    </row>
    <row r="465" spans="13:14">
      <c r="M465" s="59">
        <v>-0.14301792299999999</v>
      </c>
      <c r="N465" s="59">
        <v>45.9</v>
      </c>
    </row>
    <row r="466" spans="13:14">
      <c r="M466" s="59">
        <v>-0.14240262000000001</v>
      </c>
      <c r="N466" s="59">
        <v>46</v>
      </c>
    </row>
    <row r="467" spans="13:14">
      <c r="M467" s="59">
        <v>-0.141787317</v>
      </c>
      <c r="N467" s="59">
        <v>46.1</v>
      </c>
    </row>
    <row r="468" spans="13:14">
      <c r="M468" s="59">
        <v>-0.14120376600000001</v>
      </c>
      <c r="N468" s="59">
        <v>46.2</v>
      </c>
    </row>
    <row r="469" spans="13:14">
      <c r="M469" s="59">
        <v>-0.14065725900000001</v>
      </c>
      <c r="N469" s="59">
        <v>46.3</v>
      </c>
    </row>
    <row r="470" spans="13:14">
      <c r="M470" s="59">
        <v>-0.14011075200000001</v>
      </c>
      <c r="N470" s="59">
        <v>46.4</v>
      </c>
    </row>
    <row r="471" spans="13:14">
      <c r="M471" s="59">
        <v>-0.139366875</v>
      </c>
      <c r="N471" s="59">
        <v>46.5</v>
      </c>
    </row>
    <row r="472" spans="13:14">
      <c r="M472" s="59">
        <v>-0.13849814999999999</v>
      </c>
      <c r="N472" s="59">
        <v>46.6</v>
      </c>
    </row>
    <row r="473" spans="13:14">
      <c r="M473" s="59">
        <v>-0.137629425</v>
      </c>
      <c r="N473" s="59">
        <v>46.7</v>
      </c>
    </row>
    <row r="474" spans="13:14">
      <c r="M474" s="59">
        <v>-0.13676793600000001</v>
      </c>
      <c r="N474" s="59">
        <v>46.8</v>
      </c>
    </row>
    <row r="475" spans="13:14">
      <c r="M475" s="59">
        <v>-0.135908688</v>
      </c>
      <c r="N475" s="59">
        <v>46.9</v>
      </c>
    </row>
    <row r="476" spans="13:14">
      <c r="M476" s="59">
        <v>-0.13504943999999999</v>
      </c>
      <c r="N476" s="59">
        <v>47</v>
      </c>
    </row>
    <row r="477" spans="13:14">
      <c r="M477" s="59">
        <v>-0.131093505</v>
      </c>
      <c r="N477" s="59">
        <v>47.1</v>
      </c>
    </row>
    <row r="478" spans="13:14">
      <c r="M478" s="59">
        <v>-0.12684815999999999</v>
      </c>
      <c r="N478" s="59">
        <v>47.2</v>
      </c>
    </row>
    <row r="479" spans="13:14">
      <c r="M479" s="59">
        <v>-0.122881</v>
      </c>
      <c r="N479" s="59">
        <v>47.3</v>
      </c>
    </row>
    <row r="480" spans="13:14">
      <c r="M480" s="59">
        <v>-0.122881</v>
      </c>
      <c r="N480" s="59">
        <v>47.4</v>
      </c>
    </row>
    <row r="481" spans="13:14">
      <c r="M481" s="59">
        <v>-0.122881</v>
      </c>
      <c r="N481" s="59">
        <v>47.5</v>
      </c>
    </row>
    <row r="482" spans="13:14">
      <c r="M482" s="59">
        <v>-0.122213264</v>
      </c>
      <c r="N482" s="59">
        <v>47.6</v>
      </c>
    </row>
    <row r="483" spans="13:14">
      <c r="M483" s="59">
        <v>-0.11912937799999999</v>
      </c>
      <c r="N483" s="59">
        <v>47.7</v>
      </c>
    </row>
    <row r="484" spans="13:14">
      <c r="M484" s="59">
        <v>-0.116045492</v>
      </c>
      <c r="N484" s="59">
        <v>47.8</v>
      </c>
    </row>
    <row r="485" spans="13:14">
      <c r="M485" s="59">
        <v>-0.11256002900000001</v>
      </c>
      <c r="N485" s="59">
        <v>47.9</v>
      </c>
    </row>
    <row r="486" spans="13:14">
      <c r="M486" s="59">
        <v>-0.10838348</v>
      </c>
      <c r="N486" s="59">
        <v>48</v>
      </c>
    </row>
    <row r="487" spans="13:14">
      <c r="M487" s="59">
        <v>-0.104206931</v>
      </c>
      <c r="N487" s="59">
        <v>48.1</v>
      </c>
    </row>
    <row r="488" spans="13:14">
      <c r="M488" s="59">
        <v>-0.10193301</v>
      </c>
      <c r="N488" s="59">
        <v>48.2</v>
      </c>
    </row>
    <row r="489" spans="13:14">
      <c r="M489" s="59">
        <v>-0.101425815</v>
      </c>
      <c r="N489" s="59">
        <v>48.3</v>
      </c>
    </row>
    <row r="490" spans="13:14">
      <c r="M490" s="59">
        <v>-0.10091862</v>
      </c>
      <c r="N490" s="59">
        <v>48.4</v>
      </c>
    </row>
    <row r="491" spans="13:14">
      <c r="M491" s="59">
        <v>-9.8979805000000101E-2</v>
      </c>
      <c r="N491" s="59">
        <v>48.5</v>
      </c>
    </row>
    <row r="492" spans="13:14">
      <c r="M492" s="59">
        <v>-9.6334318000000099E-2</v>
      </c>
      <c r="N492" s="59">
        <v>48.6</v>
      </c>
    </row>
    <row r="493" spans="13:14">
      <c r="M493" s="59">
        <v>-9.3688831000000097E-2</v>
      </c>
      <c r="N493" s="59">
        <v>48.7</v>
      </c>
    </row>
    <row r="494" spans="13:14">
      <c r="M494" s="59">
        <v>-9.1693360000000099E-2</v>
      </c>
      <c r="N494" s="59">
        <v>48.8</v>
      </c>
    </row>
    <row r="495" spans="13:14">
      <c r="M495" s="59">
        <v>-8.9840079999999906E-2</v>
      </c>
      <c r="N495" s="59">
        <v>48.9</v>
      </c>
    </row>
    <row r="496" spans="13:14">
      <c r="M496" s="59">
        <v>-8.7986799999999907E-2</v>
      </c>
      <c r="N496" s="59">
        <v>49</v>
      </c>
    </row>
    <row r="497" spans="13:14">
      <c r="M497" s="59">
        <v>-8.7336568000000003E-2</v>
      </c>
      <c r="N497" s="59">
        <v>49.1</v>
      </c>
    </row>
    <row r="498" spans="13:14">
      <c r="M498" s="59">
        <v>-8.6721616000000001E-2</v>
      </c>
      <c r="N498" s="59">
        <v>49.2</v>
      </c>
    </row>
    <row r="499" spans="13:14">
      <c r="M499" s="59">
        <v>-8.6083960000000001E-2</v>
      </c>
      <c r="N499" s="59">
        <v>49.3</v>
      </c>
    </row>
    <row r="500" spans="13:14">
      <c r="M500" s="59">
        <v>-8.5283680000000001E-2</v>
      </c>
      <c r="N500" s="59">
        <v>49.4</v>
      </c>
    </row>
    <row r="501" spans="13:14">
      <c r="M501" s="59">
        <v>-8.44834E-2</v>
      </c>
      <c r="N501" s="59">
        <v>49.5</v>
      </c>
    </row>
    <row r="502" spans="13:14">
      <c r="M502" s="59">
        <v>-8.2303311999999906E-2</v>
      </c>
      <c r="N502" s="59">
        <v>49.6</v>
      </c>
    </row>
    <row r="503" spans="13:14">
      <c r="M503" s="59">
        <v>-7.6458108999999996E-2</v>
      </c>
      <c r="N503" s="59">
        <v>49.7</v>
      </c>
    </row>
    <row r="504" spans="13:14">
      <c r="M504" s="59">
        <v>-7.0612906000000003E-2</v>
      </c>
      <c r="N504" s="59">
        <v>49.8</v>
      </c>
    </row>
    <row r="505" spans="13:14">
      <c r="M505" s="59">
        <v>-6.5472174999999994E-2</v>
      </c>
      <c r="N505" s="59">
        <v>49.9</v>
      </c>
    </row>
    <row r="506" spans="13:14">
      <c r="M506" s="59">
        <v>-6.1286500000000001E-2</v>
      </c>
      <c r="N506" s="59">
        <v>50</v>
      </c>
    </row>
    <row r="507" spans="13:14">
      <c r="M507" s="59">
        <v>-5.7100825000000001E-2</v>
      </c>
      <c r="N507" s="59">
        <v>50.1</v>
      </c>
    </row>
    <row r="508" spans="13:14">
      <c r="M508" s="59">
        <v>-5.4789709999999998E-2</v>
      </c>
      <c r="N508" s="59">
        <v>50.2</v>
      </c>
    </row>
    <row r="509" spans="13:14">
      <c r="M509" s="59">
        <v>-5.3861315E-2</v>
      </c>
      <c r="N509" s="59">
        <v>50.3</v>
      </c>
    </row>
    <row r="510" spans="13:14">
      <c r="M510" s="59">
        <v>-5.2932920000000001E-2</v>
      </c>
      <c r="N510" s="59">
        <v>50.4</v>
      </c>
    </row>
    <row r="511" spans="13:14">
      <c r="M511" s="59">
        <v>-5.0928935000000002E-2</v>
      </c>
      <c r="N511" s="59">
        <v>50.5</v>
      </c>
    </row>
    <row r="512" spans="13:14">
      <c r="M512" s="59">
        <v>-4.8520022000000003E-2</v>
      </c>
      <c r="N512" s="59">
        <v>50.6</v>
      </c>
    </row>
    <row r="513" spans="13:14">
      <c r="M513" s="59">
        <v>-4.6111108999999997E-2</v>
      </c>
      <c r="N513" s="59">
        <v>50.7</v>
      </c>
    </row>
    <row r="514" spans="13:14">
      <c r="M514" s="59">
        <v>-4.4574144000000003E-2</v>
      </c>
      <c r="N514" s="59">
        <v>50.8</v>
      </c>
    </row>
    <row r="515" spans="13:14">
      <c r="M515" s="59">
        <v>-4.3158912000000001E-2</v>
      </c>
      <c r="N515" s="59">
        <v>50.9</v>
      </c>
    </row>
    <row r="516" spans="13:14">
      <c r="M516" s="59">
        <v>-4.1671660000000103E-2</v>
      </c>
      <c r="N516" s="59">
        <v>51</v>
      </c>
    </row>
    <row r="517" spans="13:14">
      <c r="M517" s="59">
        <v>-3.7728526000000102E-2</v>
      </c>
      <c r="N517" s="59">
        <v>51.1</v>
      </c>
    </row>
    <row r="518" spans="13:14">
      <c r="M518" s="59">
        <v>-3.3785391999999803E-2</v>
      </c>
      <c r="N518" s="59">
        <v>51.2</v>
      </c>
    </row>
    <row r="519" spans="13:14">
      <c r="M519" s="59">
        <v>-3.03415329999999E-2</v>
      </c>
      <c r="N519" s="59">
        <v>51.3</v>
      </c>
    </row>
    <row r="520" spans="13:14">
      <c r="M520" s="59">
        <v>-2.91800739999999E-2</v>
      </c>
      <c r="N520" s="59">
        <v>51.4</v>
      </c>
    </row>
    <row r="521" spans="13:14">
      <c r="M521" s="59">
        <v>-2.8018615E-2</v>
      </c>
      <c r="N521" s="59">
        <v>51.5</v>
      </c>
    </row>
    <row r="522" spans="13:14">
      <c r="M522" s="59">
        <v>-2.7176852000000001E-2</v>
      </c>
      <c r="N522" s="59">
        <v>51.6</v>
      </c>
    </row>
    <row r="523" spans="13:14">
      <c r="M523" s="59">
        <v>-2.6982749E-2</v>
      </c>
      <c r="N523" s="59">
        <v>51.7</v>
      </c>
    </row>
    <row r="524" spans="13:14">
      <c r="M524" s="59">
        <v>-2.6788645999999999E-2</v>
      </c>
      <c r="N524" s="59">
        <v>51.8</v>
      </c>
    </row>
    <row r="525" spans="13:14">
      <c r="M525" s="59">
        <v>-2.6424867000000001E-2</v>
      </c>
      <c r="N525" s="59">
        <v>51.9</v>
      </c>
    </row>
    <row r="526" spans="13:14">
      <c r="M526" s="59">
        <v>-2.587836E-2</v>
      </c>
      <c r="N526" s="59">
        <v>52</v>
      </c>
    </row>
    <row r="527" spans="13:14">
      <c r="M527" s="59">
        <v>-2.5331853000000001E-2</v>
      </c>
      <c r="N527" s="59">
        <v>52.1</v>
      </c>
    </row>
    <row r="528" spans="13:14">
      <c r="M528" s="59">
        <v>-2.5087488000000002E-2</v>
      </c>
      <c r="N528" s="59">
        <v>52.2</v>
      </c>
    </row>
    <row r="529" spans="13:14">
      <c r="M529" s="59">
        <v>-2.5018691999999999E-2</v>
      </c>
      <c r="N529" s="59">
        <v>52.3</v>
      </c>
    </row>
    <row r="530" spans="13:14">
      <c r="M530" s="59">
        <v>-2.4949895999999999E-2</v>
      </c>
      <c r="N530" s="59">
        <v>52.4</v>
      </c>
    </row>
    <row r="531" spans="13:14">
      <c r="M531" s="59">
        <v>-2.4308275000000001E-2</v>
      </c>
      <c r="N531" s="59">
        <v>52.5</v>
      </c>
    </row>
    <row r="532" spans="13:14">
      <c r="M532" s="59">
        <v>-2.3508345999999999E-2</v>
      </c>
      <c r="N532" s="59">
        <v>52.6</v>
      </c>
    </row>
    <row r="533" spans="13:14">
      <c r="M533" s="59">
        <v>-2.2708417000000002E-2</v>
      </c>
      <c r="N533" s="59">
        <v>52.7</v>
      </c>
    </row>
    <row r="534" spans="13:14">
      <c r="M534" s="59">
        <v>-2.1853055999999999E-2</v>
      </c>
      <c r="N534" s="59">
        <v>52.8</v>
      </c>
    </row>
    <row r="535" spans="13:14">
      <c r="M535" s="59">
        <v>-2.0993807999999999E-2</v>
      </c>
      <c r="N535" s="59">
        <v>52.9</v>
      </c>
    </row>
    <row r="536" spans="13:14">
      <c r="M536" s="59">
        <v>-2.016051E-2</v>
      </c>
      <c r="N536" s="59">
        <v>53</v>
      </c>
    </row>
    <row r="537" spans="13:14">
      <c r="M537" s="59">
        <v>-1.9604877E-2</v>
      </c>
      <c r="N537" s="59">
        <v>53.1</v>
      </c>
    </row>
    <row r="538" spans="13:14">
      <c r="M538" s="59">
        <v>-1.9049244E-2</v>
      </c>
      <c r="N538" s="59">
        <v>53.2</v>
      </c>
    </row>
    <row r="539" spans="13:14">
      <c r="M539" s="59">
        <v>-1.8610890000000001E-2</v>
      </c>
      <c r="N539" s="59">
        <v>53.3</v>
      </c>
    </row>
    <row r="540" spans="13:14">
      <c r="M540" s="59">
        <v>-1.855122E-2</v>
      </c>
      <c r="N540" s="59">
        <v>53.4</v>
      </c>
    </row>
    <row r="541" spans="13:14">
      <c r="M541" s="59">
        <v>-1.8491549999999999E-2</v>
      </c>
      <c r="N541" s="59">
        <v>53.5</v>
      </c>
    </row>
    <row r="542" spans="13:14">
      <c r="M542" s="59">
        <v>-1.7668239999999901E-2</v>
      </c>
      <c r="N542" s="59">
        <v>53.6</v>
      </c>
    </row>
    <row r="543" spans="13:14">
      <c r="M543" s="59">
        <v>-1.5637704999999901E-2</v>
      </c>
      <c r="N543" s="59">
        <v>53.7</v>
      </c>
    </row>
    <row r="544" spans="13:14">
      <c r="M544" s="59">
        <v>-1.3607169999999899E-2</v>
      </c>
      <c r="N544" s="59">
        <v>53.8</v>
      </c>
    </row>
    <row r="545" spans="13:14">
      <c r="M545" s="59">
        <v>-9.8168559999996796E-3</v>
      </c>
      <c r="N545" s="59">
        <v>53.9</v>
      </c>
    </row>
    <row r="546" spans="13:14">
      <c r="M546" s="59">
        <v>-4.5181599999996897E-3</v>
      </c>
      <c r="N546" s="59">
        <v>54</v>
      </c>
    </row>
    <row r="547" spans="13:14">
      <c r="M547" s="59">
        <v>7.8053600000029498E-4</v>
      </c>
      <c r="N547" s="59">
        <v>54.1</v>
      </c>
    </row>
    <row r="548" spans="13:14">
      <c r="M548" s="59">
        <v>2.9363780000000398E-3</v>
      </c>
      <c r="N548" s="59">
        <v>54.2</v>
      </c>
    </row>
    <row r="549" spans="13:14">
      <c r="M549" s="59">
        <v>3.6766370000000399E-3</v>
      </c>
      <c r="N549" s="59">
        <v>54.3</v>
      </c>
    </row>
    <row r="550" spans="13:14">
      <c r="M550" s="59">
        <v>4.4168960000000399E-3</v>
      </c>
      <c r="N550" s="59">
        <v>54.4</v>
      </c>
    </row>
    <row r="551" spans="13:14">
      <c r="M551" s="59">
        <v>6.6097350000001104E-3</v>
      </c>
      <c r="N551" s="59">
        <v>54.5</v>
      </c>
    </row>
    <row r="552" spans="13:14">
      <c r="M552" s="59">
        <v>9.0783180000001094E-3</v>
      </c>
      <c r="N552" s="59">
        <v>54.6</v>
      </c>
    </row>
    <row r="553" spans="13:14">
      <c r="M553" s="59">
        <v>1.1546901000000101E-2</v>
      </c>
      <c r="N553" s="59">
        <v>54.7</v>
      </c>
    </row>
    <row r="554" spans="13:14">
      <c r="M554" s="59">
        <v>1.2719879999999999E-2</v>
      </c>
      <c r="N554" s="59">
        <v>54.8</v>
      </c>
    </row>
    <row r="555" spans="13:14">
      <c r="M555" s="59">
        <v>1.388169E-2</v>
      </c>
      <c r="N555" s="59">
        <v>54.9</v>
      </c>
    </row>
    <row r="556" spans="13:14">
      <c r="M556" s="59">
        <v>1.5563450000000201E-2</v>
      </c>
      <c r="N556" s="59">
        <v>55</v>
      </c>
    </row>
    <row r="557" spans="13:14">
      <c r="M557" s="59">
        <v>2.0375309000000098E-2</v>
      </c>
      <c r="N557" s="59">
        <v>55.1</v>
      </c>
    </row>
    <row r="558" spans="13:14">
      <c r="M558" s="59">
        <v>2.51871680000001E-2</v>
      </c>
      <c r="N558" s="59">
        <v>55.2</v>
      </c>
    </row>
    <row r="559" spans="13:14">
      <c r="M559" s="59">
        <v>2.8729860999999999E-2</v>
      </c>
      <c r="N559" s="59">
        <v>55.3</v>
      </c>
    </row>
    <row r="560" spans="13:14">
      <c r="M560" s="59">
        <v>2.9216697999999999E-2</v>
      </c>
      <c r="N560" s="59">
        <v>55.4</v>
      </c>
    </row>
    <row r="561" spans="13:14">
      <c r="M561" s="59">
        <v>2.9703535E-2</v>
      </c>
      <c r="N561" s="59">
        <v>55.5</v>
      </c>
    </row>
    <row r="562" spans="13:14">
      <c r="M562" s="59">
        <v>3.1097667999999998E-2</v>
      </c>
      <c r="N562" s="59">
        <v>55.6</v>
      </c>
    </row>
    <row r="563" spans="13:14">
      <c r="M563" s="59">
        <v>3.3625921000000003E-2</v>
      </c>
      <c r="N563" s="59">
        <v>55.7</v>
      </c>
    </row>
    <row r="564" spans="13:14">
      <c r="M564" s="59">
        <v>3.6154173999999997E-2</v>
      </c>
      <c r="N564" s="59">
        <v>55.8</v>
      </c>
    </row>
    <row r="565" spans="13:14">
      <c r="M565" s="59">
        <v>4.00710230000004E-2</v>
      </c>
      <c r="N565" s="59">
        <v>55.9</v>
      </c>
    </row>
    <row r="566" spans="13:14">
      <c r="M566" s="59">
        <v>4.4931320000000399E-2</v>
      </c>
      <c r="N566" s="59">
        <v>56</v>
      </c>
    </row>
    <row r="567" spans="13:14">
      <c r="M567" s="59">
        <v>4.9791617000000399E-2</v>
      </c>
      <c r="N567" s="59">
        <v>56.1</v>
      </c>
    </row>
    <row r="568" spans="13:14">
      <c r="M568" s="59">
        <v>5.1168885999999997E-2</v>
      </c>
      <c r="N568" s="59">
        <v>56.2</v>
      </c>
    </row>
    <row r="569" spans="13:14">
      <c r="M569" s="59">
        <v>5.1362988999999998E-2</v>
      </c>
      <c r="N569" s="59">
        <v>56.3</v>
      </c>
    </row>
    <row r="570" spans="13:14">
      <c r="M570" s="59">
        <v>5.1557091999999999E-2</v>
      </c>
      <c r="N570" s="59">
        <v>56.4</v>
      </c>
    </row>
    <row r="571" spans="13:14">
      <c r="M571" s="59">
        <v>5.1576999999999998E-2</v>
      </c>
      <c r="N571" s="59">
        <v>56.5</v>
      </c>
    </row>
    <row r="572" spans="13:14">
      <c r="M572" s="59">
        <v>5.1576999999999998E-2</v>
      </c>
      <c r="N572" s="59">
        <v>56.6</v>
      </c>
    </row>
    <row r="573" spans="13:14">
      <c r="M573" s="59">
        <v>5.1836522000000398E-2</v>
      </c>
      <c r="N573" s="59">
        <v>56.7</v>
      </c>
    </row>
    <row r="574" spans="13:14">
      <c r="M574" s="59">
        <v>5.7194888000000402E-2</v>
      </c>
      <c r="N574" s="59">
        <v>56.8</v>
      </c>
    </row>
    <row r="575" spans="13:14">
      <c r="M575" s="59">
        <v>6.2553254000000294E-2</v>
      </c>
      <c r="N575" s="59">
        <v>56.9</v>
      </c>
    </row>
    <row r="576" spans="13:14">
      <c r="M576" s="59">
        <v>6.7516400000000198E-2</v>
      </c>
      <c r="N576" s="59">
        <v>57</v>
      </c>
    </row>
    <row r="577" spans="13:14">
      <c r="M577" s="59">
        <v>7.0893020000000195E-2</v>
      </c>
      <c r="N577" s="59">
        <v>57.1</v>
      </c>
    </row>
    <row r="578" spans="13:14">
      <c r="M578" s="59">
        <v>7.4269640000000206E-2</v>
      </c>
      <c r="N578" s="59">
        <v>57.2</v>
      </c>
    </row>
    <row r="579" spans="13:14">
      <c r="M579" s="59">
        <v>7.6551806E-2</v>
      </c>
      <c r="N579" s="59">
        <v>57.3</v>
      </c>
    </row>
    <row r="580" spans="13:14">
      <c r="M580" s="59">
        <v>7.6805228000000003E-2</v>
      </c>
      <c r="N580" s="59">
        <v>57.4</v>
      </c>
    </row>
    <row r="581" spans="13:14">
      <c r="M581" s="59">
        <v>7.7058650000000006E-2</v>
      </c>
      <c r="N581" s="59">
        <v>57.5</v>
      </c>
    </row>
    <row r="582" spans="13:14">
      <c r="M582" s="59">
        <v>7.7185000000000004E-2</v>
      </c>
      <c r="N582" s="59">
        <v>57.6</v>
      </c>
    </row>
    <row r="583" spans="13:14">
      <c r="M583" s="59">
        <v>7.7185000000000004E-2</v>
      </c>
      <c r="N583" s="59">
        <v>57.7</v>
      </c>
    </row>
    <row r="584" spans="13:14">
      <c r="M584" s="59">
        <v>7.7185000000000004E-2</v>
      </c>
      <c r="N584" s="59">
        <v>57.8</v>
      </c>
    </row>
    <row r="585" spans="13:14">
      <c r="M585" s="59">
        <v>8.0482828999999798E-2</v>
      </c>
      <c r="N585" s="59">
        <v>57.9</v>
      </c>
    </row>
    <row r="586" spans="13:14">
      <c r="M586" s="59">
        <v>8.5537579999999794E-2</v>
      </c>
      <c r="N586" s="59">
        <v>58</v>
      </c>
    </row>
    <row r="587" spans="13:14">
      <c r="M587" s="59">
        <v>9.0592330999999804E-2</v>
      </c>
      <c r="N587" s="59">
        <v>58.1</v>
      </c>
    </row>
    <row r="588" spans="13:14">
      <c r="M588" s="59">
        <v>9.2424950000000006E-2</v>
      </c>
      <c r="N588" s="59">
        <v>58.2</v>
      </c>
    </row>
    <row r="589" spans="13:14">
      <c r="M589" s="59">
        <v>9.3469174999999904E-2</v>
      </c>
      <c r="N589" s="59">
        <v>58.3</v>
      </c>
    </row>
    <row r="590" spans="13:14">
      <c r="M590" s="59">
        <v>9.4513399999999997E-2</v>
      </c>
      <c r="N590" s="59">
        <v>58.4</v>
      </c>
    </row>
    <row r="591" spans="13:14">
      <c r="M591" s="59">
        <v>9.5091305000000001E-2</v>
      </c>
      <c r="N591" s="59">
        <v>58.5</v>
      </c>
    </row>
    <row r="592" spans="13:14">
      <c r="M592" s="59">
        <v>9.5646938000000001E-2</v>
      </c>
      <c r="N592" s="59">
        <v>58.6</v>
      </c>
    </row>
    <row r="593" spans="13:14">
      <c r="M593" s="59">
        <v>9.6468082999999802E-2</v>
      </c>
      <c r="N593" s="59">
        <v>58.7</v>
      </c>
    </row>
    <row r="594" spans="13:14">
      <c r="M594" s="59">
        <v>9.9542491999999802E-2</v>
      </c>
      <c r="N594" s="59">
        <v>58.8</v>
      </c>
    </row>
    <row r="595" spans="13:14">
      <c r="M595" s="59">
        <v>0.102616901</v>
      </c>
      <c r="N595" s="59">
        <v>58.9</v>
      </c>
    </row>
    <row r="596" spans="13:14">
      <c r="M596" s="59">
        <v>0.10564630999999999</v>
      </c>
      <c r="N596" s="59">
        <v>59</v>
      </c>
    </row>
    <row r="597" spans="13:14">
      <c r="M597" s="59">
        <v>0.108545219</v>
      </c>
      <c r="N597" s="59">
        <v>59.1</v>
      </c>
    </row>
    <row r="598" spans="13:14">
      <c r="M598" s="59">
        <v>0.111444128</v>
      </c>
      <c r="N598" s="59">
        <v>59.2</v>
      </c>
    </row>
    <row r="599" spans="13:14">
      <c r="M599" s="59">
        <v>0.11373857599999999</v>
      </c>
      <c r="N599" s="59">
        <v>59.3</v>
      </c>
    </row>
    <row r="600" spans="13:14">
      <c r="M600" s="59">
        <v>0.115153808</v>
      </c>
      <c r="N600" s="59">
        <v>59.4</v>
      </c>
    </row>
    <row r="601" spans="13:14">
      <c r="M601" s="59">
        <v>0.11656904</v>
      </c>
      <c r="N601" s="59">
        <v>59.5</v>
      </c>
    </row>
    <row r="602" spans="13:14">
      <c r="M602" s="59">
        <v>0.12345522</v>
      </c>
      <c r="N602" s="59">
        <v>59.6</v>
      </c>
    </row>
    <row r="603" spans="13:14">
      <c r="M603" s="59">
        <v>0.134667915</v>
      </c>
      <c r="N603" s="59">
        <v>59.7</v>
      </c>
    </row>
    <row r="604" spans="13:14">
      <c r="M604" s="59">
        <v>0.14588060999999999</v>
      </c>
      <c r="N604" s="59">
        <v>59.8</v>
      </c>
    </row>
    <row r="605" spans="13:14">
      <c r="M605" s="59">
        <v>0.150274191</v>
      </c>
      <c r="N605" s="59">
        <v>59.9</v>
      </c>
    </row>
    <row r="606" spans="13:14">
      <c r="M606" s="59">
        <v>0.15187439999999999</v>
      </c>
      <c r="N606" s="59">
        <v>60</v>
      </c>
    </row>
    <row r="607" spans="13:14">
      <c r="M607" s="59">
        <v>0.15347460900000001</v>
      </c>
      <c r="N607" s="59">
        <v>60.1</v>
      </c>
    </row>
    <row r="608" spans="13:14">
      <c r="M608" s="59">
        <v>0.15497455399999999</v>
      </c>
      <c r="N608" s="59">
        <v>60.2</v>
      </c>
    </row>
    <row r="609" spans="13:14">
      <c r="M609" s="59">
        <v>0.156458231</v>
      </c>
      <c r="N609" s="59">
        <v>60.3</v>
      </c>
    </row>
    <row r="610" spans="13:14">
      <c r="M610" s="59">
        <v>0.15802597199999999</v>
      </c>
      <c r="N610" s="59">
        <v>60.4</v>
      </c>
    </row>
    <row r="611" spans="13:14">
      <c r="M611" s="59">
        <v>0.16688626500000001</v>
      </c>
      <c r="N611" s="59">
        <v>60.5</v>
      </c>
    </row>
    <row r="612" spans="13:14">
      <c r="M612" s="59">
        <v>0.175746558</v>
      </c>
      <c r="N612" s="59">
        <v>60.6</v>
      </c>
    </row>
    <row r="613" spans="13:14">
      <c r="M613" s="59">
        <v>0.18357680400000001</v>
      </c>
      <c r="N613" s="59">
        <v>60.7</v>
      </c>
    </row>
    <row r="614" spans="13:14">
      <c r="M614" s="59">
        <v>0.186094176</v>
      </c>
      <c r="N614" s="59">
        <v>60.8</v>
      </c>
    </row>
    <row r="615" spans="13:14">
      <c r="M615" s="59">
        <v>0.18861154799999999</v>
      </c>
      <c r="N615" s="59">
        <v>60.9</v>
      </c>
    </row>
    <row r="616" spans="13:14">
      <c r="M616" s="59">
        <v>0.19132790999999999</v>
      </c>
      <c r="N616" s="59">
        <v>61</v>
      </c>
    </row>
    <row r="617" spans="13:14">
      <c r="M617" s="59">
        <v>0.194480241</v>
      </c>
      <c r="N617" s="59">
        <v>61.1</v>
      </c>
    </row>
    <row r="618" spans="13:14">
      <c r="M618" s="59">
        <v>0.19763257200000001</v>
      </c>
      <c r="N618" s="59">
        <v>61.2</v>
      </c>
    </row>
    <row r="619" spans="13:14">
      <c r="M619" s="59">
        <v>0.20018163999999999</v>
      </c>
      <c r="N619" s="59">
        <v>61.3</v>
      </c>
    </row>
    <row r="620" spans="13:14">
      <c r="M620" s="59">
        <v>0.20203492000000001</v>
      </c>
      <c r="N620" s="59">
        <v>61.4</v>
      </c>
    </row>
    <row r="621" spans="13:14">
      <c r="M621" s="59">
        <v>0.20388819999999999</v>
      </c>
      <c r="N621" s="59">
        <v>61.5</v>
      </c>
    </row>
    <row r="622" spans="13:14">
      <c r="M622" s="59">
        <v>0.20982625599999999</v>
      </c>
      <c r="N622" s="59">
        <v>61.6</v>
      </c>
    </row>
    <row r="623" spans="13:14">
      <c r="M623" s="59">
        <v>0.21831729699999999</v>
      </c>
      <c r="N623" s="59">
        <v>61.7</v>
      </c>
    </row>
    <row r="624" spans="13:14">
      <c r="M624" s="59">
        <v>0.226808338</v>
      </c>
      <c r="N624" s="59">
        <v>61.8</v>
      </c>
    </row>
    <row r="625" spans="13:14">
      <c r="M625" s="59">
        <v>0.233092772</v>
      </c>
      <c r="N625" s="59">
        <v>61.9</v>
      </c>
    </row>
    <row r="626" spans="13:14">
      <c r="M626" s="59">
        <v>0.23870456000000001</v>
      </c>
      <c r="N626" s="59">
        <v>62</v>
      </c>
    </row>
    <row r="627" spans="13:14">
      <c r="M627" s="59">
        <v>0.24431634799999999</v>
      </c>
      <c r="N627" s="59">
        <v>62.1</v>
      </c>
    </row>
    <row r="628" spans="13:14">
      <c r="M628" s="59">
        <v>0.24551383800000001</v>
      </c>
      <c r="N628" s="59">
        <v>62.2</v>
      </c>
    </row>
    <row r="629" spans="13:14">
      <c r="M629" s="59">
        <v>0.24631376699999999</v>
      </c>
      <c r="N629" s="59">
        <v>62.3</v>
      </c>
    </row>
    <row r="630" spans="13:14">
      <c r="M630" s="59">
        <v>0.24736660799999999</v>
      </c>
      <c r="N630" s="59">
        <v>62.4</v>
      </c>
    </row>
    <row r="631" spans="13:14">
      <c r="M631" s="59">
        <v>0.251865375</v>
      </c>
      <c r="N631" s="59">
        <v>62.5</v>
      </c>
    </row>
    <row r="632" spans="13:14">
      <c r="M632" s="59">
        <v>0.25636414200000002</v>
      </c>
      <c r="N632" s="59">
        <v>62.6</v>
      </c>
    </row>
    <row r="633" spans="13:14">
      <c r="M633" s="59">
        <v>0.25999588899999998</v>
      </c>
      <c r="N633" s="59">
        <v>62.7</v>
      </c>
    </row>
    <row r="634" spans="13:14">
      <c r="M634" s="59">
        <v>0.26054239600000001</v>
      </c>
      <c r="N634" s="59">
        <v>62.8</v>
      </c>
    </row>
    <row r="635" spans="13:14">
      <c r="M635" s="59">
        <v>0.26108890299999998</v>
      </c>
      <c r="N635" s="59">
        <v>62.9</v>
      </c>
    </row>
    <row r="636" spans="13:14">
      <c r="M636" s="59">
        <v>0.26145847999999999</v>
      </c>
      <c r="N636" s="59">
        <v>63</v>
      </c>
    </row>
    <row r="637" spans="13:14">
      <c r="M637" s="59">
        <v>0.26152727599999998</v>
      </c>
      <c r="N637" s="59">
        <v>63.1</v>
      </c>
    </row>
    <row r="638" spans="13:14">
      <c r="M638" s="59">
        <v>0.26159607200000001</v>
      </c>
      <c r="N638" s="59">
        <v>63.2</v>
      </c>
    </row>
    <row r="639" spans="13:14">
      <c r="M639" s="59">
        <v>0.261694331</v>
      </c>
      <c r="N639" s="59">
        <v>63.3</v>
      </c>
    </row>
    <row r="640" spans="13:14">
      <c r="M640" s="59">
        <v>0.26181963800000002</v>
      </c>
      <c r="N640" s="59">
        <v>63.4</v>
      </c>
    </row>
    <row r="641" spans="13:14">
      <c r="M641" s="59">
        <v>0.26194494499999998</v>
      </c>
      <c r="N641" s="59">
        <v>63.5</v>
      </c>
    </row>
    <row r="642" spans="13:14">
      <c r="M642" s="59">
        <v>0.261986</v>
      </c>
      <c r="N642" s="59">
        <v>63.6</v>
      </c>
    </row>
    <row r="643" spans="13:14">
      <c r="M643" s="59">
        <v>0.261986</v>
      </c>
      <c r="N643" s="59">
        <v>63.7</v>
      </c>
    </row>
    <row r="644" spans="13:14">
      <c r="M644" s="59">
        <v>0.261986</v>
      </c>
      <c r="N644" s="59">
        <v>63.8</v>
      </c>
    </row>
    <row r="645" spans="13:14">
      <c r="M645" s="59">
        <v>0.262492328</v>
      </c>
      <c r="N645" s="59">
        <v>63.9</v>
      </c>
    </row>
    <row r="646" spans="13:14">
      <c r="M646" s="59">
        <v>0.26310728</v>
      </c>
      <c r="N646" s="59">
        <v>64</v>
      </c>
    </row>
    <row r="647" spans="13:14">
      <c r="M647" s="59">
        <v>0.263722232</v>
      </c>
      <c r="N647" s="59">
        <v>64.099999999999994</v>
      </c>
    </row>
    <row r="648" spans="13:14">
      <c r="M648" s="59">
        <v>0.26655368600000001</v>
      </c>
      <c r="N648" s="59">
        <v>64.2</v>
      </c>
    </row>
    <row r="649" spans="13:14">
      <c r="M649" s="59">
        <v>0.26944346899999999</v>
      </c>
      <c r="N649" s="59">
        <v>64.3</v>
      </c>
    </row>
    <row r="650" spans="13:14">
      <c r="M650" s="59">
        <v>0.27245037999999999</v>
      </c>
      <c r="N650" s="59">
        <v>64.400000000000006</v>
      </c>
    </row>
    <row r="651" spans="13:14">
      <c r="M651" s="59">
        <v>0.27627452499999999</v>
      </c>
      <c r="N651" s="59">
        <v>64.5</v>
      </c>
    </row>
    <row r="652" spans="13:14">
      <c r="M652" s="59">
        <v>0.28009866999999999</v>
      </c>
      <c r="N652" s="59">
        <v>64.599999999999994</v>
      </c>
    </row>
    <row r="653" spans="13:14">
      <c r="M653" s="59">
        <v>0.282933512</v>
      </c>
      <c r="N653" s="59">
        <v>64.7</v>
      </c>
    </row>
    <row r="654" spans="13:14">
      <c r="M654" s="59">
        <v>0.28317780799999998</v>
      </c>
      <c r="N654" s="59">
        <v>64.8</v>
      </c>
    </row>
    <row r="655" spans="13:14">
      <c r="M655" s="59">
        <v>0.28342210400000001</v>
      </c>
      <c r="N655" s="59">
        <v>64.900000000000006</v>
      </c>
    </row>
    <row r="656" spans="13:14">
      <c r="M656" s="59">
        <v>0.28442974999999998</v>
      </c>
      <c r="N656" s="59">
        <v>65</v>
      </c>
    </row>
    <row r="657" spans="13:14">
      <c r="M657" s="59">
        <v>0.28646028499999998</v>
      </c>
      <c r="N657" s="59">
        <v>65.099999999999994</v>
      </c>
    </row>
    <row r="658" spans="13:14">
      <c r="M658" s="59">
        <v>0.28849081999999998</v>
      </c>
      <c r="N658" s="59">
        <v>65.2</v>
      </c>
    </row>
    <row r="659" spans="13:14">
      <c r="M659" s="59">
        <v>0.29144642599999998</v>
      </c>
      <c r="N659" s="59">
        <v>65.3</v>
      </c>
    </row>
    <row r="660" spans="13:14">
      <c r="M660" s="59">
        <v>0.29507646799999998</v>
      </c>
      <c r="N660" s="59">
        <v>65.400000000000006</v>
      </c>
    </row>
    <row r="661" spans="13:14">
      <c r="M661" s="59">
        <v>0.29870650999999998</v>
      </c>
      <c r="N661" s="59">
        <v>65.5</v>
      </c>
    </row>
    <row r="662" spans="13:14">
      <c r="M662" s="59">
        <v>0.29983056800000002</v>
      </c>
      <c r="N662" s="59">
        <v>65.599999999999994</v>
      </c>
    </row>
    <row r="663" spans="13:14">
      <c r="M663" s="59">
        <v>0.30002467100000002</v>
      </c>
      <c r="N663" s="59">
        <v>65.7</v>
      </c>
    </row>
    <row r="664" spans="13:14">
      <c r="M664" s="59">
        <v>0.30021877400000002</v>
      </c>
      <c r="N664" s="59">
        <v>65.8</v>
      </c>
    </row>
    <row r="665" spans="13:14">
      <c r="M665" s="59">
        <v>0.30397935500000001</v>
      </c>
      <c r="N665" s="59">
        <v>65.900000000000006</v>
      </c>
    </row>
    <row r="666" spans="13:14">
      <c r="M666" s="59">
        <v>0.30822470000000002</v>
      </c>
      <c r="N666" s="59">
        <v>66</v>
      </c>
    </row>
    <row r="667" spans="13:14">
      <c r="M667" s="59">
        <v>0.31241622200000002</v>
      </c>
      <c r="N667" s="59">
        <v>66.099999999999994</v>
      </c>
    </row>
    <row r="668" spans="13:14">
      <c r="M668" s="59">
        <v>0.31494412399999999</v>
      </c>
      <c r="N668" s="59">
        <v>66.2</v>
      </c>
    </row>
    <row r="669" spans="13:14">
      <c r="M669" s="59">
        <v>0.31747202600000002</v>
      </c>
      <c r="N669" s="59">
        <v>66.3</v>
      </c>
    </row>
    <row r="670" spans="13:14">
      <c r="M670" s="59">
        <v>0.31959410399999999</v>
      </c>
      <c r="N670" s="59">
        <v>66.400000000000006</v>
      </c>
    </row>
    <row r="671" spans="13:14">
      <c r="M671" s="59">
        <v>0.31989631499999999</v>
      </c>
      <c r="N671" s="59">
        <v>66.5</v>
      </c>
    </row>
    <row r="672" spans="13:14">
      <c r="M672" s="59">
        <v>0.32019852599999998</v>
      </c>
      <c r="N672" s="59">
        <v>66.599999999999994</v>
      </c>
    </row>
    <row r="673" spans="13:14">
      <c r="M673" s="59">
        <v>0.32066664299999997</v>
      </c>
      <c r="N673" s="59">
        <v>66.7</v>
      </c>
    </row>
    <row r="674" spans="13:14">
      <c r="M674" s="59">
        <v>0.32146657200000001</v>
      </c>
      <c r="N674" s="59">
        <v>66.8</v>
      </c>
    </row>
    <row r="675" spans="13:14">
      <c r="M675" s="59">
        <v>0.32226650099999998</v>
      </c>
      <c r="N675" s="59">
        <v>66.900000000000006</v>
      </c>
    </row>
    <row r="676" spans="13:14">
      <c r="M676" s="59">
        <v>0.32297701000000001</v>
      </c>
      <c r="N676" s="59">
        <v>67</v>
      </c>
    </row>
    <row r="677" spans="13:14">
      <c r="M677" s="59">
        <v>0.32359231300000002</v>
      </c>
      <c r="N677" s="59">
        <v>67.099999999999994</v>
      </c>
    </row>
    <row r="678" spans="13:14">
      <c r="M678" s="59">
        <v>0.32420761599999998</v>
      </c>
      <c r="N678" s="59">
        <v>67.2</v>
      </c>
    </row>
    <row r="679" spans="13:14">
      <c r="M679" s="59">
        <v>0.324432</v>
      </c>
      <c r="N679" s="59">
        <v>67.3</v>
      </c>
    </row>
    <row r="680" spans="13:14">
      <c r="M680" s="59">
        <v>0.324432</v>
      </c>
      <c r="N680" s="59">
        <v>67.400000000000006</v>
      </c>
    </row>
    <row r="681" spans="13:14">
      <c r="M681" s="59">
        <v>0.324432</v>
      </c>
      <c r="N681" s="59">
        <v>67.5</v>
      </c>
    </row>
    <row r="682" spans="13:14">
      <c r="M682" s="59">
        <v>0.32526027600000001</v>
      </c>
      <c r="N682" s="59">
        <v>67.599999999999994</v>
      </c>
    </row>
    <row r="683" spans="13:14">
      <c r="M683" s="59">
        <v>0.32631362699999999</v>
      </c>
      <c r="N683" s="59">
        <v>67.7</v>
      </c>
    </row>
    <row r="684" spans="13:14">
      <c r="M684" s="59">
        <v>0.32736697799999998</v>
      </c>
      <c r="N684" s="59">
        <v>67.8</v>
      </c>
    </row>
    <row r="685" spans="13:14">
      <c r="M685" s="59">
        <v>0.32748893000000001</v>
      </c>
      <c r="N685" s="59">
        <v>67.900000000000006</v>
      </c>
    </row>
    <row r="686" spans="13:14">
      <c r="M686" s="59">
        <v>0.32754860000000002</v>
      </c>
      <c r="N686" s="59">
        <v>68</v>
      </c>
    </row>
    <row r="687" spans="13:14">
      <c r="M687" s="59">
        <v>0.32792360199999998</v>
      </c>
      <c r="N687" s="59">
        <v>68.099999999999994</v>
      </c>
    </row>
    <row r="688" spans="13:14">
      <c r="M688" s="59">
        <v>0.33155364399999998</v>
      </c>
      <c r="N688" s="59">
        <v>68.2</v>
      </c>
    </row>
    <row r="689" spans="13:14">
      <c r="M689" s="59">
        <v>0.33518368599999998</v>
      </c>
      <c r="N689" s="59">
        <v>68.3</v>
      </c>
    </row>
    <row r="690" spans="13:14">
      <c r="M690" s="59">
        <v>0.337945</v>
      </c>
      <c r="N690" s="59">
        <v>68.400000000000006</v>
      </c>
    </row>
    <row r="691" spans="13:14">
      <c r="M691" s="59">
        <v>0.337945</v>
      </c>
      <c r="N691" s="59">
        <v>68.5</v>
      </c>
    </row>
    <row r="692" spans="13:14">
      <c r="M692" s="59">
        <v>0.337945</v>
      </c>
      <c r="N692" s="59">
        <v>68.599999999999994</v>
      </c>
    </row>
    <row r="693" spans="13:14">
      <c r="M693" s="59">
        <v>0.33797185200000002</v>
      </c>
      <c r="N693" s="59">
        <v>68.7</v>
      </c>
    </row>
    <row r="694" spans="13:14">
      <c r="M694" s="59">
        <v>0.338040648</v>
      </c>
      <c r="N694" s="59">
        <v>68.8</v>
      </c>
    </row>
    <row r="695" spans="13:14">
      <c r="M695" s="59">
        <v>0.33810944399999998</v>
      </c>
      <c r="N695" s="59">
        <v>68.900000000000006</v>
      </c>
    </row>
    <row r="696" spans="13:14">
      <c r="M696" s="59">
        <v>0.33814100000000002</v>
      </c>
      <c r="N696" s="59">
        <v>69</v>
      </c>
    </row>
    <row r="697" spans="13:14">
      <c r="M697" s="59">
        <v>0.33814100000000002</v>
      </c>
      <c r="N697" s="59">
        <v>69.099999999999994</v>
      </c>
    </row>
    <row r="698" spans="13:14">
      <c r="M698" s="59">
        <v>0.33814100000000002</v>
      </c>
      <c r="N698" s="59">
        <v>69.2</v>
      </c>
    </row>
    <row r="699" spans="13:14">
      <c r="M699" s="59">
        <v>0.34701122900000098</v>
      </c>
      <c r="N699" s="59">
        <v>69.3</v>
      </c>
    </row>
    <row r="700" spans="13:14">
      <c r="M700" s="59">
        <v>0.35982378200000098</v>
      </c>
      <c r="N700" s="59">
        <v>69.400000000000006</v>
      </c>
    </row>
    <row r="701" spans="13:14">
      <c r="M701" s="59">
        <v>0.37263633500000098</v>
      </c>
      <c r="N701" s="59">
        <v>69.5</v>
      </c>
    </row>
    <row r="702" spans="13:14">
      <c r="M702" s="59">
        <v>0.38694753600000098</v>
      </c>
      <c r="N702" s="59">
        <v>69.599999999999994</v>
      </c>
    </row>
    <row r="703" spans="13:14">
      <c r="M703" s="59">
        <v>0.40153720200000098</v>
      </c>
      <c r="N703" s="59">
        <v>69.7</v>
      </c>
    </row>
    <row r="704" spans="13:14">
      <c r="M704" s="59">
        <v>0.41612686800000098</v>
      </c>
      <c r="N704" s="59">
        <v>69.8</v>
      </c>
    </row>
    <row r="705" spans="13:14">
      <c r="M705" s="59">
        <v>0.41701444500000001</v>
      </c>
      <c r="N705" s="59">
        <v>69.900000000000006</v>
      </c>
    </row>
    <row r="706" spans="13:14">
      <c r="M706" s="59">
        <v>0.41782350000000001</v>
      </c>
      <c r="N706" s="59">
        <v>70</v>
      </c>
    </row>
    <row r="707" spans="13:14">
      <c r="M707" s="59">
        <v>0.41863122899999999</v>
      </c>
      <c r="N707" s="59">
        <v>70.099999999999994</v>
      </c>
    </row>
    <row r="708" spans="13:14">
      <c r="M708" s="59">
        <v>0.41943115800000003</v>
      </c>
      <c r="N708" s="59">
        <v>70.2</v>
      </c>
    </row>
    <row r="709" spans="13:14">
      <c r="M709" s="59">
        <v>0.420231087</v>
      </c>
      <c r="N709" s="59">
        <v>70.3</v>
      </c>
    </row>
    <row r="710" spans="13:14">
      <c r="M710" s="59">
        <v>0.42254359200000002</v>
      </c>
      <c r="N710" s="59">
        <v>70.400000000000006</v>
      </c>
    </row>
    <row r="711" spans="13:14">
      <c r="M711" s="59">
        <v>0.428448465</v>
      </c>
      <c r="N711" s="59">
        <v>70.5</v>
      </c>
    </row>
    <row r="712" spans="13:14">
      <c r="M712" s="59">
        <v>0.43435333799999998</v>
      </c>
      <c r="N712" s="59">
        <v>70.599999999999994</v>
      </c>
    </row>
    <row r="713" spans="13:14">
      <c r="M713" s="59">
        <v>0.44001784399999999</v>
      </c>
      <c r="N713" s="59">
        <v>70.7</v>
      </c>
    </row>
    <row r="714" spans="13:14">
      <c r="M714" s="59">
        <v>0.44538533600000002</v>
      </c>
      <c r="N714" s="59">
        <v>70.8</v>
      </c>
    </row>
    <row r="715" spans="13:14">
      <c r="M715" s="59">
        <v>0.45075282799999999</v>
      </c>
      <c r="N715" s="59">
        <v>70.900000000000006</v>
      </c>
    </row>
    <row r="716" spans="13:14">
      <c r="M716" s="59">
        <v>0.45389537000000002</v>
      </c>
      <c r="N716" s="59">
        <v>71</v>
      </c>
    </row>
    <row r="717" spans="13:14">
      <c r="M717" s="59">
        <v>0.45554401700000002</v>
      </c>
      <c r="N717" s="59">
        <v>71.099999999999994</v>
      </c>
    </row>
    <row r="718" spans="13:14">
      <c r="M718" s="59">
        <v>0.45719266400000003</v>
      </c>
      <c r="N718" s="59">
        <v>71.2</v>
      </c>
    </row>
    <row r="719" spans="13:14">
      <c r="M719" s="59">
        <v>0.46744798599999898</v>
      </c>
      <c r="N719" s="59">
        <v>71.3</v>
      </c>
    </row>
    <row r="720" spans="13:14">
      <c r="M720" s="59">
        <v>0.48058310799999898</v>
      </c>
      <c r="N720" s="59">
        <v>71.400000000000006</v>
      </c>
    </row>
    <row r="721" spans="13:14">
      <c r="M721" s="59">
        <v>0.49371822999999898</v>
      </c>
      <c r="N721" s="59">
        <v>71.5</v>
      </c>
    </row>
    <row r="722" spans="13:14">
      <c r="M722" s="59">
        <v>0.49551969600000001</v>
      </c>
      <c r="N722" s="59">
        <v>71.599999999999994</v>
      </c>
    </row>
    <row r="723" spans="13:14">
      <c r="M723" s="59">
        <v>0.49606585199999997</v>
      </c>
      <c r="N723" s="59">
        <v>71.7</v>
      </c>
    </row>
    <row r="724" spans="13:14">
      <c r="M724" s="59">
        <v>0.49658400000000003</v>
      </c>
      <c r="N724" s="59">
        <v>71.8</v>
      </c>
    </row>
    <row r="725" spans="13:14">
      <c r="M725" s="59">
        <v>0.49658400000000003</v>
      </c>
      <c r="N725" s="59">
        <v>71.900000000000006</v>
      </c>
    </row>
    <row r="726" spans="13:14">
      <c r="M726" s="59">
        <v>0.49658400000000003</v>
      </c>
      <c r="N726" s="59">
        <v>72</v>
      </c>
    </row>
    <row r="727" spans="13:14">
      <c r="M727" s="59">
        <v>0.49768180200000001</v>
      </c>
      <c r="N727" s="59">
        <v>72.099999999999994</v>
      </c>
    </row>
    <row r="728" spans="13:14">
      <c r="M728" s="59">
        <v>0.50310896400000005</v>
      </c>
      <c r="N728" s="59">
        <v>72.2</v>
      </c>
    </row>
    <row r="729" spans="13:14">
      <c r="M729" s="59">
        <v>0.50853612599999998</v>
      </c>
      <c r="N729" s="59">
        <v>72.3</v>
      </c>
    </row>
    <row r="730" spans="13:14">
      <c r="M730" s="59">
        <v>0.51496210799999997</v>
      </c>
      <c r="N730" s="59">
        <v>72.400000000000006</v>
      </c>
    </row>
    <row r="731" spans="13:14">
      <c r="M731" s="59">
        <v>0.52321657499999996</v>
      </c>
      <c r="N731" s="59">
        <v>72.5</v>
      </c>
    </row>
    <row r="732" spans="13:14">
      <c r="M732" s="59">
        <v>0.53147104199999995</v>
      </c>
      <c r="N732" s="59">
        <v>72.599999999999994</v>
      </c>
    </row>
    <row r="733" spans="13:14">
      <c r="M733" s="59">
        <v>0.53730043199999999</v>
      </c>
      <c r="N733" s="59">
        <v>72.7</v>
      </c>
    </row>
    <row r="734" spans="13:14">
      <c r="M734" s="59">
        <v>0.54074584800000003</v>
      </c>
      <c r="N734" s="59">
        <v>72.8</v>
      </c>
    </row>
    <row r="735" spans="13:14">
      <c r="M735" s="59">
        <v>0.54419126399999995</v>
      </c>
      <c r="N735" s="59">
        <v>72.900000000000006</v>
      </c>
    </row>
    <row r="736" spans="13:14">
      <c r="M736" s="59">
        <v>0.54663227000000003</v>
      </c>
      <c r="N736" s="59">
        <v>73</v>
      </c>
    </row>
    <row r="737" spans="13:14">
      <c r="M737" s="59">
        <v>0.54854486899999999</v>
      </c>
      <c r="N737" s="59">
        <v>73.099999999999994</v>
      </c>
    </row>
    <row r="738" spans="13:14">
      <c r="M738" s="59">
        <v>0.55045746799999995</v>
      </c>
      <c r="N738" s="59">
        <v>73.2</v>
      </c>
    </row>
    <row r="739" spans="13:14">
      <c r="M739" s="59">
        <v>0.55221271900000002</v>
      </c>
      <c r="N739" s="59">
        <v>73.3</v>
      </c>
    </row>
    <row r="740" spans="13:14">
      <c r="M740" s="59">
        <v>0.553930162</v>
      </c>
      <c r="N740" s="59">
        <v>73.400000000000006</v>
      </c>
    </row>
    <row r="741" spans="13:14">
      <c r="M741" s="59">
        <v>0.55564760499999999</v>
      </c>
      <c r="N741" s="59">
        <v>73.5</v>
      </c>
    </row>
    <row r="742" spans="13:14">
      <c r="M742" s="59">
        <v>0.56103618399999999</v>
      </c>
      <c r="N742" s="59">
        <v>73.599999999999994</v>
      </c>
    </row>
    <row r="743" spans="13:14">
      <c r="M743" s="59">
        <v>0.56658865300000005</v>
      </c>
      <c r="N743" s="59">
        <v>73.7</v>
      </c>
    </row>
    <row r="744" spans="13:14">
      <c r="M744" s="59">
        <v>0.57199960999999999</v>
      </c>
      <c r="N744" s="59">
        <v>73.8</v>
      </c>
    </row>
    <row r="745" spans="13:14">
      <c r="M745" s="59">
        <v>0.57624495499999995</v>
      </c>
      <c r="N745" s="59">
        <v>73.900000000000006</v>
      </c>
    </row>
    <row r="746" spans="13:14">
      <c r="M746" s="59">
        <v>0.58049030000000001</v>
      </c>
      <c r="N746" s="59">
        <v>74</v>
      </c>
    </row>
    <row r="747" spans="13:14">
      <c r="M747" s="59">
        <v>0.58654199500000004</v>
      </c>
      <c r="N747" s="59">
        <v>74.099999999999994</v>
      </c>
    </row>
    <row r="748" spans="13:14">
      <c r="M748" s="59">
        <v>0.59775469000000003</v>
      </c>
      <c r="N748" s="59">
        <v>74.2</v>
      </c>
    </row>
    <row r="749" spans="13:14">
      <c r="M749" s="59">
        <v>0.60896738500000003</v>
      </c>
      <c r="N749" s="59">
        <v>74.3</v>
      </c>
    </row>
    <row r="750" spans="13:14">
      <c r="M750" s="59">
        <v>0.61808200000000002</v>
      </c>
      <c r="N750" s="59">
        <v>74.400000000000006</v>
      </c>
    </row>
    <row r="751" spans="13:14">
      <c r="M751" s="59">
        <v>0.62418062500000004</v>
      </c>
      <c r="N751" s="59">
        <v>74.5</v>
      </c>
    </row>
    <row r="752" spans="13:14">
      <c r="M752" s="59">
        <v>0.63027924999999996</v>
      </c>
      <c r="N752" s="59">
        <v>74.599999999999994</v>
      </c>
    </row>
    <row r="753" spans="13:14">
      <c r="M753" s="59">
        <v>0.63378279400000004</v>
      </c>
      <c r="N753" s="59">
        <v>74.7</v>
      </c>
    </row>
    <row r="754" spans="13:14">
      <c r="M754" s="59">
        <v>0.63525769600000004</v>
      </c>
      <c r="N754" s="59">
        <v>74.8</v>
      </c>
    </row>
    <row r="755" spans="13:14">
      <c r="M755" s="59">
        <v>0.63673259800000004</v>
      </c>
      <c r="N755" s="59">
        <v>74.900000000000006</v>
      </c>
    </row>
    <row r="756" spans="13:14">
      <c r="M756" s="59">
        <v>0.64070800000000006</v>
      </c>
      <c r="N756" s="59">
        <v>75</v>
      </c>
    </row>
    <row r="757" spans="13:14">
      <c r="M757" s="59">
        <v>0.64569360399999998</v>
      </c>
      <c r="N757" s="59">
        <v>75.099999999999994</v>
      </c>
    </row>
    <row r="758" spans="13:14">
      <c r="M758" s="59">
        <v>0.65067920800000001</v>
      </c>
      <c r="N758" s="59">
        <v>75.2</v>
      </c>
    </row>
    <row r="759" spans="13:14">
      <c r="M759" s="59">
        <v>0.66508356700000004</v>
      </c>
      <c r="N759" s="59">
        <v>75.3</v>
      </c>
    </row>
    <row r="760" spans="13:14">
      <c r="M760" s="59">
        <v>0.68098000599999997</v>
      </c>
      <c r="N760" s="59">
        <v>75.400000000000006</v>
      </c>
    </row>
    <row r="761" spans="13:14">
      <c r="M761" s="59">
        <v>0.69668337999999996</v>
      </c>
      <c r="N761" s="59">
        <v>75.5</v>
      </c>
    </row>
    <row r="762" spans="13:14">
      <c r="M762" s="59">
        <v>0.69902665600000002</v>
      </c>
      <c r="N762" s="59">
        <v>75.599999999999994</v>
      </c>
    </row>
    <row r="763" spans="13:14">
      <c r="M763" s="59">
        <v>0.70136993199999997</v>
      </c>
      <c r="N763" s="59">
        <v>75.7</v>
      </c>
    </row>
    <row r="764" spans="13:14">
      <c r="M764" s="59">
        <v>0.70341630600000005</v>
      </c>
      <c r="N764" s="59">
        <v>75.8</v>
      </c>
    </row>
    <row r="765" spans="13:14">
      <c r="M765" s="59">
        <v>0.70396281299999997</v>
      </c>
      <c r="N765" s="59">
        <v>75.900000000000006</v>
      </c>
    </row>
    <row r="766" spans="13:14">
      <c r="M766" s="59">
        <v>0.70450931999999999</v>
      </c>
      <c r="N766" s="59">
        <v>76</v>
      </c>
    </row>
    <row r="767" spans="13:14">
      <c r="M767" s="59">
        <v>0.70513896600000003</v>
      </c>
      <c r="N767" s="59">
        <v>76.099999999999994</v>
      </c>
    </row>
    <row r="768" spans="13:14">
      <c r="M768" s="59">
        <v>0.70594837200000005</v>
      </c>
      <c r="N768" s="59">
        <v>76.2</v>
      </c>
    </row>
    <row r="769" spans="13:14">
      <c r="M769" s="59">
        <v>0.70675777799999995</v>
      </c>
      <c r="N769" s="59">
        <v>76.3</v>
      </c>
    </row>
    <row r="770" spans="13:14">
      <c r="M770" s="59">
        <v>0.707353656</v>
      </c>
      <c r="N770" s="59">
        <v>76.400000000000006</v>
      </c>
    </row>
    <row r="771" spans="13:14">
      <c r="M771" s="59">
        <v>0.70770606000000003</v>
      </c>
      <c r="N771" s="59">
        <v>76.5</v>
      </c>
    </row>
    <row r="772" spans="13:14">
      <c r="M772" s="59">
        <v>0.70805846400000005</v>
      </c>
      <c r="N772" s="59">
        <v>76.599999999999994</v>
      </c>
    </row>
    <row r="773" spans="13:14">
      <c r="M773" s="59">
        <v>0.71212590799999997</v>
      </c>
      <c r="N773" s="59">
        <v>76.7</v>
      </c>
    </row>
    <row r="774" spans="13:14">
      <c r="M774" s="59">
        <v>0.71848743199999998</v>
      </c>
      <c r="N774" s="59">
        <v>76.8</v>
      </c>
    </row>
    <row r="775" spans="13:14">
      <c r="M775" s="59">
        <v>0.72484895599999999</v>
      </c>
      <c r="N775" s="59">
        <v>76.900000000000006</v>
      </c>
    </row>
    <row r="776" spans="13:14">
      <c r="M776" s="59">
        <v>0.72910934000000005</v>
      </c>
      <c r="N776" s="59">
        <v>77</v>
      </c>
    </row>
    <row r="777" spans="13:14">
      <c r="M777" s="59">
        <v>0.73273938199999999</v>
      </c>
      <c r="N777" s="59">
        <v>77.099999999999994</v>
      </c>
    </row>
    <row r="778" spans="13:14">
      <c r="M778" s="59">
        <v>0.73636942400000005</v>
      </c>
      <c r="N778" s="59">
        <v>77.2</v>
      </c>
    </row>
    <row r="779" spans="13:14">
      <c r="M779" s="59">
        <v>0.73875236300000002</v>
      </c>
      <c r="N779" s="59">
        <v>77.3</v>
      </c>
    </row>
    <row r="780" spans="13:14">
      <c r="M780" s="59">
        <v>0.74102719399999994</v>
      </c>
      <c r="N780" s="59">
        <v>77.400000000000006</v>
      </c>
    </row>
    <row r="781" spans="13:14">
      <c r="M781" s="59">
        <v>0.74315379999999998</v>
      </c>
      <c r="N781" s="59">
        <v>77.5</v>
      </c>
    </row>
    <row r="782" spans="13:14">
      <c r="M782" s="59">
        <v>0.74334755200000002</v>
      </c>
      <c r="N782" s="59">
        <v>77.599999999999994</v>
      </c>
    </row>
    <row r="783" spans="13:14">
      <c r="M783" s="59">
        <v>0.74354130399999996</v>
      </c>
      <c r="N783" s="59">
        <v>77.7</v>
      </c>
    </row>
    <row r="784" spans="13:14">
      <c r="M784" s="59">
        <v>0.74515613800000102</v>
      </c>
      <c r="N784" s="59">
        <v>77.8</v>
      </c>
    </row>
    <row r="785" spans="13:14">
      <c r="M785" s="59">
        <v>0.75174475900000104</v>
      </c>
      <c r="N785" s="59">
        <v>77.900000000000006</v>
      </c>
    </row>
    <row r="786" spans="13:14">
      <c r="M786" s="59">
        <v>0.75833338000000095</v>
      </c>
      <c r="N786" s="59">
        <v>78</v>
      </c>
    </row>
    <row r="787" spans="13:14">
      <c r="M787" s="59">
        <v>0.76496876800000102</v>
      </c>
      <c r="N787" s="59">
        <v>78.099999999999994</v>
      </c>
    </row>
    <row r="788" spans="13:14">
      <c r="M788" s="59">
        <v>0.77168269600000094</v>
      </c>
      <c r="N788" s="59">
        <v>78.2</v>
      </c>
    </row>
    <row r="789" spans="13:14">
      <c r="M789" s="59">
        <v>0.77839662400000098</v>
      </c>
      <c r="N789" s="59">
        <v>78.3</v>
      </c>
    </row>
    <row r="790" spans="13:14">
      <c r="M790" s="59">
        <v>0.78423600000000004</v>
      </c>
      <c r="N790" s="59">
        <v>78.400000000000006</v>
      </c>
    </row>
    <row r="791" spans="13:14">
      <c r="M791" s="59">
        <v>0.78928162499999999</v>
      </c>
      <c r="N791" s="59">
        <v>78.5</v>
      </c>
    </row>
    <row r="792" spans="13:14">
      <c r="M792" s="59">
        <v>0.79432725000000004</v>
      </c>
      <c r="N792" s="59">
        <v>78.599999999999994</v>
      </c>
    </row>
    <row r="793" spans="13:14">
      <c r="M793" s="59">
        <v>0.80407708800000099</v>
      </c>
      <c r="N793" s="59">
        <v>78.7</v>
      </c>
    </row>
    <row r="794" spans="13:14">
      <c r="M794" s="59">
        <v>0.81608971200000102</v>
      </c>
      <c r="N794" s="59">
        <v>78.8</v>
      </c>
    </row>
    <row r="795" spans="13:14">
      <c r="M795" s="59">
        <v>0.82810233600000105</v>
      </c>
      <c r="N795" s="59">
        <v>78.900000000000006</v>
      </c>
    </row>
    <row r="796" spans="13:14">
      <c r="M796" s="59">
        <v>0.83318946999999999</v>
      </c>
      <c r="N796" s="59">
        <v>79</v>
      </c>
    </row>
    <row r="797" spans="13:14">
      <c r="M797" s="59">
        <v>0.836819863</v>
      </c>
      <c r="N797" s="59">
        <v>79.099999999999994</v>
      </c>
    </row>
    <row r="798" spans="13:14">
      <c r="M798" s="59">
        <v>0.84045025600000001</v>
      </c>
      <c r="N798" s="59">
        <v>79.2</v>
      </c>
    </row>
    <row r="799" spans="13:14">
      <c r="M799" s="59">
        <v>0.85450339000000097</v>
      </c>
      <c r="N799" s="59">
        <v>79.3</v>
      </c>
    </row>
    <row r="800" spans="13:14">
      <c r="M800" s="59">
        <v>0.86879962000000099</v>
      </c>
      <c r="N800" s="59">
        <v>79.400000000000006</v>
      </c>
    </row>
    <row r="801" spans="13:14">
      <c r="M801" s="59">
        <v>0.88136555500000002</v>
      </c>
      <c r="N801" s="59">
        <v>79.5</v>
      </c>
    </row>
    <row r="802" spans="13:14">
      <c r="M802" s="59">
        <v>0.88216548400000006</v>
      </c>
      <c r="N802" s="59">
        <v>79.599999999999994</v>
      </c>
    </row>
    <row r="803" spans="13:14">
      <c r="M803" s="59">
        <v>0.88296541299999998</v>
      </c>
      <c r="N803" s="59">
        <v>79.7</v>
      </c>
    </row>
    <row r="804" spans="13:14">
      <c r="M804" s="59">
        <v>0.88431561199999997</v>
      </c>
      <c r="N804" s="59">
        <v>79.8</v>
      </c>
    </row>
    <row r="805" spans="13:14">
      <c r="M805" s="59">
        <v>0.88708640599999999</v>
      </c>
      <c r="N805" s="59">
        <v>79.900000000000006</v>
      </c>
    </row>
    <row r="806" spans="13:14">
      <c r="M806" s="59">
        <v>0.88985720000000001</v>
      </c>
      <c r="N806" s="59">
        <v>80</v>
      </c>
    </row>
    <row r="807" spans="13:14">
      <c r="M807" s="59">
        <v>0.89371564699999995</v>
      </c>
      <c r="N807" s="59">
        <v>80.099999999999994</v>
      </c>
    </row>
    <row r="808" spans="13:14">
      <c r="M808" s="59">
        <v>0.899014694</v>
      </c>
      <c r="N808" s="59">
        <v>80.2</v>
      </c>
    </row>
    <row r="809" spans="13:14">
      <c r="M809" s="59">
        <v>0.90431374099999995</v>
      </c>
      <c r="N809" s="59">
        <v>80.3</v>
      </c>
    </row>
    <row r="810" spans="13:14">
      <c r="M810" s="59">
        <v>0.90782023999999995</v>
      </c>
      <c r="N810" s="59">
        <v>80.400000000000006</v>
      </c>
    </row>
    <row r="811" spans="13:14">
      <c r="M811" s="59">
        <v>0.91003504999999996</v>
      </c>
      <c r="N811" s="59">
        <v>80.5</v>
      </c>
    </row>
    <row r="812" spans="13:14">
      <c r="M812" s="59">
        <v>0.91224985999999997</v>
      </c>
      <c r="N812" s="59">
        <v>80.599999999999994</v>
      </c>
    </row>
    <row r="813" spans="13:14">
      <c r="M813" s="59">
        <v>0.91406477799999997</v>
      </c>
      <c r="N813" s="59">
        <v>80.7</v>
      </c>
    </row>
    <row r="814" spans="13:14">
      <c r="M814" s="59">
        <v>0.91573343200000001</v>
      </c>
      <c r="N814" s="59">
        <v>80.8</v>
      </c>
    </row>
    <row r="815" spans="13:14">
      <c r="M815" s="59">
        <v>0.91740208599999995</v>
      </c>
      <c r="N815" s="59">
        <v>80.900000000000006</v>
      </c>
    </row>
    <row r="816" spans="13:14">
      <c r="M816" s="59">
        <v>0.92934569</v>
      </c>
      <c r="N816" s="59">
        <v>81</v>
      </c>
    </row>
    <row r="817" spans="13:14">
      <c r="M817" s="59">
        <v>0.94264823900000005</v>
      </c>
      <c r="N817" s="59">
        <v>81.099999999999994</v>
      </c>
    </row>
    <row r="818" spans="13:14">
      <c r="M818" s="59">
        <v>0.95559908000000005</v>
      </c>
      <c r="N818" s="59">
        <v>81.2</v>
      </c>
    </row>
    <row r="819" spans="13:14">
      <c r="M819" s="59">
        <v>0.95861417000000004</v>
      </c>
      <c r="N819" s="59">
        <v>81.3</v>
      </c>
    </row>
    <row r="820" spans="13:14">
      <c r="M820" s="59">
        <v>0.96162926000000004</v>
      </c>
      <c r="N820" s="59">
        <v>81.400000000000006</v>
      </c>
    </row>
    <row r="821" spans="13:14">
      <c r="M821" s="59">
        <v>0.96544326499999999</v>
      </c>
      <c r="N821" s="59">
        <v>81.5</v>
      </c>
    </row>
    <row r="822" spans="13:14">
      <c r="M822" s="59">
        <v>0.97277249600000004</v>
      </c>
      <c r="N822" s="59">
        <v>81.599999999999994</v>
      </c>
    </row>
    <row r="823" spans="13:14">
      <c r="M823" s="59">
        <v>0.98010172699999998</v>
      </c>
      <c r="N823" s="59">
        <v>81.7</v>
      </c>
    </row>
    <row r="824" spans="13:14">
      <c r="M824" s="59">
        <v>0.98826073400000003</v>
      </c>
      <c r="N824" s="59">
        <v>81.8</v>
      </c>
    </row>
    <row r="825" spans="13:14">
      <c r="M825" s="59">
        <v>0.99805819699999998</v>
      </c>
      <c r="N825" s="59">
        <v>81.900000000000006</v>
      </c>
    </row>
    <row r="826" spans="13:14">
      <c r="M826" s="59">
        <v>1.0078556599999999</v>
      </c>
      <c r="N826" s="59">
        <v>82</v>
      </c>
    </row>
    <row r="827" spans="13:14">
      <c r="M827" s="59">
        <v>1.0132072940000001</v>
      </c>
      <c r="N827" s="59">
        <v>82.1</v>
      </c>
    </row>
    <row r="828" spans="13:14">
      <c r="M828" s="59">
        <v>1.013879108</v>
      </c>
      <c r="N828" s="59">
        <v>82.2</v>
      </c>
    </row>
    <row r="829" spans="13:14">
      <c r="M829" s="59">
        <v>1.014550922</v>
      </c>
      <c r="N829" s="59">
        <v>82.3</v>
      </c>
    </row>
    <row r="830" spans="13:14">
      <c r="M830" s="59">
        <v>1.01865016</v>
      </c>
      <c r="N830" s="59">
        <v>82.4</v>
      </c>
    </row>
    <row r="831" spans="13:14">
      <c r="M831" s="59">
        <v>1.0246926249999999</v>
      </c>
      <c r="N831" s="59">
        <v>82.5</v>
      </c>
    </row>
    <row r="832" spans="13:14">
      <c r="M832" s="59">
        <v>1.0307350900000001</v>
      </c>
      <c r="N832" s="59">
        <v>82.6</v>
      </c>
    </row>
    <row r="833" spans="13:14">
      <c r="M833" s="59">
        <v>1.0343881530000001</v>
      </c>
      <c r="N833" s="59">
        <v>82.7</v>
      </c>
    </row>
    <row r="834" spans="13:14">
      <c r="M834" s="59">
        <v>1.037402892</v>
      </c>
      <c r="N834" s="59">
        <v>82.8</v>
      </c>
    </row>
    <row r="835" spans="13:14">
      <c r="M835" s="59">
        <v>1.040417631</v>
      </c>
      <c r="N835" s="59">
        <v>82.9</v>
      </c>
    </row>
    <row r="836" spans="13:14">
      <c r="M836" s="59">
        <v>1.04349738</v>
      </c>
      <c r="N836" s="59">
        <v>83</v>
      </c>
    </row>
    <row r="837" spans="13:14">
      <c r="M837" s="59">
        <v>1.046581266</v>
      </c>
      <c r="N837" s="59">
        <v>83.1</v>
      </c>
    </row>
    <row r="838" spans="13:14">
      <c r="M838" s="59">
        <v>1.0495574080000001</v>
      </c>
      <c r="N838" s="59">
        <v>83.2</v>
      </c>
    </row>
    <row r="839" spans="13:14">
      <c r="M839" s="59">
        <v>1.0514594770000001</v>
      </c>
      <c r="N839" s="59">
        <v>83.3</v>
      </c>
    </row>
    <row r="840" spans="13:14">
      <c r="M840" s="59">
        <v>1.0533615460000001</v>
      </c>
      <c r="N840" s="59">
        <v>83.4</v>
      </c>
    </row>
    <row r="841" spans="13:14">
      <c r="M841" s="59">
        <v>1.056249615</v>
      </c>
      <c r="N841" s="59">
        <v>83.5</v>
      </c>
    </row>
    <row r="842" spans="13:14">
      <c r="M842" s="59">
        <v>1.0622232840000001</v>
      </c>
      <c r="N842" s="59">
        <v>83.6</v>
      </c>
    </row>
    <row r="843" spans="13:14">
      <c r="M843" s="59">
        <v>1.0681969529999999</v>
      </c>
      <c r="N843" s="59">
        <v>83.7</v>
      </c>
    </row>
    <row r="844" spans="13:14">
      <c r="M844" s="59">
        <v>1.072477914</v>
      </c>
      <c r="N844" s="59">
        <v>83.8</v>
      </c>
    </row>
    <row r="845" spans="13:14">
      <c r="M845" s="59">
        <v>1.074146217</v>
      </c>
      <c r="N845" s="59">
        <v>83.9</v>
      </c>
    </row>
    <row r="846" spans="13:14">
      <c r="M846" s="59">
        <v>1.07581452</v>
      </c>
      <c r="N846" s="59">
        <v>84</v>
      </c>
    </row>
    <row r="847" spans="13:14">
      <c r="M847" s="59">
        <v>1.0823095840000001</v>
      </c>
      <c r="N847" s="59">
        <v>84.1</v>
      </c>
    </row>
    <row r="848" spans="13:14">
      <c r="M848" s="59">
        <v>1.092848008</v>
      </c>
      <c r="N848" s="59">
        <v>84.2</v>
      </c>
    </row>
    <row r="849" spans="13:14">
      <c r="M849" s="59">
        <v>1.103386432</v>
      </c>
      <c r="N849" s="59">
        <v>84.3</v>
      </c>
    </row>
    <row r="850" spans="13:14">
      <c r="M850" s="59">
        <v>1.107624044</v>
      </c>
      <c r="N850" s="59">
        <v>84.4</v>
      </c>
    </row>
    <row r="851" spans="13:14">
      <c r="M851" s="59">
        <v>1.1090985950000001</v>
      </c>
      <c r="N851" s="59">
        <v>84.5</v>
      </c>
    </row>
    <row r="852" spans="13:14">
      <c r="M852" s="59">
        <v>1.1105731459999999</v>
      </c>
      <c r="N852" s="59">
        <v>84.6</v>
      </c>
    </row>
    <row r="853" spans="13:14">
      <c r="M853" s="59">
        <v>1.1136069470000001</v>
      </c>
      <c r="N853" s="59">
        <v>84.7</v>
      </c>
    </row>
    <row r="854" spans="13:14">
      <c r="M854" s="59">
        <v>1.1169242479999999</v>
      </c>
      <c r="N854" s="59">
        <v>84.8</v>
      </c>
    </row>
    <row r="855" spans="13:14">
      <c r="M855" s="59">
        <v>1.1202415489999999</v>
      </c>
      <c r="N855" s="59">
        <v>84.9</v>
      </c>
    </row>
    <row r="856" spans="13:14">
      <c r="M856" s="59">
        <v>1.1256032</v>
      </c>
      <c r="N856" s="59">
        <v>85</v>
      </c>
    </row>
    <row r="857" spans="13:14">
      <c r="M857" s="59">
        <v>1.130970692</v>
      </c>
      <c r="N857" s="59">
        <v>85.1</v>
      </c>
    </row>
    <row r="858" spans="13:14">
      <c r="M858" s="59">
        <v>1.1364089559999999</v>
      </c>
      <c r="N858" s="59">
        <v>85.2</v>
      </c>
    </row>
    <row r="859" spans="13:14">
      <c r="M859" s="59">
        <v>1.1422541589999999</v>
      </c>
      <c r="N859" s="59">
        <v>85.3</v>
      </c>
    </row>
    <row r="860" spans="13:14">
      <c r="M860" s="59">
        <v>1.148099362</v>
      </c>
      <c r="N860" s="59">
        <v>85.4</v>
      </c>
    </row>
    <row r="861" spans="13:14">
      <c r="M861" s="59">
        <v>1.154388505</v>
      </c>
      <c r="N861" s="59">
        <v>85.5</v>
      </c>
    </row>
    <row r="862" spans="13:14">
      <c r="M862" s="59">
        <v>1.1617177359999999</v>
      </c>
      <c r="N862" s="59">
        <v>85.6</v>
      </c>
    </row>
    <row r="863" spans="13:14">
      <c r="M863" s="59">
        <v>1.1690469670000001</v>
      </c>
      <c r="N863" s="59">
        <v>85.7</v>
      </c>
    </row>
    <row r="864" spans="13:14">
      <c r="M864" s="59">
        <v>1.175936326</v>
      </c>
      <c r="N864" s="59">
        <v>85.8</v>
      </c>
    </row>
    <row r="865" spans="13:14">
      <c r="M865" s="59">
        <v>1.182288373</v>
      </c>
      <c r="N865" s="59">
        <v>85.9</v>
      </c>
    </row>
    <row r="866" spans="13:14">
      <c r="M866" s="59">
        <v>1.18864042</v>
      </c>
      <c r="N866" s="59">
        <v>86</v>
      </c>
    </row>
    <row r="867" spans="13:14">
      <c r="M867" s="59">
        <v>1.199093674</v>
      </c>
      <c r="N867" s="59">
        <v>86.1</v>
      </c>
    </row>
    <row r="868" spans="13:14">
      <c r="M868" s="59">
        <v>1.212268108</v>
      </c>
      <c r="N868" s="59">
        <v>86.2</v>
      </c>
    </row>
    <row r="869" spans="13:14">
      <c r="M869" s="59">
        <v>1.2254425419999999</v>
      </c>
      <c r="N869" s="59">
        <v>86.3</v>
      </c>
    </row>
    <row r="870" spans="13:14">
      <c r="M870" s="59">
        <v>1.2369957519999999</v>
      </c>
      <c r="N870" s="59">
        <v>86.4</v>
      </c>
    </row>
    <row r="871" spans="13:14">
      <c r="M871" s="59">
        <v>1.248014695</v>
      </c>
      <c r="N871" s="59">
        <v>86.5</v>
      </c>
    </row>
    <row r="872" spans="13:14">
      <c r="M872" s="59">
        <v>1.259033638</v>
      </c>
      <c r="N872" s="59">
        <v>86.6</v>
      </c>
    </row>
    <row r="873" spans="13:14">
      <c r="M873" s="59">
        <v>1.2631150360000001</v>
      </c>
      <c r="N873" s="59">
        <v>86.7</v>
      </c>
    </row>
    <row r="874" spans="13:14">
      <c r="M874" s="59">
        <v>1.266452344</v>
      </c>
      <c r="N874" s="59">
        <v>86.8</v>
      </c>
    </row>
    <row r="875" spans="13:14">
      <c r="M875" s="59">
        <v>1.269852523</v>
      </c>
      <c r="N875" s="59">
        <v>86.9</v>
      </c>
    </row>
    <row r="876" spans="13:14">
      <c r="M876" s="59">
        <v>1.27435129</v>
      </c>
      <c r="N876" s="59">
        <v>87</v>
      </c>
    </row>
    <row r="877" spans="13:14">
      <c r="M877" s="59">
        <v>1.2788500570000001</v>
      </c>
      <c r="N877" s="59">
        <v>87.1</v>
      </c>
    </row>
    <row r="878" spans="13:14">
      <c r="M878" s="59">
        <v>1.2826900240000001</v>
      </c>
      <c r="N878" s="59">
        <v>87.2</v>
      </c>
    </row>
    <row r="879" spans="13:14">
      <c r="M879" s="59">
        <v>1.283977141</v>
      </c>
      <c r="N879" s="59">
        <v>87.3</v>
      </c>
    </row>
    <row r="880" spans="13:14">
      <c r="M880" s="59">
        <v>1.285264258</v>
      </c>
      <c r="N880" s="59">
        <v>87.4</v>
      </c>
    </row>
    <row r="881" spans="13:14">
      <c r="M881" s="59">
        <v>1.288025625</v>
      </c>
      <c r="N881" s="59">
        <v>87.5</v>
      </c>
    </row>
    <row r="882" spans="13:14">
      <c r="M882" s="59">
        <v>1.2934524359999999</v>
      </c>
      <c r="N882" s="59">
        <v>87.6</v>
      </c>
    </row>
    <row r="883" spans="13:14">
      <c r="M883" s="59">
        <v>1.2988792469999999</v>
      </c>
      <c r="N883" s="59">
        <v>87.7</v>
      </c>
    </row>
    <row r="884" spans="13:14">
      <c r="M884" s="59">
        <v>1.3019295799999999</v>
      </c>
      <c r="N884" s="59">
        <v>87.8</v>
      </c>
    </row>
    <row r="885" spans="13:14">
      <c r="M885" s="59">
        <v>1.30267019</v>
      </c>
      <c r="N885" s="59">
        <v>87.9</v>
      </c>
    </row>
    <row r="886" spans="13:14">
      <c r="M886" s="59">
        <v>1.3034108</v>
      </c>
      <c r="N886" s="59">
        <v>88</v>
      </c>
    </row>
    <row r="887" spans="13:14">
      <c r="M887" s="59">
        <v>1.3039411999999999</v>
      </c>
      <c r="N887" s="59">
        <v>88.1</v>
      </c>
    </row>
    <row r="888" spans="13:14">
      <c r="M888" s="59">
        <v>1.3043624</v>
      </c>
      <c r="N888" s="59">
        <v>88.2</v>
      </c>
    </row>
    <row r="889" spans="13:14">
      <c r="M889" s="59">
        <v>1.3047835999999999</v>
      </c>
      <c r="N889" s="59">
        <v>88.3</v>
      </c>
    </row>
    <row r="890" spans="13:14">
      <c r="M890" s="59">
        <v>1.3099555519999999</v>
      </c>
      <c r="N890" s="59">
        <v>88.4</v>
      </c>
    </row>
    <row r="891" spans="13:14">
      <c r="M891" s="59">
        <v>1.3162482799999999</v>
      </c>
      <c r="N891" s="59">
        <v>88.5</v>
      </c>
    </row>
    <row r="892" spans="13:14">
      <c r="M892" s="59">
        <v>1.322541008</v>
      </c>
      <c r="N892" s="59">
        <v>88.6</v>
      </c>
    </row>
    <row r="893" spans="13:14">
      <c r="M893" s="59">
        <v>1.3292950889999999</v>
      </c>
      <c r="N893" s="59">
        <v>88.7</v>
      </c>
    </row>
    <row r="894" spans="13:14">
      <c r="M894" s="59">
        <v>1.3360683360000001</v>
      </c>
      <c r="N894" s="59">
        <v>88.8</v>
      </c>
    </row>
    <row r="895" spans="13:14">
      <c r="M895" s="59">
        <v>1.342122579</v>
      </c>
      <c r="N895" s="59">
        <v>88.9</v>
      </c>
    </row>
    <row r="896" spans="13:14">
      <c r="M896" s="59">
        <v>1.3424247899999999</v>
      </c>
      <c r="N896" s="59">
        <v>89</v>
      </c>
    </row>
    <row r="897" spans="13:14">
      <c r="M897" s="59">
        <v>1.3427270010000001</v>
      </c>
      <c r="N897" s="59">
        <v>89.1</v>
      </c>
    </row>
    <row r="898" spans="13:14">
      <c r="M898" s="59">
        <v>1.344985868</v>
      </c>
      <c r="N898" s="59">
        <v>89.2</v>
      </c>
    </row>
    <row r="899" spans="13:14">
      <c r="M899" s="59">
        <v>1.352753147</v>
      </c>
      <c r="N899" s="59">
        <v>89.3</v>
      </c>
    </row>
    <row r="900" spans="13:14">
      <c r="M900" s="59">
        <v>1.3605204259999999</v>
      </c>
      <c r="N900" s="59">
        <v>89.4</v>
      </c>
    </row>
    <row r="901" spans="13:14">
      <c r="M901" s="59">
        <v>1.3680020550000001</v>
      </c>
      <c r="N901" s="59">
        <v>89.5</v>
      </c>
    </row>
    <row r="902" spans="13:14">
      <c r="M902" s="59">
        <v>1.3750778640000001</v>
      </c>
      <c r="N902" s="59">
        <v>89.6</v>
      </c>
    </row>
    <row r="903" spans="13:14">
      <c r="M903" s="59">
        <v>1.3821536729999999</v>
      </c>
      <c r="N903" s="59">
        <v>89.7</v>
      </c>
    </row>
    <row r="904" spans="13:14">
      <c r="M904" s="59">
        <v>1.3880230680000001</v>
      </c>
      <c r="N904" s="59">
        <v>89.8</v>
      </c>
    </row>
    <row r="905" spans="13:14">
      <c r="M905" s="59">
        <v>1.392960234</v>
      </c>
      <c r="N905" s="59">
        <v>89.9</v>
      </c>
    </row>
    <row r="906" spans="13:14">
      <c r="M906" s="59">
        <v>1.3978974</v>
      </c>
      <c r="N906" s="59">
        <v>90</v>
      </c>
    </row>
    <row r="907" spans="13:14">
      <c r="M907" s="59">
        <v>1.4008880610000001</v>
      </c>
      <c r="N907" s="59">
        <v>90.1</v>
      </c>
    </row>
    <row r="908" spans="13:14">
      <c r="M908" s="59">
        <v>1.4031032219999999</v>
      </c>
      <c r="N908" s="59">
        <v>90.2</v>
      </c>
    </row>
    <row r="909" spans="13:14">
      <c r="M909" s="59">
        <v>1.405318383</v>
      </c>
      <c r="N909" s="59">
        <v>90.3</v>
      </c>
    </row>
    <row r="910" spans="13:14">
      <c r="M910" s="59">
        <v>1.41569108</v>
      </c>
      <c r="N910" s="59">
        <v>90.4</v>
      </c>
    </row>
    <row r="911" spans="13:14">
      <c r="M911" s="59">
        <v>1.4273249750000001</v>
      </c>
      <c r="N911" s="59">
        <v>90.5</v>
      </c>
    </row>
    <row r="912" spans="13:14">
      <c r="M912" s="59">
        <v>1.4388358880000001</v>
      </c>
      <c r="N912" s="59">
        <v>90.6</v>
      </c>
    </row>
    <row r="913" spans="13:14">
      <c r="M913" s="59">
        <v>1.4432753359999999</v>
      </c>
      <c r="N913" s="59">
        <v>90.7</v>
      </c>
    </row>
    <row r="914" spans="13:14">
      <c r="M914" s="59">
        <v>1.447714784</v>
      </c>
      <c r="N914" s="59">
        <v>90.8</v>
      </c>
    </row>
    <row r="915" spans="13:14">
      <c r="M915" s="59">
        <v>1.451686893</v>
      </c>
      <c r="N915" s="59">
        <v>90.9</v>
      </c>
    </row>
    <row r="916" spans="13:14">
      <c r="M916" s="59">
        <v>1.45334607</v>
      </c>
      <c r="N916" s="59">
        <v>91</v>
      </c>
    </row>
    <row r="917" spans="13:14">
      <c r="M917" s="59">
        <v>1.4550052469999999</v>
      </c>
      <c r="N917" s="59">
        <v>91.1</v>
      </c>
    </row>
    <row r="918" spans="13:14">
      <c r="M918" s="59">
        <v>1.4563932719999999</v>
      </c>
      <c r="N918" s="59">
        <v>91.2</v>
      </c>
    </row>
    <row r="919" spans="13:14">
      <c r="M919" s="59">
        <v>1.457202678</v>
      </c>
      <c r="N919" s="59">
        <v>91.3</v>
      </c>
    </row>
    <row r="920" spans="13:14">
      <c r="M920" s="59">
        <v>1.4580120839999999</v>
      </c>
      <c r="N920" s="59">
        <v>91.4</v>
      </c>
    </row>
    <row r="921" spans="13:14">
      <c r="M921" s="59">
        <v>1.459106115</v>
      </c>
      <c r="N921" s="59">
        <v>91.5</v>
      </c>
    </row>
    <row r="922" spans="13:14">
      <c r="M922" s="59">
        <v>1.4605209960000001</v>
      </c>
      <c r="N922" s="59">
        <v>91.6</v>
      </c>
    </row>
    <row r="923" spans="13:14">
      <c r="M923" s="59">
        <v>1.4619358769999999</v>
      </c>
      <c r="N923" s="59">
        <v>91.7</v>
      </c>
    </row>
    <row r="924" spans="13:14">
      <c r="M924" s="59">
        <v>1.4649212300000001</v>
      </c>
      <c r="N924" s="59">
        <v>91.8</v>
      </c>
    </row>
    <row r="925" spans="13:14">
      <c r="M925" s="59">
        <v>1.468864715</v>
      </c>
      <c r="N925" s="59">
        <v>91.9</v>
      </c>
    </row>
    <row r="926" spans="13:14">
      <c r="M926" s="59">
        <v>1.4728082</v>
      </c>
      <c r="N926" s="59">
        <v>92</v>
      </c>
    </row>
    <row r="927" spans="13:14">
      <c r="M927" s="59">
        <v>1.474603739</v>
      </c>
      <c r="N927" s="59">
        <v>92.1</v>
      </c>
    </row>
    <row r="928" spans="13:14">
      <c r="M928" s="59">
        <v>1.4757651979999999</v>
      </c>
      <c r="N928" s="59">
        <v>92.2</v>
      </c>
    </row>
    <row r="929" spans="13:14">
      <c r="M929" s="59">
        <v>1.4769266569999999</v>
      </c>
      <c r="N929" s="59">
        <v>92.3</v>
      </c>
    </row>
    <row r="930" spans="13:14">
      <c r="M930" s="59">
        <v>1.4827090039999999</v>
      </c>
      <c r="N930" s="59">
        <v>92.4</v>
      </c>
    </row>
    <row r="931" spans="13:14">
      <c r="M931" s="59">
        <v>1.4888764249999999</v>
      </c>
      <c r="N931" s="59">
        <v>92.5</v>
      </c>
    </row>
    <row r="932" spans="13:14">
      <c r="M932" s="59">
        <v>1.4946274820000001</v>
      </c>
      <c r="N932" s="59">
        <v>92.6</v>
      </c>
    </row>
    <row r="933" spans="13:14">
      <c r="M933" s="59">
        <v>1.495173989</v>
      </c>
      <c r="N933" s="59">
        <v>92.7</v>
      </c>
    </row>
    <row r="934" spans="13:14">
      <c r="M934" s="59">
        <v>1.4957204959999999</v>
      </c>
      <c r="N934" s="59">
        <v>92.8</v>
      </c>
    </row>
    <row r="935" spans="13:14">
      <c r="M935" s="59">
        <v>1.4966446229999999</v>
      </c>
      <c r="N935" s="59">
        <v>92.9</v>
      </c>
    </row>
    <row r="936" spans="13:14">
      <c r="M936" s="59">
        <v>1.4988689100000001</v>
      </c>
      <c r="N936" s="59">
        <v>93</v>
      </c>
    </row>
    <row r="937" spans="13:14">
      <c r="M937" s="59">
        <v>1.5010931970000001</v>
      </c>
      <c r="N937" s="59">
        <v>93.1</v>
      </c>
    </row>
    <row r="938" spans="13:14">
      <c r="M938" s="59">
        <v>1.5044702400000001</v>
      </c>
      <c r="N938" s="59">
        <v>93.2</v>
      </c>
    </row>
    <row r="939" spans="13:14">
      <c r="M939" s="59">
        <v>1.50975981</v>
      </c>
      <c r="N939" s="59">
        <v>93.3</v>
      </c>
    </row>
    <row r="940" spans="13:14">
      <c r="M940" s="59">
        <v>1.51504938</v>
      </c>
      <c r="N940" s="59">
        <v>93.4</v>
      </c>
    </row>
    <row r="941" spans="13:14">
      <c r="M941" s="59">
        <v>1.5184304900000001</v>
      </c>
      <c r="N941" s="59">
        <v>93.5</v>
      </c>
    </row>
    <row r="942" spans="13:14">
      <c r="M942" s="59">
        <v>1.520099144</v>
      </c>
      <c r="N942" s="59">
        <v>93.6</v>
      </c>
    </row>
    <row r="943" spans="13:14">
      <c r="M943" s="59">
        <v>1.5217677979999999</v>
      </c>
      <c r="N943" s="59">
        <v>93.7</v>
      </c>
    </row>
    <row r="944" spans="13:14">
      <c r="M944" s="59">
        <v>1.5253554460000001</v>
      </c>
      <c r="N944" s="59">
        <v>93.8</v>
      </c>
    </row>
    <row r="945" spans="13:14">
      <c r="M945" s="59">
        <v>1.5298542129999999</v>
      </c>
      <c r="N945" s="59">
        <v>93.9</v>
      </c>
    </row>
    <row r="946" spans="13:14">
      <c r="M946" s="59">
        <v>1.53435298</v>
      </c>
      <c r="N946" s="59">
        <v>94</v>
      </c>
    </row>
    <row r="947" spans="13:14">
      <c r="M947" s="59">
        <v>1.540639069</v>
      </c>
      <c r="N947" s="59">
        <v>94.1</v>
      </c>
    </row>
    <row r="948" spans="13:14">
      <c r="M948" s="59">
        <v>1.547293678</v>
      </c>
      <c r="N948" s="59">
        <v>94.2</v>
      </c>
    </row>
    <row r="949" spans="13:14">
      <c r="M949" s="59">
        <v>1.5539482870000001</v>
      </c>
      <c r="N949" s="59">
        <v>94.3</v>
      </c>
    </row>
    <row r="950" spans="13:14">
      <c r="M950" s="59">
        <v>1.5606610320000001</v>
      </c>
      <c r="N950" s="59">
        <v>94.4</v>
      </c>
    </row>
    <row r="951" spans="13:14">
      <c r="M951" s="59">
        <v>1.56737496</v>
      </c>
      <c r="N951" s="59">
        <v>94.5</v>
      </c>
    </row>
    <row r="952" spans="13:14">
      <c r="M952" s="59">
        <v>1.5732090000000001</v>
      </c>
      <c r="N952" s="59">
        <v>94.6</v>
      </c>
    </row>
    <row r="953" spans="13:14">
      <c r="M953" s="59">
        <v>1.5732090000000001</v>
      </c>
      <c r="N953" s="59">
        <v>94.7</v>
      </c>
    </row>
    <row r="954" spans="13:14">
      <c r="M954" s="59">
        <v>1.5732090000000001</v>
      </c>
      <c r="N954" s="59">
        <v>94.8</v>
      </c>
    </row>
    <row r="955" spans="13:14">
      <c r="M955" s="59">
        <v>1.58040135</v>
      </c>
      <c r="N955" s="59">
        <v>94.9</v>
      </c>
    </row>
    <row r="956" spans="13:14">
      <c r="M956" s="59">
        <v>1.6059015000000001</v>
      </c>
      <c r="N956" s="59">
        <v>95</v>
      </c>
    </row>
    <row r="957" spans="13:14">
      <c r="M957" s="59">
        <v>1.6314016499999999</v>
      </c>
      <c r="N957" s="59">
        <v>95.1</v>
      </c>
    </row>
    <row r="958" spans="13:14">
      <c r="M958" s="59">
        <v>1.6502327999999999</v>
      </c>
      <c r="N958" s="59">
        <v>95.2</v>
      </c>
    </row>
    <row r="959" spans="13:14">
      <c r="M959" s="59">
        <v>1.660332825</v>
      </c>
      <c r="N959" s="59">
        <v>95.3</v>
      </c>
    </row>
    <row r="960" spans="13:14">
      <c r="M960" s="59">
        <v>1.6704328500000001</v>
      </c>
      <c r="N960" s="59">
        <v>95.4</v>
      </c>
    </row>
    <row r="961" spans="13:14">
      <c r="M961" s="59">
        <v>1.69330048</v>
      </c>
      <c r="N961" s="59">
        <v>95.5</v>
      </c>
    </row>
    <row r="962" spans="13:14">
      <c r="M962" s="59">
        <v>1.7252611360000001</v>
      </c>
      <c r="N962" s="59">
        <v>95.6</v>
      </c>
    </row>
    <row r="963" spans="13:14">
      <c r="M963" s="59">
        <v>1.7572217919999999</v>
      </c>
      <c r="N963" s="59">
        <v>95.7</v>
      </c>
    </row>
    <row r="964" spans="13:14">
      <c r="M964" s="59">
        <v>1.7849778220000001</v>
      </c>
      <c r="N964" s="59">
        <v>95.8</v>
      </c>
    </row>
    <row r="965" spans="13:14">
      <c r="M965" s="59">
        <v>1.811218231</v>
      </c>
      <c r="N965" s="59">
        <v>95.9</v>
      </c>
    </row>
    <row r="966" spans="13:14">
      <c r="M966" s="59">
        <v>1.8374586399999999</v>
      </c>
      <c r="N966" s="59">
        <v>96</v>
      </c>
    </row>
    <row r="967" spans="13:14">
      <c r="M967" s="59">
        <v>1.8417639079999999</v>
      </c>
      <c r="N967" s="59">
        <v>96.1</v>
      </c>
    </row>
    <row r="968" spans="13:14">
      <c r="M968" s="59">
        <v>1.843247936</v>
      </c>
      <c r="N968" s="59">
        <v>96.2</v>
      </c>
    </row>
    <row r="969" spans="13:14">
      <c r="M969" s="59">
        <v>1.8449530810000001</v>
      </c>
      <c r="N969" s="59">
        <v>96.3</v>
      </c>
    </row>
    <row r="970" spans="13:14">
      <c r="M970" s="59">
        <v>1.8524072680000001</v>
      </c>
      <c r="N970" s="59">
        <v>96.4</v>
      </c>
    </row>
    <row r="971" spans="13:14">
      <c r="M971" s="59">
        <v>1.8598614550000001</v>
      </c>
      <c r="N971" s="59">
        <v>96.5</v>
      </c>
    </row>
    <row r="972" spans="13:14">
      <c r="M972" s="59">
        <v>1.866873904</v>
      </c>
      <c r="N972" s="59">
        <v>96.6</v>
      </c>
    </row>
    <row r="973" spans="13:14">
      <c r="M973" s="59">
        <v>1.8719788479999999</v>
      </c>
      <c r="N973" s="59">
        <v>96.7</v>
      </c>
    </row>
    <row r="974" spans="13:14">
      <c r="M974" s="59">
        <v>1.8770837920000001</v>
      </c>
      <c r="N974" s="59">
        <v>96.8</v>
      </c>
    </row>
    <row r="975" spans="13:14">
      <c r="M975" s="59">
        <v>1.885784678</v>
      </c>
      <c r="N975" s="59">
        <v>96.9</v>
      </c>
    </row>
    <row r="976" spans="13:14">
      <c r="M976" s="59">
        <v>1.9014961399999999</v>
      </c>
      <c r="N976" s="59">
        <v>97</v>
      </c>
    </row>
    <row r="977" spans="13:14">
      <c r="M977" s="59">
        <v>1.917207602</v>
      </c>
      <c r="N977" s="59">
        <v>97.1</v>
      </c>
    </row>
    <row r="978" spans="13:14">
      <c r="M978" s="59">
        <v>1.9259749079999999</v>
      </c>
      <c r="N978" s="59">
        <v>97.2</v>
      </c>
    </row>
    <row r="979" spans="13:14">
      <c r="M979" s="59">
        <v>1.927515447</v>
      </c>
      <c r="N979" s="59">
        <v>97.3</v>
      </c>
    </row>
    <row r="980" spans="13:14">
      <c r="M980" s="59">
        <v>1.9290559860000001</v>
      </c>
      <c r="N980" s="59">
        <v>97.4</v>
      </c>
    </row>
    <row r="981" spans="13:14">
      <c r="M981" s="59">
        <v>1.9401131250000001</v>
      </c>
      <c r="N981" s="59">
        <v>97.5</v>
      </c>
    </row>
    <row r="982" spans="13:14">
      <c r="M982" s="59">
        <v>1.9564995599999999</v>
      </c>
      <c r="N982" s="59">
        <v>97.6</v>
      </c>
    </row>
    <row r="983" spans="13:14">
      <c r="M983" s="59">
        <v>1.9728859949999999</v>
      </c>
      <c r="N983" s="59">
        <v>97.7</v>
      </c>
    </row>
    <row r="984" spans="13:14">
      <c r="M984" s="59">
        <v>2.0352202699999999</v>
      </c>
      <c r="N984" s="59">
        <v>97.8</v>
      </c>
    </row>
    <row r="985" spans="13:14">
      <c r="M985" s="59">
        <v>2.1096199850000001</v>
      </c>
      <c r="N985" s="59">
        <v>97.9</v>
      </c>
    </row>
    <row r="986" spans="13:14">
      <c r="M986" s="59">
        <v>2.1840196999999999</v>
      </c>
      <c r="N986" s="59">
        <v>98</v>
      </c>
    </row>
    <row r="987" spans="13:14">
      <c r="M987" s="59">
        <v>2.2030192830000002</v>
      </c>
      <c r="N987" s="59">
        <v>98.1</v>
      </c>
    </row>
    <row r="988" spans="13:14">
      <c r="M988" s="59">
        <v>2.2186714259999998</v>
      </c>
      <c r="N988" s="59">
        <v>98.2</v>
      </c>
    </row>
    <row r="989" spans="13:14">
      <c r="M989" s="59">
        <v>2.2390946430000001</v>
      </c>
      <c r="N989" s="59">
        <v>98.3</v>
      </c>
    </row>
    <row r="990" spans="13:14">
      <c r="M990" s="59">
        <v>2.3054936640000001</v>
      </c>
      <c r="N990" s="59">
        <v>98.4</v>
      </c>
    </row>
    <row r="991" spans="13:14">
      <c r="M991" s="59">
        <v>2.3718926850000002</v>
      </c>
      <c r="N991" s="59">
        <v>98.5</v>
      </c>
    </row>
    <row r="992" spans="13:14">
      <c r="M992" s="59">
        <v>2.4234552439999999</v>
      </c>
      <c r="N992" s="59">
        <v>98.6</v>
      </c>
    </row>
    <row r="993" spans="13:14">
      <c r="M993" s="59">
        <v>2.4293007979999999</v>
      </c>
      <c r="N993" s="59">
        <v>98.7</v>
      </c>
    </row>
    <row r="994" spans="13:14">
      <c r="M994" s="59">
        <v>2.4351463519999998</v>
      </c>
      <c r="N994" s="59">
        <v>98.8</v>
      </c>
    </row>
    <row r="995" spans="13:14">
      <c r="M995" s="59">
        <v>2.4586565820000001</v>
      </c>
      <c r="N995" s="59">
        <v>98.9</v>
      </c>
    </row>
    <row r="996" spans="13:14">
      <c r="M996" s="59">
        <v>2.5091086200000001</v>
      </c>
      <c r="N996" s="59">
        <v>99</v>
      </c>
    </row>
    <row r="997" spans="13:14">
      <c r="M997" s="59">
        <v>2.5595606580000001</v>
      </c>
      <c r="N997" s="59">
        <v>99.1</v>
      </c>
    </row>
    <row r="998" spans="13:14">
      <c r="M998" s="59">
        <v>2.6249328240000001</v>
      </c>
      <c r="N998" s="59">
        <v>99.2</v>
      </c>
    </row>
    <row r="999" spans="13:14">
      <c r="M999" s="59">
        <v>2.702660721</v>
      </c>
      <c r="N999" s="59">
        <v>99.3</v>
      </c>
    </row>
    <row r="1000" spans="13:14">
      <c r="M1000" s="59">
        <v>2.7803886179999999</v>
      </c>
      <c r="N1000" s="59">
        <v>99.4</v>
      </c>
    </row>
    <row r="1001" spans="13:14">
      <c r="M1001" s="59">
        <v>2.8130644450000002</v>
      </c>
      <c r="N1001" s="59">
        <v>99.5</v>
      </c>
    </row>
    <row r="1002" spans="13:14">
      <c r="M1002" s="59">
        <v>2.8262483559999998</v>
      </c>
      <c r="N1002" s="59">
        <v>99.6</v>
      </c>
    </row>
    <row r="1003" spans="13:14">
      <c r="M1003" s="59">
        <v>2.8394322669999998</v>
      </c>
      <c r="N1003" s="59">
        <v>99.7</v>
      </c>
    </row>
    <row r="1004" spans="13:14">
      <c r="M1004" s="59">
        <v>2.850255422</v>
      </c>
      <c r="N1004" s="59">
        <v>99.8</v>
      </c>
    </row>
    <row r="1005" spans="13:14">
      <c r="M1005" s="59">
        <v>2.8606587110000001</v>
      </c>
      <c r="N1005" s="59">
        <v>99.9</v>
      </c>
    </row>
    <row r="1006" spans="13:14">
      <c r="M1006" s="59">
        <v>2.8710619999999998</v>
      </c>
      <c r="N1006" s="59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8"/>
  <sheetViews>
    <sheetView workbookViewId="0">
      <selection activeCell="G3" sqref="G3"/>
    </sheetView>
  </sheetViews>
  <sheetFormatPr baseColWidth="10" defaultRowHeight="15.5"/>
  <cols>
    <col min="1" max="1" width="10.6640625" customWidth="1"/>
  </cols>
  <sheetData>
    <row r="1" spans="1:16">
      <c r="A1" s="2" t="s">
        <v>4</v>
      </c>
      <c r="J1" s="5"/>
      <c r="L1" s="2" t="s">
        <v>13</v>
      </c>
    </row>
    <row r="2" spans="1:16">
      <c r="A2" s="2"/>
      <c r="J2" s="5"/>
      <c r="L2" s="2"/>
    </row>
    <row r="3" spans="1:16">
      <c r="A3" s="23" t="s">
        <v>18</v>
      </c>
      <c r="G3" s="21">
        <f>SQRT(FONO!J6)</f>
        <v>4.3235900000000003</v>
      </c>
      <c r="J3" s="5"/>
    </row>
    <row r="4" spans="1:16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16">
      <c r="J5" s="5"/>
      <c r="L5">
        <f>FONO!M6</f>
        <v>-2.880255</v>
      </c>
      <c r="M5">
        <f>FONO!N6</f>
        <v>0</v>
      </c>
      <c r="O5">
        <f>ABS(L5-FONO!$C$34)</f>
        <v>1.6289803902756068</v>
      </c>
      <c r="P5">
        <f>M5</f>
        <v>0</v>
      </c>
    </row>
    <row r="6" spans="1:16">
      <c r="A6" s="2" t="s">
        <v>28</v>
      </c>
      <c r="J6" s="5"/>
      <c r="L6">
        <f>FONO!M7</f>
        <v>-2.829196434</v>
      </c>
      <c r="M6">
        <f>FONO!N7</f>
        <v>0.1</v>
      </c>
      <c r="O6">
        <f>ABS(L6-FONO!$C$34)</f>
        <v>1.6800389562756068</v>
      </c>
      <c r="P6">
        <f t="shared" ref="P6:P70" si="0">M6</f>
        <v>0.1</v>
      </c>
    </row>
    <row r="7" spans="1:16">
      <c r="J7" s="5"/>
      <c r="L7">
        <f>FONO!M8</f>
        <v>-2.778137868</v>
      </c>
      <c r="M7">
        <f>FONO!N8</f>
        <v>0.2</v>
      </c>
      <c r="O7">
        <f>ABS(L7-FONO!$C$34)</f>
        <v>1.7310975222756069</v>
      </c>
      <c r="P7">
        <f t="shared" si="0"/>
        <v>0.2</v>
      </c>
    </row>
    <row r="8" spans="1:16">
      <c r="A8" t="s">
        <v>16</v>
      </c>
      <c r="B8">
        <f>FONO!C27</f>
        <v>19.496085041041713</v>
      </c>
      <c r="J8" s="5"/>
    </row>
    <row r="9" spans="1:16">
      <c r="J9" s="5"/>
      <c r="L9">
        <f>FONO!M9</f>
        <v>-2.7134066269999999</v>
      </c>
      <c r="M9">
        <f>FONO!N9</f>
        <v>0.3</v>
      </c>
      <c r="O9">
        <f>ABS(L9-FONO!$C$34)</f>
        <v>1.7958287632756069</v>
      </c>
      <c r="P9">
        <f t="shared" si="0"/>
        <v>0.3</v>
      </c>
    </row>
    <row r="10" spans="1:16">
      <c r="B10" t="str">
        <f>RAVLT_Learning!J10</f>
        <v>Residual variance</v>
      </c>
      <c r="C10" t="str">
        <f>RAVLT_Learning!I10</f>
        <v>Predicted test score</v>
      </c>
      <c r="J10" s="5"/>
      <c r="L10">
        <f>FONO!M10</f>
        <v>-2.5717988360000001</v>
      </c>
      <c r="M10">
        <f>FONO!N10</f>
        <v>0.4</v>
      </c>
      <c r="O10">
        <f>ABS(L10-FONO!$C$34)</f>
        <v>1.9374365542756067</v>
      </c>
      <c r="P10">
        <f t="shared" si="0"/>
        <v>0.4</v>
      </c>
    </row>
    <row r="11" spans="1:16">
      <c r="B11">
        <f>FONO!J11</f>
        <v>0</v>
      </c>
      <c r="C11">
        <f>FONO!I11</f>
        <v>0</v>
      </c>
      <c r="J11" s="5"/>
      <c r="L11">
        <f>FONO!M11</f>
        <v>-2.4301910449999999</v>
      </c>
      <c r="M11">
        <f>FONO!N11</f>
        <v>0.5</v>
      </c>
      <c r="O11">
        <f>ABS(L11-FONO!$C$34)</f>
        <v>2.0790443452756069</v>
      </c>
      <c r="P11">
        <f t="shared" si="0"/>
        <v>0.5</v>
      </c>
    </row>
    <row r="12" spans="1:16">
      <c r="B12">
        <f>FONO!J12</f>
        <v>0</v>
      </c>
      <c r="C12">
        <f>FONO!I12</f>
        <v>0</v>
      </c>
      <c r="J12" s="5"/>
      <c r="L12">
        <f>FONO!M12</f>
        <v>-2.323924608</v>
      </c>
      <c r="M12">
        <f>FONO!N12</f>
        <v>0.6</v>
      </c>
      <c r="O12">
        <f>ABS(L12-FONO!$C$34)</f>
        <v>2.1853107822756068</v>
      </c>
      <c r="P12">
        <f t="shared" si="0"/>
        <v>0.6</v>
      </c>
    </row>
    <row r="13" spans="1:16">
      <c r="B13">
        <f>FONO!J13</f>
        <v>0</v>
      </c>
      <c r="C13">
        <f>FONO!I13</f>
        <v>0</v>
      </c>
      <c r="J13" s="5"/>
      <c r="L13">
        <f>FONO!M13</f>
        <v>-2.2993433759999999</v>
      </c>
      <c r="M13">
        <f>FONO!N13</f>
        <v>0.7</v>
      </c>
      <c r="O13">
        <f>ABS(L13-FONO!$C$34)</f>
        <v>2.2098920142756069</v>
      </c>
      <c r="P13">
        <f t="shared" si="0"/>
        <v>0.7</v>
      </c>
    </row>
    <row r="14" spans="1:16">
      <c r="B14">
        <f>FONO!J14</f>
        <v>0</v>
      </c>
      <c r="C14">
        <f>FONO!I14</f>
        <v>0</v>
      </c>
      <c r="J14" s="5"/>
      <c r="L14">
        <f>FONO!M14</f>
        <v>-2.2747621439999999</v>
      </c>
      <c r="M14">
        <f>FONO!N14</f>
        <v>0.8</v>
      </c>
      <c r="O14">
        <f>ABS(L14-FONO!$C$34)</f>
        <v>2.234473246275607</v>
      </c>
      <c r="P14">
        <f t="shared" si="0"/>
        <v>0.8</v>
      </c>
    </row>
    <row r="15" spans="1:16">
      <c r="B15">
        <f>FONO!J15</f>
        <v>0</v>
      </c>
      <c r="C15">
        <f>FONO!I15</f>
        <v>0</v>
      </c>
      <c r="J15" s="5"/>
      <c r="L15">
        <f>FONO!M15</f>
        <v>-2.2369850250000001</v>
      </c>
      <c r="M15">
        <f>FONO!N15</f>
        <v>0.9</v>
      </c>
      <c r="O15">
        <f>ABS(L15-FONO!$C$34)</f>
        <v>2.2722503652756068</v>
      </c>
      <c r="P15">
        <f t="shared" si="0"/>
        <v>0.9</v>
      </c>
    </row>
    <row r="16" spans="1:16">
      <c r="B16">
        <f>FONO!J16</f>
        <v>0</v>
      </c>
      <c r="C16">
        <f>FONO!I16</f>
        <v>0</v>
      </c>
      <c r="J16" s="5"/>
      <c r="L16">
        <f>FONO!M16</f>
        <v>-2.1832732500000001</v>
      </c>
      <c r="M16">
        <f>FONO!N16</f>
        <v>1</v>
      </c>
      <c r="O16">
        <f>ABS(L16-FONO!$C$34)</f>
        <v>2.3259621402756068</v>
      </c>
      <c r="P16">
        <f t="shared" si="0"/>
        <v>1</v>
      </c>
    </row>
    <row r="17" spans="1:16">
      <c r="B17">
        <f>FONO!J17</f>
        <v>0</v>
      </c>
      <c r="C17">
        <f>FONO!I17</f>
        <v>0</v>
      </c>
      <c r="J17" s="5"/>
      <c r="L17">
        <f>FONO!M17</f>
        <v>-2.129561475</v>
      </c>
      <c r="M17">
        <f>FONO!N17</f>
        <v>1.1000000000000001</v>
      </c>
      <c r="O17">
        <f>ABS(L17-FONO!$C$34)</f>
        <v>2.3796739152756068</v>
      </c>
      <c r="P17">
        <f t="shared" si="0"/>
        <v>1.1000000000000001</v>
      </c>
    </row>
    <row r="18" spans="1:16">
      <c r="B18">
        <f>FONO!J18</f>
        <v>0</v>
      </c>
      <c r="C18">
        <f>FONO!I18</f>
        <v>0</v>
      </c>
      <c r="J18" s="5"/>
      <c r="L18">
        <f>FONO!M18</f>
        <v>-2.0950524480000001</v>
      </c>
      <c r="M18">
        <f>FONO!N18</f>
        <v>1.2</v>
      </c>
      <c r="O18">
        <f>ABS(L18-FONO!$C$34)</f>
        <v>2.4141829422756067</v>
      </c>
      <c r="P18">
        <f t="shared" si="0"/>
        <v>1.2</v>
      </c>
    </row>
    <row r="19" spans="1:16">
      <c r="B19">
        <f>FONO!J19</f>
        <v>0</v>
      </c>
      <c r="C19">
        <f>FONO!I19</f>
        <v>0</v>
      </c>
      <c r="J19" s="5"/>
      <c r="L19">
        <f>FONO!M19</f>
        <v>-2.0731339019999999</v>
      </c>
      <c r="M19">
        <f>FONO!N19</f>
        <v>1.3</v>
      </c>
      <c r="O19">
        <f>ABS(L19-FONO!$C$34)</f>
        <v>2.4361014882756069</v>
      </c>
      <c r="P19">
        <f t="shared" si="0"/>
        <v>1.3</v>
      </c>
    </row>
    <row r="20" spans="1:16">
      <c r="B20">
        <f>FONO!J20</f>
        <v>0</v>
      </c>
      <c r="C20">
        <f>FONO!I20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FONO!M20</f>
        <v>-2.0512153560000002</v>
      </c>
      <c r="M20">
        <f>FONO!N20</f>
        <v>1.4</v>
      </c>
      <c r="O20">
        <f>ABS(L20-FONO!$C$34)</f>
        <v>2.4580200342756067</v>
      </c>
      <c r="P20">
        <f t="shared" si="0"/>
        <v>1.4</v>
      </c>
    </row>
    <row r="21" spans="1:16">
      <c r="B21">
        <f>FONO!J21</f>
        <v>0</v>
      </c>
      <c r="C21">
        <f>FONO!I21</f>
        <v>0</v>
      </c>
      <c r="E21" t="s">
        <v>38</v>
      </c>
      <c r="G21" s="21">
        <f>SQRT(G20)</f>
        <v>0</v>
      </c>
      <c r="J21" s="5"/>
      <c r="L21">
        <f>FONO!M21</f>
        <v>-2.0145911650000001</v>
      </c>
      <c r="M21">
        <f>FONO!N21</f>
        <v>1.5</v>
      </c>
      <c r="O21">
        <f>ABS(L21-FONO!$C$34)</f>
        <v>2.4946442252756067</v>
      </c>
      <c r="P21">
        <f t="shared" si="0"/>
        <v>1.5</v>
      </c>
    </row>
    <row r="22" spans="1:16">
      <c r="B22">
        <f>FONO!J22</f>
        <v>0</v>
      </c>
      <c r="C22">
        <f>FONO!I22</f>
        <v>0</v>
      </c>
      <c r="J22" s="5"/>
      <c r="L22">
        <f>FONO!M22</f>
        <v>-1.973194576</v>
      </c>
      <c r="M22">
        <f>FONO!N22</f>
        <v>1.6</v>
      </c>
      <c r="O22">
        <f>ABS(L22-FONO!$C$34)</f>
        <v>2.5360408142756068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FONO!M23</f>
        <v>-1.9317979869999999</v>
      </c>
      <c r="M23">
        <f>FONO!N23</f>
        <v>1.7</v>
      </c>
      <c r="O23">
        <f>ABS(L23-FONO!$C$34)</f>
        <v>2.5774374032756069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FONO!M24</f>
        <v>-1.896147976</v>
      </c>
      <c r="M24">
        <f>FONO!N24</f>
        <v>1.8</v>
      </c>
      <c r="O24">
        <f>ABS(L24-FONO!$C$34)</f>
        <v>2.6130874142756069</v>
      </c>
      <c r="P24">
        <f t="shared" si="0"/>
        <v>1.8</v>
      </c>
    </row>
    <row r="25" spans="1:16">
      <c r="A25" s="2" t="s">
        <v>27</v>
      </c>
      <c r="J25" s="5"/>
      <c r="L25">
        <f>FONO!M25</f>
        <v>-1.861094308</v>
      </c>
      <c r="M25">
        <f>FONO!N25</f>
        <v>1.9</v>
      </c>
      <c r="O25">
        <f>ABS(L25-FONO!$C$34)</f>
        <v>2.6481410822756066</v>
      </c>
      <c r="P25">
        <f t="shared" si="0"/>
        <v>1.9</v>
      </c>
    </row>
    <row r="26" spans="1:16">
      <c r="H26" s="1"/>
      <c r="J26" s="5"/>
      <c r="L26">
        <f>FONO!M26</f>
        <v>-1.8243914999999999</v>
      </c>
      <c r="M26">
        <f>FONO!N26</f>
        <v>2</v>
      </c>
      <c r="O26">
        <f>ABS(L26-FONO!$C$34)</f>
        <v>2.6848438902756069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J27" s="5"/>
      <c r="L27">
        <f>FONO!M27</f>
        <v>-1.760395425</v>
      </c>
      <c r="M27">
        <f>FONO!N27</f>
        <v>2.1</v>
      </c>
      <c r="O27">
        <f>ABS(L27-FONO!$C$34)</f>
        <v>2.7488399652756068</v>
      </c>
      <c r="P27">
        <f t="shared" si="0"/>
        <v>2.1</v>
      </c>
    </row>
    <row r="28" spans="1:16">
      <c r="A28">
        <f>FONO!I27</f>
        <v>0</v>
      </c>
      <c r="B28">
        <f>FONO!J27</f>
        <v>0</v>
      </c>
      <c r="C28">
        <v>1</v>
      </c>
      <c r="D28">
        <f>B28*C28</f>
        <v>0</v>
      </c>
      <c r="J28" s="5"/>
      <c r="L28">
        <f>FONO!M28</f>
        <v>-1.6963993500000001</v>
      </c>
      <c r="M28">
        <f>FONO!N28</f>
        <v>2.2000000000000002</v>
      </c>
      <c r="O28">
        <f>ABS(L28-FONO!$C$34)</f>
        <v>2.8128360402756067</v>
      </c>
      <c r="P28">
        <f t="shared" si="0"/>
        <v>2.2000000000000002</v>
      </c>
    </row>
    <row r="29" spans="1:16">
      <c r="A29">
        <f>FONO!I28</f>
        <v>0</v>
      </c>
      <c r="B29">
        <f>FONO!J28</f>
        <v>0</v>
      </c>
      <c r="C29">
        <f>B8</f>
        <v>19.496085041041713</v>
      </c>
      <c r="D29">
        <f t="shared" ref="D29:D33" si="1">B29*C29</f>
        <v>0</v>
      </c>
      <c r="J29" s="5"/>
      <c r="L29">
        <f>FONO!M29</f>
        <v>-1.6397580249999999</v>
      </c>
      <c r="M29">
        <f>FONO!N29</f>
        <v>2.2999999999999998</v>
      </c>
      <c r="O29">
        <f>ABS(L29-FONO!$C$34)</f>
        <v>2.8694773652756069</v>
      </c>
      <c r="P29">
        <f t="shared" si="0"/>
        <v>2.2999999999999998</v>
      </c>
    </row>
    <row r="30" spans="1:16">
      <c r="A30">
        <f>FONO!I29</f>
        <v>0</v>
      </c>
      <c r="B30">
        <f>FONO!J29</f>
        <v>0</v>
      </c>
      <c r="C30">
        <f>B8^2</f>
        <v>380.09733192753043</v>
      </c>
      <c r="D30">
        <f t="shared" si="1"/>
        <v>0</v>
      </c>
      <c r="J30" s="5"/>
      <c r="L30">
        <f>FONO!M30</f>
        <v>-1.6111252</v>
      </c>
      <c r="M30">
        <f>FONO!N30</f>
        <v>2.4</v>
      </c>
      <c r="O30">
        <f>ABS(L30-FONO!$C$34)</f>
        <v>2.8981101902756068</v>
      </c>
      <c r="P30">
        <f t="shared" si="0"/>
        <v>2.4</v>
      </c>
    </row>
    <row r="31" spans="1:16">
      <c r="A31">
        <f>FONO!I30</f>
        <v>0</v>
      </c>
      <c r="B31">
        <f>FONO!J30</f>
        <v>0</v>
      </c>
      <c r="C31">
        <f>B8^3</f>
        <v>7410.4099071321925</v>
      </c>
      <c r="D31">
        <f t="shared" si="1"/>
        <v>0</v>
      </c>
      <c r="J31" s="5"/>
      <c r="L31">
        <f>FONO!M31</f>
        <v>-1.582492375</v>
      </c>
      <c r="M31">
        <f>FONO!N31</f>
        <v>2.5</v>
      </c>
      <c r="O31">
        <f>ABS(L31-FONO!$C$34)</f>
        <v>2.9267430152756067</v>
      </c>
      <c r="P31">
        <f t="shared" si="0"/>
        <v>2.5</v>
      </c>
    </row>
    <row r="32" spans="1:16">
      <c r="A32">
        <f>FONO!I31</f>
        <v>0</v>
      </c>
      <c r="B32">
        <f>FONO!J31</f>
        <v>0</v>
      </c>
      <c r="C32">
        <f>B8^4</f>
        <v>144473.98173842725</v>
      </c>
      <c r="D32">
        <f t="shared" si="1"/>
        <v>0</v>
      </c>
      <c r="J32" s="5"/>
      <c r="L32">
        <f>FONO!M32</f>
        <v>-1.562631544</v>
      </c>
      <c r="M32">
        <f>FONO!N32</f>
        <v>2.6</v>
      </c>
      <c r="O32">
        <f>ABS(L32-FONO!$C$34)</f>
        <v>2.9466038462756066</v>
      </c>
      <c r="P32">
        <f t="shared" si="0"/>
        <v>2.6</v>
      </c>
    </row>
    <row r="33" spans="1:16">
      <c r="A33">
        <f>FONO!I32</f>
        <v>0</v>
      </c>
      <c r="B33">
        <f>FONO!J32</f>
        <v>0</v>
      </c>
      <c r="C33">
        <f>B8^5</f>
        <v>2816677.034190285</v>
      </c>
      <c r="D33">
        <f t="shared" si="1"/>
        <v>0</v>
      </c>
      <c r="J33" s="5"/>
      <c r="L33">
        <f>FONO!M33</f>
        <v>-1.5584349879999999</v>
      </c>
      <c r="M33">
        <f>FONO!N33</f>
        <v>2.7</v>
      </c>
      <c r="O33">
        <f>ABS(L33-FONO!$C$34)</f>
        <v>2.9508004022756067</v>
      </c>
      <c r="P33">
        <f t="shared" si="0"/>
        <v>2.7</v>
      </c>
    </row>
    <row r="34" spans="1:16">
      <c r="G34" s="21">
        <f>SQRT(D35)</f>
        <v>0</v>
      </c>
      <c r="J34" s="5"/>
      <c r="L34">
        <f>FONO!M34</f>
        <v>-1.554238432</v>
      </c>
      <c r="M34">
        <f>FONO!N34</f>
        <v>2.8</v>
      </c>
      <c r="O34">
        <f>ABS(L34-FONO!$C$34)</f>
        <v>2.9549969582756068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0</v>
      </c>
      <c r="E35" s="18"/>
      <c r="F35" s="18"/>
      <c r="G35" s="18"/>
      <c r="H35" s="18"/>
      <c r="I35" s="18"/>
      <c r="J35" s="19"/>
      <c r="L35">
        <f>FONO!M35</f>
        <v>-1.54806679</v>
      </c>
      <c r="M35">
        <f>FONO!N35</f>
        <v>2.9</v>
      </c>
      <c r="O35">
        <f>ABS(L35-FONO!$C$34)</f>
        <v>2.9611686002756068</v>
      </c>
      <c r="P35">
        <f t="shared" si="0"/>
        <v>2.9</v>
      </c>
    </row>
    <row r="36" spans="1:16">
      <c r="J36" s="5"/>
      <c r="L36">
        <f>FONO!M36</f>
        <v>-1.5399973</v>
      </c>
      <c r="M36">
        <f>FONO!N36</f>
        <v>3</v>
      </c>
      <c r="O36">
        <f>ABS(L36-FONO!$C$34)</f>
        <v>2.9692380902756068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FONO!M37</f>
        <v>-1.53192781</v>
      </c>
      <c r="M37">
        <f>FONO!N37</f>
        <v>3.1</v>
      </c>
      <c r="O37">
        <f>ABS(L37-FONO!$C$34)</f>
        <v>2.9773075802756068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1</v>
      </c>
      <c r="E38" s="24"/>
      <c r="F38" s="24"/>
      <c r="G38" s="2" t="s">
        <v>21</v>
      </c>
      <c r="H38" s="2"/>
      <c r="I38" s="2">
        <f>IF(D41=1, G3+G21+G34, )</f>
        <v>4.3235900000000003</v>
      </c>
      <c r="J38" s="5"/>
      <c r="L38">
        <f>FONO!M38</f>
        <v>-1.5267924239999999</v>
      </c>
      <c r="M38">
        <f>FONO!N38</f>
        <v>3.2</v>
      </c>
      <c r="O38">
        <f>ABS(L38-FONO!$C$34)</f>
        <v>2.9824429662756069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FONO!M39</f>
        <v>-1.523162031</v>
      </c>
      <c r="M39">
        <f>FONO!N39</f>
        <v>3.3</v>
      </c>
      <c r="O39">
        <f>ABS(L39-FONO!$C$34)</f>
        <v>2.9860733592756068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0</v>
      </c>
      <c r="E40" s="24"/>
      <c r="F40" s="24"/>
      <c r="J40" s="5"/>
      <c r="L40">
        <f>FONO!M40</f>
        <v>-1.5195316379999999</v>
      </c>
      <c r="M40">
        <f>FONO!N40</f>
        <v>3.4</v>
      </c>
      <c r="O40">
        <f>ABS(L40-FONO!$C$34)</f>
        <v>2.9897037522756067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FONO!M41</f>
        <v>-1.516296825</v>
      </c>
      <c r="M41">
        <f>FONO!N41</f>
        <v>3.5</v>
      </c>
      <c r="O41">
        <f>ABS(L41-FONO!$C$34)</f>
        <v>2.9929385652756069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FONO!M42</f>
        <v>-1.51315362</v>
      </c>
      <c r="M42">
        <f>FONO!N42</f>
        <v>3.6</v>
      </c>
      <c r="O42">
        <f>ABS(L42-FONO!$C$34)</f>
        <v>2.9960817702756071</v>
      </c>
      <c r="P42">
        <f t="shared" si="0"/>
        <v>3.6</v>
      </c>
    </row>
    <row r="43" spans="1:16">
      <c r="A43" s="22"/>
      <c r="J43" s="5"/>
      <c r="L43">
        <f>FONO!M43</f>
        <v>-1.510010415</v>
      </c>
      <c r="M43">
        <f>FONO!N43</f>
        <v>3.7</v>
      </c>
      <c r="O43">
        <f>ABS(L43-FONO!$C$34)</f>
        <v>2.9992249752756068</v>
      </c>
      <c r="P43">
        <f t="shared" si="0"/>
        <v>3.7</v>
      </c>
    </row>
    <row r="44" spans="1:16">
      <c r="J44" s="5"/>
      <c r="L44">
        <f>FONO!M44</f>
        <v>-1.502658434</v>
      </c>
      <c r="M44">
        <f>FONO!N44</f>
        <v>3.8</v>
      </c>
      <c r="O44">
        <f>ABS(L44-FONO!$C$34)</f>
        <v>3.0065769562756071</v>
      </c>
      <c r="P44">
        <f t="shared" si="0"/>
        <v>3.8</v>
      </c>
    </row>
    <row r="45" spans="1:16">
      <c r="J45" s="5"/>
      <c r="L45">
        <f>FONO!M45</f>
        <v>-1.495144577</v>
      </c>
      <c r="M45">
        <f>FONO!N45</f>
        <v>3.9</v>
      </c>
      <c r="O45">
        <f>ABS(L45-FONO!$C$34)</f>
        <v>3.0140908132756068</v>
      </c>
      <c r="P45">
        <f t="shared" si="0"/>
        <v>3.9</v>
      </c>
    </row>
    <row r="46" spans="1:16">
      <c r="J46" s="5"/>
      <c r="L46">
        <f>FONO!M46</f>
        <v>-1.4879042</v>
      </c>
      <c r="M46">
        <f>FONO!N46</f>
        <v>4</v>
      </c>
      <c r="O46">
        <f>ABS(L46-FONO!$C$34)</f>
        <v>3.0213311902756068</v>
      </c>
      <c r="P46">
        <f t="shared" si="0"/>
        <v>4</v>
      </c>
    </row>
    <row r="47" spans="1:16">
      <c r="J47" s="5"/>
      <c r="L47">
        <f>FONO!M47</f>
        <v>-1.4827901299999999</v>
      </c>
      <c r="M47">
        <f>FONO!N47</f>
        <v>4.0999999999999996</v>
      </c>
      <c r="O47">
        <f>ABS(L47-FONO!$C$34)</f>
        <v>3.0264452602756071</v>
      </c>
      <c r="P47">
        <f t="shared" si="0"/>
        <v>4.0999999999999996</v>
      </c>
    </row>
    <row r="48" spans="1:16">
      <c r="J48" s="5"/>
      <c r="L48">
        <f>FONO!M48</f>
        <v>-1.4776760600000001</v>
      </c>
      <c r="M48">
        <f>FONO!N48</f>
        <v>4.2</v>
      </c>
      <c r="O48">
        <f>ABS(L48-FONO!$C$34)</f>
        <v>3.0315593302756065</v>
      </c>
      <c r="P48">
        <f t="shared" si="0"/>
        <v>4.2</v>
      </c>
    </row>
    <row r="49" spans="10:16">
      <c r="J49" s="5"/>
      <c r="L49">
        <f>FONO!M49</f>
        <v>-1.4719932950000001</v>
      </c>
      <c r="M49">
        <f>FONO!N49</f>
        <v>4.3</v>
      </c>
      <c r="O49">
        <f>ABS(L49-FONO!$C$34)</f>
        <v>3.037242095275607</v>
      </c>
      <c r="P49">
        <f t="shared" si="0"/>
        <v>4.3</v>
      </c>
    </row>
    <row r="50" spans="10:16">
      <c r="J50" s="5"/>
      <c r="L50">
        <f>FONO!M50</f>
        <v>-1.46473286</v>
      </c>
      <c r="M50">
        <f>FONO!N50</f>
        <v>4.4000000000000004</v>
      </c>
      <c r="O50">
        <f>ABS(L50-FONO!$C$34)</f>
        <v>3.044502530275607</v>
      </c>
      <c r="P50">
        <f t="shared" si="0"/>
        <v>4.4000000000000004</v>
      </c>
    </row>
    <row r="51" spans="10:16">
      <c r="J51" s="5"/>
      <c r="L51">
        <f>FONO!M51</f>
        <v>-1.457472425</v>
      </c>
      <c r="M51">
        <f>FONO!N51</f>
        <v>4.5</v>
      </c>
      <c r="O51">
        <f>ABS(L51-FONO!$C$34)</f>
        <v>3.0517629652756071</v>
      </c>
      <c r="P51">
        <f t="shared" si="0"/>
        <v>4.5</v>
      </c>
    </row>
    <row r="52" spans="10:16">
      <c r="J52" s="5"/>
      <c r="L52">
        <f>FONO!M52</f>
        <v>-1.4528954700000001</v>
      </c>
      <c r="M52">
        <f>FONO!N52</f>
        <v>4.5999999999999996</v>
      </c>
      <c r="O52">
        <f>ABS(L52-FONO!$C$34)</f>
        <v>3.0563399202756067</v>
      </c>
      <c r="P52">
        <f t="shared" si="0"/>
        <v>4.5999999999999996</v>
      </c>
    </row>
    <row r="53" spans="10:16">
      <c r="J53" s="5"/>
      <c r="L53">
        <f>FONO!M53</f>
        <v>-1.4520864149999999</v>
      </c>
      <c r="M53">
        <f>FONO!N53</f>
        <v>4.7</v>
      </c>
      <c r="O53">
        <f>ABS(L53-FONO!$C$34)</f>
        <v>3.0571489752756067</v>
      </c>
      <c r="P53">
        <f t="shared" si="0"/>
        <v>4.7</v>
      </c>
    </row>
    <row r="54" spans="10:16">
      <c r="J54" s="5"/>
      <c r="L54">
        <f>FONO!M54</f>
        <v>-1.45127736</v>
      </c>
      <c r="M54">
        <f>FONO!N54</f>
        <v>4.8</v>
      </c>
      <c r="O54">
        <f>ABS(L54-FONO!$C$34)</f>
        <v>3.0579580302756071</v>
      </c>
      <c r="P54">
        <f t="shared" si="0"/>
        <v>4.8</v>
      </c>
    </row>
    <row r="55" spans="10:16">
      <c r="J55" s="5"/>
      <c r="L55">
        <f>FONO!M55</f>
        <v>-1.4474693750000001</v>
      </c>
      <c r="M55">
        <f>FONO!N55</f>
        <v>4.9000000000000004</v>
      </c>
      <c r="O55">
        <f>ABS(L55-FONO!$C$34)</f>
        <v>3.061766015275607</v>
      </c>
      <c r="P55">
        <f t="shared" si="0"/>
        <v>4.9000000000000004</v>
      </c>
    </row>
    <row r="56" spans="10:16">
      <c r="J56" s="5"/>
      <c r="L56">
        <f>FONO!M56</f>
        <v>-1.4413707499999999</v>
      </c>
      <c r="M56">
        <f>FONO!N56</f>
        <v>5</v>
      </c>
      <c r="O56">
        <f>ABS(L56-FONO!$C$34)</f>
        <v>3.0678646402756069</v>
      </c>
      <c r="P56">
        <f t="shared" si="0"/>
        <v>5</v>
      </c>
    </row>
    <row r="57" spans="10:16">
      <c r="J57" s="5"/>
      <c r="L57">
        <f>FONO!M57</f>
        <v>-1.435272125</v>
      </c>
      <c r="M57">
        <f>FONO!N57</f>
        <v>5.0999999999999996</v>
      </c>
      <c r="O57">
        <f>ABS(L57-FONO!$C$34)</f>
        <v>3.0739632652756068</v>
      </c>
      <c r="P57">
        <f t="shared" si="0"/>
        <v>5.0999999999999996</v>
      </c>
    </row>
    <row r="58" spans="10:16">
      <c r="J58" s="5"/>
      <c r="L58">
        <f>FONO!M58</f>
        <v>-1.4335519999999999</v>
      </c>
      <c r="M58">
        <f>FONO!N58</f>
        <v>5.2</v>
      </c>
      <c r="O58">
        <f>ABS(L58-FONO!$C$34)</f>
        <v>3.0756833902756071</v>
      </c>
      <c r="P58">
        <f t="shared" si="0"/>
        <v>5.2</v>
      </c>
    </row>
    <row r="59" spans="10:16">
      <c r="J59" s="5"/>
      <c r="L59">
        <f>FONO!M59</f>
        <v>-1.4335519999999999</v>
      </c>
      <c r="M59">
        <f>FONO!N59</f>
        <v>5.3</v>
      </c>
      <c r="O59">
        <f>ABS(L59-FONO!$C$34)</f>
        <v>3.0756833902756071</v>
      </c>
      <c r="P59">
        <f t="shared" si="0"/>
        <v>5.3</v>
      </c>
    </row>
    <row r="60" spans="10:16">
      <c r="J60" s="5"/>
      <c r="L60">
        <f>FONO!M60</f>
        <v>-1.4335519999999999</v>
      </c>
      <c r="M60">
        <f>FONO!N60</f>
        <v>5.4</v>
      </c>
      <c r="O60">
        <f>ABS(L60-FONO!$C$34)</f>
        <v>3.0756833902756071</v>
      </c>
      <c r="P60">
        <f t="shared" si="0"/>
        <v>5.4</v>
      </c>
    </row>
    <row r="61" spans="10:16">
      <c r="J61" s="5"/>
      <c r="L61">
        <f>FONO!M61</f>
        <v>-1.4252584399999999</v>
      </c>
      <c r="M61">
        <f>FONO!N61</f>
        <v>5.5</v>
      </c>
      <c r="O61">
        <f>ABS(L61-FONO!$C$34)</f>
        <v>3.0839769502756069</v>
      </c>
      <c r="P61">
        <f t="shared" si="0"/>
        <v>5.5</v>
      </c>
    </row>
    <row r="62" spans="10:16">
      <c r="J62" s="5"/>
      <c r="L62">
        <f>FONO!M62</f>
        <v>-1.4157140479999999</v>
      </c>
      <c r="M62">
        <f>FONO!N62</f>
        <v>5.6</v>
      </c>
      <c r="O62">
        <f>ABS(L62-FONO!$C$34)</f>
        <v>3.0935213422756069</v>
      </c>
      <c r="P62">
        <f t="shared" si="0"/>
        <v>5.6</v>
      </c>
    </row>
    <row r="63" spans="10:16">
      <c r="J63" s="5"/>
      <c r="L63">
        <f>FONO!M63</f>
        <v>-1.406297315</v>
      </c>
      <c r="M63">
        <f>FONO!N63</f>
        <v>5.7</v>
      </c>
      <c r="O63">
        <f>ABS(L63-FONO!$C$34)</f>
        <v>3.1029380752756071</v>
      </c>
      <c r="P63">
        <f t="shared" si="0"/>
        <v>5.7</v>
      </c>
    </row>
    <row r="64" spans="10:16">
      <c r="J64" s="5"/>
      <c r="L64">
        <f>FONO!M64</f>
        <v>-1.40315411</v>
      </c>
      <c r="M64">
        <f>FONO!N64</f>
        <v>5.8</v>
      </c>
      <c r="O64">
        <f>ABS(L64-FONO!$C$34)</f>
        <v>3.1060812802756068</v>
      </c>
      <c r="P64">
        <f t="shared" si="0"/>
        <v>5.8</v>
      </c>
    </row>
    <row r="65" spans="10:16">
      <c r="J65" s="5"/>
      <c r="L65">
        <f>FONO!M65</f>
        <v>-1.400010905</v>
      </c>
      <c r="M65">
        <f>FONO!N65</f>
        <v>5.9</v>
      </c>
      <c r="O65">
        <f>ABS(L65-FONO!$C$34)</f>
        <v>3.1092244852756066</v>
      </c>
      <c r="P65">
        <f t="shared" si="0"/>
        <v>5.9</v>
      </c>
    </row>
    <row r="66" spans="10:16">
      <c r="J66" s="5"/>
      <c r="L66">
        <f>FONO!M66</f>
        <v>-1.39697468</v>
      </c>
      <c r="M66">
        <f>FONO!N66</f>
        <v>6</v>
      </c>
      <c r="O66">
        <f>ABS(L66-FONO!$C$34)</f>
        <v>3.1122607102756068</v>
      </c>
      <c r="P66">
        <f t="shared" si="0"/>
        <v>6</v>
      </c>
    </row>
    <row r="67" spans="10:16">
      <c r="J67" s="5"/>
      <c r="L67">
        <f>FONO!M67</f>
        <v>-1.394457308</v>
      </c>
      <c r="M67">
        <f>FONO!N67</f>
        <v>6.1</v>
      </c>
      <c r="O67">
        <f>ABS(L67-FONO!$C$34)</f>
        <v>3.114778082275607</v>
      </c>
      <c r="P67">
        <f t="shared" si="0"/>
        <v>6.1</v>
      </c>
    </row>
    <row r="68" spans="10:16">
      <c r="J68" s="5"/>
      <c r="L68">
        <f>FONO!M68</f>
        <v>-1.391939936</v>
      </c>
      <c r="M68">
        <f>FONO!N68</f>
        <v>6.2</v>
      </c>
      <c r="O68">
        <f>ABS(L68-FONO!$C$34)</f>
        <v>3.1172954542756068</v>
      </c>
      <c r="P68">
        <f t="shared" si="0"/>
        <v>6.2</v>
      </c>
    </row>
    <row r="69" spans="10:16">
      <c r="J69" s="5"/>
      <c r="L69">
        <f>FONO!M69</f>
        <v>-1.3886435420000001</v>
      </c>
      <c r="M69">
        <f>FONO!N69</f>
        <v>6.3</v>
      </c>
      <c r="O69">
        <f>ABS(L69-FONO!$C$34)</f>
        <v>3.1205918482756068</v>
      </c>
      <c r="P69">
        <f t="shared" si="0"/>
        <v>6.3</v>
      </c>
    </row>
    <row r="70" spans="10:16">
      <c r="J70" s="5"/>
      <c r="L70">
        <f>FONO!M70</f>
        <v>-1.3837063759999999</v>
      </c>
      <c r="M70">
        <f>FONO!N70</f>
        <v>6.4</v>
      </c>
      <c r="O70">
        <f>ABS(L70-FONO!$C$34)</f>
        <v>3.1255290142756067</v>
      </c>
      <c r="P70">
        <f t="shared" si="0"/>
        <v>6.4</v>
      </c>
    </row>
    <row r="71" spans="10:16">
      <c r="J71" s="5"/>
      <c r="L71">
        <f>FONO!M71</f>
        <v>-1.37876921</v>
      </c>
      <c r="M71">
        <f>FONO!N71</f>
        <v>6.5</v>
      </c>
      <c r="O71">
        <f>ABS(L71-FONO!$C$34)</f>
        <v>3.1304661802756071</v>
      </c>
      <c r="P71">
        <f t="shared" ref="P71:P134" si="2">M71</f>
        <v>6.5</v>
      </c>
    </row>
    <row r="72" spans="10:16">
      <c r="J72" s="5"/>
      <c r="L72">
        <f>FONO!M72</f>
        <v>-1.37308355</v>
      </c>
      <c r="M72">
        <f>FONO!N72</f>
        <v>6.6</v>
      </c>
      <c r="O72">
        <f>ABS(L72-FONO!$C$34)</f>
        <v>3.1361518402756068</v>
      </c>
      <c r="P72">
        <f t="shared" si="2"/>
        <v>6.6</v>
      </c>
    </row>
    <row r="73" spans="10:16">
      <c r="J73" s="5"/>
      <c r="L73">
        <f>FONO!M73</f>
        <v>-1.366563725</v>
      </c>
      <c r="M73">
        <f>FONO!N73</f>
        <v>6.7</v>
      </c>
      <c r="O73">
        <f>ABS(L73-FONO!$C$34)</f>
        <v>3.142671665275607</v>
      </c>
      <c r="P73">
        <f t="shared" si="2"/>
        <v>6.7</v>
      </c>
    </row>
    <row r="74" spans="10:16">
      <c r="J74" s="5"/>
      <c r="L74">
        <f>FONO!M74</f>
        <v>-1.3600439</v>
      </c>
      <c r="M74">
        <f>FONO!N74</f>
        <v>6.8</v>
      </c>
      <c r="O74">
        <f>ABS(L74-FONO!$C$34)</f>
        <v>3.1491914902756069</v>
      </c>
      <c r="P74">
        <f t="shared" si="2"/>
        <v>6.8</v>
      </c>
    </row>
    <row r="75" spans="10:16">
      <c r="J75" s="5"/>
      <c r="L75">
        <f>FONO!M75</f>
        <v>-1.3530992150000001</v>
      </c>
      <c r="M75">
        <f>FONO!N75</f>
        <v>6.9</v>
      </c>
      <c r="O75">
        <f>ABS(L75-FONO!$C$34)</f>
        <v>3.1561361752756065</v>
      </c>
      <c r="P75">
        <f t="shared" si="2"/>
        <v>6.9</v>
      </c>
    </row>
    <row r="76" spans="10:16">
      <c r="J76" s="5"/>
      <c r="L76">
        <f>FONO!M76</f>
        <v>-1.34589845</v>
      </c>
      <c r="M76">
        <f>FONO!N76</f>
        <v>7</v>
      </c>
      <c r="O76">
        <f>ABS(L76-FONO!$C$34)</f>
        <v>3.1633369402756069</v>
      </c>
      <c r="P76">
        <f t="shared" si="2"/>
        <v>7</v>
      </c>
    </row>
    <row r="77" spans="10:16">
      <c r="J77" s="5"/>
      <c r="L77">
        <f>FONO!M77</f>
        <v>-1.3386976850000001</v>
      </c>
      <c r="M77">
        <f>FONO!N77</f>
        <v>7.1</v>
      </c>
      <c r="O77">
        <f>ABS(L77-FONO!$C$34)</f>
        <v>3.1705377052756067</v>
      </c>
      <c r="P77">
        <f t="shared" si="2"/>
        <v>7.1</v>
      </c>
    </row>
    <row r="78" spans="10:16">
      <c r="J78" s="5"/>
      <c r="L78">
        <f>FONO!M78</f>
        <v>-1.3316244880000001</v>
      </c>
      <c r="M78">
        <f>FONO!N78</f>
        <v>7.2</v>
      </c>
      <c r="O78">
        <f>ABS(L78-FONO!$C$34)</f>
        <v>3.1776109022756067</v>
      </c>
      <c r="P78">
        <f t="shared" si="2"/>
        <v>7.2</v>
      </c>
    </row>
    <row r="79" spans="10:16">
      <c r="J79" s="5"/>
      <c r="L79">
        <f>FONO!M79</f>
        <v>-1.324588342</v>
      </c>
      <c r="M79">
        <f>FONO!N79</f>
        <v>7.3</v>
      </c>
      <c r="O79">
        <f>ABS(L79-FONO!$C$34)</f>
        <v>3.1846470482756066</v>
      </c>
      <c r="P79">
        <f t="shared" si="2"/>
        <v>7.3</v>
      </c>
    </row>
    <row r="80" spans="10:16">
      <c r="J80" s="5"/>
      <c r="L80">
        <f>FONO!M80</f>
        <v>-1.3175521960000001</v>
      </c>
      <c r="M80">
        <f>FONO!N80</f>
        <v>7.4</v>
      </c>
      <c r="O80">
        <f>ABS(L80-FONO!$C$34)</f>
        <v>3.1916831942756065</v>
      </c>
      <c r="P80">
        <f t="shared" si="2"/>
        <v>7.4</v>
      </c>
    </row>
    <row r="81" spans="10:16">
      <c r="J81" s="5"/>
      <c r="L81">
        <f>FONO!M81</f>
        <v>-1.3092326249999999</v>
      </c>
      <c r="M81">
        <f>FONO!N81</f>
        <v>7.5</v>
      </c>
      <c r="O81">
        <f>ABS(L81-FONO!$C$34)</f>
        <v>3.2000027652756069</v>
      </c>
      <c r="P81">
        <f t="shared" si="2"/>
        <v>7.5</v>
      </c>
    </row>
    <row r="82" spans="10:16">
      <c r="J82" s="5"/>
      <c r="L82">
        <f>FONO!M82</f>
        <v>-1.3008103799999999</v>
      </c>
      <c r="M82">
        <f>FONO!N82</f>
        <v>7.6</v>
      </c>
      <c r="O82">
        <f>ABS(L82-FONO!$C$34)</f>
        <v>3.2084250102756071</v>
      </c>
      <c r="P82">
        <f t="shared" si="2"/>
        <v>7.6</v>
      </c>
    </row>
    <row r="83" spans="10:16">
      <c r="J83" s="5"/>
      <c r="L83">
        <f>FONO!M83</f>
        <v>-1.292950383</v>
      </c>
      <c r="M83">
        <f>FONO!N83</f>
        <v>7.7</v>
      </c>
      <c r="O83">
        <f>ABS(L83-FONO!$C$34)</f>
        <v>3.2162850072756068</v>
      </c>
      <c r="P83">
        <f t="shared" si="2"/>
        <v>7.7</v>
      </c>
    </row>
    <row r="84" spans="10:16">
      <c r="J84" s="5"/>
      <c r="L84">
        <f>FONO!M84</f>
        <v>-1.2918373620000001</v>
      </c>
      <c r="M84">
        <f>FONO!N84</f>
        <v>7.8</v>
      </c>
      <c r="O84">
        <f>ABS(L84-FONO!$C$34)</f>
        <v>3.2173980282756069</v>
      </c>
      <c r="P84">
        <f t="shared" si="2"/>
        <v>7.8</v>
      </c>
    </row>
    <row r="85" spans="10:16">
      <c r="J85" s="5"/>
      <c r="L85">
        <f>FONO!M85</f>
        <v>-1.290724341</v>
      </c>
      <c r="M85">
        <f>FONO!N85</f>
        <v>7.9</v>
      </c>
      <c r="O85">
        <f>ABS(L85-FONO!$C$34)</f>
        <v>3.218511049275607</v>
      </c>
      <c r="P85">
        <f t="shared" si="2"/>
        <v>7.9</v>
      </c>
    </row>
    <row r="86" spans="10:16">
      <c r="J86" s="5"/>
      <c r="L86">
        <f>FONO!M86</f>
        <v>-1.2891622</v>
      </c>
      <c r="M86">
        <f>FONO!N86</f>
        <v>8</v>
      </c>
      <c r="O86">
        <f>ABS(L86-FONO!$C$34)</f>
        <v>3.220073190275607</v>
      </c>
      <c r="P86">
        <f t="shared" si="2"/>
        <v>8</v>
      </c>
    </row>
    <row r="87" spans="10:16">
      <c r="J87" s="5"/>
      <c r="L87">
        <f>FONO!M87</f>
        <v>-1.286078665</v>
      </c>
      <c r="M87">
        <f>FONO!N87</f>
        <v>8.1</v>
      </c>
      <c r="O87">
        <f>ABS(L87-FONO!$C$34)</f>
        <v>3.223156725275607</v>
      </c>
      <c r="P87">
        <f t="shared" si="2"/>
        <v>8.1</v>
      </c>
    </row>
    <row r="88" spans="10:16">
      <c r="J88" s="5"/>
      <c r="L88">
        <f>FONO!M88</f>
        <v>-1.28299513</v>
      </c>
      <c r="M88">
        <f>FONO!N88</f>
        <v>8.1999999999999993</v>
      </c>
      <c r="O88">
        <f>ABS(L88-FONO!$C$34)</f>
        <v>3.2262402602756071</v>
      </c>
      <c r="P88">
        <f t="shared" si="2"/>
        <v>8.1999999999999993</v>
      </c>
    </row>
    <row r="89" spans="10:16">
      <c r="J89" s="5"/>
      <c r="L89">
        <f>FONO!M89</f>
        <v>-1.2805402859999999</v>
      </c>
      <c r="M89">
        <f>FONO!N89</f>
        <v>8.3000000000000007</v>
      </c>
      <c r="O89">
        <f>ABS(L89-FONO!$C$34)</f>
        <v>3.2286951042756069</v>
      </c>
      <c r="P89">
        <f t="shared" si="2"/>
        <v>8.3000000000000007</v>
      </c>
    </row>
    <row r="90" spans="10:16">
      <c r="J90" s="5"/>
      <c r="L90">
        <f>FONO!M90</f>
        <v>-1.279115928</v>
      </c>
      <c r="M90">
        <f>FONO!N90</f>
        <v>8.4</v>
      </c>
      <c r="O90">
        <f>ABS(L90-FONO!$C$34)</f>
        <v>3.2301194622756069</v>
      </c>
      <c r="P90">
        <f t="shared" si="2"/>
        <v>8.4</v>
      </c>
    </row>
    <row r="91" spans="10:16">
      <c r="J91" s="5"/>
      <c r="L91">
        <f>FONO!M91</f>
        <v>-1.27769157</v>
      </c>
      <c r="M91">
        <f>FONO!N91</f>
        <v>8.5</v>
      </c>
      <c r="O91">
        <f>ABS(L91-FONO!$C$34)</f>
        <v>3.2315438202756068</v>
      </c>
      <c r="P91">
        <f t="shared" si="2"/>
        <v>8.5</v>
      </c>
    </row>
    <row r="92" spans="10:16">
      <c r="J92" s="5"/>
      <c r="L92">
        <f>FONO!M92</f>
        <v>-1.276700964</v>
      </c>
      <c r="M92">
        <f>FONO!N92</f>
        <v>8.6</v>
      </c>
      <c r="O92">
        <f>ABS(L92-FONO!$C$34)</f>
        <v>3.2325344262756071</v>
      </c>
      <c r="P92">
        <f t="shared" si="2"/>
        <v>8.6</v>
      </c>
    </row>
    <row r="93" spans="10:16">
      <c r="J93" s="5"/>
      <c r="L93">
        <f>FONO!M93</f>
        <v>-1.2760951380000001</v>
      </c>
      <c r="M93">
        <f>FONO!N93</f>
        <v>8.6999999999999993</v>
      </c>
      <c r="O93">
        <f>ABS(L93-FONO!$C$34)</f>
        <v>3.2331402522756068</v>
      </c>
      <c r="P93">
        <f t="shared" si="2"/>
        <v>8.6999999999999993</v>
      </c>
    </row>
    <row r="94" spans="10:16">
      <c r="J94" s="5"/>
      <c r="L94">
        <f>FONO!M94</f>
        <v>-1.2754893119999999</v>
      </c>
      <c r="M94">
        <f>FONO!N94</f>
        <v>8.8000000000000007</v>
      </c>
      <c r="O94">
        <f>ABS(L94-FONO!$C$34)</f>
        <v>3.2337460782756069</v>
      </c>
      <c r="P94">
        <f t="shared" si="2"/>
        <v>8.8000000000000007</v>
      </c>
    </row>
    <row r="95" spans="10:16">
      <c r="J95" s="5"/>
      <c r="L95">
        <f>FONO!M95</f>
        <v>-1.269588202</v>
      </c>
      <c r="M95">
        <f>FONO!N95</f>
        <v>8.9</v>
      </c>
      <c r="O95">
        <f>ABS(L95-FONO!$C$34)</f>
        <v>3.2396471882756068</v>
      </c>
      <c r="P95">
        <f t="shared" si="2"/>
        <v>8.9</v>
      </c>
    </row>
    <row r="96" spans="10:16">
      <c r="J96" s="5"/>
      <c r="L96">
        <f>FONO!M96</f>
        <v>-1.2612056199999999</v>
      </c>
      <c r="M96">
        <f>FONO!N96</f>
        <v>9</v>
      </c>
      <c r="O96">
        <f>ABS(L96-FONO!$C$34)</f>
        <v>3.2480297702756067</v>
      </c>
      <c r="P96">
        <f t="shared" si="2"/>
        <v>9</v>
      </c>
    </row>
    <row r="97" spans="10:16">
      <c r="J97" s="5"/>
      <c r="L97">
        <f>FONO!M97</f>
        <v>-1.2528230380000001</v>
      </c>
      <c r="M97">
        <f>FONO!N97</f>
        <v>9.1</v>
      </c>
      <c r="O97">
        <f>ABS(L97-FONO!$C$34)</f>
        <v>3.256412352275607</v>
      </c>
      <c r="P97">
        <f t="shared" si="2"/>
        <v>9.1</v>
      </c>
    </row>
    <row r="98" spans="10:16">
      <c r="J98" s="5"/>
      <c r="L98">
        <f>FONO!M98</f>
        <v>-1.2493603639999999</v>
      </c>
      <c r="M98">
        <f>FONO!N98</f>
        <v>9.1999999999999993</v>
      </c>
      <c r="O98">
        <f>ABS(L98-FONO!$C$34)</f>
        <v>3.2598750262756067</v>
      </c>
      <c r="P98">
        <f t="shared" si="2"/>
        <v>9.1999999999999993</v>
      </c>
    </row>
    <row r="99" spans="10:16">
      <c r="J99" s="5"/>
      <c r="L99">
        <f>FONO!M99</f>
        <v>-1.246891781</v>
      </c>
      <c r="M99">
        <f>FONO!N99</f>
        <v>9.3000000000000007</v>
      </c>
      <c r="O99">
        <f>ABS(L99-FONO!$C$34)</f>
        <v>3.2623436092756068</v>
      </c>
      <c r="P99">
        <f t="shared" si="2"/>
        <v>9.3000000000000007</v>
      </c>
    </row>
    <row r="100" spans="10:16">
      <c r="J100" s="5"/>
      <c r="L100">
        <f>FONO!M100</f>
        <v>-1.244423198</v>
      </c>
      <c r="M100">
        <f>FONO!N100</f>
        <v>9.4</v>
      </c>
      <c r="O100">
        <f>ABS(L100-FONO!$C$34)</f>
        <v>3.264812192275607</v>
      </c>
      <c r="P100">
        <f t="shared" si="2"/>
        <v>9.4</v>
      </c>
    </row>
    <row r="101" spans="10:16">
      <c r="J101" s="5"/>
      <c r="L101">
        <f>FONO!M101</f>
        <v>-1.2424438250000001</v>
      </c>
      <c r="M101">
        <f>FONO!N101</f>
        <v>9.5</v>
      </c>
      <c r="O101">
        <f>ABS(L101-FONO!$C$34)</f>
        <v>3.2667915652756068</v>
      </c>
      <c r="P101">
        <f t="shared" si="2"/>
        <v>9.5</v>
      </c>
    </row>
    <row r="102" spans="10:16">
      <c r="J102" s="5"/>
      <c r="L102">
        <f>FONO!M102</f>
        <v>-1.24047296</v>
      </c>
      <c r="M102">
        <f>FONO!N102</f>
        <v>9.6</v>
      </c>
      <c r="O102">
        <f>ABS(L102-FONO!$C$34)</f>
        <v>3.2687624302756069</v>
      </c>
      <c r="P102">
        <f t="shared" si="2"/>
        <v>9.6</v>
      </c>
    </row>
    <row r="103" spans="10:16">
      <c r="J103" s="5"/>
      <c r="L103">
        <f>FONO!M103</f>
        <v>-1.2376774800000001</v>
      </c>
      <c r="M103">
        <f>FONO!N103</f>
        <v>9.6999999999999993</v>
      </c>
      <c r="O103">
        <f>ABS(L103-FONO!$C$34)</f>
        <v>3.2715579102756065</v>
      </c>
      <c r="P103">
        <f t="shared" si="2"/>
        <v>9.6999999999999993</v>
      </c>
    </row>
    <row r="104" spans="10:16">
      <c r="J104" s="5"/>
      <c r="L104">
        <f>FONO!M104</f>
        <v>-1.2295483199999999</v>
      </c>
      <c r="M104">
        <f>FONO!N104</f>
        <v>9.8000000000000007</v>
      </c>
      <c r="O104">
        <f>ABS(L104-FONO!$C$34)</f>
        <v>3.2796870702756067</v>
      </c>
      <c r="P104">
        <f t="shared" si="2"/>
        <v>9.8000000000000007</v>
      </c>
    </row>
    <row r="105" spans="10:16">
      <c r="J105" s="5"/>
      <c r="L105">
        <f>FONO!M105</f>
        <v>-1.2214191599999999</v>
      </c>
      <c r="M105">
        <f>FONO!N105</f>
        <v>9.9</v>
      </c>
      <c r="O105">
        <f>ABS(L105-FONO!$C$34)</f>
        <v>3.2878162302756069</v>
      </c>
      <c r="P105">
        <f t="shared" si="2"/>
        <v>9.9</v>
      </c>
    </row>
    <row r="106" spans="10:16">
      <c r="J106" s="5"/>
      <c r="L106">
        <f>FONO!M106</f>
        <v>-1.2153611</v>
      </c>
      <c r="M106">
        <f>FONO!N106</f>
        <v>10</v>
      </c>
      <c r="O106">
        <f>ABS(L106-FONO!$C$34)</f>
        <v>3.2938742902756069</v>
      </c>
      <c r="P106">
        <f t="shared" si="2"/>
        <v>10</v>
      </c>
    </row>
    <row r="107" spans="10:16">
      <c r="J107" s="5"/>
      <c r="L107">
        <f>FONO!M107</f>
        <v>-1.214501501</v>
      </c>
      <c r="M107">
        <f>FONO!N107</f>
        <v>10.1</v>
      </c>
      <c r="O107">
        <f>ABS(L107-FONO!$C$34)</f>
        <v>3.2947338892756068</v>
      </c>
      <c r="P107">
        <f t="shared" si="2"/>
        <v>10.1</v>
      </c>
    </row>
    <row r="108" spans="10:16">
      <c r="J108" s="5"/>
      <c r="L108">
        <f>FONO!M108</f>
        <v>-1.213641902</v>
      </c>
      <c r="M108">
        <f>FONO!N108</f>
        <v>10.199999999999999</v>
      </c>
      <c r="O108">
        <f>ABS(L108-FONO!$C$34)</f>
        <v>3.2955934882756068</v>
      </c>
      <c r="P108">
        <f t="shared" si="2"/>
        <v>10.199999999999999</v>
      </c>
    </row>
    <row r="109" spans="10:16">
      <c r="J109" s="5"/>
      <c r="L109">
        <f>FONO!M109</f>
        <v>-1.208295425</v>
      </c>
      <c r="M109">
        <f>FONO!N109</f>
        <v>10.3</v>
      </c>
      <c r="O109">
        <f>ABS(L109-FONO!$C$34)</f>
        <v>3.3009399652756066</v>
      </c>
      <c r="P109">
        <f t="shared" si="2"/>
        <v>10.3</v>
      </c>
    </row>
    <row r="110" spans="10:16">
      <c r="J110" s="5"/>
      <c r="L110">
        <f>FONO!M110</f>
        <v>-1.1971423999999999</v>
      </c>
      <c r="M110">
        <f>FONO!N110</f>
        <v>10.4</v>
      </c>
      <c r="O110">
        <f>ABS(L110-FONO!$C$34)</f>
        <v>3.3120929902756071</v>
      </c>
      <c r="P110">
        <f t="shared" si="2"/>
        <v>10.4</v>
      </c>
    </row>
    <row r="111" spans="10:16">
      <c r="J111" s="5"/>
      <c r="L111">
        <f>FONO!M111</f>
        <v>-1.1859893749999999</v>
      </c>
      <c r="M111">
        <f>FONO!N111</f>
        <v>10.5</v>
      </c>
      <c r="O111">
        <f>ABS(L111-FONO!$C$34)</f>
        <v>3.3232460152756067</v>
      </c>
      <c r="P111">
        <f t="shared" si="2"/>
        <v>10.5</v>
      </c>
    </row>
    <row r="112" spans="10:16">
      <c r="J112" s="5"/>
      <c r="L112">
        <f>FONO!M112</f>
        <v>-1.1785981160000001</v>
      </c>
      <c r="M112">
        <f>FONO!N112</f>
        <v>10.6</v>
      </c>
      <c r="O112">
        <f>ABS(L112-FONO!$C$34)</f>
        <v>3.330637274275607</v>
      </c>
      <c r="P112">
        <f t="shared" si="2"/>
        <v>10.6</v>
      </c>
    </row>
    <row r="113" spans="10:16">
      <c r="J113" s="5"/>
      <c r="L113">
        <f>FONO!M113</f>
        <v>-1.1738547020000001</v>
      </c>
      <c r="M113">
        <f>FONO!N113</f>
        <v>10.7</v>
      </c>
      <c r="O113">
        <f>ABS(L113-FONO!$C$34)</f>
        <v>3.335380688275607</v>
      </c>
      <c r="P113">
        <f t="shared" si="2"/>
        <v>10.7</v>
      </c>
    </row>
    <row r="114" spans="10:16">
      <c r="J114" s="5"/>
      <c r="L114">
        <f>FONO!M114</f>
        <v>-1.1691112880000001</v>
      </c>
      <c r="M114">
        <f>FONO!N114</f>
        <v>10.8</v>
      </c>
      <c r="O114">
        <f>ABS(L114-FONO!$C$34)</f>
        <v>3.340124102275607</v>
      </c>
      <c r="P114">
        <f t="shared" si="2"/>
        <v>10.8</v>
      </c>
    </row>
    <row r="115" spans="10:16">
      <c r="J115" s="5"/>
      <c r="L115">
        <f>FONO!M115</f>
        <v>-1.1651534210000001</v>
      </c>
      <c r="M115">
        <f>FONO!N115</f>
        <v>10.9</v>
      </c>
      <c r="O115">
        <f>ABS(L115-FONO!$C$34)</f>
        <v>3.3440819692756065</v>
      </c>
      <c r="P115">
        <f t="shared" si="2"/>
        <v>10.9</v>
      </c>
    </row>
    <row r="116" spans="10:16">
      <c r="J116" s="5"/>
      <c r="L116">
        <f>FONO!M116</f>
        <v>-1.1614745900000001</v>
      </c>
      <c r="M116">
        <f>FONO!N116</f>
        <v>11</v>
      </c>
      <c r="O116">
        <f>ABS(L116-FONO!$C$34)</f>
        <v>3.3477608002756067</v>
      </c>
      <c r="P116">
        <f t="shared" si="2"/>
        <v>11</v>
      </c>
    </row>
    <row r="117" spans="10:16">
      <c r="J117" s="5"/>
      <c r="L117">
        <f>FONO!M117</f>
        <v>-1.1577957590000001</v>
      </c>
      <c r="M117">
        <f>FONO!N117</f>
        <v>11.1</v>
      </c>
      <c r="O117">
        <f>ABS(L117-FONO!$C$34)</f>
        <v>3.351439631275607</v>
      </c>
      <c r="P117">
        <f t="shared" si="2"/>
        <v>11.1</v>
      </c>
    </row>
    <row r="118" spans="10:16">
      <c r="J118" s="5"/>
      <c r="L118">
        <f>FONO!M118</f>
        <v>-1.1534841920000001</v>
      </c>
      <c r="M118">
        <f>FONO!N118</f>
        <v>11.2</v>
      </c>
      <c r="O118">
        <f>ABS(L118-FONO!$C$34)</f>
        <v>3.3557511982756068</v>
      </c>
      <c r="P118">
        <f t="shared" si="2"/>
        <v>11.2</v>
      </c>
    </row>
    <row r="119" spans="10:16">
      <c r="J119" s="5"/>
      <c r="L119">
        <f>FONO!M119</f>
        <v>-1.1490935330000001</v>
      </c>
      <c r="M119">
        <f>FONO!N119</f>
        <v>11.3</v>
      </c>
      <c r="O119">
        <f>ABS(L119-FONO!$C$34)</f>
        <v>3.3601418572756065</v>
      </c>
      <c r="P119">
        <f t="shared" si="2"/>
        <v>11.3</v>
      </c>
    </row>
    <row r="120" spans="10:16">
      <c r="J120" s="5"/>
      <c r="L120">
        <f>FONO!M120</f>
        <v>-1.1447063040000001</v>
      </c>
      <c r="M120">
        <f>FONO!N120</f>
        <v>11.4</v>
      </c>
      <c r="O120">
        <f>ABS(L120-FONO!$C$34)</f>
        <v>3.3645290862756068</v>
      </c>
      <c r="P120">
        <f t="shared" si="2"/>
        <v>11.4</v>
      </c>
    </row>
    <row r="121" spans="10:16">
      <c r="J121" s="5"/>
      <c r="L121">
        <f>FONO!M121</f>
        <v>-1.1404016400000001</v>
      </c>
      <c r="M121">
        <f>FONO!N121</f>
        <v>11.5</v>
      </c>
      <c r="O121">
        <f>ABS(L121-FONO!$C$34)</f>
        <v>3.3688337502756065</v>
      </c>
      <c r="P121">
        <f t="shared" si="2"/>
        <v>11.5</v>
      </c>
    </row>
    <row r="122" spans="10:16">
      <c r="J122" s="5"/>
      <c r="L122">
        <f>FONO!M122</f>
        <v>-1.1360969759999999</v>
      </c>
      <c r="M122">
        <f>FONO!N122</f>
        <v>11.6</v>
      </c>
      <c r="O122">
        <f>ABS(L122-FONO!$C$34)</f>
        <v>3.3731384142756067</v>
      </c>
      <c r="P122">
        <f t="shared" si="2"/>
        <v>11.6</v>
      </c>
    </row>
    <row r="123" spans="10:16">
      <c r="J123" s="5"/>
      <c r="L123">
        <f>FONO!M123</f>
        <v>-1.132154112</v>
      </c>
      <c r="M123">
        <f>FONO!N123</f>
        <v>11.7</v>
      </c>
      <c r="O123">
        <f>ABS(L123-FONO!$C$34)</f>
        <v>3.3770812782756066</v>
      </c>
      <c r="P123">
        <f t="shared" si="2"/>
        <v>11.7</v>
      </c>
    </row>
    <row r="124" spans="10:16">
      <c r="J124" s="5"/>
      <c r="L124">
        <f>FONO!M124</f>
        <v>-1.1297448480000001</v>
      </c>
      <c r="M124">
        <f>FONO!N124</f>
        <v>11.8</v>
      </c>
      <c r="O124">
        <f>ABS(L124-FONO!$C$34)</f>
        <v>3.3794905422756067</v>
      </c>
      <c r="P124">
        <f t="shared" si="2"/>
        <v>11.8</v>
      </c>
    </row>
    <row r="125" spans="10:16">
      <c r="J125" s="5"/>
      <c r="L125">
        <f>FONO!M125</f>
        <v>-1.1273355839999999</v>
      </c>
      <c r="M125">
        <f>FONO!N125</f>
        <v>11.9</v>
      </c>
      <c r="O125">
        <f>ABS(L125-FONO!$C$34)</f>
        <v>3.3818998062756069</v>
      </c>
      <c r="P125">
        <f t="shared" si="2"/>
        <v>11.9</v>
      </c>
    </row>
    <row r="126" spans="10:16">
      <c r="J126" s="5"/>
      <c r="L126">
        <f>FONO!M126</f>
        <v>-1.12553964</v>
      </c>
      <c r="M126">
        <f>FONO!N126</f>
        <v>12</v>
      </c>
      <c r="O126">
        <f>ABS(L126-FONO!$C$34)</f>
        <v>3.3836957502756069</v>
      </c>
      <c r="P126">
        <f t="shared" si="2"/>
        <v>12</v>
      </c>
    </row>
    <row r="127" spans="10:16">
      <c r="J127" s="5"/>
      <c r="L127">
        <f>FONO!M127</f>
        <v>-1.1249243369999999</v>
      </c>
      <c r="M127">
        <f>FONO!N127</f>
        <v>12.1</v>
      </c>
      <c r="O127">
        <f>ABS(L127-FONO!$C$34)</f>
        <v>3.3843110532756069</v>
      </c>
      <c r="P127">
        <f t="shared" si="2"/>
        <v>12.1</v>
      </c>
    </row>
    <row r="128" spans="10:16">
      <c r="J128" s="5"/>
      <c r="L128">
        <f>FONO!M128</f>
        <v>-1.1243090339999999</v>
      </c>
      <c r="M128">
        <f>FONO!N128</f>
        <v>12.2</v>
      </c>
      <c r="O128">
        <f>ABS(L128-FONO!$C$34)</f>
        <v>3.3849263562756069</v>
      </c>
      <c r="P128">
        <f t="shared" si="2"/>
        <v>12.2</v>
      </c>
    </row>
    <row r="129" spans="10:16">
      <c r="J129" s="5"/>
      <c r="L129">
        <f>FONO!M129</f>
        <v>-1.120783525</v>
      </c>
      <c r="M129">
        <f>FONO!N129</f>
        <v>12.3</v>
      </c>
      <c r="O129">
        <f>ABS(L129-FONO!$C$34)</f>
        <v>3.3884518652756066</v>
      </c>
      <c r="P129">
        <f t="shared" si="2"/>
        <v>12.3</v>
      </c>
    </row>
    <row r="130" spans="10:16">
      <c r="J130" s="5"/>
      <c r="L130">
        <f>FONO!M130</f>
        <v>-1.1142637</v>
      </c>
      <c r="M130">
        <f>FONO!N130</f>
        <v>12.4</v>
      </c>
      <c r="O130">
        <f>ABS(L130-FONO!$C$34)</f>
        <v>3.3949716902756069</v>
      </c>
      <c r="P130">
        <f t="shared" si="2"/>
        <v>12.4</v>
      </c>
    </row>
    <row r="131" spans="10:16">
      <c r="J131" s="5"/>
      <c r="L131">
        <f>FONO!M131</f>
        <v>-1.1077438749999999</v>
      </c>
      <c r="M131">
        <f>FONO!N131</f>
        <v>12.5</v>
      </c>
      <c r="O131">
        <f>ABS(L131-FONO!$C$34)</f>
        <v>3.4014915152756071</v>
      </c>
      <c r="P131">
        <f t="shared" si="2"/>
        <v>12.5</v>
      </c>
    </row>
    <row r="132" spans="10:16">
      <c r="J132" s="5"/>
      <c r="L132">
        <f>FONO!M132</f>
        <v>-1.0991136619999999</v>
      </c>
      <c r="M132">
        <f>FONO!N132</f>
        <v>12.6</v>
      </c>
      <c r="O132">
        <f>ABS(L132-FONO!$C$34)</f>
        <v>3.4101217282756071</v>
      </c>
      <c r="P132">
        <f t="shared" si="2"/>
        <v>12.6</v>
      </c>
    </row>
    <row r="133" spans="10:16">
      <c r="J133" s="5"/>
      <c r="L133">
        <f>FONO!M133</f>
        <v>-1.089316199</v>
      </c>
      <c r="M133">
        <f>FONO!N133</f>
        <v>12.7</v>
      </c>
      <c r="O133">
        <f>ABS(L133-FONO!$C$34)</f>
        <v>3.4199191912756071</v>
      </c>
      <c r="P133">
        <f t="shared" si="2"/>
        <v>12.7</v>
      </c>
    </row>
    <row r="134" spans="10:16">
      <c r="J134" s="5"/>
      <c r="L134">
        <f>FONO!M134</f>
        <v>-1.079518736</v>
      </c>
      <c r="M134">
        <f>FONO!N134</f>
        <v>12.8</v>
      </c>
      <c r="O134">
        <f>ABS(L134-FONO!$C$34)</f>
        <v>3.429716654275607</v>
      </c>
      <c r="P134">
        <f t="shared" si="2"/>
        <v>12.8</v>
      </c>
    </row>
    <row r="135" spans="10:16">
      <c r="J135" s="5"/>
      <c r="L135">
        <f>FONO!M135</f>
        <v>-1.0732969370000001</v>
      </c>
      <c r="M135">
        <f>FONO!N135</f>
        <v>12.9</v>
      </c>
      <c r="O135">
        <f>ABS(L135-FONO!$C$34)</f>
        <v>3.4359384532756065</v>
      </c>
      <c r="P135">
        <f t="shared" ref="P135:P198" si="3">M135</f>
        <v>12.9</v>
      </c>
    </row>
    <row r="136" spans="10:16">
      <c r="J136" s="5"/>
      <c r="L136">
        <f>FONO!M136</f>
        <v>-1.06799789</v>
      </c>
      <c r="M136">
        <f>FONO!N136</f>
        <v>13</v>
      </c>
      <c r="O136">
        <f>ABS(L136-FONO!$C$34)</f>
        <v>3.4412375002756068</v>
      </c>
      <c r="P136">
        <f t="shared" si="3"/>
        <v>13</v>
      </c>
    </row>
    <row r="137" spans="10:16">
      <c r="J137" s="5"/>
      <c r="L137">
        <f>FONO!M137</f>
        <v>-1.0626988429999999</v>
      </c>
      <c r="M137">
        <f>FONO!N137</f>
        <v>13.1</v>
      </c>
      <c r="O137">
        <f>ABS(L137-FONO!$C$34)</f>
        <v>3.4465365472756071</v>
      </c>
      <c r="P137">
        <f t="shared" si="3"/>
        <v>13.1</v>
      </c>
    </row>
    <row r="138" spans="10:16">
      <c r="J138" s="5"/>
      <c r="L138">
        <f>FONO!M138</f>
        <v>-1.052388256</v>
      </c>
      <c r="M138">
        <f>FONO!N138</f>
        <v>13.2</v>
      </c>
      <c r="O138">
        <f>ABS(L138-FONO!$C$34)</f>
        <v>3.4568471342756069</v>
      </c>
      <c r="P138">
        <f t="shared" si="3"/>
        <v>13.2</v>
      </c>
    </row>
    <row r="139" spans="10:16">
      <c r="J139" s="5"/>
      <c r="L139">
        <f>FONO!M139</f>
        <v>-1.041790864</v>
      </c>
      <c r="M139">
        <f>FONO!N139</f>
        <v>13.3</v>
      </c>
      <c r="O139">
        <f>ABS(L139-FONO!$C$34)</f>
        <v>3.4674445262756066</v>
      </c>
      <c r="P139">
        <f t="shared" si="3"/>
        <v>13.3</v>
      </c>
    </row>
    <row r="140" spans="10:16">
      <c r="J140" s="5"/>
      <c r="L140">
        <f>FONO!M140</f>
        <v>-1.03210746</v>
      </c>
      <c r="M140">
        <f>FONO!N140</f>
        <v>13.4</v>
      </c>
      <c r="O140">
        <f>ABS(L140-FONO!$C$34)</f>
        <v>3.4771279302756071</v>
      </c>
      <c r="P140">
        <f t="shared" si="3"/>
        <v>13.4</v>
      </c>
    </row>
    <row r="141" spans="10:16">
      <c r="J141" s="5"/>
      <c r="L141">
        <f>FONO!M141</f>
        <v>-1.03094565</v>
      </c>
      <c r="M141">
        <f>FONO!N141</f>
        <v>13.5</v>
      </c>
      <c r="O141">
        <f>ABS(L141-FONO!$C$34)</f>
        <v>3.4782897402756068</v>
      </c>
      <c r="P141">
        <f t="shared" si="3"/>
        <v>13.5</v>
      </c>
    </row>
    <row r="142" spans="10:16">
      <c r="J142" s="5"/>
      <c r="L142">
        <f>FONO!M142</f>
        <v>-1.0297838399999999</v>
      </c>
      <c r="M142">
        <f>FONO!N142</f>
        <v>13.6</v>
      </c>
      <c r="O142">
        <f>ABS(L142-FONO!$C$34)</f>
        <v>3.4794515502756069</v>
      </c>
      <c r="P142">
        <f t="shared" si="3"/>
        <v>13.6</v>
      </c>
    </row>
    <row r="143" spans="10:16">
      <c r="J143" s="5"/>
      <c r="L143">
        <f>FONO!M143</f>
        <v>-1.0266339929999999</v>
      </c>
      <c r="M143">
        <f>FONO!N143</f>
        <v>13.7</v>
      </c>
      <c r="O143">
        <f>ABS(L143-FONO!$C$34)</f>
        <v>3.4826013972756069</v>
      </c>
      <c r="P143">
        <f t="shared" si="3"/>
        <v>13.7</v>
      </c>
    </row>
    <row r="144" spans="10:16">
      <c r="J144" s="5"/>
      <c r="L144">
        <f>FONO!M144</f>
        <v>-1.017451482</v>
      </c>
      <c r="M144">
        <f>FONO!N144</f>
        <v>13.8</v>
      </c>
      <c r="O144">
        <f>ABS(L144-FONO!$C$34)</f>
        <v>3.4917839082756066</v>
      </c>
      <c r="P144">
        <f t="shared" si="3"/>
        <v>13.8</v>
      </c>
    </row>
    <row r="145" spans="10:16">
      <c r="J145" s="5"/>
      <c r="L145">
        <f>FONO!M145</f>
        <v>-1.0082689709999999</v>
      </c>
      <c r="M145">
        <f>FONO!N145</f>
        <v>13.9</v>
      </c>
      <c r="O145">
        <f>ABS(L145-FONO!$C$34)</f>
        <v>3.5009664192756071</v>
      </c>
      <c r="P145">
        <f t="shared" si="3"/>
        <v>13.9</v>
      </c>
    </row>
    <row r="146" spans="10:16">
      <c r="J146" s="5"/>
      <c r="L146">
        <f>FONO!M146</f>
        <v>-1.00097828</v>
      </c>
      <c r="M146">
        <f>FONO!N146</f>
        <v>14</v>
      </c>
      <c r="O146">
        <f>ABS(L146-FONO!$C$34)</f>
        <v>3.5082571102756068</v>
      </c>
      <c r="P146">
        <f t="shared" si="3"/>
        <v>14</v>
      </c>
    </row>
    <row r="147" spans="10:16">
      <c r="J147" s="5"/>
      <c r="L147">
        <f>FONO!M147</f>
        <v>-0.99653883200000004</v>
      </c>
      <c r="M147">
        <f>FONO!N147</f>
        <v>14.1</v>
      </c>
      <c r="O147">
        <f>ABS(L147-FONO!$C$34)</f>
        <v>3.5126965582756067</v>
      </c>
      <c r="P147">
        <f t="shared" si="3"/>
        <v>14.1</v>
      </c>
    </row>
    <row r="148" spans="10:16">
      <c r="J148" s="5"/>
      <c r="L148">
        <f>FONO!M148</f>
        <v>-0.99209938399999997</v>
      </c>
      <c r="M148">
        <f>FONO!N148</f>
        <v>14.2</v>
      </c>
      <c r="O148">
        <f>ABS(L148-FONO!$C$34)</f>
        <v>3.517136006275607</v>
      </c>
      <c r="P148">
        <f t="shared" si="3"/>
        <v>14.2</v>
      </c>
    </row>
    <row r="149" spans="10:16">
      <c r="J149" s="5"/>
      <c r="L149">
        <f>FONO!M149</f>
        <v>-0.98885036000000004</v>
      </c>
      <c r="M149">
        <f>FONO!N149</f>
        <v>14.3</v>
      </c>
      <c r="O149">
        <f>ABS(L149-FONO!$C$34)</f>
        <v>3.520385030275607</v>
      </c>
      <c r="P149">
        <f t="shared" si="3"/>
        <v>14.3</v>
      </c>
    </row>
    <row r="150" spans="10:16">
      <c r="J150" s="5"/>
      <c r="L150">
        <f>FONO!M150</f>
        <v>-0.98657587999999996</v>
      </c>
      <c r="M150">
        <f>FONO!N150</f>
        <v>14.4</v>
      </c>
      <c r="O150">
        <f>ABS(L150-FONO!$C$34)</f>
        <v>3.5226595102756066</v>
      </c>
      <c r="P150">
        <f t="shared" si="3"/>
        <v>14.4</v>
      </c>
    </row>
    <row r="151" spans="10:16">
      <c r="J151" s="5"/>
      <c r="L151">
        <f>FONO!M151</f>
        <v>-0.98430139999999999</v>
      </c>
      <c r="M151">
        <f>FONO!N151</f>
        <v>14.5</v>
      </c>
      <c r="O151">
        <f>ABS(L151-FONO!$C$34)</f>
        <v>3.5249339902756067</v>
      </c>
      <c r="P151">
        <f t="shared" si="3"/>
        <v>14.5</v>
      </c>
    </row>
    <row r="152" spans="10:16">
      <c r="J152" s="5"/>
      <c r="L152">
        <f>FONO!M152</f>
        <v>-0.98362099999999997</v>
      </c>
      <c r="M152">
        <f>FONO!N152</f>
        <v>14.6</v>
      </c>
      <c r="O152">
        <f>ABS(L152-FONO!$C$34)</f>
        <v>3.525614390275607</v>
      </c>
      <c r="P152">
        <f t="shared" si="3"/>
        <v>14.6</v>
      </c>
    </row>
    <row r="153" spans="10:16">
      <c r="J153" s="5"/>
      <c r="L153">
        <f>FONO!M153</f>
        <v>-0.98362099999999997</v>
      </c>
      <c r="M153">
        <f>FONO!N153</f>
        <v>14.7</v>
      </c>
      <c r="O153">
        <f>ABS(L153-FONO!$C$34)</f>
        <v>3.525614390275607</v>
      </c>
      <c r="P153">
        <f t="shared" si="3"/>
        <v>14.7</v>
      </c>
    </row>
    <row r="154" spans="10:16">
      <c r="J154" s="5"/>
      <c r="L154">
        <f>FONO!M154</f>
        <v>-0.98362099999999997</v>
      </c>
      <c r="M154">
        <f>FONO!N154</f>
        <v>14.8</v>
      </c>
      <c r="O154">
        <f>ABS(L154-FONO!$C$34)</f>
        <v>3.525614390275607</v>
      </c>
      <c r="P154">
        <f t="shared" si="3"/>
        <v>14.8</v>
      </c>
    </row>
    <row r="155" spans="10:16">
      <c r="J155" s="5"/>
      <c r="L155">
        <f>FONO!M155</f>
        <v>-0.98309685300000005</v>
      </c>
      <c r="M155">
        <f>FONO!N155</f>
        <v>14.9</v>
      </c>
      <c r="O155">
        <f>ABS(L155-FONO!$C$34)</f>
        <v>3.5261385372756067</v>
      </c>
      <c r="P155">
        <f t="shared" si="3"/>
        <v>14.9</v>
      </c>
    </row>
    <row r="156" spans="10:16">
      <c r="J156" s="5"/>
      <c r="L156">
        <f>FONO!M156</f>
        <v>-0.98248155000000004</v>
      </c>
      <c r="M156">
        <f>FONO!N156</f>
        <v>15</v>
      </c>
      <c r="O156">
        <f>ABS(L156-FONO!$C$34)</f>
        <v>3.5267538402756067</v>
      </c>
      <c r="P156">
        <f t="shared" si="3"/>
        <v>15</v>
      </c>
    </row>
    <row r="157" spans="10:16">
      <c r="J157" s="5"/>
      <c r="L157">
        <f>FONO!M157</f>
        <v>-0.98185940999999999</v>
      </c>
      <c r="M157">
        <f>FONO!N157</f>
        <v>15.1</v>
      </c>
      <c r="O157">
        <f>ABS(L157-FONO!$C$34)</f>
        <v>3.5273759802756066</v>
      </c>
      <c r="P157">
        <f t="shared" si="3"/>
        <v>15.1</v>
      </c>
    </row>
    <row r="158" spans="10:16">
      <c r="J158" s="5"/>
      <c r="L158">
        <f>FONO!M158</f>
        <v>-0.97884431999999999</v>
      </c>
      <c r="M158">
        <f>FONO!N158</f>
        <v>15.2</v>
      </c>
      <c r="O158">
        <f>ABS(L158-FONO!$C$34)</f>
        <v>3.5303910702756069</v>
      </c>
      <c r="P158">
        <f t="shared" si="3"/>
        <v>15.2</v>
      </c>
    </row>
    <row r="159" spans="10:16">
      <c r="J159" s="5"/>
      <c r="L159">
        <f>FONO!M159</f>
        <v>-0.97582922999999999</v>
      </c>
      <c r="M159">
        <f>FONO!N159</f>
        <v>15.3</v>
      </c>
      <c r="O159">
        <f>ABS(L159-FONO!$C$34)</f>
        <v>3.5334061602756068</v>
      </c>
      <c r="P159">
        <f t="shared" si="3"/>
        <v>15.3</v>
      </c>
    </row>
    <row r="160" spans="10:16">
      <c r="J160" s="5"/>
      <c r="L160">
        <f>FONO!M160</f>
        <v>-0.97318339200000004</v>
      </c>
      <c r="M160">
        <f>FONO!N160</f>
        <v>15.4</v>
      </c>
      <c r="O160">
        <f>ABS(L160-FONO!$C$34)</f>
        <v>3.5360519982756067</v>
      </c>
      <c r="P160">
        <f t="shared" si="3"/>
        <v>15.4</v>
      </c>
    </row>
    <row r="161" spans="10:16">
      <c r="J161" s="5"/>
      <c r="L161">
        <f>FONO!M161</f>
        <v>-0.97256843999999998</v>
      </c>
      <c r="M161">
        <f>FONO!N161</f>
        <v>15.5</v>
      </c>
      <c r="O161">
        <f>ABS(L161-FONO!$C$34)</f>
        <v>3.536666950275607</v>
      </c>
      <c r="P161">
        <f t="shared" si="3"/>
        <v>15.5</v>
      </c>
    </row>
    <row r="162" spans="10:16">
      <c r="J162" s="5"/>
      <c r="L162">
        <f>FONO!M162</f>
        <v>-0.97195348800000003</v>
      </c>
      <c r="M162">
        <f>FONO!N162</f>
        <v>15.6</v>
      </c>
      <c r="O162">
        <f>ABS(L162-FONO!$C$34)</f>
        <v>3.5372819022756068</v>
      </c>
      <c r="P162">
        <f t="shared" si="3"/>
        <v>15.6</v>
      </c>
    </row>
    <row r="163" spans="10:16">
      <c r="J163" s="5"/>
      <c r="L163">
        <f>FONO!M163</f>
        <v>-0.96974402199999998</v>
      </c>
      <c r="M163">
        <f>FONO!N163</f>
        <v>15.7</v>
      </c>
      <c r="O163">
        <f>ABS(L163-FONO!$C$34)</f>
        <v>3.5394913682756068</v>
      </c>
      <c r="P163">
        <f t="shared" si="3"/>
        <v>15.7</v>
      </c>
    </row>
    <row r="164" spans="10:16">
      <c r="J164" s="5"/>
      <c r="L164">
        <f>FONO!M164</f>
        <v>-0.96389846800000001</v>
      </c>
      <c r="M164">
        <f>FONO!N164</f>
        <v>15.8</v>
      </c>
      <c r="O164">
        <f>ABS(L164-FONO!$C$34)</f>
        <v>3.5453369222756068</v>
      </c>
      <c r="P164">
        <f t="shared" si="3"/>
        <v>15.8</v>
      </c>
    </row>
    <row r="165" spans="10:16">
      <c r="J165" s="5"/>
      <c r="L165">
        <f>FONO!M165</f>
        <v>-0.95805291400000003</v>
      </c>
      <c r="M165">
        <f>FONO!N165</f>
        <v>15.9</v>
      </c>
      <c r="O165">
        <f>ABS(L165-FONO!$C$34)</f>
        <v>3.5511824762756068</v>
      </c>
      <c r="P165">
        <f t="shared" si="3"/>
        <v>15.9</v>
      </c>
    </row>
    <row r="166" spans="10:16">
      <c r="J166" s="5"/>
      <c r="L166">
        <f>FONO!M166</f>
        <v>-0.95475648000000002</v>
      </c>
      <c r="M166">
        <f>FONO!N166</f>
        <v>16</v>
      </c>
      <c r="O166">
        <f>ABS(L166-FONO!$C$34)</f>
        <v>3.5544789102756069</v>
      </c>
      <c r="P166">
        <f t="shared" si="3"/>
        <v>16</v>
      </c>
    </row>
    <row r="167" spans="10:16">
      <c r="J167" s="5"/>
      <c r="L167">
        <f>FONO!M167</f>
        <v>-0.95450305800000002</v>
      </c>
      <c r="M167">
        <f>FONO!N167</f>
        <v>16.100000000000001</v>
      </c>
      <c r="O167">
        <f>ABS(L167-FONO!$C$34)</f>
        <v>3.5547323322756066</v>
      </c>
      <c r="P167">
        <f t="shared" si="3"/>
        <v>16.100000000000001</v>
      </c>
    </row>
    <row r="168" spans="10:16">
      <c r="J168" s="5"/>
      <c r="L168">
        <f>FONO!M168</f>
        <v>-0.95424963600000001</v>
      </c>
      <c r="M168">
        <f>FONO!N168</f>
        <v>16.2</v>
      </c>
      <c r="O168">
        <f>ABS(L168-FONO!$C$34)</f>
        <v>3.5549857542756067</v>
      </c>
      <c r="P168">
        <f t="shared" si="3"/>
        <v>16.2</v>
      </c>
    </row>
    <row r="169" spans="10:16">
      <c r="J169" s="5"/>
      <c r="L169">
        <f>FONO!M169</f>
        <v>-0.95194161600000005</v>
      </c>
      <c r="M169">
        <f>FONO!N169</f>
        <v>16.3</v>
      </c>
      <c r="O169">
        <f>ABS(L169-FONO!$C$34)</f>
        <v>3.5572937742756068</v>
      </c>
      <c r="P169">
        <f t="shared" si="3"/>
        <v>16.3</v>
      </c>
    </row>
    <row r="170" spans="10:16">
      <c r="J170" s="5"/>
      <c r="L170">
        <f>FONO!M170</f>
        <v>-0.94830244799999996</v>
      </c>
      <c r="M170">
        <f>FONO!N170</f>
        <v>16.399999999999999</v>
      </c>
      <c r="O170">
        <f>ABS(L170-FONO!$C$34)</f>
        <v>3.5609329422756071</v>
      </c>
      <c r="P170">
        <f t="shared" si="3"/>
        <v>16.399999999999999</v>
      </c>
    </row>
    <row r="171" spans="10:16">
      <c r="J171" s="5"/>
      <c r="L171">
        <f>FONO!M171</f>
        <v>-0.94466327999999999</v>
      </c>
      <c r="M171">
        <f>FONO!N171</f>
        <v>16.5</v>
      </c>
      <c r="O171">
        <f>ABS(L171-FONO!$C$34)</f>
        <v>3.5645721102756069</v>
      </c>
      <c r="P171">
        <f t="shared" si="3"/>
        <v>16.5</v>
      </c>
    </row>
    <row r="172" spans="10:16">
      <c r="J172" s="5"/>
      <c r="L172">
        <f>FONO!M172</f>
        <v>-0.94373678000000005</v>
      </c>
      <c r="M172">
        <f>FONO!N172</f>
        <v>16.600000000000001</v>
      </c>
      <c r="O172">
        <f>ABS(L172-FONO!$C$34)</f>
        <v>3.5654986102756068</v>
      </c>
      <c r="P172">
        <f t="shared" si="3"/>
        <v>16.600000000000001</v>
      </c>
    </row>
    <row r="173" spans="10:16">
      <c r="J173" s="5"/>
      <c r="L173">
        <f>FONO!M173</f>
        <v>-0.94367710999999999</v>
      </c>
      <c r="M173">
        <f>FONO!N173</f>
        <v>16.7</v>
      </c>
      <c r="O173">
        <f>ABS(L173-FONO!$C$34)</f>
        <v>3.565558280275607</v>
      </c>
      <c r="P173">
        <f t="shared" si="3"/>
        <v>16.7</v>
      </c>
    </row>
    <row r="174" spans="10:16">
      <c r="J174" s="5"/>
      <c r="L174">
        <f>FONO!M174</f>
        <v>-0.94361744000000003</v>
      </c>
      <c r="M174">
        <f>FONO!N174</f>
        <v>16.8</v>
      </c>
      <c r="O174">
        <f>ABS(L174-FONO!$C$34)</f>
        <v>3.5656179502756067</v>
      </c>
      <c r="P174">
        <f t="shared" si="3"/>
        <v>16.8</v>
      </c>
    </row>
    <row r="175" spans="10:16">
      <c r="J175" s="5"/>
      <c r="L175">
        <f>FONO!M175</f>
        <v>-0.940809585</v>
      </c>
      <c r="M175">
        <f>FONO!N175</f>
        <v>16.899999999999999</v>
      </c>
      <c r="O175">
        <f>ABS(L175-FONO!$C$34)</f>
        <v>3.5684258052756066</v>
      </c>
      <c r="P175">
        <f t="shared" si="3"/>
        <v>16.899999999999999</v>
      </c>
    </row>
    <row r="176" spans="10:16">
      <c r="J176" s="5"/>
      <c r="L176">
        <f>FONO!M176</f>
        <v>-0.93772604999999998</v>
      </c>
      <c r="M176">
        <f>FONO!N176</f>
        <v>17</v>
      </c>
      <c r="O176">
        <f>ABS(L176-FONO!$C$34)</f>
        <v>3.5715093402756066</v>
      </c>
      <c r="P176">
        <f t="shared" si="3"/>
        <v>17</v>
      </c>
    </row>
    <row r="177" spans="10:16">
      <c r="J177" s="5"/>
      <c r="L177">
        <f>FONO!M177</f>
        <v>-0.93467638799999997</v>
      </c>
      <c r="M177">
        <f>FONO!N177</f>
        <v>17.100000000000001</v>
      </c>
      <c r="O177">
        <f>ABS(L177-FONO!$C$34)</f>
        <v>3.5745590022756071</v>
      </c>
      <c r="P177">
        <f t="shared" si="3"/>
        <v>17.100000000000001</v>
      </c>
    </row>
    <row r="178" spans="10:16">
      <c r="J178" s="5"/>
      <c r="L178">
        <f>FONO!M178</f>
        <v>-0.93215901599999995</v>
      </c>
      <c r="M178">
        <f>FONO!N178</f>
        <v>17.2</v>
      </c>
      <c r="O178">
        <f>ABS(L178-FONO!$C$34)</f>
        <v>3.5770763742756069</v>
      </c>
      <c r="P178">
        <f t="shared" si="3"/>
        <v>17.2</v>
      </c>
    </row>
    <row r="179" spans="10:16">
      <c r="J179" s="5"/>
      <c r="L179">
        <f>FONO!M179</f>
        <v>-0.92964164400000004</v>
      </c>
      <c r="M179">
        <f>FONO!N179</f>
        <v>17.3</v>
      </c>
      <c r="O179">
        <f>ABS(L179-FONO!$C$34)</f>
        <v>3.5795937462756067</v>
      </c>
      <c r="P179">
        <f t="shared" si="3"/>
        <v>17.3</v>
      </c>
    </row>
    <row r="180" spans="10:16">
      <c r="J180" s="5"/>
      <c r="L180">
        <f>FONO!M180</f>
        <v>-0.92742034600000001</v>
      </c>
      <c r="M180">
        <f>FONO!N180</f>
        <v>17.399999999999999</v>
      </c>
      <c r="O180">
        <f>ABS(L180-FONO!$C$34)</f>
        <v>3.5818150442756069</v>
      </c>
      <c r="P180">
        <f t="shared" si="3"/>
        <v>17.399999999999999</v>
      </c>
    </row>
    <row r="181" spans="10:16">
      <c r="J181" s="5"/>
      <c r="L181">
        <f>FONO!M181</f>
        <v>-0.92630732500000001</v>
      </c>
      <c r="M181">
        <f>FONO!N181</f>
        <v>17.5</v>
      </c>
      <c r="O181">
        <f>ABS(L181-FONO!$C$34)</f>
        <v>3.582928065275607</v>
      </c>
      <c r="P181">
        <f t="shared" si="3"/>
        <v>17.5</v>
      </c>
    </row>
    <row r="182" spans="10:16">
      <c r="J182" s="5"/>
      <c r="L182">
        <f>FONO!M182</f>
        <v>-0.92519430400000002</v>
      </c>
      <c r="M182">
        <f>FONO!N182</f>
        <v>17.600000000000001</v>
      </c>
      <c r="O182">
        <f>ABS(L182-FONO!$C$34)</f>
        <v>3.5840410862756067</v>
      </c>
      <c r="P182">
        <f t="shared" si="3"/>
        <v>17.600000000000001</v>
      </c>
    </row>
    <row r="183" spans="10:16">
      <c r="J183" s="5"/>
      <c r="L183">
        <f>FONO!M183</f>
        <v>-0.923368305</v>
      </c>
      <c r="M183">
        <f>FONO!N183</f>
        <v>17.7</v>
      </c>
      <c r="O183">
        <f>ABS(L183-FONO!$C$34)</f>
        <v>3.5858670852756069</v>
      </c>
      <c r="P183">
        <f t="shared" si="3"/>
        <v>17.7</v>
      </c>
    </row>
    <row r="184" spans="10:16">
      <c r="J184" s="5"/>
      <c r="L184">
        <f>FONO!M184</f>
        <v>-0.92028476999999997</v>
      </c>
      <c r="M184">
        <f>FONO!N184</f>
        <v>17.8</v>
      </c>
      <c r="O184">
        <f>ABS(L184-FONO!$C$34)</f>
        <v>3.588950620275607</v>
      </c>
      <c r="P184">
        <f t="shared" si="3"/>
        <v>17.8</v>
      </c>
    </row>
    <row r="185" spans="10:16">
      <c r="J185" s="5"/>
      <c r="L185">
        <f>FONO!M185</f>
        <v>-0.91720123499999995</v>
      </c>
      <c r="M185">
        <f>FONO!N185</f>
        <v>17.899999999999999</v>
      </c>
      <c r="O185">
        <f>ABS(L185-FONO!$C$34)</f>
        <v>3.592034155275607</v>
      </c>
      <c r="P185">
        <f t="shared" si="3"/>
        <v>17.899999999999999</v>
      </c>
    </row>
    <row r="186" spans="10:16">
      <c r="J186" s="5"/>
      <c r="L186">
        <f>FONO!M186</f>
        <v>-0.9153192</v>
      </c>
      <c r="M186">
        <f>FONO!N186</f>
        <v>18</v>
      </c>
      <c r="O186">
        <f>ABS(L186-FONO!$C$34)</f>
        <v>3.5939161902756069</v>
      </c>
      <c r="P186">
        <f t="shared" si="3"/>
        <v>18</v>
      </c>
    </row>
    <row r="187" spans="10:16">
      <c r="J187" s="5"/>
      <c r="L187">
        <f>FONO!M187</f>
        <v>-0.91457858999999997</v>
      </c>
      <c r="M187">
        <f>FONO!N187</f>
        <v>18.100000000000001</v>
      </c>
      <c r="O187">
        <f>ABS(L187-FONO!$C$34)</f>
        <v>3.5946568002756067</v>
      </c>
      <c r="P187">
        <f t="shared" si="3"/>
        <v>18.100000000000001</v>
      </c>
    </row>
    <row r="188" spans="10:16">
      <c r="J188" s="5"/>
      <c r="L188">
        <f>FONO!M188</f>
        <v>-0.91383798000000005</v>
      </c>
      <c r="M188">
        <f>FONO!N188</f>
        <v>18.2</v>
      </c>
      <c r="O188">
        <f>ABS(L188-FONO!$C$34)</f>
        <v>3.5953974102756066</v>
      </c>
      <c r="P188">
        <f t="shared" si="3"/>
        <v>18.2</v>
      </c>
    </row>
    <row r="189" spans="10:16">
      <c r="J189" s="5"/>
      <c r="L189">
        <f>FONO!M189</f>
        <v>-0.91318055099999995</v>
      </c>
      <c r="M189">
        <f>FONO!N189</f>
        <v>18.3</v>
      </c>
      <c r="O189">
        <f>ABS(L189-FONO!$C$34)</f>
        <v>3.5960548392756069</v>
      </c>
      <c r="P189">
        <f t="shared" si="3"/>
        <v>18.3</v>
      </c>
    </row>
    <row r="190" spans="10:16">
      <c r="J190" s="5"/>
      <c r="L190">
        <f>FONO!M190</f>
        <v>-0.91256524800000005</v>
      </c>
      <c r="M190">
        <f>FONO!N190</f>
        <v>18.399999999999999</v>
      </c>
      <c r="O190">
        <f>ABS(L190-FONO!$C$34)</f>
        <v>3.5966701422756069</v>
      </c>
      <c r="P190">
        <f t="shared" si="3"/>
        <v>18.399999999999999</v>
      </c>
    </row>
    <row r="191" spans="10:16">
      <c r="J191" s="5"/>
      <c r="L191">
        <f>FONO!M191</f>
        <v>-0.91194994500000004</v>
      </c>
      <c r="M191">
        <f>FONO!N191</f>
        <v>18.5</v>
      </c>
      <c r="O191">
        <f>ABS(L191-FONO!$C$34)</f>
        <v>3.5972854452756069</v>
      </c>
      <c r="P191">
        <f t="shared" si="3"/>
        <v>18.5</v>
      </c>
    </row>
    <row r="192" spans="10:16">
      <c r="J192" s="5"/>
      <c r="L192">
        <f>FONO!M192</f>
        <v>-0.89994841000000003</v>
      </c>
      <c r="M192">
        <f>FONO!N192</f>
        <v>18.600000000000001</v>
      </c>
      <c r="O192">
        <f>ABS(L192-FONO!$C$34)</f>
        <v>3.6092869802756069</v>
      </c>
      <c r="P192">
        <f t="shared" si="3"/>
        <v>18.600000000000001</v>
      </c>
    </row>
    <row r="193" spans="10:16">
      <c r="J193" s="5"/>
      <c r="L193">
        <f>FONO!M193</f>
        <v>-0.88535909499999998</v>
      </c>
      <c r="M193">
        <f>FONO!N193</f>
        <v>18.7</v>
      </c>
      <c r="O193">
        <f>ABS(L193-FONO!$C$34)</f>
        <v>3.6238762952756067</v>
      </c>
      <c r="P193">
        <f t="shared" si="3"/>
        <v>18.7</v>
      </c>
    </row>
    <row r="194" spans="10:16">
      <c r="J194" s="5"/>
      <c r="L194">
        <f>FONO!M194</f>
        <v>-0.87076978000000005</v>
      </c>
      <c r="M194">
        <f>FONO!N194</f>
        <v>18.8</v>
      </c>
      <c r="O194">
        <f>ABS(L194-FONO!$C$34)</f>
        <v>3.638465610275607</v>
      </c>
      <c r="P194">
        <f t="shared" si="3"/>
        <v>18.8</v>
      </c>
    </row>
    <row r="195" spans="10:16">
      <c r="J195" s="5"/>
      <c r="L195">
        <f>FONO!M195</f>
        <v>-0.86705660200000001</v>
      </c>
      <c r="M195">
        <f>FONO!N195</f>
        <v>18.899999999999999</v>
      </c>
      <c r="O195">
        <f>ABS(L195-FONO!$C$34)</f>
        <v>3.6421787882756069</v>
      </c>
      <c r="P195">
        <f t="shared" si="3"/>
        <v>18.899999999999999</v>
      </c>
    </row>
    <row r="196" spans="10:16">
      <c r="J196" s="5"/>
      <c r="L196">
        <f>FONO!M196</f>
        <v>-0.86372842000000005</v>
      </c>
      <c r="M196">
        <f>FONO!N196</f>
        <v>19</v>
      </c>
      <c r="O196">
        <f>ABS(L196-FONO!$C$34)</f>
        <v>3.6455069702756067</v>
      </c>
      <c r="P196">
        <f t="shared" si="3"/>
        <v>19</v>
      </c>
    </row>
    <row r="197" spans="10:16">
      <c r="J197" s="5"/>
      <c r="L197">
        <f>FONO!M197</f>
        <v>-0.860623688</v>
      </c>
      <c r="M197">
        <f>FONO!N197</f>
        <v>19.100000000000001</v>
      </c>
      <c r="O197">
        <f>ABS(L197-FONO!$C$34)</f>
        <v>3.6486117022756068</v>
      </c>
      <c r="P197">
        <f t="shared" si="3"/>
        <v>19.100000000000001</v>
      </c>
    </row>
    <row r="198" spans="10:16">
      <c r="J198" s="5"/>
      <c r="L198">
        <f>FONO!M198</f>
        <v>-0.85920845599999995</v>
      </c>
      <c r="M198">
        <f>FONO!N198</f>
        <v>19.2</v>
      </c>
      <c r="O198">
        <f>ABS(L198-FONO!$C$34)</f>
        <v>3.6500269342756066</v>
      </c>
      <c r="P198">
        <f t="shared" si="3"/>
        <v>19.2</v>
      </c>
    </row>
    <row r="199" spans="10:16">
      <c r="J199" s="5"/>
      <c r="L199">
        <f>FONO!M199</f>
        <v>-0.85779322400000002</v>
      </c>
      <c r="M199">
        <f>FONO!N199</f>
        <v>19.3</v>
      </c>
      <c r="O199">
        <f>ABS(L199-FONO!$C$34)</f>
        <v>3.6514421662756069</v>
      </c>
      <c r="P199">
        <f t="shared" ref="P199:P262" si="4">M199</f>
        <v>19.3</v>
      </c>
    </row>
    <row r="200" spans="10:16">
      <c r="J200" s="5"/>
      <c r="L200">
        <f>FONO!M200</f>
        <v>-0.856393972</v>
      </c>
      <c r="M200">
        <f>FONO!N200</f>
        <v>19.399999999999999</v>
      </c>
      <c r="O200">
        <f>ABS(L200-FONO!$C$34)</f>
        <v>3.6528414182756066</v>
      </c>
      <c r="P200">
        <f t="shared" si="4"/>
        <v>19.399999999999999</v>
      </c>
    </row>
    <row r="201" spans="10:16">
      <c r="J201" s="5"/>
      <c r="L201">
        <f>FONO!M201</f>
        <v>-0.85503841000000003</v>
      </c>
      <c r="M201">
        <f>FONO!N201</f>
        <v>19.5</v>
      </c>
      <c r="O201">
        <f>ABS(L201-FONO!$C$34)</f>
        <v>3.6541969802756067</v>
      </c>
      <c r="P201">
        <f t="shared" si="4"/>
        <v>19.5</v>
      </c>
    </row>
    <row r="202" spans="10:16">
      <c r="J202" s="5"/>
      <c r="L202">
        <f>FONO!M202</f>
        <v>-0.85368284800000005</v>
      </c>
      <c r="M202">
        <f>FONO!N202</f>
        <v>19.600000000000001</v>
      </c>
      <c r="O202">
        <f>ABS(L202-FONO!$C$34)</f>
        <v>3.6555525422756068</v>
      </c>
      <c r="P202">
        <f t="shared" si="4"/>
        <v>19.600000000000001</v>
      </c>
    </row>
    <row r="203" spans="10:16">
      <c r="J203" s="5"/>
      <c r="L203">
        <f>FONO!M203</f>
        <v>-0.85016447500000003</v>
      </c>
      <c r="M203">
        <f>FONO!N203</f>
        <v>19.7</v>
      </c>
      <c r="O203">
        <f>ABS(L203-FONO!$C$34)</f>
        <v>3.6590709152756067</v>
      </c>
      <c r="P203">
        <f t="shared" si="4"/>
        <v>19.7</v>
      </c>
    </row>
    <row r="204" spans="10:16">
      <c r="J204" s="5"/>
      <c r="L204">
        <f>FONO!M204</f>
        <v>-0.84364465</v>
      </c>
      <c r="M204">
        <f>FONO!N204</f>
        <v>19.8</v>
      </c>
      <c r="O204">
        <f>ABS(L204-FONO!$C$34)</f>
        <v>3.6655907402756069</v>
      </c>
      <c r="P204">
        <f t="shared" si="4"/>
        <v>19.8</v>
      </c>
    </row>
    <row r="205" spans="10:16">
      <c r="J205" s="5"/>
      <c r="L205">
        <f>FONO!M205</f>
        <v>-0.83712482499999996</v>
      </c>
      <c r="M205">
        <f>FONO!N205</f>
        <v>19.899999999999999</v>
      </c>
      <c r="O205">
        <f>ABS(L205-FONO!$C$34)</f>
        <v>3.6721105652756068</v>
      </c>
      <c r="P205">
        <f t="shared" si="4"/>
        <v>19.899999999999999</v>
      </c>
    </row>
    <row r="206" spans="10:16">
      <c r="J206" s="5"/>
      <c r="L206">
        <f>FONO!M206</f>
        <v>-0.83290819999999999</v>
      </c>
      <c r="M206">
        <f>FONO!N206</f>
        <v>20</v>
      </c>
      <c r="O206">
        <f>ABS(L206-FONO!$C$34)</f>
        <v>3.6763271902756069</v>
      </c>
      <c r="P206">
        <f t="shared" si="4"/>
        <v>20</v>
      </c>
    </row>
    <row r="207" spans="10:16">
      <c r="J207" s="5"/>
      <c r="L207">
        <f>FONO!M207</f>
        <v>-0.83043049099999999</v>
      </c>
      <c r="M207">
        <f>FONO!N207</f>
        <v>20.100000000000001</v>
      </c>
      <c r="O207">
        <f>ABS(L207-FONO!$C$34)</f>
        <v>3.6788048992756068</v>
      </c>
      <c r="P207">
        <f t="shared" si="4"/>
        <v>20.100000000000001</v>
      </c>
    </row>
    <row r="208" spans="10:16">
      <c r="J208" s="5"/>
      <c r="L208">
        <f>FONO!M208</f>
        <v>-0.827952782</v>
      </c>
      <c r="M208">
        <f>FONO!N208</f>
        <v>20.2</v>
      </c>
      <c r="O208">
        <f>ABS(L208-FONO!$C$34)</f>
        <v>3.6812826082756067</v>
      </c>
      <c r="P208">
        <f t="shared" si="4"/>
        <v>20.2</v>
      </c>
    </row>
    <row r="209" spans="10:16">
      <c r="J209" s="5"/>
      <c r="L209">
        <f>FONO!M209</f>
        <v>-0.82668441299999995</v>
      </c>
      <c r="M209">
        <f>FONO!N209</f>
        <v>20.3</v>
      </c>
      <c r="O209">
        <f>ABS(L209-FONO!$C$34)</f>
        <v>3.6825509772756071</v>
      </c>
      <c r="P209">
        <f t="shared" si="4"/>
        <v>20.3</v>
      </c>
    </row>
    <row r="210" spans="10:16">
      <c r="J210" s="5"/>
      <c r="L210">
        <f>FONO!M210</f>
        <v>-0.82588448400000003</v>
      </c>
      <c r="M210">
        <f>FONO!N210</f>
        <v>20.399999999999999</v>
      </c>
      <c r="O210">
        <f>ABS(L210-FONO!$C$34)</f>
        <v>3.6833509062756069</v>
      </c>
      <c r="P210">
        <f t="shared" si="4"/>
        <v>20.399999999999999</v>
      </c>
    </row>
    <row r="211" spans="10:16">
      <c r="J211" s="5"/>
      <c r="L211">
        <f>FONO!M211</f>
        <v>-0.825084555</v>
      </c>
      <c r="M211">
        <f>FONO!N211</f>
        <v>20.5</v>
      </c>
      <c r="O211">
        <f>ABS(L211-FONO!$C$34)</f>
        <v>3.6841508352756067</v>
      </c>
      <c r="P211">
        <f t="shared" si="4"/>
        <v>20.5</v>
      </c>
    </row>
    <row r="212" spans="10:16">
      <c r="J212" s="5"/>
      <c r="L212">
        <f>FONO!M212</f>
        <v>-0.82074451199999998</v>
      </c>
      <c r="M212">
        <f>FONO!N212</f>
        <v>20.6</v>
      </c>
      <c r="O212">
        <f>ABS(L212-FONO!$C$34)</f>
        <v>3.6884908782756067</v>
      </c>
      <c r="P212">
        <f t="shared" si="4"/>
        <v>20.6</v>
      </c>
    </row>
    <row r="213" spans="10:16">
      <c r="J213" s="5"/>
      <c r="L213">
        <f>FONO!M213</f>
        <v>-0.81588386400000001</v>
      </c>
      <c r="M213">
        <f>FONO!N213</f>
        <v>20.7</v>
      </c>
      <c r="O213">
        <f>ABS(L213-FONO!$C$34)</f>
        <v>3.6933515262756069</v>
      </c>
      <c r="P213">
        <f t="shared" si="4"/>
        <v>20.7</v>
      </c>
    </row>
    <row r="214" spans="10:16">
      <c r="J214" s="5"/>
      <c r="L214">
        <f>FONO!M214</f>
        <v>-0.81100744800000002</v>
      </c>
      <c r="M214">
        <f>FONO!N214</f>
        <v>20.8</v>
      </c>
      <c r="O214">
        <f>ABS(L214-FONO!$C$34)</f>
        <v>3.698227942275607</v>
      </c>
      <c r="P214">
        <f t="shared" si="4"/>
        <v>20.8</v>
      </c>
    </row>
    <row r="215" spans="10:16">
      <c r="J215" s="5"/>
      <c r="L215">
        <f>FONO!M215</f>
        <v>-0.80545497899999996</v>
      </c>
      <c r="M215">
        <f>FONO!N215</f>
        <v>20.9</v>
      </c>
      <c r="O215">
        <f>ABS(L215-FONO!$C$34)</f>
        <v>3.703780411275607</v>
      </c>
      <c r="P215">
        <f t="shared" si="4"/>
        <v>20.9</v>
      </c>
    </row>
    <row r="216" spans="10:16">
      <c r="J216" s="5"/>
      <c r="L216">
        <f>FONO!M216</f>
        <v>-0.79990251000000001</v>
      </c>
      <c r="M216">
        <f>FONO!N216</f>
        <v>21</v>
      </c>
      <c r="O216">
        <f>ABS(L216-FONO!$C$34)</f>
        <v>3.7093328802756069</v>
      </c>
      <c r="P216">
        <f t="shared" si="4"/>
        <v>21</v>
      </c>
    </row>
    <row r="217" spans="10:16">
      <c r="J217" s="5"/>
      <c r="L217">
        <f>FONO!M217</f>
        <v>-0.79517598099999998</v>
      </c>
      <c r="M217">
        <f>FONO!N217</f>
        <v>21.1</v>
      </c>
      <c r="O217">
        <f>ABS(L217-FONO!$C$34)</f>
        <v>3.714059409275607</v>
      </c>
      <c r="P217">
        <f t="shared" si="4"/>
        <v>21.1</v>
      </c>
    </row>
    <row r="218" spans="10:16">
      <c r="J218" s="5"/>
      <c r="L218">
        <f>FONO!M218</f>
        <v>-0.79437605200000005</v>
      </c>
      <c r="M218">
        <f>FONO!N218</f>
        <v>21.2</v>
      </c>
      <c r="O218">
        <f>ABS(L218-FONO!$C$34)</f>
        <v>3.7148593382756068</v>
      </c>
      <c r="P218">
        <f t="shared" si="4"/>
        <v>21.2</v>
      </c>
    </row>
    <row r="219" spans="10:16">
      <c r="J219" s="5"/>
      <c r="L219">
        <f>FONO!M219</f>
        <v>-0.79357612300000002</v>
      </c>
      <c r="M219">
        <f>FONO!N219</f>
        <v>21.3</v>
      </c>
      <c r="O219">
        <f>ABS(L219-FONO!$C$34)</f>
        <v>3.7156592672756066</v>
      </c>
      <c r="P219">
        <f t="shared" si="4"/>
        <v>21.3</v>
      </c>
    </row>
    <row r="220" spans="10:16">
      <c r="J220" s="5"/>
      <c r="L220">
        <f>FONO!M220</f>
        <v>-0.79303599999999996</v>
      </c>
      <c r="M220">
        <f>FONO!N220</f>
        <v>21.4</v>
      </c>
      <c r="O220">
        <f>ABS(L220-FONO!$C$34)</f>
        <v>3.716199390275607</v>
      </c>
      <c r="P220">
        <f t="shared" si="4"/>
        <v>21.4</v>
      </c>
    </row>
    <row r="221" spans="10:16">
      <c r="J221" s="5"/>
      <c r="L221">
        <f>FONO!M221</f>
        <v>-0.79303599999999996</v>
      </c>
      <c r="M221">
        <f>FONO!N221</f>
        <v>21.5</v>
      </c>
      <c r="O221">
        <f>ABS(L221-FONO!$C$34)</f>
        <v>3.716199390275607</v>
      </c>
      <c r="P221">
        <f t="shared" si="4"/>
        <v>21.5</v>
      </c>
    </row>
    <row r="222" spans="10:16">
      <c r="J222" s="5"/>
      <c r="L222">
        <f>FONO!M222</f>
        <v>-0.79303599999999996</v>
      </c>
      <c r="M222">
        <f>FONO!N222</f>
        <v>21.6</v>
      </c>
      <c r="O222">
        <f>ABS(L222-FONO!$C$34)</f>
        <v>3.716199390275607</v>
      </c>
      <c r="P222">
        <f t="shared" si="4"/>
        <v>21.6</v>
      </c>
    </row>
    <row r="223" spans="10:16">
      <c r="J223" s="5"/>
      <c r="L223">
        <f>FONO!M223</f>
        <v>-0.78878768700000002</v>
      </c>
      <c r="M223">
        <f>FONO!N223</f>
        <v>21.7</v>
      </c>
      <c r="O223">
        <f>ABS(L223-FONO!$C$34)</f>
        <v>3.7204477032756067</v>
      </c>
      <c r="P223">
        <f t="shared" si="4"/>
        <v>21.7</v>
      </c>
    </row>
    <row r="224" spans="10:16">
      <c r="J224" s="5"/>
      <c r="L224">
        <f>FONO!M224</f>
        <v>-0.77985859800000001</v>
      </c>
      <c r="M224">
        <f>FONO!N224</f>
        <v>21.8</v>
      </c>
      <c r="O224">
        <f>ABS(L224-FONO!$C$34)</f>
        <v>3.7293767922756067</v>
      </c>
      <c r="P224">
        <f t="shared" si="4"/>
        <v>21.8</v>
      </c>
    </row>
    <row r="225" spans="10:16">
      <c r="J225" s="5"/>
      <c r="L225">
        <f>FONO!M225</f>
        <v>-0.77092950900000001</v>
      </c>
      <c r="M225">
        <f>FONO!N225</f>
        <v>21.9</v>
      </c>
      <c r="O225">
        <f>ABS(L225-FONO!$C$34)</f>
        <v>3.7383058812756067</v>
      </c>
      <c r="P225">
        <f t="shared" si="4"/>
        <v>21.9</v>
      </c>
    </row>
    <row r="226" spans="10:16">
      <c r="J226" s="5"/>
      <c r="L226">
        <f>FONO!M226</f>
        <v>-0.76578595999999999</v>
      </c>
      <c r="M226">
        <f>FONO!N226</f>
        <v>22</v>
      </c>
      <c r="O226">
        <f>ABS(L226-FONO!$C$34)</f>
        <v>3.7434494302756067</v>
      </c>
      <c r="P226">
        <f t="shared" si="4"/>
        <v>22</v>
      </c>
    </row>
    <row r="227" spans="10:16">
      <c r="J227" s="5"/>
      <c r="L227">
        <f>FONO!M227</f>
        <v>-0.76289652799999996</v>
      </c>
      <c r="M227">
        <f>FONO!N227</f>
        <v>22.1</v>
      </c>
      <c r="O227">
        <f>ABS(L227-FONO!$C$34)</f>
        <v>3.7463388622756071</v>
      </c>
      <c r="P227">
        <f t="shared" si="4"/>
        <v>22.1</v>
      </c>
    </row>
    <row r="228" spans="10:16">
      <c r="J228" s="5"/>
      <c r="L228">
        <f>FONO!M228</f>
        <v>-0.76000709600000005</v>
      </c>
      <c r="M228">
        <f>FONO!N228</f>
        <v>22.2</v>
      </c>
      <c r="O228">
        <f>ABS(L228-FONO!$C$34)</f>
        <v>3.749228294275607</v>
      </c>
      <c r="P228">
        <f t="shared" si="4"/>
        <v>22.2</v>
      </c>
    </row>
    <row r="229" spans="10:16">
      <c r="J229" s="5"/>
      <c r="L229">
        <f>FONO!M229</f>
        <v>-0.75654136100000002</v>
      </c>
      <c r="M229">
        <f>FONO!N229</f>
        <v>22.3</v>
      </c>
      <c r="O229">
        <f>ABS(L229-FONO!$C$34)</f>
        <v>3.7526940292756068</v>
      </c>
      <c r="P229">
        <f t="shared" si="4"/>
        <v>22.3</v>
      </c>
    </row>
    <row r="230" spans="10:16">
      <c r="J230" s="5"/>
      <c r="L230">
        <f>FONO!M230</f>
        <v>-0.75291096800000001</v>
      </c>
      <c r="M230">
        <f>FONO!N230</f>
        <v>22.4</v>
      </c>
      <c r="O230">
        <f>ABS(L230-FONO!$C$34)</f>
        <v>3.7563244222756067</v>
      </c>
      <c r="P230">
        <f t="shared" si="4"/>
        <v>22.4</v>
      </c>
    </row>
    <row r="231" spans="10:16">
      <c r="J231" s="5"/>
      <c r="L231">
        <f>FONO!M231</f>
        <v>-0.749280575</v>
      </c>
      <c r="M231">
        <f>FONO!N231</f>
        <v>22.5</v>
      </c>
      <c r="O231">
        <f>ABS(L231-FONO!$C$34)</f>
        <v>3.7599548152756066</v>
      </c>
      <c r="P231">
        <f t="shared" si="4"/>
        <v>22.5</v>
      </c>
    </row>
    <row r="232" spans="10:16">
      <c r="J232" s="5"/>
      <c r="L232">
        <f>FONO!M232</f>
        <v>-0.74878662799999995</v>
      </c>
      <c r="M232">
        <f>FONO!N232</f>
        <v>22.6</v>
      </c>
      <c r="O232">
        <f>ABS(L232-FONO!$C$34)</f>
        <v>3.7604487622756069</v>
      </c>
      <c r="P232">
        <f t="shared" si="4"/>
        <v>22.6</v>
      </c>
    </row>
    <row r="233" spans="10:16">
      <c r="J233" s="5"/>
      <c r="L233">
        <f>FONO!M233</f>
        <v>-0.74853320599999995</v>
      </c>
      <c r="M233">
        <f>FONO!N233</f>
        <v>22.7</v>
      </c>
      <c r="O233">
        <f>ABS(L233-FONO!$C$34)</f>
        <v>3.760702184275607</v>
      </c>
      <c r="P233">
        <f t="shared" si="4"/>
        <v>22.7</v>
      </c>
    </row>
    <row r="234" spans="10:16">
      <c r="J234" s="5"/>
      <c r="L234">
        <f>FONO!M234</f>
        <v>-0.74829999999999997</v>
      </c>
      <c r="M234">
        <f>FONO!N234</f>
        <v>22.8</v>
      </c>
      <c r="O234">
        <f>ABS(L234-FONO!$C$34)</f>
        <v>3.7609353902756069</v>
      </c>
      <c r="P234">
        <f t="shared" si="4"/>
        <v>22.8</v>
      </c>
    </row>
    <row r="235" spans="10:16">
      <c r="J235" s="5"/>
      <c r="L235">
        <f>FONO!M235</f>
        <v>-0.74829999999999997</v>
      </c>
      <c r="M235">
        <f>FONO!N235</f>
        <v>22.9</v>
      </c>
      <c r="O235">
        <f>ABS(L235-FONO!$C$34)</f>
        <v>3.7609353902756069</v>
      </c>
      <c r="P235">
        <f t="shared" si="4"/>
        <v>22.9</v>
      </c>
    </row>
    <row r="236" spans="10:16">
      <c r="J236" s="5"/>
      <c r="L236">
        <f>FONO!M236</f>
        <v>-0.74829999999999997</v>
      </c>
      <c r="M236">
        <f>FONO!N236</f>
        <v>23</v>
      </c>
      <c r="O236">
        <f>ABS(L236-FONO!$C$34)</f>
        <v>3.7609353902756069</v>
      </c>
      <c r="P236">
        <f t="shared" si="4"/>
        <v>23</v>
      </c>
    </row>
    <row r="237" spans="10:16">
      <c r="J237" s="5"/>
      <c r="L237">
        <f>FONO!M237</f>
        <v>-0.74760210400000005</v>
      </c>
      <c r="M237">
        <f>FONO!N237</f>
        <v>23.1</v>
      </c>
      <c r="O237">
        <f>ABS(L237-FONO!$C$34)</f>
        <v>3.7616332862756066</v>
      </c>
      <c r="P237">
        <f t="shared" si="4"/>
        <v>23.1</v>
      </c>
    </row>
    <row r="238" spans="10:16">
      <c r="J238" s="5"/>
      <c r="L238">
        <f>FONO!M238</f>
        <v>-0.74457788800000002</v>
      </c>
      <c r="M238">
        <f>FONO!N238</f>
        <v>23.2</v>
      </c>
      <c r="O238">
        <f>ABS(L238-FONO!$C$34)</f>
        <v>3.7646575022756066</v>
      </c>
      <c r="P238">
        <f t="shared" si="4"/>
        <v>23.2</v>
      </c>
    </row>
    <row r="239" spans="10:16">
      <c r="J239" s="5"/>
      <c r="L239">
        <f>FONO!M239</f>
        <v>-0.741553672</v>
      </c>
      <c r="M239">
        <f>FONO!N239</f>
        <v>23.3</v>
      </c>
      <c r="O239">
        <f>ABS(L239-FONO!$C$34)</f>
        <v>3.7676817182756066</v>
      </c>
      <c r="P239">
        <f t="shared" si="4"/>
        <v>23.3</v>
      </c>
    </row>
    <row r="240" spans="10:16">
      <c r="J240" s="5"/>
      <c r="L240">
        <f>FONO!M240</f>
        <v>-0.73719481600000003</v>
      </c>
      <c r="M240">
        <f>FONO!N240</f>
        <v>23.4</v>
      </c>
      <c r="O240">
        <f>ABS(L240-FONO!$C$34)</f>
        <v>3.7720405742756067</v>
      </c>
      <c r="P240">
        <f t="shared" si="4"/>
        <v>23.4</v>
      </c>
    </row>
    <row r="241" spans="10:16">
      <c r="J241" s="5"/>
      <c r="L241">
        <f>FONO!M241</f>
        <v>-0.73067464000000004</v>
      </c>
      <c r="M241">
        <f>FONO!N241</f>
        <v>23.5</v>
      </c>
      <c r="O241">
        <f>ABS(L241-FONO!$C$34)</f>
        <v>3.7785607502756067</v>
      </c>
      <c r="P241">
        <f t="shared" si="4"/>
        <v>23.5</v>
      </c>
    </row>
    <row r="242" spans="10:16">
      <c r="J242" s="5"/>
      <c r="L242">
        <f>FONO!M242</f>
        <v>-0.72415446400000005</v>
      </c>
      <c r="M242">
        <f>FONO!N242</f>
        <v>23.6</v>
      </c>
      <c r="O242">
        <f>ABS(L242-FONO!$C$34)</f>
        <v>3.7850809262756067</v>
      </c>
      <c r="P242">
        <f t="shared" si="4"/>
        <v>23.6</v>
      </c>
    </row>
    <row r="243" spans="10:16">
      <c r="J243" s="5"/>
      <c r="L243">
        <f>FONO!M243</f>
        <v>-0.72064536199999996</v>
      </c>
      <c r="M243">
        <f>FONO!N243</f>
        <v>23.7</v>
      </c>
      <c r="O243">
        <f>ABS(L243-FONO!$C$34)</f>
        <v>3.7885900282756069</v>
      </c>
      <c r="P243">
        <f t="shared" si="4"/>
        <v>23.7</v>
      </c>
    </row>
    <row r="244" spans="10:16">
      <c r="J244" s="5"/>
      <c r="L244">
        <f>FONO!M244</f>
        <v>-0.71977698800000001</v>
      </c>
      <c r="M244">
        <f>FONO!N244</f>
        <v>23.8</v>
      </c>
      <c r="O244">
        <f>ABS(L244-FONO!$C$34)</f>
        <v>3.7894584022756068</v>
      </c>
      <c r="P244">
        <f t="shared" si="4"/>
        <v>23.8</v>
      </c>
    </row>
    <row r="245" spans="10:16">
      <c r="J245" s="5"/>
      <c r="L245">
        <f>FONO!M245</f>
        <v>-0.71890861399999995</v>
      </c>
      <c r="M245">
        <f>FONO!N245</f>
        <v>23.9</v>
      </c>
      <c r="O245">
        <f>ABS(L245-FONO!$C$34)</f>
        <v>3.7903267762756068</v>
      </c>
      <c r="P245">
        <f t="shared" si="4"/>
        <v>23.9</v>
      </c>
    </row>
    <row r="246" spans="10:16">
      <c r="J246" s="5"/>
      <c r="L246">
        <f>FONO!M246</f>
        <v>-0.71673944000000001</v>
      </c>
      <c r="M246">
        <f>FONO!N246</f>
        <v>24</v>
      </c>
      <c r="O246">
        <f>ABS(L246-FONO!$C$34)</f>
        <v>3.7924959502756068</v>
      </c>
      <c r="P246">
        <f t="shared" si="4"/>
        <v>24</v>
      </c>
    </row>
    <row r="247" spans="10:16">
      <c r="J247" s="5"/>
      <c r="L247">
        <f>FONO!M247</f>
        <v>-0.71396864599999998</v>
      </c>
      <c r="M247">
        <f>FONO!N247</f>
        <v>24.1</v>
      </c>
      <c r="O247">
        <f>ABS(L247-FONO!$C$34)</f>
        <v>3.7952667442756067</v>
      </c>
      <c r="P247">
        <f t="shared" si="4"/>
        <v>24.1</v>
      </c>
    </row>
    <row r="248" spans="10:16">
      <c r="J248" s="5"/>
      <c r="L248">
        <f>FONO!M248</f>
        <v>-0.71119785199999996</v>
      </c>
      <c r="M248">
        <f>FONO!N248</f>
        <v>24.2</v>
      </c>
      <c r="O248">
        <f>ABS(L248-FONO!$C$34)</f>
        <v>3.7980375382756071</v>
      </c>
      <c r="P248">
        <f t="shared" si="4"/>
        <v>24.2</v>
      </c>
    </row>
    <row r="249" spans="10:16">
      <c r="J249" s="5"/>
      <c r="L249">
        <f>FONO!M249</f>
        <v>-0.70801158399999997</v>
      </c>
      <c r="M249">
        <f>FONO!N249</f>
        <v>24.3</v>
      </c>
      <c r="O249">
        <f>ABS(L249-FONO!$C$34)</f>
        <v>3.801223806275607</v>
      </c>
      <c r="P249">
        <f t="shared" si="4"/>
        <v>24.3</v>
      </c>
    </row>
    <row r="250" spans="10:16">
      <c r="J250" s="5"/>
      <c r="L250">
        <f>FONO!M250</f>
        <v>-0.70474307199999997</v>
      </c>
      <c r="M250">
        <f>FONO!N250</f>
        <v>24.4</v>
      </c>
      <c r="O250">
        <f>ABS(L250-FONO!$C$34)</f>
        <v>3.804492318275607</v>
      </c>
      <c r="P250">
        <f t="shared" si="4"/>
        <v>24.4</v>
      </c>
    </row>
    <row r="251" spans="10:16">
      <c r="J251" s="5"/>
      <c r="L251">
        <f>FONO!M251</f>
        <v>-0.70147455999999997</v>
      </c>
      <c r="M251">
        <f>FONO!N251</f>
        <v>24.5</v>
      </c>
      <c r="O251">
        <f>ABS(L251-FONO!$C$34)</f>
        <v>3.807760830275607</v>
      </c>
      <c r="P251">
        <f t="shared" si="4"/>
        <v>24.5</v>
      </c>
    </row>
    <row r="252" spans="10:16">
      <c r="J252" s="5"/>
      <c r="L252">
        <f>FONO!M252</f>
        <v>-0.69638677999999998</v>
      </c>
      <c r="M252">
        <f>FONO!N252</f>
        <v>24.6</v>
      </c>
      <c r="O252">
        <f>ABS(L252-FONO!$C$34)</f>
        <v>3.8128486102756067</v>
      </c>
      <c r="P252">
        <f t="shared" si="4"/>
        <v>24.6</v>
      </c>
    </row>
    <row r="253" spans="10:16">
      <c r="J253" s="5"/>
      <c r="L253">
        <f>FONO!M253</f>
        <v>-0.69127271000000001</v>
      </c>
      <c r="M253">
        <f>FONO!N253</f>
        <v>24.7</v>
      </c>
      <c r="O253">
        <f>ABS(L253-FONO!$C$34)</f>
        <v>3.817962680275607</v>
      </c>
      <c r="P253">
        <f t="shared" si="4"/>
        <v>24.7</v>
      </c>
    </row>
    <row r="254" spans="10:16">
      <c r="J254" s="5"/>
      <c r="L254">
        <f>FONO!M254</f>
        <v>-0.686639216</v>
      </c>
      <c r="M254">
        <f>FONO!N254</f>
        <v>24.8</v>
      </c>
      <c r="O254">
        <f>ABS(L254-FONO!$C$34)</f>
        <v>3.8225961742756067</v>
      </c>
      <c r="P254">
        <f t="shared" si="4"/>
        <v>24.8</v>
      </c>
    </row>
    <row r="255" spans="10:16">
      <c r="J255" s="5"/>
      <c r="L255">
        <f>FONO!M255</f>
        <v>-0.68503935800000004</v>
      </c>
      <c r="M255">
        <f>FONO!N255</f>
        <v>24.9</v>
      </c>
      <c r="O255">
        <f>ABS(L255-FONO!$C$34)</f>
        <v>3.8241960322756068</v>
      </c>
      <c r="P255">
        <f t="shared" si="4"/>
        <v>24.9</v>
      </c>
    </row>
    <row r="256" spans="10:16">
      <c r="J256" s="5"/>
      <c r="L256">
        <f>FONO!M256</f>
        <v>-0.68343949999999998</v>
      </c>
      <c r="M256">
        <f>FONO!N256</f>
        <v>25</v>
      </c>
      <c r="O256">
        <f>ABS(L256-FONO!$C$34)</f>
        <v>3.8257958902756068</v>
      </c>
      <c r="P256">
        <f t="shared" si="4"/>
        <v>25</v>
      </c>
    </row>
    <row r="257" spans="10:16">
      <c r="J257" s="5"/>
      <c r="L257">
        <f>FONO!M257</f>
        <v>-0.68196568999999996</v>
      </c>
      <c r="M257">
        <f>FONO!N257</f>
        <v>25.1</v>
      </c>
      <c r="O257">
        <f>ABS(L257-FONO!$C$34)</f>
        <v>3.8272697002756066</v>
      </c>
      <c r="P257">
        <f t="shared" si="4"/>
        <v>25.1</v>
      </c>
    </row>
    <row r="258" spans="10:16">
      <c r="J258" s="5"/>
      <c r="L258">
        <f>FONO!M258</f>
        <v>-0.68080388000000003</v>
      </c>
      <c r="M258">
        <f>FONO!N258</f>
        <v>25.2</v>
      </c>
      <c r="O258">
        <f>ABS(L258-FONO!$C$34)</f>
        <v>3.8284315102756068</v>
      </c>
      <c r="P258">
        <f t="shared" si="4"/>
        <v>25.2</v>
      </c>
    </row>
    <row r="259" spans="10:16">
      <c r="J259" s="5"/>
      <c r="L259">
        <f>FONO!M259</f>
        <v>-0.67964206999999999</v>
      </c>
      <c r="M259">
        <f>FONO!N259</f>
        <v>25.3</v>
      </c>
      <c r="O259">
        <f>ABS(L259-FONO!$C$34)</f>
        <v>3.8295933202756069</v>
      </c>
      <c r="P259">
        <f t="shared" si="4"/>
        <v>25.3</v>
      </c>
    </row>
    <row r="260" spans="10:16">
      <c r="J260" s="5"/>
      <c r="L260">
        <f>FONO!M260</f>
        <v>-0.67469124400000002</v>
      </c>
      <c r="M260">
        <f>FONO!N260</f>
        <v>25.4</v>
      </c>
      <c r="O260">
        <f>ABS(L260-FONO!$C$34)</f>
        <v>3.8345441462756069</v>
      </c>
      <c r="P260">
        <f t="shared" si="4"/>
        <v>25.4</v>
      </c>
    </row>
    <row r="261" spans="10:16">
      <c r="J261" s="5"/>
      <c r="L261">
        <f>FONO!M261</f>
        <v>-0.66489343000000001</v>
      </c>
      <c r="M261">
        <f>FONO!N261</f>
        <v>25.5</v>
      </c>
      <c r="O261">
        <f>ABS(L261-FONO!$C$34)</f>
        <v>3.8443419602756066</v>
      </c>
      <c r="P261">
        <f t="shared" si="4"/>
        <v>25.5</v>
      </c>
    </row>
    <row r="262" spans="10:16">
      <c r="J262" s="5"/>
      <c r="L262">
        <f>FONO!M262</f>
        <v>-0.65509561599999999</v>
      </c>
      <c r="M262">
        <f>FONO!N262</f>
        <v>25.6</v>
      </c>
      <c r="O262">
        <f>ABS(L262-FONO!$C$34)</f>
        <v>3.8541397742756067</v>
      </c>
      <c r="P262">
        <f t="shared" si="4"/>
        <v>25.6</v>
      </c>
    </row>
    <row r="263" spans="10:16">
      <c r="J263" s="5"/>
      <c r="L263">
        <f>FONO!M263</f>
        <v>-0.64893520599999999</v>
      </c>
      <c r="M263">
        <f>FONO!N263</f>
        <v>25.7</v>
      </c>
      <c r="O263">
        <f>ABS(L263-FONO!$C$34)</f>
        <v>3.8603001842756068</v>
      </c>
      <c r="P263">
        <f t="shared" ref="P263:P326" si="5">M263</f>
        <v>25.7</v>
      </c>
    </row>
    <row r="264" spans="10:16">
      <c r="J264" s="5"/>
      <c r="L264">
        <f>FONO!M264</f>
        <v>-0.64530516400000004</v>
      </c>
      <c r="M264">
        <f>FONO!N264</f>
        <v>25.8</v>
      </c>
      <c r="O264">
        <f>ABS(L264-FONO!$C$34)</f>
        <v>3.863930226275607</v>
      </c>
      <c r="P264">
        <f t="shared" si="5"/>
        <v>25.8</v>
      </c>
    </row>
    <row r="265" spans="10:16">
      <c r="J265" s="5"/>
      <c r="L265">
        <f>FONO!M265</f>
        <v>-0.64167512199999999</v>
      </c>
      <c r="M265">
        <f>FONO!N265</f>
        <v>25.9</v>
      </c>
      <c r="O265">
        <f>ABS(L265-FONO!$C$34)</f>
        <v>3.8675602682756067</v>
      </c>
      <c r="P265">
        <f t="shared" si="5"/>
        <v>25.9</v>
      </c>
    </row>
    <row r="266" spans="10:16">
      <c r="J266" s="5"/>
      <c r="L266">
        <f>FONO!M266</f>
        <v>-0.64073400000000003</v>
      </c>
      <c r="M266">
        <f>FONO!N266</f>
        <v>26</v>
      </c>
      <c r="O266">
        <f>ABS(L266-FONO!$C$34)</f>
        <v>3.8685013902756067</v>
      </c>
      <c r="P266">
        <f t="shared" si="5"/>
        <v>26</v>
      </c>
    </row>
    <row r="267" spans="10:16">
      <c r="J267" s="5"/>
      <c r="L267">
        <f>FONO!M267</f>
        <v>-0.64073400000000003</v>
      </c>
      <c r="M267">
        <f>FONO!N267</f>
        <v>26.1</v>
      </c>
      <c r="O267">
        <f>ABS(L267-FONO!$C$34)</f>
        <v>3.8685013902756067</v>
      </c>
      <c r="P267">
        <f t="shared" si="5"/>
        <v>26.1</v>
      </c>
    </row>
    <row r="268" spans="10:16">
      <c r="J268" s="5"/>
      <c r="L268">
        <f>FONO!M268</f>
        <v>-0.64073400000000003</v>
      </c>
      <c r="M268">
        <f>FONO!N268</f>
        <v>26.2</v>
      </c>
      <c r="O268">
        <f>ABS(L268-FONO!$C$34)</f>
        <v>3.8685013902756067</v>
      </c>
      <c r="P268">
        <f t="shared" si="5"/>
        <v>26.2</v>
      </c>
    </row>
    <row r="269" spans="10:16">
      <c r="J269" s="5"/>
      <c r="L269">
        <f>FONO!M269</f>
        <v>-0.64067265200000001</v>
      </c>
      <c r="M269">
        <f>FONO!N269</f>
        <v>26.3</v>
      </c>
      <c r="O269">
        <f>ABS(L269-FONO!$C$34)</f>
        <v>3.8685627382756067</v>
      </c>
      <c r="P269">
        <f t="shared" si="5"/>
        <v>26.3</v>
      </c>
    </row>
    <row r="270" spans="10:16">
      <c r="J270" s="5"/>
      <c r="L270">
        <f>FONO!M270</f>
        <v>-0.64060385600000003</v>
      </c>
      <c r="M270">
        <f>FONO!N270</f>
        <v>26.4</v>
      </c>
      <c r="O270">
        <f>ABS(L270-FONO!$C$34)</f>
        <v>3.8686315342756066</v>
      </c>
      <c r="P270">
        <f t="shared" si="5"/>
        <v>26.4</v>
      </c>
    </row>
    <row r="271" spans="10:16">
      <c r="J271" s="5"/>
      <c r="L271">
        <f>FONO!M271</f>
        <v>-0.640477925</v>
      </c>
      <c r="M271">
        <f>FONO!N271</f>
        <v>26.5</v>
      </c>
      <c r="O271">
        <f>ABS(L271-FONO!$C$34)</f>
        <v>3.8687574652756069</v>
      </c>
      <c r="P271">
        <f t="shared" si="5"/>
        <v>26.5</v>
      </c>
    </row>
    <row r="272" spans="10:16">
      <c r="J272" s="5"/>
      <c r="L272">
        <f>FONO!M272</f>
        <v>-0.63907217000000005</v>
      </c>
      <c r="M272">
        <f>FONO!N272</f>
        <v>26.6</v>
      </c>
      <c r="O272">
        <f>ABS(L272-FONO!$C$34)</f>
        <v>3.8701632202756069</v>
      </c>
      <c r="P272">
        <f t="shared" si="5"/>
        <v>26.6</v>
      </c>
    </row>
    <row r="273" spans="10:16">
      <c r="J273" s="5"/>
      <c r="L273">
        <f>FONO!M273</f>
        <v>-0.63766641499999999</v>
      </c>
      <c r="M273">
        <f>FONO!N273</f>
        <v>26.7</v>
      </c>
      <c r="O273">
        <f>ABS(L273-FONO!$C$34)</f>
        <v>3.8715689752756068</v>
      </c>
      <c r="P273">
        <f t="shared" si="5"/>
        <v>26.7</v>
      </c>
    </row>
    <row r="274" spans="10:16">
      <c r="J274" s="5"/>
      <c r="L274">
        <f>FONO!M274</f>
        <v>-0.63648390399999999</v>
      </c>
      <c r="M274">
        <f>FONO!N274</f>
        <v>26.8</v>
      </c>
      <c r="O274">
        <f>ABS(L274-FONO!$C$34)</f>
        <v>3.8727514862756069</v>
      </c>
      <c r="P274">
        <f t="shared" si="5"/>
        <v>26.8</v>
      </c>
    </row>
    <row r="275" spans="10:16">
      <c r="J275" s="5"/>
      <c r="L275">
        <f>FONO!M275</f>
        <v>-0.63623048199999999</v>
      </c>
      <c r="M275">
        <f>FONO!N275</f>
        <v>26.9</v>
      </c>
      <c r="O275">
        <f>ABS(L275-FONO!$C$34)</f>
        <v>3.8730049082756066</v>
      </c>
      <c r="P275">
        <f t="shared" si="5"/>
        <v>26.9</v>
      </c>
    </row>
    <row r="276" spans="10:16">
      <c r="J276" s="5"/>
      <c r="L276">
        <f>FONO!M276</f>
        <v>-0.63597705999999998</v>
      </c>
      <c r="M276">
        <f>FONO!N276</f>
        <v>27</v>
      </c>
      <c r="O276">
        <f>ABS(L276-FONO!$C$34)</f>
        <v>3.8732583302756067</v>
      </c>
      <c r="P276">
        <f t="shared" si="5"/>
        <v>27</v>
      </c>
    </row>
    <row r="277" spans="10:16">
      <c r="J277" s="5"/>
      <c r="L277">
        <f>FONO!M277</f>
        <v>-0.63581100000000002</v>
      </c>
      <c r="M277">
        <f>FONO!N277</f>
        <v>27.1</v>
      </c>
      <c r="O277">
        <f>ABS(L277-FONO!$C$34)</f>
        <v>3.8734243902756069</v>
      </c>
      <c r="P277">
        <f t="shared" si="5"/>
        <v>27.1</v>
      </c>
    </row>
    <row r="278" spans="10:16">
      <c r="J278" s="5"/>
      <c r="L278">
        <f>FONO!M278</f>
        <v>-0.63581100000000002</v>
      </c>
      <c r="M278">
        <f>FONO!N278</f>
        <v>27.2</v>
      </c>
      <c r="O278">
        <f>ABS(L278-FONO!$C$34)</f>
        <v>3.8734243902756069</v>
      </c>
      <c r="P278">
        <f t="shared" si="5"/>
        <v>27.2</v>
      </c>
    </row>
    <row r="279" spans="10:16">
      <c r="J279" s="5"/>
      <c r="L279">
        <f>FONO!M279</f>
        <v>-0.63581100000000002</v>
      </c>
      <c r="M279">
        <f>FONO!N279</f>
        <v>27.3</v>
      </c>
      <c r="O279">
        <f>ABS(L279-FONO!$C$34)</f>
        <v>3.8734243902756069</v>
      </c>
      <c r="P279">
        <f t="shared" si="5"/>
        <v>27.3</v>
      </c>
    </row>
    <row r="280" spans="10:16">
      <c r="J280" s="5"/>
      <c r="L280">
        <f>FONO!M280</f>
        <v>-0.63401131799999999</v>
      </c>
      <c r="M280">
        <f>FONO!N280</f>
        <v>27.4</v>
      </c>
      <c r="O280">
        <f>ABS(L280-FONO!$C$34)</f>
        <v>3.8752240722756071</v>
      </c>
      <c r="P280">
        <f t="shared" si="5"/>
        <v>27.4</v>
      </c>
    </row>
    <row r="281" spans="10:16">
      <c r="J281" s="5"/>
      <c r="L281">
        <f>FONO!M281</f>
        <v>-0.63038092499999998</v>
      </c>
      <c r="M281">
        <f>FONO!N281</f>
        <v>27.5</v>
      </c>
      <c r="O281">
        <f>ABS(L281-FONO!$C$34)</f>
        <v>3.878854465275607</v>
      </c>
      <c r="P281">
        <f t="shared" si="5"/>
        <v>27.5</v>
      </c>
    </row>
    <row r="282" spans="10:16">
      <c r="J282" s="5"/>
      <c r="L282">
        <f>FONO!M282</f>
        <v>-0.62675053199999997</v>
      </c>
      <c r="M282">
        <f>FONO!N282</f>
        <v>27.6</v>
      </c>
      <c r="O282">
        <f>ABS(L282-FONO!$C$34)</f>
        <v>3.8824848582756069</v>
      </c>
      <c r="P282">
        <f t="shared" si="5"/>
        <v>27.6</v>
      </c>
    </row>
    <row r="283" spans="10:16">
      <c r="J283" s="5"/>
      <c r="L283">
        <f>FONO!M283</f>
        <v>-0.62347380500000005</v>
      </c>
      <c r="M283">
        <f>FONO!N283</f>
        <v>27.7</v>
      </c>
      <c r="O283">
        <f>ABS(L283-FONO!$C$34)</f>
        <v>3.8857615852756067</v>
      </c>
      <c r="P283">
        <f t="shared" si="5"/>
        <v>27.7</v>
      </c>
    </row>
    <row r="284" spans="10:16">
      <c r="J284" s="5"/>
      <c r="L284">
        <f>FONO!M284</f>
        <v>-0.62039027000000002</v>
      </c>
      <c r="M284">
        <f>FONO!N284</f>
        <v>27.8</v>
      </c>
      <c r="O284">
        <f>ABS(L284-FONO!$C$34)</f>
        <v>3.8888451202756067</v>
      </c>
      <c r="P284">
        <f t="shared" si="5"/>
        <v>27.8</v>
      </c>
    </row>
    <row r="285" spans="10:16">
      <c r="J285" s="5"/>
      <c r="L285">
        <f>FONO!M285</f>
        <v>-0.617306735</v>
      </c>
      <c r="M285">
        <f>FONO!N285</f>
        <v>27.9</v>
      </c>
      <c r="O285">
        <f>ABS(L285-FONO!$C$34)</f>
        <v>3.8919286552756067</v>
      </c>
      <c r="P285">
        <f t="shared" si="5"/>
        <v>27.9</v>
      </c>
    </row>
    <row r="286" spans="10:16">
      <c r="J286" s="5"/>
      <c r="L286">
        <f>FONO!M286</f>
        <v>-0.61619215999999999</v>
      </c>
      <c r="M286">
        <f>FONO!N286</f>
        <v>28</v>
      </c>
      <c r="O286">
        <f>ABS(L286-FONO!$C$34)</f>
        <v>3.8930432302756071</v>
      </c>
      <c r="P286">
        <f t="shared" si="5"/>
        <v>28</v>
      </c>
    </row>
    <row r="287" spans="10:16">
      <c r="J287" s="5"/>
      <c r="L287">
        <f>FONO!M287</f>
        <v>-0.61557685699999998</v>
      </c>
      <c r="M287">
        <f>FONO!N287</f>
        <v>28.1</v>
      </c>
      <c r="O287">
        <f>ABS(L287-FONO!$C$34)</f>
        <v>3.8936585332756071</v>
      </c>
      <c r="P287">
        <f t="shared" si="5"/>
        <v>28.1</v>
      </c>
    </row>
    <row r="288" spans="10:16">
      <c r="J288" s="5"/>
      <c r="L288">
        <f>FONO!M288</f>
        <v>-0.61496155399999997</v>
      </c>
      <c r="M288">
        <f>FONO!N288</f>
        <v>28.2</v>
      </c>
      <c r="O288">
        <f>ABS(L288-FONO!$C$34)</f>
        <v>3.8942738362756071</v>
      </c>
      <c r="P288">
        <f t="shared" si="5"/>
        <v>28.2</v>
      </c>
    </row>
    <row r="289" spans="10:16">
      <c r="J289" s="5"/>
      <c r="L289">
        <f>FONO!M289</f>
        <v>-0.60914412500000004</v>
      </c>
      <c r="M289">
        <f>FONO!N289</f>
        <v>28.3</v>
      </c>
      <c r="O289">
        <f>ABS(L289-FONO!$C$34)</f>
        <v>3.9000912652756066</v>
      </c>
      <c r="P289">
        <f t="shared" si="5"/>
        <v>28.3</v>
      </c>
    </row>
    <row r="290" spans="10:16">
      <c r="J290" s="5"/>
      <c r="L290">
        <f>FONO!M290</f>
        <v>-0.60304550000000001</v>
      </c>
      <c r="M290">
        <f>FONO!N290</f>
        <v>28.4</v>
      </c>
      <c r="O290">
        <f>ABS(L290-FONO!$C$34)</f>
        <v>3.9061898902756069</v>
      </c>
      <c r="P290">
        <f t="shared" si="5"/>
        <v>28.4</v>
      </c>
    </row>
    <row r="291" spans="10:16">
      <c r="J291" s="5"/>
      <c r="L291">
        <f>FONO!M291</f>
        <v>-0.597192995</v>
      </c>
      <c r="M291">
        <f>FONO!N291</f>
        <v>28.5</v>
      </c>
      <c r="O291">
        <f>ABS(L291-FONO!$C$34)</f>
        <v>3.9120423952756069</v>
      </c>
      <c r="P291">
        <f t="shared" si="5"/>
        <v>28.5</v>
      </c>
    </row>
    <row r="292" spans="10:16">
      <c r="J292" s="5"/>
      <c r="L292">
        <f>FONO!M292</f>
        <v>-0.59356260199999999</v>
      </c>
      <c r="M292">
        <f>FONO!N292</f>
        <v>28.6</v>
      </c>
      <c r="O292">
        <f>ABS(L292-FONO!$C$34)</f>
        <v>3.9156727882756068</v>
      </c>
      <c r="P292">
        <f t="shared" si="5"/>
        <v>28.6</v>
      </c>
    </row>
    <row r="293" spans="10:16">
      <c r="J293" s="5"/>
      <c r="L293">
        <f>FONO!M293</f>
        <v>-0.58993220899999999</v>
      </c>
      <c r="M293">
        <f>FONO!N293</f>
        <v>28.7</v>
      </c>
      <c r="O293">
        <f>ABS(L293-FONO!$C$34)</f>
        <v>3.9193031812756067</v>
      </c>
      <c r="P293">
        <f t="shared" si="5"/>
        <v>28.7</v>
      </c>
    </row>
    <row r="294" spans="10:16">
      <c r="J294" s="5"/>
      <c r="L294">
        <f>FONO!M294</f>
        <v>-0.586639472</v>
      </c>
      <c r="M294">
        <f>FONO!N294</f>
        <v>28.8</v>
      </c>
      <c r="O294">
        <f>ABS(L294-FONO!$C$34)</f>
        <v>3.9225959182756069</v>
      </c>
      <c r="P294">
        <f t="shared" si="5"/>
        <v>28.8</v>
      </c>
    </row>
    <row r="295" spans="10:16">
      <c r="J295" s="5"/>
      <c r="L295">
        <f>FONO!M295</f>
        <v>-0.584355866</v>
      </c>
      <c r="M295">
        <f>FONO!N295</f>
        <v>28.9</v>
      </c>
      <c r="O295">
        <f>ABS(L295-FONO!$C$34)</f>
        <v>3.9248795242756067</v>
      </c>
      <c r="P295">
        <f t="shared" si="5"/>
        <v>28.9</v>
      </c>
    </row>
    <row r="296" spans="10:16">
      <c r="J296" s="5"/>
      <c r="L296">
        <f>FONO!M296</f>
        <v>-0.58207226000000001</v>
      </c>
      <c r="M296">
        <f>FONO!N296</f>
        <v>29</v>
      </c>
      <c r="O296">
        <f>ABS(L296-FONO!$C$34)</f>
        <v>3.9271631302756069</v>
      </c>
      <c r="P296">
        <f t="shared" si="5"/>
        <v>29</v>
      </c>
    </row>
    <row r="297" spans="10:16">
      <c r="J297" s="5"/>
      <c r="L297">
        <f>FONO!M297</f>
        <v>-0.58013748799999998</v>
      </c>
      <c r="M297">
        <f>FONO!N297</f>
        <v>29.1</v>
      </c>
      <c r="O297">
        <f>ABS(L297-FONO!$C$34)</f>
        <v>3.9290979022756067</v>
      </c>
      <c r="P297">
        <f t="shared" si="5"/>
        <v>29.1</v>
      </c>
    </row>
    <row r="298" spans="10:16">
      <c r="J298" s="5"/>
      <c r="L298">
        <f>FONO!M298</f>
        <v>-0.57872225600000005</v>
      </c>
      <c r="M298">
        <f>FONO!N298</f>
        <v>29.2</v>
      </c>
      <c r="O298">
        <f>ABS(L298-FONO!$C$34)</f>
        <v>3.930513134275607</v>
      </c>
      <c r="P298">
        <f t="shared" si="5"/>
        <v>29.2</v>
      </c>
    </row>
    <row r="299" spans="10:16">
      <c r="J299" s="5"/>
      <c r="L299">
        <f>FONO!M299</f>
        <v>-0.577307024</v>
      </c>
      <c r="M299">
        <f>FONO!N299</f>
        <v>29.3</v>
      </c>
      <c r="O299">
        <f>ABS(L299-FONO!$C$34)</f>
        <v>3.9319283662756068</v>
      </c>
      <c r="P299">
        <f t="shared" si="5"/>
        <v>29.3</v>
      </c>
    </row>
    <row r="300" spans="10:16">
      <c r="J300" s="5"/>
      <c r="L300">
        <f>FONO!M300</f>
        <v>-0.57626465999999998</v>
      </c>
      <c r="M300">
        <f>FONO!N300</f>
        <v>29.4</v>
      </c>
      <c r="O300">
        <f>ABS(L300-FONO!$C$34)</f>
        <v>3.9329707302756067</v>
      </c>
      <c r="P300">
        <f t="shared" si="5"/>
        <v>29.4</v>
      </c>
    </row>
    <row r="301" spans="10:16">
      <c r="J301" s="5"/>
      <c r="L301">
        <f>FONO!M301</f>
        <v>-0.57552404999999995</v>
      </c>
      <c r="M301">
        <f>FONO!N301</f>
        <v>29.5</v>
      </c>
      <c r="O301">
        <f>ABS(L301-FONO!$C$34)</f>
        <v>3.933711340275607</v>
      </c>
      <c r="P301">
        <f t="shared" si="5"/>
        <v>29.5</v>
      </c>
    </row>
    <row r="302" spans="10:16">
      <c r="J302" s="5"/>
      <c r="L302">
        <f>FONO!M302</f>
        <v>-0.57478344000000003</v>
      </c>
      <c r="M302">
        <f>FONO!N302</f>
        <v>29.6</v>
      </c>
      <c r="O302">
        <f>ABS(L302-FONO!$C$34)</f>
        <v>3.9344519502756068</v>
      </c>
      <c r="P302">
        <f t="shared" si="5"/>
        <v>29.6</v>
      </c>
    </row>
    <row r="303" spans="10:16">
      <c r="J303" s="5"/>
      <c r="L303">
        <f>FONO!M303</f>
        <v>-0.57296343999999999</v>
      </c>
      <c r="M303">
        <f>FONO!N303</f>
        <v>29.7</v>
      </c>
      <c r="O303">
        <f>ABS(L303-FONO!$C$34)</f>
        <v>3.9362719502756067</v>
      </c>
      <c r="P303">
        <f t="shared" si="5"/>
        <v>29.7</v>
      </c>
    </row>
    <row r="304" spans="10:16">
      <c r="J304" s="5"/>
      <c r="L304">
        <f>FONO!M304</f>
        <v>-0.57068896000000002</v>
      </c>
      <c r="M304">
        <f>FONO!N304</f>
        <v>29.8</v>
      </c>
      <c r="O304">
        <f>ABS(L304-FONO!$C$34)</f>
        <v>3.9385464302756068</v>
      </c>
      <c r="P304">
        <f t="shared" si="5"/>
        <v>29.8</v>
      </c>
    </row>
    <row r="305" spans="10:16">
      <c r="J305" s="5"/>
      <c r="L305">
        <f>FONO!M305</f>
        <v>-0.56841448000000006</v>
      </c>
      <c r="M305">
        <f>FONO!N305</f>
        <v>29.9</v>
      </c>
      <c r="O305">
        <f>ABS(L305-FONO!$C$34)</f>
        <v>3.9408209102756069</v>
      </c>
      <c r="P305">
        <f t="shared" si="5"/>
        <v>29.9</v>
      </c>
    </row>
    <row r="306" spans="10:16">
      <c r="J306" s="5"/>
      <c r="L306">
        <f>FONO!M306</f>
        <v>-0.56734150000000005</v>
      </c>
      <c r="M306">
        <f>FONO!N306</f>
        <v>30</v>
      </c>
      <c r="O306">
        <f>ABS(L306-FONO!$C$34)</f>
        <v>3.9418938902756069</v>
      </c>
      <c r="P306">
        <f t="shared" si="5"/>
        <v>30</v>
      </c>
    </row>
    <row r="307" spans="10:16">
      <c r="J307" s="5"/>
      <c r="L307">
        <f>FONO!M307</f>
        <v>-0.56647277500000004</v>
      </c>
      <c r="M307">
        <f>FONO!N307</f>
        <v>30.1</v>
      </c>
      <c r="O307">
        <f>ABS(L307-FONO!$C$34)</f>
        <v>3.9427626152756066</v>
      </c>
      <c r="P307">
        <f t="shared" si="5"/>
        <v>30.1</v>
      </c>
    </row>
    <row r="308" spans="10:16">
      <c r="J308" s="5"/>
      <c r="L308">
        <f>FONO!M308</f>
        <v>-0.565600938</v>
      </c>
      <c r="M308">
        <f>FONO!N308</f>
        <v>30.2</v>
      </c>
      <c r="O308">
        <f>ABS(L308-FONO!$C$34)</f>
        <v>3.9436344522756066</v>
      </c>
      <c r="P308">
        <f t="shared" si="5"/>
        <v>30.2</v>
      </c>
    </row>
    <row r="309" spans="10:16">
      <c r="J309" s="5"/>
      <c r="L309">
        <f>FONO!M309</f>
        <v>-0.56418605700000002</v>
      </c>
      <c r="M309">
        <f>FONO!N309</f>
        <v>30.3</v>
      </c>
      <c r="O309">
        <f>ABS(L309-FONO!$C$34)</f>
        <v>3.9450493332756067</v>
      </c>
      <c r="P309">
        <f t="shared" si="5"/>
        <v>30.3</v>
      </c>
    </row>
    <row r="310" spans="10:16">
      <c r="J310" s="5"/>
      <c r="L310">
        <f>FONO!M310</f>
        <v>-0.56277117600000004</v>
      </c>
      <c r="M310">
        <f>FONO!N310</f>
        <v>30.4</v>
      </c>
      <c r="O310">
        <f>ABS(L310-FONO!$C$34)</f>
        <v>3.9464642142756068</v>
      </c>
      <c r="P310">
        <f t="shared" si="5"/>
        <v>30.4</v>
      </c>
    </row>
    <row r="311" spans="10:16">
      <c r="J311" s="5"/>
      <c r="L311">
        <f>FONO!M311</f>
        <v>-0.56136553499999997</v>
      </c>
      <c r="M311">
        <f>FONO!N311</f>
        <v>30.5</v>
      </c>
      <c r="O311">
        <f>ABS(L311-FONO!$C$34)</f>
        <v>3.9478698552756066</v>
      </c>
      <c r="P311">
        <f t="shared" si="5"/>
        <v>30.5</v>
      </c>
    </row>
    <row r="312" spans="10:16">
      <c r="J312" s="5"/>
      <c r="L312">
        <f>FONO!M312</f>
        <v>-0.56000962200000004</v>
      </c>
      <c r="M312">
        <f>FONO!N312</f>
        <v>30.6</v>
      </c>
      <c r="O312">
        <f>ABS(L312-FONO!$C$34)</f>
        <v>3.9492257682756069</v>
      </c>
      <c r="P312">
        <f t="shared" si="5"/>
        <v>30.6</v>
      </c>
    </row>
    <row r="313" spans="10:16">
      <c r="J313" s="5"/>
      <c r="L313">
        <f>FONO!M313</f>
        <v>-0.558653709</v>
      </c>
      <c r="M313">
        <f>FONO!N313</f>
        <v>30.7</v>
      </c>
      <c r="O313">
        <f>ABS(L313-FONO!$C$34)</f>
        <v>3.9505816812756067</v>
      </c>
      <c r="P313">
        <f t="shared" si="5"/>
        <v>30.7</v>
      </c>
    </row>
    <row r="314" spans="10:16">
      <c r="J314" s="5"/>
      <c r="L314">
        <f>FONO!M314</f>
        <v>-0.55684419600000001</v>
      </c>
      <c r="M314">
        <f>FONO!N314</f>
        <v>30.8</v>
      </c>
      <c r="O314">
        <f>ABS(L314-FONO!$C$34)</f>
        <v>3.9523911942756067</v>
      </c>
      <c r="P314">
        <f t="shared" si="5"/>
        <v>30.8</v>
      </c>
    </row>
    <row r="315" spans="10:16">
      <c r="J315" s="5"/>
      <c r="L315">
        <f>FONO!M315</f>
        <v>-0.55401408299999999</v>
      </c>
      <c r="M315">
        <f>FONO!N315</f>
        <v>30.9</v>
      </c>
      <c r="O315">
        <f>ABS(L315-FONO!$C$34)</f>
        <v>3.9552213072756066</v>
      </c>
      <c r="P315">
        <f t="shared" si="5"/>
        <v>30.9</v>
      </c>
    </row>
    <row r="316" spans="10:16">
      <c r="J316" s="5"/>
      <c r="L316">
        <f>FONO!M316</f>
        <v>-0.55118396999999997</v>
      </c>
      <c r="M316">
        <f>FONO!N316</f>
        <v>31</v>
      </c>
      <c r="O316">
        <f>ABS(L316-FONO!$C$34)</f>
        <v>3.958051420275607</v>
      </c>
      <c r="P316">
        <f t="shared" si="5"/>
        <v>31</v>
      </c>
    </row>
    <row r="317" spans="10:16">
      <c r="J317" s="5"/>
      <c r="L317">
        <f>FONO!M317</f>
        <v>-0.54950838800000001</v>
      </c>
      <c r="M317">
        <f>FONO!N317</f>
        <v>31.1</v>
      </c>
      <c r="O317">
        <f>ABS(L317-FONO!$C$34)</f>
        <v>3.9597270022756068</v>
      </c>
      <c r="P317">
        <f t="shared" si="5"/>
        <v>31.1</v>
      </c>
    </row>
    <row r="318" spans="10:16">
      <c r="J318" s="5"/>
      <c r="L318">
        <f>FONO!M318</f>
        <v>-0.54919529600000005</v>
      </c>
      <c r="M318">
        <f>FONO!N318</f>
        <v>31.2</v>
      </c>
      <c r="O318">
        <f>ABS(L318-FONO!$C$34)</f>
        <v>3.9600400942756067</v>
      </c>
      <c r="P318">
        <f t="shared" si="5"/>
        <v>31.2</v>
      </c>
    </row>
    <row r="319" spans="10:16">
      <c r="J319" s="5"/>
      <c r="L319">
        <f>FONO!M319</f>
        <v>-0.54888220399999998</v>
      </c>
      <c r="M319">
        <f>FONO!N319</f>
        <v>31.3</v>
      </c>
      <c r="O319">
        <f>ABS(L319-FONO!$C$34)</f>
        <v>3.960353186275607</v>
      </c>
      <c r="P319">
        <f t="shared" si="5"/>
        <v>31.3</v>
      </c>
    </row>
    <row r="320" spans="10:16">
      <c r="J320" s="5"/>
      <c r="L320">
        <f>FONO!M320</f>
        <v>-0.54760033399999997</v>
      </c>
      <c r="M320">
        <f>FONO!N320</f>
        <v>31.4</v>
      </c>
      <c r="O320">
        <f>ABS(L320-FONO!$C$34)</f>
        <v>3.9616350562756066</v>
      </c>
      <c r="P320">
        <f t="shared" si="5"/>
        <v>31.4</v>
      </c>
    </row>
    <row r="321" spans="10:16">
      <c r="J321" s="5"/>
      <c r="L321">
        <f>FONO!M321</f>
        <v>-0.54569826499999996</v>
      </c>
      <c r="M321">
        <f>FONO!N321</f>
        <v>31.5</v>
      </c>
      <c r="O321">
        <f>ABS(L321-FONO!$C$34)</f>
        <v>3.9635371252756069</v>
      </c>
      <c r="P321">
        <f t="shared" si="5"/>
        <v>31.5</v>
      </c>
    </row>
    <row r="322" spans="10:16">
      <c r="J322" s="5"/>
      <c r="L322">
        <f>FONO!M322</f>
        <v>-0.54379619599999995</v>
      </c>
      <c r="M322">
        <f>FONO!N322</f>
        <v>31.6</v>
      </c>
      <c r="O322">
        <f>ABS(L322-FONO!$C$34)</f>
        <v>3.9654391942756071</v>
      </c>
      <c r="P322">
        <f t="shared" si="5"/>
        <v>31.6</v>
      </c>
    </row>
    <row r="323" spans="10:16">
      <c r="J323" s="5"/>
      <c r="L323">
        <f>FONO!M323</f>
        <v>-0.54202655899999996</v>
      </c>
      <c r="M323">
        <f>FONO!N323</f>
        <v>31.7</v>
      </c>
      <c r="O323">
        <f>ABS(L323-FONO!$C$34)</f>
        <v>3.9672088312756069</v>
      </c>
      <c r="P323">
        <f t="shared" si="5"/>
        <v>31.7</v>
      </c>
    </row>
    <row r="324" spans="10:16">
      <c r="J324" s="5"/>
      <c r="L324">
        <f>FONO!M324</f>
        <v>-0.54029858600000003</v>
      </c>
      <c r="M324">
        <f>FONO!N324</f>
        <v>31.8</v>
      </c>
      <c r="O324">
        <f>ABS(L324-FONO!$C$34)</f>
        <v>3.9689368042756068</v>
      </c>
      <c r="P324">
        <f t="shared" si="5"/>
        <v>31.8</v>
      </c>
    </row>
    <row r="325" spans="10:16">
      <c r="J325" s="5"/>
      <c r="L325">
        <f>FONO!M325</f>
        <v>-0.53857061299999998</v>
      </c>
      <c r="M325">
        <f>FONO!N325</f>
        <v>31.9</v>
      </c>
      <c r="O325">
        <f>ABS(L325-FONO!$C$34)</f>
        <v>3.9706647772756067</v>
      </c>
      <c r="P325">
        <f t="shared" si="5"/>
        <v>31.9</v>
      </c>
    </row>
    <row r="326" spans="10:16">
      <c r="J326" s="5"/>
      <c r="L326">
        <f>FONO!M326</f>
        <v>-0.53762600000000005</v>
      </c>
      <c r="M326">
        <f>FONO!N326</f>
        <v>32</v>
      </c>
      <c r="O326">
        <f>ABS(L326-FONO!$C$34)</f>
        <v>3.9716093902756069</v>
      </c>
      <c r="P326">
        <f t="shared" si="5"/>
        <v>32</v>
      </c>
    </row>
    <row r="327" spans="10:16">
      <c r="J327" s="5"/>
      <c r="L327">
        <f>FONO!M327</f>
        <v>-0.53675727500000003</v>
      </c>
      <c r="M327">
        <f>FONO!N327</f>
        <v>32.1</v>
      </c>
      <c r="O327">
        <f>ABS(L327-FONO!$C$34)</f>
        <v>3.9724781152756066</v>
      </c>
      <c r="P327">
        <f t="shared" ref="P327:P390" si="6">M327</f>
        <v>32.1</v>
      </c>
    </row>
    <row r="328" spans="10:16">
      <c r="J328" s="5"/>
      <c r="L328">
        <f>FONO!M328</f>
        <v>-0.53576990400000002</v>
      </c>
      <c r="M328">
        <f>FONO!N328</f>
        <v>32.200000000000003</v>
      </c>
      <c r="O328">
        <f>ABS(L328-FONO!$C$34)</f>
        <v>3.9734654862756069</v>
      </c>
      <c r="P328">
        <f t="shared" si="6"/>
        <v>32.200000000000003</v>
      </c>
    </row>
    <row r="329" spans="10:16">
      <c r="J329" s="5"/>
      <c r="L329">
        <f>FONO!M329</f>
        <v>-0.53300823600000002</v>
      </c>
      <c r="M329">
        <f>FONO!N329</f>
        <v>32.299999999999997</v>
      </c>
      <c r="O329">
        <f>ABS(L329-FONO!$C$34)</f>
        <v>3.9762271542756067</v>
      </c>
      <c r="P329">
        <f t="shared" si="6"/>
        <v>32.299999999999997</v>
      </c>
    </row>
    <row r="330" spans="10:16">
      <c r="J330" s="5"/>
      <c r="L330">
        <f>FONO!M330</f>
        <v>-0.53024656800000003</v>
      </c>
      <c r="M330">
        <f>FONO!N330</f>
        <v>32.4</v>
      </c>
      <c r="O330">
        <f>ABS(L330-FONO!$C$34)</f>
        <v>3.9789888222756069</v>
      </c>
      <c r="P330">
        <f t="shared" si="6"/>
        <v>32.4</v>
      </c>
    </row>
    <row r="331" spans="10:16">
      <c r="J331" s="5"/>
      <c r="L331">
        <f>FONO!M331</f>
        <v>-0.52778535000000004</v>
      </c>
      <c r="M331">
        <f>FONO!N331</f>
        <v>32.5</v>
      </c>
      <c r="O331">
        <f>ABS(L331-FONO!$C$34)</f>
        <v>3.9814500402756066</v>
      </c>
      <c r="P331">
        <f t="shared" si="6"/>
        <v>32.5</v>
      </c>
    </row>
    <row r="332" spans="10:16">
      <c r="J332" s="5"/>
      <c r="L332">
        <f>FONO!M332</f>
        <v>-0.52642978799999995</v>
      </c>
      <c r="M332">
        <f>FONO!N332</f>
        <v>32.6</v>
      </c>
      <c r="O332">
        <f>ABS(L332-FONO!$C$34)</f>
        <v>3.9828056022756071</v>
      </c>
      <c r="P332">
        <f t="shared" si="6"/>
        <v>32.6</v>
      </c>
    </row>
    <row r="333" spans="10:16">
      <c r="J333" s="5"/>
      <c r="L333">
        <f>FONO!M333</f>
        <v>-0.52507422599999998</v>
      </c>
      <c r="M333">
        <f>FONO!N333</f>
        <v>32.700000000000003</v>
      </c>
      <c r="O333">
        <f>ABS(L333-FONO!$C$34)</f>
        <v>3.9841611642756067</v>
      </c>
      <c r="P333">
        <f t="shared" si="6"/>
        <v>32.700000000000003</v>
      </c>
    </row>
    <row r="334" spans="10:16">
      <c r="J334" s="5"/>
      <c r="L334">
        <f>FONO!M334</f>
        <v>-0.52360448800000003</v>
      </c>
      <c r="M334">
        <f>FONO!N334</f>
        <v>32.799999999999997</v>
      </c>
      <c r="O334">
        <f>ABS(L334-FONO!$C$34)</f>
        <v>3.9856309022756067</v>
      </c>
      <c r="P334">
        <f t="shared" si="6"/>
        <v>32.799999999999997</v>
      </c>
    </row>
    <row r="335" spans="10:16">
      <c r="J335" s="5"/>
      <c r="L335">
        <f>FONO!M335</f>
        <v>-0.52193583399999999</v>
      </c>
      <c r="M335">
        <f>FONO!N335</f>
        <v>32.9</v>
      </c>
      <c r="O335">
        <f>ABS(L335-FONO!$C$34)</f>
        <v>3.9872995562756071</v>
      </c>
      <c r="P335">
        <f t="shared" si="6"/>
        <v>32.9</v>
      </c>
    </row>
    <row r="336" spans="10:16">
      <c r="J336" s="5"/>
      <c r="L336">
        <f>FONO!M336</f>
        <v>-0.52026718000000005</v>
      </c>
      <c r="M336">
        <f>FONO!N336</f>
        <v>33</v>
      </c>
      <c r="O336">
        <f>ABS(L336-FONO!$C$34)</f>
        <v>3.9889682102756066</v>
      </c>
      <c r="P336">
        <f t="shared" si="6"/>
        <v>33</v>
      </c>
    </row>
    <row r="337" spans="10:16">
      <c r="J337" s="5"/>
      <c r="L337">
        <f>FONO!M337</f>
        <v>-0.51755632799999995</v>
      </c>
      <c r="M337">
        <f>FONO!N337</f>
        <v>33.1</v>
      </c>
      <c r="O337">
        <f>ABS(L337-FONO!$C$34)</f>
        <v>3.9916790622756069</v>
      </c>
      <c r="P337">
        <f t="shared" si="6"/>
        <v>33.1</v>
      </c>
    </row>
    <row r="338" spans="10:16">
      <c r="J338" s="5"/>
      <c r="L338">
        <f>FONO!M338</f>
        <v>-0.51386661600000005</v>
      </c>
      <c r="M338">
        <f>FONO!N338</f>
        <v>33.200000000000003</v>
      </c>
      <c r="O338">
        <f>ABS(L338-FONO!$C$34)</f>
        <v>3.9953687742756068</v>
      </c>
      <c r="P338">
        <f t="shared" si="6"/>
        <v>33.200000000000003</v>
      </c>
    </row>
    <row r="339" spans="10:16">
      <c r="J339" s="5"/>
      <c r="L339">
        <f>FONO!M339</f>
        <v>-0.51017690400000004</v>
      </c>
      <c r="M339">
        <f>FONO!N339</f>
        <v>33.299999999999997</v>
      </c>
      <c r="O339">
        <f>ABS(L339-FONO!$C$34)</f>
        <v>3.9990584862756067</v>
      </c>
      <c r="P339">
        <f t="shared" si="6"/>
        <v>33.299999999999997</v>
      </c>
    </row>
    <row r="340" spans="10:16">
      <c r="J340" s="5"/>
      <c r="L340">
        <f>FONO!M340</f>
        <v>-0.50881759800000004</v>
      </c>
      <c r="M340">
        <f>FONO!N340</f>
        <v>33.4</v>
      </c>
      <c r="O340">
        <f>ABS(L340-FONO!$C$34)</f>
        <v>4.0004177922756066</v>
      </c>
      <c r="P340">
        <f t="shared" si="6"/>
        <v>33.4</v>
      </c>
    </row>
    <row r="341" spans="10:16">
      <c r="J341" s="5"/>
      <c r="L341">
        <f>FONO!M341</f>
        <v>-0.50862349500000004</v>
      </c>
      <c r="M341">
        <f>FONO!N341</f>
        <v>33.5</v>
      </c>
      <c r="O341">
        <f>ABS(L341-FONO!$C$34)</f>
        <v>4.0006118952756067</v>
      </c>
      <c r="P341">
        <f t="shared" si="6"/>
        <v>33.5</v>
      </c>
    </row>
    <row r="342" spans="10:16">
      <c r="J342" s="5"/>
      <c r="L342">
        <f>FONO!M342</f>
        <v>-0.50842939200000004</v>
      </c>
      <c r="M342">
        <f>FONO!N342</f>
        <v>33.6</v>
      </c>
      <c r="O342">
        <f>ABS(L342-FONO!$C$34)</f>
        <v>4.0008059982756068</v>
      </c>
      <c r="P342">
        <f t="shared" si="6"/>
        <v>33.6</v>
      </c>
    </row>
    <row r="343" spans="10:16">
      <c r="J343" s="5"/>
      <c r="L343">
        <f>FONO!M343</f>
        <v>-0.50804959999999999</v>
      </c>
      <c r="M343">
        <f>FONO!N343</f>
        <v>33.700000000000003</v>
      </c>
      <c r="O343">
        <f>ABS(L343-FONO!$C$34)</f>
        <v>4.0011857902756072</v>
      </c>
      <c r="P343">
        <f t="shared" si="6"/>
        <v>33.700000000000003</v>
      </c>
    </row>
    <row r="344" spans="10:16">
      <c r="J344" s="5"/>
      <c r="L344">
        <f>FONO!M344</f>
        <v>-0.50762839999999998</v>
      </c>
      <c r="M344">
        <f>FONO!N344</f>
        <v>33.799999999999997</v>
      </c>
      <c r="O344">
        <f>ABS(L344-FONO!$C$34)</f>
        <v>4.0016069902756071</v>
      </c>
      <c r="P344">
        <f t="shared" si="6"/>
        <v>33.799999999999997</v>
      </c>
    </row>
    <row r="345" spans="10:16">
      <c r="J345" s="5"/>
      <c r="L345">
        <f>FONO!M345</f>
        <v>-0.50720719999999997</v>
      </c>
      <c r="M345">
        <f>FONO!N345</f>
        <v>33.9</v>
      </c>
      <c r="O345">
        <f>ABS(L345-FONO!$C$34)</f>
        <v>4.002028190275607</v>
      </c>
      <c r="P345">
        <f t="shared" si="6"/>
        <v>33.9</v>
      </c>
    </row>
    <row r="346" spans="10:16">
      <c r="J346" s="5"/>
      <c r="L346">
        <f>FONO!M346</f>
        <v>-0.50623145999999997</v>
      </c>
      <c r="M346">
        <f>FONO!N346</f>
        <v>34</v>
      </c>
      <c r="O346">
        <f>ABS(L346-FONO!$C$34)</f>
        <v>4.0030039302756073</v>
      </c>
      <c r="P346">
        <f t="shared" si="6"/>
        <v>34</v>
      </c>
    </row>
    <row r="347" spans="10:16">
      <c r="J347" s="5"/>
      <c r="L347">
        <f>FONO!M347</f>
        <v>-0.505237779</v>
      </c>
      <c r="M347">
        <f>FONO!N347</f>
        <v>34.1</v>
      </c>
      <c r="O347">
        <f>ABS(L347-FONO!$C$34)</f>
        <v>4.003997611275607</v>
      </c>
      <c r="P347">
        <f t="shared" si="6"/>
        <v>34.1</v>
      </c>
    </row>
    <row r="348" spans="10:16">
      <c r="J348" s="5"/>
      <c r="L348">
        <f>FONO!M348</f>
        <v>-0.503633208</v>
      </c>
      <c r="M348">
        <f>FONO!N348</f>
        <v>34.200000000000003</v>
      </c>
      <c r="O348">
        <f>ABS(L348-FONO!$C$34)</f>
        <v>4.0056021822756067</v>
      </c>
      <c r="P348">
        <f t="shared" si="6"/>
        <v>34.200000000000003</v>
      </c>
    </row>
    <row r="349" spans="10:16">
      <c r="J349" s="5"/>
      <c r="L349">
        <f>FONO!M349</f>
        <v>-0.49753423200000002</v>
      </c>
      <c r="M349">
        <f>FONO!N349</f>
        <v>34.299999999999997</v>
      </c>
      <c r="O349">
        <f>ABS(L349-FONO!$C$34)</f>
        <v>4.0117011582756064</v>
      </c>
      <c r="P349">
        <f t="shared" si="6"/>
        <v>34.299999999999997</v>
      </c>
    </row>
    <row r="350" spans="10:16">
      <c r="J350" s="5"/>
      <c r="L350">
        <f>FONO!M350</f>
        <v>-0.49143525599999999</v>
      </c>
      <c r="M350">
        <f>FONO!N350</f>
        <v>34.4</v>
      </c>
      <c r="O350">
        <f>ABS(L350-FONO!$C$34)</f>
        <v>4.0178001342756069</v>
      </c>
      <c r="P350">
        <f t="shared" si="6"/>
        <v>34.4</v>
      </c>
    </row>
    <row r="351" spans="10:16">
      <c r="J351" s="5"/>
      <c r="L351">
        <f>FONO!M351</f>
        <v>-0.48605448000000001</v>
      </c>
      <c r="M351">
        <f>FONO!N351</f>
        <v>34.5</v>
      </c>
      <c r="O351">
        <f>ABS(L351-FONO!$C$34)</f>
        <v>4.0231809102756069</v>
      </c>
      <c r="P351">
        <f t="shared" si="6"/>
        <v>34.5</v>
      </c>
    </row>
    <row r="352" spans="10:16">
      <c r="J352" s="5"/>
      <c r="L352">
        <f>FONO!M352</f>
        <v>-0.48260906399999998</v>
      </c>
      <c r="M352">
        <f>FONO!N352</f>
        <v>34.6</v>
      </c>
      <c r="O352">
        <f>ABS(L352-FONO!$C$34)</f>
        <v>4.0266263262756068</v>
      </c>
      <c r="P352">
        <f t="shared" si="6"/>
        <v>34.6</v>
      </c>
    </row>
    <row r="353" spans="10:16">
      <c r="J353" s="5"/>
      <c r="L353">
        <f>FONO!M353</f>
        <v>-0.479163648</v>
      </c>
      <c r="M353">
        <f>FONO!N353</f>
        <v>34.700000000000003</v>
      </c>
      <c r="O353">
        <f>ABS(L353-FONO!$C$34)</f>
        <v>4.0300717422756067</v>
      </c>
      <c r="P353">
        <f t="shared" si="6"/>
        <v>34.700000000000003</v>
      </c>
    </row>
    <row r="354" spans="10:16">
      <c r="J354" s="5"/>
      <c r="L354">
        <f>FONO!M354</f>
        <v>-0.47621195999999999</v>
      </c>
      <c r="M354">
        <f>FONO!N354</f>
        <v>34.799999999999997</v>
      </c>
      <c r="O354">
        <f>ABS(L354-FONO!$C$34)</f>
        <v>4.0330234302756072</v>
      </c>
      <c r="P354">
        <f t="shared" si="6"/>
        <v>34.799999999999997</v>
      </c>
    </row>
    <row r="355" spans="10:16">
      <c r="J355" s="5"/>
      <c r="L355">
        <f>FONO!M355</f>
        <v>-0.47393748000000002</v>
      </c>
      <c r="M355">
        <f>FONO!N355</f>
        <v>34.9</v>
      </c>
      <c r="O355">
        <f>ABS(L355-FONO!$C$34)</f>
        <v>4.0352979102756068</v>
      </c>
      <c r="P355">
        <f t="shared" si="6"/>
        <v>34.9</v>
      </c>
    </row>
    <row r="356" spans="10:16">
      <c r="J356" s="5"/>
      <c r="L356">
        <f>FONO!M356</f>
        <v>-0.471663</v>
      </c>
      <c r="M356">
        <f>FONO!N356</f>
        <v>35</v>
      </c>
      <c r="O356">
        <f>ABS(L356-FONO!$C$34)</f>
        <v>4.0375723902756064</v>
      </c>
      <c r="P356">
        <f t="shared" si="6"/>
        <v>35</v>
      </c>
    </row>
    <row r="357" spans="10:16">
      <c r="J357" s="5"/>
      <c r="L357">
        <f>FONO!M357</f>
        <v>-0.470227695</v>
      </c>
      <c r="M357">
        <f>FONO!N357</f>
        <v>35.1</v>
      </c>
      <c r="O357">
        <f>ABS(L357-FONO!$C$34)</f>
        <v>4.0390076952756067</v>
      </c>
      <c r="P357">
        <f t="shared" si="6"/>
        <v>35.1</v>
      </c>
    </row>
    <row r="358" spans="10:16">
      <c r="J358" s="5"/>
      <c r="L358">
        <f>FONO!M358</f>
        <v>-0.46941864</v>
      </c>
      <c r="M358">
        <f>FONO!N358</f>
        <v>35.200000000000003</v>
      </c>
      <c r="O358">
        <f>ABS(L358-FONO!$C$34)</f>
        <v>4.039816750275607</v>
      </c>
      <c r="P358">
        <f t="shared" si="6"/>
        <v>35.200000000000003</v>
      </c>
    </row>
    <row r="359" spans="10:16">
      <c r="J359" s="5"/>
      <c r="L359">
        <f>FONO!M359</f>
        <v>-0.468609585</v>
      </c>
      <c r="M359">
        <f>FONO!N359</f>
        <v>35.299999999999997</v>
      </c>
      <c r="O359">
        <f>ABS(L359-FONO!$C$34)</f>
        <v>4.0406258052756066</v>
      </c>
      <c r="P359">
        <f t="shared" si="6"/>
        <v>35.299999999999997</v>
      </c>
    </row>
    <row r="360" spans="10:16">
      <c r="J360" s="5"/>
      <c r="L360">
        <f>FONO!M360</f>
        <v>-0.46780713400000001</v>
      </c>
      <c r="M360">
        <f>FONO!N360</f>
        <v>35.4</v>
      </c>
      <c r="O360">
        <f>ABS(L360-FONO!$C$34)</f>
        <v>4.0414282562756068</v>
      </c>
      <c r="P360">
        <f t="shared" si="6"/>
        <v>35.4</v>
      </c>
    </row>
    <row r="361" spans="10:16">
      <c r="J361" s="5"/>
      <c r="L361">
        <f>FONO!M361</f>
        <v>-0.46700720499999998</v>
      </c>
      <c r="M361">
        <f>FONO!N361</f>
        <v>35.5</v>
      </c>
      <c r="O361">
        <f>ABS(L361-FONO!$C$34)</f>
        <v>4.042228185275607</v>
      </c>
      <c r="P361">
        <f t="shared" si="6"/>
        <v>35.5</v>
      </c>
    </row>
    <row r="362" spans="10:16">
      <c r="J362" s="5"/>
      <c r="L362">
        <f>FONO!M362</f>
        <v>-0.466207276</v>
      </c>
      <c r="M362">
        <f>FONO!N362</f>
        <v>35.6</v>
      </c>
      <c r="O362">
        <f>ABS(L362-FONO!$C$34)</f>
        <v>4.0430281142756073</v>
      </c>
      <c r="P362">
        <f t="shared" si="6"/>
        <v>35.6</v>
      </c>
    </row>
    <row r="363" spans="10:16">
      <c r="J363" s="5"/>
      <c r="L363">
        <f>FONO!M363</f>
        <v>-0.46433898699999998</v>
      </c>
      <c r="M363">
        <f>FONO!N363</f>
        <v>35.700000000000003</v>
      </c>
      <c r="O363">
        <f>ABS(L363-FONO!$C$34)</f>
        <v>4.0448964032756072</v>
      </c>
      <c r="P363">
        <f t="shared" si="6"/>
        <v>35.700000000000003</v>
      </c>
    </row>
    <row r="364" spans="10:16">
      <c r="J364" s="5"/>
      <c r="L364">
        <f>FONO!M364</f>
        <v>-0.46231757800000001</v>
      </c>
      <c r="M364">
        <f>FONO!N364</f>
        <v>35.799999999999997</v>
      </c>
      <c r="O364">
        <f>ABS(L364-FONO!$C$34)</f>
        <v>4.0469178122756064</v>
      </c>
      <c r="P364">
        <f t="shared" si="6"/>
        <v>35.799999999999997</v>
      </c>
    </row>
    <row r="365" spans="10:16">
      <c r="J365" s="5"/>
      <c r="L365">
        <f>FONO!M365</f>
        <v>-0.46026893499999999</v>
      </c>
      <c r="M365">
        <f>FONO!N365</f>
        <v>35.9</v>
      </c>
      <c r="O365">
        <f>ABS(L365-FONO!$C$34)</f>
        <v>4.0489664552756066</v>
      </c>
      <c r="P365">
        <f t="shared" si="6"/>
        <v>35.9</v>
      </c>
    </row>
    <row r="366" spans="10:16">
      <c r="J366" s="5"/>
      <c r="L366">
        <f>FONO!M366</f>
        <v>-0.45718540000000002</v>
      </c>
      <c r="M366">
        <f>FONO!N366</f>
        <v>36</v>
      </c>
      <c r="O366">
        <f>ABS(L366-FONO!$C$34)</f>
        <v>4.0520499902756066</v>
      </c>
      <c r="P366">
        <f t="shared" si="6"/>
        <v>36</v>
      </c>
    </row>
    <row r="367" spans="10:16">
      <c r="J367" s="5"/>
      <c r="L367">
        <f>FONO!M367</f>
        <v>-0.45410186499999999</v>
      </c>
      <c r="M367">
        <f>FONO!N367</f>
        <v>36.1</v>
      </c>
      <c r="O367">
        <f>ABS(L367-FONO!$C$34)</f>
        <v>4.0551335252756067</v>
      </c>
      <c r="P367">
        <f t="shared" si="6"/>
        <v>36.1</v>
      </c>
    </row>
    <row r="368" spans="10:16">
      <c r="J368" s="5"/>
      <c r="L368">
        <f>FONO!M368</f>
        <v>-0.45037706399999999</v>
      </c>
      <c r="M368">
        <f>FONO!N368</f>
        <v>36.200000000000003</v>
      </c>
      <c r="O368">
        <f>ABS(L368-FONO!$C$34)</f>
        <v>4.0588583262756064</v>
      </c>
      <c r="P368">
        <f t="shared" si="6"/>
        <v>36.200000000000003</v>
      </c>
    </row>
    <row r="369" spans="10:16">
      <c r="J369" s="5"/>
      <c r="L369">
        <f>FONO!M369</f>
        <v>-0.44366313600000001</v>
      </c>
      <c r="M369">
        <f>FONO!N369</f>
        <v>36.299999999999997</v>
      </c>
      <c r="O369">
        <f>ABS(L369-FONO!$C$34)</f>
        <v>4.0655722542756072</v>
      </c>
      <c r="P369">
        <f t="shared" si="6"/>
        <v>36.299999999999997</v>
      </c>
    </row>
    <row r="370" spans="10:16">
      <c r="J370" s="5"/>
      <c r="L370">
        <f>FONO!M370</f>
        <v>-0.43694920799999998</v>
      </c>
      <c r="M370">
        <f>FONO!N370</f>
        <v>36.4</v>
      </c>
      <c r="O370">
        <f>ABS(L370-FONO!$C$34)</f>
        <v>4.0722861822756071</v>
      </c>
      <c r="P370">
        <f t="shared" si="6"/>
        <v>36.4</v>
      </c>
    </row>
    <row r="371" spans="10:16">
      <c r="J371" s="5"/>
      <c r="L371">
        <f>FONO!M371</f>
        <v>-0.43023528</v>
      </c>
      <c r="M371">
        <f>FONO!N371</f>
        <v>36.5</v>
      </c>
      <c r="O371">
        <f>ABS(L371-FONO!$C$34)</f>
        <v>4.079000110275607</v>
      </c>
      <c r="P371">
        <f t="shared" si="6"/>
        <v>36.5</v>
      </c>
    </row>
    <row r="372" spans="10:16">
      <c r="J372" s="5"/>
      <c r="L372">
        <f>FONO!M372</f>
        <v>-0.42352135200000002</v>
      </c>
      <c r="M372">
        <f>FONO!N372</f>
        <v>36.6</v>
      </c>
      <c r="O372">
        <f>ABS(L372-FONO!$C$34)</f>
        <v>4.085714038275607</v>
      </c>
      <c r="P372">
        <f t="shared" si="6"/>
        <v>36.6</v>
      </c>
    </row>
    <row r="373" spans="10:16">
      <c r="J373" s="5"/>
      <c r="L373">
        <f>FONO!M373</f>
        <v>-0.41680742399999998</v>
      </c>
      <c r="M373">
        <f>FONO!N373</f>
        <v>36.700000000000003</v>
      </c>
      <c r="O373">
        <f>ABS(L373-FONO!$C$34)</f>
        <v>4.0924279662756069</v>
      </c>
      <c r="P373">
        <f t="shared" si="6"/>
        <v>36.700000000000003</v>
      </c>
    </row>
    <row r="374" spans="10:16">
      <c r="J374" s="5"/>
      <c r="L374">
        <f>FONO!M374</f>
        <v>-0.41221382400000001</v>
      </c>
      <c r="M374">
        <f>FONO!N374</f>
        <v>36.799999999999997</v>
      </c>
      <c r="O374">
        <f>ABS(L374-FONO!$C$34)</f>
        <v>4.0970215662756067</v>
      </c>
      <c r="P374">
        <f t="shared" si="6"/>
        <v>36.799999999999997</v>
      </c>
    </row>
    <row r="375" spans="10:16">
      <c r="J375" s="5"/>
      <c r="L375">
        <f>FONO!M375</f>
        <v>-0.409929867</v>
      </c>
      <c r="M375">
        <f>FONO!N375</f>
        <v>36.9</v>
      </c>
      <c r="O375">
        <f>ABS(L375-FONO!$C$34)</f>
        <v>4.099305523275607</v>
      </c>
      <c r="P375">
        <f t="shared" si="6"/>
        <v>36.9</v>
      </c>
    </row>
    <row r="376" spans="10:16">
      <c r="J376" s="5"/>
      <c r="L376">
        <f>FONO!M376</f>
        <v>-0.40764591</v>
      </c>
      <c r="M376">
        <f>FONO!N376</f>
        <v>37</v>
      </c>
      <c r="O376">
        <f>ABS(L376-FONO!$C$34)</f>
        <v>4.1015894802756065</v>
      </c>
      <c r="P376">
        <f t="shared" si="6"/>
        <v>37</v>
      </c>
    </row>
    <row r="377" spans="10:16">
      <c r="J377" s="5"/>
      <c r="L377">
        <f>FONO!M377</f>
        <v>-0.40439795099999998</v>
      </c>
      <c r="M377">
        <f>FONO!N377</f>
        <v>37.1</v>
      </c>
      <c r="O377">
        <f>ABS(L377-FONO!$C$34)</f>
        <v>4.1048374392756068</v>
      </c>
      <c r="P377">
        <f t="shared" si="6"/>
        <v>37.1</v>
      </c>
    </row>
    <row r="378" spans="10:16">
      <c r="J378" s="5"/>
      <c r="L378">
        <f>FONO!M378</f>
        <v>-0.400582932</v>
      </c>
      <c r="M378">
        <f>FONO!N378</f>
        <v>37.200000000000003</v>
      </c>
      <c r="O378">
        <f>ABS(L378-FONO!$C$34)</f>
        <v>4.108652458275607</v>
      </c>
      <c r="P378">
        <f t="shared" si="6"/>
        <v>37.200000000000003</v>
      </c>
    </row>
    <row r="379" spans="10:16">
      <c r="J379" s="5"/>
      <c r="L379">
        <f>FONO!M379</f>
        <v>-0.39676791300000003</v>
      </c>
      <c r="M379">
        <f>FONO!N379</f>
        <v>37.299999999999997</v>
      </c>
      <c r="O379">
        <f>ABS(L379-FONO!$C$34)</f>
        <v>4.1124674772756071</v>
      </c>
      <c r="P379">
        <f t="shared" si="6"/>
        <v>37.299999999999997</v>
      </c>
    </row>
    <row r="380" spans="10:16">
      <c r="J380" s="5"/>
      <c r="L380">
        <f>FONO!M380</f>
        <v>-0.39539724799999998</v>
      </c>
      <c r="M380">
        <f>FONO!N380</f>
        <v>37.4</v>
      </c>
      <c r="O380">
        <f>ABS(L380-FONO!$C$34)</f>
        <v>4.1138381422756067</v>
      </c>
      <c r="P380">
        <f t="shared" si="6"/>
        <v>37.4</v>
      </c>
    </row>
    <row r="381" spans="10:16">
      <c r="J381" s="5"/>
      <c r="L381">
        <f>FONO!M381</f>
        <v>-0.39471349999999999</v>
      </c>
      <c r="M381">
        <f>FONO!N381</f>
        <v>37.5</v>
      </c>
      <c r="O381">
        <f>ABS(L381-FONO!$C$34)</f>
        <v>4.1145218902756069</v>
      </c>
      <c r="P381">
        <f t="shared" si="6"/>
        <v>37.5</v>
      </c>
    </row>
    <row r="382" spans="10:16">
      <c r="J382" s="5"/>
      <c r="L382">
        <f>FONO!M382</f>
        <v>-0.39402975200000001</v>
      </c>
      <c r="M382">
        <f>FONO!N382</f>
        <v>37.6</v>
      </c>
      <c r="O382">
        <f>ABS(L382-FONO!$C$34)</f>
        <v>4.115205638275607</v>
      </c>
      <c r="P382">
        <f t="shared" si="6"/>
        <v>37.6</v>
      </c>
    </row>
    <row r="383" spans="10:16">
      <c r="J383" s="5"/>
      <c r="L383">
        <f>FONO!M383</f>
        <v>-0.39398300000000003</v>
      </c>
      <c r="M383">
        <f>FONO!N383</f>
        <v>37.700000000000003</v>
      </c>
      <c r="O383">
        <f>ABS(L383-FONO!$C$34)</f>
        <v>4.1152523902756064</v>
      </c>
      <c r="P383">
        <f t="shared" si="6"/>
        <v>37.700000000000003</v>
      </c>
    </row>
    <row r="384" spans="10:16">
      <c r="J384" s="5"/>
      <c r="L384">
        <f>FONO!M384</f>
        <v>-0.39398300000000003</v>
      </c>
      <c r="M384">
        <f>FONO!N384</f>
        <v>37.799999999999997</v>
      </c>
      <c r="O384">
        <f>ABS(L384-FONO!$C$34)</f>
        <v>4.1152523902756064</v>
      </c>
      <c r="P384">
        <f t="shared" si="6"/>
        <v>37.799999999999997</v>
      </c>
    </row>
    <row r="385" spans="10:16">
      <c r="J385" s="5"/>
      <c r="L385">
        <f>FONO!M385</f>
        <v>-0.39398300000000003</v>
      </c>
      <c r="M385">
        <f>FONO!N385</f>
        <v>37.9</v>
      </c>
      <c r="O385">
        <f>ABS(L385-FONO!$C$34)</f>
        <v>4.1152523902756064</v>
      </c>
      <c r="P385">
        <f t="shared" si="6"/>
        <v>37.9</v>
      </c>
    </row>
    <row r="386" spans="10:16">
      <c r="J386" s="5"/>
      <c r="L386">
        <f>FONO!M386</f>
        <v>-0.39398300000000003</v>
      </c>
      <c r="M386">
        <f>FONO!N386</f>
        <v>38</v>
      </c>
      <c r="O386">
        <f>ABS(L386-FONO!$C$34)</f>
        <v>4.1152523902756064</v>
      </c>
      <c r="P386">
        <f t="shared" si="6"/>
        <v>38</v>
      </c>
    </row>
    <row r="387" spans="10:16">
      <c r="J387" s="5"/>
      <c r="L387">
        <f>FONO!M387</f>
        <v>-0.39398300000000003</v>
      </c>
      <c r="M387">
        <f>FONO!N387</f>
        <v>38.1</v>
      </c>
      <c r="O387">
        <f>ABS(L387-FONO!$C$34)</f>
        <v>4.1152523902756064</v>
      </c>
      <c r="P387">
        <f t="shared" si="6"/>
        <v>38.1</v>
      </c>
    </row>
    <row r="388" spans="10:16">
      <c r="J388" s="5"/>
      <c r="L388">
        <f>FONO!M388</f>
        <v>-0.392173096</v>
      </c>
      <c r="M388">
        <f>FONO!N388</f>
        <v>38.200000000000003</v>
      </c>
      <c r="O388">
        <f>ABS(L388-FONO!$C$34)</f>
        <v>4.1170622942756072</v>
      </c>
      <c r="P388">
        <f t="shared" si="6"/>
        <v>38.200000000000003</v>
      </c>
    </row>
    <row r="389" spans="10:16">
      <c r="J389" s="5"/>
      <c r="L389">
        <f>FONO!M389</f>
        <v>-0.38442582400000003</v>
      </c>
      <c r="M389">
        <f>FONO!N389</f>
        <v>38.299999999999997</v>
      </c>
      <c r="O389">
        <f>ABS(L389-FONO!$C$34)</f>
        <v>4.1248095662756068</v>
      </c>
      <c r="P389">
        <f t="shared" si="6"/>
        <v>38.299999999999997</v>
      </c>
    </row>
    <row r="390" spans="10:16">
      <c r="J390" s="5"/>
      <c r="L390">
        <f>FONO!M390</f>
        <v>-0.376678552</v>
      </c>
      <c r="M390">
        <f>FONO!N390</f>
        <v>38.4</v>
      </c>
      <c r="O390">
        <f>ABS(L390-FONO!$C$34)</f>
        <v>4.1325568382756064</v>
      </c>
      <c r="P390">
        <f t="shared" si="6"/>
        <v>38.4</v>
      </c>
    </row>
    <row r="391" spans="10:16">
      <c r="J391" s="5"/>
      <c r="L391">
        <f>FONO!M391</f>
        <v>-0.36889712499999999</v>
      </c>
      <c r="M391">
        <f>FONO!N391</f>
        <v>38.5</v>
      </c>
      <c r="O391">
        <f>ABS(L391-FONO!$C$34)</f>
        <v>4.1403382652756067</v>
      </c>
      <c r="P391">
        <f t="shared" ref="P391:P454" si="7">M391</f>
        <v>38.5</v>
      </c>
    </row>
    <row r="392" spans="10:16">
      <c r="J392" s="5"/>
      <c r="L392">
        <f>FONO!M392</f>
        <v>-0.36106104999999999</v>
      </c>
      <c r="M392">
        <f>FONO!N392</f>
        <v>38.6</v>
      </c>
      <c r="O392">
        <f>ABS(L392-FONO!$C$34)</f>
        <v>4.1481743402756068</v>
      </c>
      <c r="P392">
        <f t="shared" si="7"/>
        <v>38.6</v>
      </c>
    </row>
    <row r="393" spans="10:16">
      <c r="J393" s="5"/>
      <c r="L393">
        <f>FONO!M393</f>
        <v>-0.353224975</v>
      </c>
      <c r="M393">
        <f>FONO!N393</f>
        <v>38.700000000000003</v>
      </c>
      <c r="O393">
        <f>ABS(L393-FONO!$C$34)</f>
        <v>4.156010415275607</v>
      </c>
      <c r="P393">
        <f t="shared" si="7"/>
        <v>38.700000000000003</v>
      </c>
    </row>
    <row r="394" spans="10:16">
      <c r="J394" s="5"/>
      <c r="L394">
        <f>FONO!M394</f>
        <v>-0.34674776400000001</v>
      </c>
      <c r="M394">
        <f>FONO!N394</f>
        <v>38.799999999999997</v>
      </c>
      <c r="O394">
        <f>ABS(L394-FONO!$C$34)</f>
        <v>4.162487626275607</v>
      </c>
      <c r="P394">
        <f t="shared" si="7"/>
        <v>38.799999999999997</v>
      </c>
    </row>
    <row r="395" spans="10:16">
      <c r="J395" s="5"/>
      <c r="L395">
        <f>FONO!M395</f>
        <v>-0.34144871700000001</v>
      </c>
      <c r="M395">
        <f>FONO!N395</f>
        <v>38.9</v>
      </c>
      <c r="O395">
        <f>ABS(L395-FONO!$C$34)</f>
        <v>4.1677866732756073</v>
      </c>
      <c r="P395">
        <f t="shared" si="7"/>
        <v>38.9</v>
      </c>
    </row>
    <row r="396" spans="10:16">
      <c r="J396" s="5"/>
      <c r="L396">
        <f>FONO!M396</f>
        <v>-0.33614967000000001</v>
      </c>
      <c r="M396">
        <f>FONO!N396</f>
        <v>39</v>
      </c>
      <c r="O396">
        <f>ABS(L396-FONO!$C$34)</f>
        <v>4.1730857202756066</v>
      </c>
      <c r="P396">
        <f t="shared" si="7"/>
        <v>39</v>
      </c>
    </row>
    <row r="397" spans="10:16">
      <c r="J397" s="5"/>
      <c r="L397">
        <f>FONO!M397</f>
        <v>-0.33081013500000001</v>
      </c>
      <c r="M397">
        <f>FONO!N397</f>
        <v>39.1</v>
      </c>
      <c r="O397">
        <f>ABS(L397-FONO!$C$34)</f>
        <v>4.1784252552756067</v>
      </c>
      <c r="P397">
        <f t="shared" si="7"/>
        <v>39.1</v>
      </c>
    </row>
    <row r="398" spans="10:16">
      <c r="J398" s="5"/>
      <c r="L398">
        <f>FONO!M398</f>
        <v>-0.32545212000000001</v>
      </c>
      <c r="M398">
        <f>FONO!N398</f>
        <v>39.200000000000003</v>
      </c>
      <c r="O398">
        <f>ABS(L398-FONO!$C$34)</f>
        <v>4.1837832702756064</v>
      </c>
      <c r="P398">
        <f t="shared" si="7"/>
        <v>39.200000000000003</v>
      </c>
    </row>
    <row r="399" spans="10:16">
      <c r="J399" s="5"/>
      <c r="L399">
        <f>FONO!M399</f>
        <v>-0.32009410500000002</v>
      </c>
      <c r="M399">
        <f>FONO!N399</f>
        <v>39.299999999999997</v>
      </c>
      <c r="O399">
        <f>ABS(L399-FONO!$C$34)</f>
        <v>4.1891412852756069</v>
      </c>
      <c r="P399">
        <f t="shared" si="7"/>
        <v>39.299999999999997</v>
      </c>
    </row>
    <row r="400" spans="10:16">
      <c r="J400" s="5"/>
      <c r="L400">
        <f>FONO!M400</f>
        <v>-0.31876624199999998</v>
      </c>
      <c r="M400">
        <f>FONO!N400</f>
        <v>39.4</v>
      </c>
      <c r="O400">
        <f>ABS(L400-FONO!$C$34)</f>
        <v>4.1904691482756071</v>
      </c>
      <c r="P400">
        <f t="shared" si="7"/>
        <v>39.4</v>
      </c>
    </row>
    <row r="401" spans="10:16">
      <c r="J401" s="5"/>
      <c r="L401">
        <f>FONO!M401</f>
        <v>-0.318219735</v>
      </c>
      <c r="M401">
        <f>FONO!N401</f>
        <v>39.5</v>
      </c>
      <c r="O401">
        <f>ABS(L401-FONO!$C$34)</f>
        <v>4.1910156552756064</v>
      </c>
      <c r="P401">
        <f t="shared" si="7"/>
        <v>39.5</v>
      </c>
    </row>
    <row r="402" spans="10:16">
      <c r="J402" s="5"/>
      <c r="L402">
        <f>FONO!M402</f>
        <v>-0.31767322799999997</v>
      </c>
      <c r="M402">
        <f>FONO!N402</f>
        <v>39.6</v>
      </c>
      <c r="O402">
        <f>ABS(L402-FONO!$C$34)</f>
        <v>4.1915621622756065</v>
      </c>
      <c r="P402">
        <f t="shared" si="7"/>
        <v>39.6</v>
      </c>
    </row>
    <row r="403" spans="10:16">
      <c r="J403" s="5"/>
      <c r="L403">
        <f>FONO!M403</f>
        <v>-0.31686681799999999</v>
      </c>
      <c r="M403">
        <f>FONO!N403</f>
        <v>39.700000000000003</v>
      </c>
      <c r="O403">
        <f>ABS(L403-FONO!$C$34)</f>
        <v>4.1923685722756066</v>
      </c>
      <c r="P403">
        <f t="shared" si="7"/>
        <v>39.700000000000003</v>
      </c>
    </row>
    <row r="404" spans="10:16">
      <c r="J404" s="5"/>
      <c r="L404">
        <f>FONO!M404</f>
        <v>-0.31605741199999998</v>
      </c>
      <c r="M404">
        <f>FONO!N404</f>
        <v>39.799999999999997</v>
      </c>
      <c r="O404">
        <f>ABS(L404-FONO!$C$34)</f>
        <v>4.1931779782756067</v>
      </c>
      <c r="P404">
        <f t="shared" si="7"/>
        <v>39.799999999999997</v>
      </c>
    </row>
    <row r="405" spans="10:16">
      <c r="J405" s="5"/>
      <c r="L405">
        <f>FONO!M405</f>
        <v>-0.31485424200000001</v>
      </c>
      <c r="M405">
        <f>FONO!N405</f>
        <v>39.9</v>
      </c>
      <c r="O405">
        <f>ABS(L405-FONO!$C$34)</f>
        <v>4.1943811482756068</v>
      </c>
      <c r="P405">
        <f t="shared" si="7"/>
        <v>39.9</v>
      </c>
    </row>
    <row r="406" spans="10:16">
      <c r="J406" s="5"/>
      <c r="L406">
        <f>FONO!M406</f>
        <v>-0.31122420000000001</v>
      </c>
      <c r="M406">
        <f>FONO!N406</f>
        <v>40</v>
      </c>
      <c r="O406">
        <f>ABS(L406-FONO!$C$34)</f>
        <v>4.198011190275607</v>
      </c>
      <c r="P406">
        <f t="shared" si="7"/>
        <v>40</v>
      </c>
    </row>
    <row r="407" spans="10:16">
      <c r="J407" s="5"/>
      <c r="L407">
        <f>FONO!M407</f>
        <v>-0.30759415800000001</v>
      </c>
      <c r="M407">
        <f>FONO!N407</f>
        <v>40.1</v>
      </c>
      <c r="O407">
        <f>ABS(L407-FONO!$C$34)</f>
        <v>4.2016412322756072</v>
      </c>
      <c r="P407">
        <f t="shared" si="7"/>
        <v>40.1</v>
      </c>
    </row>
    <row r="408" spans="10:16">
      <c r="J408" s="5"/>
      <c r="L408">
        <f>FONO!M408</f>
        <v>-0.30287190000000003</v>
      </c>
      <c r="M408">
        <f>FONO!N408</f>
        <v>40.200000000000003</v>
      </c>
      <c r="O408">
        <f>ABS(L408-FONO!$C$34)</f>
        <v>4.2063634902756064</v>
      </c>
      <c r="P408">
        <f t="shared" si="7"/>
        <v>40.200000000000003</v>
      </c>
    </row>
    <row r="409" spans="10:16">
      <c r="J409" s="5"/>
      <c r="L409">
        <f>FONO!M409</f>
        <v>-0.29548334999999998</v>
      </c>
      <c r="M409">
        <f>FONO!N409</f>
        <v>40.299999999999997</v>
      </c>
      <c r="O409">
        <f>ABS(L409-FONO!$C$34)</f>
        <v>4.2137520402756072</v>
      </c>
      <c r="P409">
        <f t="shared" si="7"/>
        <v>40.299999999999997</v>
      </c>
    </row>
    <row r="410" spans="10:16">
      <c r="J410" s="5"/>
      <c r="L410">
        <f>FONO!M410</f>
        <v>-0.28809479999999998</v>
      </c>
      <c r="M410">
        <f>FONO!N410</f>
        <v>40.4</v>
      </c>
      <c r="O410">
        <f>ABS(L410-FONO!$C$34)</f>
        <v>4.2211405902756072</v>
      </c>
      <c r="P410">
        <f t="shared" si="7"/>
        <v>40.4</v>
      </c>
    </row>
    <row r="411" spans="10:16">
      <c r="J411" s="5"/>
      <c r="L411">
        <f>FONO!M411</f>
        <v>-0.28260717000000002</v>
      </c>
      <c r="M411">
        <f>FONO!N411</f>
        <v>40.5</v>
      </c>
      <c r="O411">
        <f>ABS(L411-FONO!$C$34)</f>
        <v>4.2266282202756065</v>
      </c>
      <c r="P411">
        <f t="shared" si="7"/>
        <v>40.5</v>
      </c>
    </row>
    <row r="412" spans="10:16">
      <c r="J412" s="5"/>
      <c r="L412">
        <f>FONO!M412</f>
        <v>-0.27952328399999998</v>
      </c>
      <c r="M412">
        <f>FONO!N412</f>
        <v>40.6</v>
      </c>
      <c r="O412">
        <f>ABS(L412-FONO!$C$34)</f>
        <v>4.2297121062756071</v>
      </c>
      <c r="P412">
        <f t="shared" si="7"/>
        <v>40.6</v>
      </c>
    </row>
    <row r="413" spans="10:16">
      <c r="J413" s="5"/>
      <c r="L413">
        <f>FONO!M413</f>
        <v>-0.276439398</v>
      </c>
      <c r="M413">
        <f>FONO!N413</f>
        <v>40.700000000000003</v>
      </c>
      <c r="O413">
        <f>ABS(L413-FONO!$C$34)</f>
        <v>4.2327959922756069</v>
      </c>
      <c r="P413">
        <f t="shared" si="7"/>
        <v>40.700000000000003</v>
      </c>
    </row>
    <row r="414" spans="10:16">
      <c r="J414" s="5"/>
      <c r="L414">
        <f>FONO!M414</f>
        <v>-0.27489450399999998</v>
      </c>
      <c r="M414">
        <f>FONO!N414</f>
        <v>40.799999999999997</v>
      </c>
      <c r="O414">
        <f>ABS(L414-FONO!$C$34)</f>
        <v>4.2343408862756071</v>
      </c>
      <c r="P414">
        <f t="shared" si="7"/>
        <v>40.799999999999997</v>
      </c>
    </row>
    <row r="415" spans="10:16">
      <c r="J415" s="5"/>
      <c r="L415">
        <f>FONO!M415</f>
        <v>-0.27440766700000002</v>
      </c>
      <c r="M415">
        <f>FONO!N415</f>
        <v>40.9</v>
      </c>
      <c r="O415">
        <f>ABS(L415-FONO!$C$34)</f>
        <v>4.2348277232756066</v>
      </c>
      <c r="P415">
        <f t="shared" si="7"/>
        <v>40.9</v>
      </c>
    </row>
    <row r="416" spans="10:16">
      <c r="J416" s="5"/>
      <c r="L416">
        <f>FONO!M416</f>
        <v>-0.27392083</v>
      </c>
      <c r="M416">
        <f>FONO!N416</f>
        <v>41</v>
      </c>
      <c r="O416">
        <f>ABS(L416-FONO!$C$34)</f>
        <v>4.235314560275607</v>
      </c>
      <c r="P416">
        <f t="shared" si="7"/>
        <v>41</v>
      </c>
    </row>
    <row r="417" spans="10:16">
      <c r="J417" s="5"/>
      <c r="L417">
        <f>FONO!M417</f>
        <v>-0.27196038700000003</v>
      </c>
      <c r="M417">
        <f>FONO!N417</f>
        <v>41.1</v>
      </c>
      <c r="O417">
        <f>ABS(L417-FONO!$C$34)</f>
        <v>4.2372750032756068</v>
      </c>
      <c r="P417">
        <f t="shared" si="7"/>
        <v>41.1</v>
      </c>
    </row>
    <row r="418" spans="10:16">
      <c r="J418" s="5"/>
      <c r="L418">
        <f>FONO!M418</f>
        <v>-0.269491804</v>
      </c>
      <c r="M418">
        <f>FONO!N418</f>
        <v>41.2</v>
      </c>
      <c r="O418">
        <f>ABS(L418-FONO!$C$34)</f>
        <v>4.2397435862756065</v>
      </c>
      <c r="P418">
        <f t="shared" si="7"/>
        <v>41.2</v>
      </c>
    </row>
    <row r="419" spans="10:16">
      <c r="J419" s="5"/>
      <c r="L419">
        <f>FONO!M419</f>
        <v>-0.26702322099999998</v>
      </c>
      <c r="M419">
        <f>FONO!N419</f>
        <v>41.3</v>
      </c>
      <c r="O419">
        <f>ABS(L419-FONO!$C$34)</f>
        <v>4.2422121692756072</v>
      </c>
      <c r="P419">
        <f t="shared" si="7"/>
        <v>41.3</v>
      </c>
    </row>
    <row r="420" spans="10:16">
      <c r="J420" s="5"/>
      <c r="L420">
        <f>FONO!M420</f>
        <v>-0.265216864</v>
      </c>
      <c r="M420">
        <f>FONO!N420</f>
        <v>41.4</v>
      </c>
      <c r="O420">
        <f>ABS(L420-FONO!$C$34)</f>
        <v>4.2440185262756067</v>
      </c>
      <c r="P420">
        <f t="shared" si="7"/>
        <v>41.4</v>
      </c>
    </row>
    <row r="421" spans="10:16">
      <c r="J421" s="5"/>
      <c r="L421">
        <f>FONO!M421</f>
        <v>-0.26348853999999999</v>
      </c>
      <c r="M421">
        <f>FONO!N421</f>
        <v>41.5</v>
      </c>
      <c r="O421">
        <f>ABS(L421-FONO!$C$34)</f>
        <v>4.2457468502756068</v>
      </c>
      <c r="P421">
        <f t="shared" si="7"/>
        <v>41.5</v>
      </c>
    </row>
    <row r="422" spans="10:16">
      <c r="J422" s="5"/>
      <c r="L422">
        <f>FONO!M422</f>
        <v>-0.26147115999999998</v>
      </c>
      <c r="M422">
        <f>FONO!N422</f>
        <v>41.6</v>
      </c>
      <c r="O422">
        <f>ABS(L422-FONO!$C$34)</f>
        <v>4.2477642302756067</v>
      </c>
      <c r="P422">
        <f t="shared" si="7"/>
        <v>41.6</v>
      </c>
    </row>
    <row r="423" spans="10:16">
      <c r="J423" s="5"/>
      <c r="L423">
        <f>FONO!M423</f>
        <v>-0.25340167000000002</v>
      </c>
      <c r="M423">
        <f>FONO!N423</f>
        <v>41.7</v>
      </c>
      <c r="O423">
        <f>ABS(L423-FONO!$C$34)</f>
        <v>4.2558337202756071</v>
      </c>
      <c r="P423">
        <f t="shared" si="7"/>
        <v>41.7</v>
      </c>
    </row>
    <row r="424" spans="10:16">
      <c r="J424" s="5"/>
      <c r="L424">
        <f>FONO!M424</f>
        <v>-0.24533218000000001</v>
      </c>
      <c r="M424">
        <f>FONO!N424</f>
        <v>41.8</v>
      </c>
      <c r="O424">
        <f>ABS(L424-FONO!$C$34)</f>
        <v>4.2639032102756067</v>
      </c>
      <c r="P424">
        <f t="shared" si="7"/>
        <v>41.8</v>
      </c>
    </row>
    <row r="425" spans="10:16">
      <c r="J425" s="5"/>
      <c r="L425">
        <f>FONO!M425</f>
        <v>-0.23884900000000001</v>
      </c>
      <c r="M425">
        <f>FONO!N425</f>
        <v>41.9</v>
      </c>
      <c r="O425">
        <f>ABS(L425-FONO!$C$34)</f>
        <v>4.2703863902756067</v>
      </c>
      <c r="P425">
        <f t="shared" si="7"/>
        <v>41.9</v>
      </c>
    </row>
    <row r="426" spans="10:16">
      <c r="J426" s="5"/>
      <c r="L426">
        <f>FONO!M426</f>
        <v>-0.23884900000000001</v>
      </c>
      <c r="M426">
        <f>FONO!N426</f>
        <v>42</v>
      </c>
      <c r="O426">
        <f>ABS(L426-FONO!$C$34)</f>
        <v>4.2703863902756067</v>
      </c>
      <c r="P426">
        <f t="shared" si="7"/>
        <v>42</v>
      </c>
    </row>
    <row r="427" spans="10:16">
      <c r="J427" s="5"/>
      <c r="L427">
        <f>FONO!M427</f>
        <v>-0.23884900000000001</v>
      </c>
      <c r="M427">
        <f>FONO!N427</f>
        <v>42.1</v>
      </c>
      <c r="O427">
        <f>ABS(L427-FONO!$C$34)</f>
        <v>4.2703863902756067</v>
      </c>
      <c r="P427">
        <f t="shared" si="7"/>
        <v>42.1</v>
      </c>
    </row>
    <row r="428" spans="10:16">
      <c r="J428" s="5"/>
      <c r="L428">
        <f>FONO!M428</f>
        <v>-0.23686088799999999</v>
      </c>
      <c r="M428">
        <f>FONO!N428</f>
        <v>42.2</v>
      </c>
      <c r="O428">
        <f>ABS(L428-FONO!$C$34)</f>
        <v>4.272374502275607</v>
      </c>
      <c r="P428">
        <f t="shared" si="7"/>
        <v>42.2</v>
      </c>
    </row>
    <row r="429" spans="10:16">
      <c r="J429" s="5"/>
      <c r="L429">
        <f>FONO!M429</f>
        <v>-0.23114099199999999</v>
      </c>
      <c r="M429">
        <f>FONO!N429</f>
        <v>42.3</v>
      </c>
      <c r="O429">
        <f>ABS(L429-FONO!$C$34)</f>
        <v>4.2780943982756066</v>
      </c>
      <c r="P429">
        <f t="shared" si="7"/>
        <v>42.3</v>
      </c>
    </row>
    <row r="430" spans="10:16">
      <c r="J430" s="5"/>
      <c r="L430">
        <f>FONO!M430</f>
        <v>-0.22542109599999999</v>
      </c>
      <c r="M430">
        <f>FONO!N430</f>
        <v>42.4</v>
      </c>
      <c r="O430">
        <f>ABS(L430-FONO!$C$34)</f>
        <v>4.283814294275607</v>
      </c>
      <c r="P430">
        <f t="shared" si="7"/>
        <v>42.4</v>
      </c>
    </row>
    <row r="431" spans="10:16">
      <c r="J431" s="5"/>
      <c r="L431">
        <f>FONO!M431</f>
        <v>-0.22135179999999999</v>
      </c>
      <c r="M431">
        <f>FONO!N431</f>
        <v>42.5</v>
      </c>
      <c r="O431">
        <f>ABS(L431-FONO!$C$34)</f>
        <v>4.2878835902756069</v>
      </c>
      <c r="P431">
        <f t="shared" si="7"/>
        <v>42.5</v>
      </c>
    </row>
    <row r="432" spans="10:16">
      <c r="J432" s="5"/>
      <c r="L432">
        <f>FONO!M432</f>
        <v>-0.21894253599999999</v>
      </c>
      <c r="M432">
        <f>FONO!N432</f>
        <v>42.6</v>
      </c>
      <c r="O432">
        <f>ABS(L432-FONO!$C$34)</f>
        <v>4.2902928542756067</v>
      </c>
      <c r="P432">
        <f t="shared" si="7"/>
        <v>42.6</v>
      </c>
    </row>
    <row r="433" spans="10:16">
      <c r="J433" s="5"/>
      <c r="L433">
        <f>FONO!M433</f>
        <v>-0.216533272</v>
      </c>
      <c r="M433">
        <f>FONO!N433</f>
        <v>42.7</v>
      </c>
      <c r="O433">
        <f>ABS(L433-FONO!$C$34)</f>
        <v>4.2927021182756064</v>
      </c>
      <c r="P433">
        <f t="shared" si="7"/>
        <v>42.7</v>
      </c>
    </row>
    <row r="434" spans="10:16">
      <c r="J434" s="5"/>
      <c r="L434">
        <f>FONO!M434</f>
        <v>-0.215289544</v>
      </c>
      <c r="M434">
        <f>FONO!N434</f>
        <v>42.8</v>
      </c>
      <c r="O434">
        <f>ABS(L434-FONO!$C$34)</f>
        <v>4.2939458462756068</v>
      </c>
      <c r="P434">
        <f t="shared" si="7"/>
        <v>42.8</v>
      </c>
    </row>
    <row r="435" spans="10:16">
      <c r="J435" s="5"/>
      <c r="L435">
        <f>FONO!M435</f>
        <v>-0.214674592</v>
      </c>
      <c r="M435">
        <f>FONO!N435</f>
        <v>42.9</v>
      </c>
      <c r="O435">
        <f>ABS(L435-FONO!$C$34)</f>
        <v>4.2945607982756071</v>
      </c>
      <c r="P435">
        <f t="shared" si="7"/>
        <v>42.9</v>
      </c>
    </row>
    <row r="436" spans="10:16">
      <c r="J436" s="5"/>
      <c r="L436">
        <f>FONO!M436</f>
        <v>-0.21405964</v>
      </c>
      <c r="M436">
        <f>FONO!N436</f>
        <v>43</v>
      </c>
      <c r="O436">
        <f>ABS(L436-FONO!$C$34)</f>
        <v>4.2951757502756065</v>
      </c>
      <c r="P436">
        <f t="shared" si="7"/>
        <v>43</v>
      </c>
    </row>
    <row r="437" spans="10:16">
      <c r="J437" s="5"/>
      <c r="L437">
        <f>FONO!M437</f>
        <v>-0.210780246</v>
      </c>
      <c r="M437">
        <f>FONO!N437</f>
        <v>43.1</v>
      </c>
      <c r="O437">
        <f>ABS(L437-FONO!$C$34)</f>
        <v>4.2984551442756072</v>
      </c>
      <c r="P437">
        <f t="shared" si="7"/>
        <v>43.1</v>
      </c>
    </row>
    <row r="438" spans="10:16">
      <c r="J438" s="5"/>
      <c r="L438">
        <f>FONO!M438</f>
        <v>-0.20683711199999999</v>
      </c>
      <c r="M438">
        <f>FONO!N438</f>
        <v>43.2</v>
      </c>
      <c r="O438">
        <f>ABS(L438-FONO!$C$34)</f>
        <v>4.3023982782756072</v>
      </c>
      <c r="P438">
        <f t="shared" si="7"/>
        <v>43.2</v>
      </c>
    </row>
    <row r="439" spans="10:16">
      <c r="J439" s="5"/>
      <c r="L439">
        <f>FONO!M439</f>
        <v>-0.202893978</v>
      </c>
      <c r="M439">
        <f>FONO!N439</f>
        <v>43.3</v>
      </c>
      <c r="O439">
        <f>ABS(L439-FONO!$C$34)</f>
        <v>4.3063414122756072</v>
      </c>
      <c r="P439">
        <f t="shared" si="7"/>
        <v>43.3</v>
      </c>
    </row>
    <row r="440" spans="10:16">
      <c r="J440" s="5"/>
      <c r="L440">
        <f>FONO!M440</f>
        <v>-0.20135631200000001</v>
      </c>
      <c r="M440">
        <f>FONO!N440</f>
        <v>43.4</v>
      </c>
      <c r="O440">
        <f>ABS(L440-FONO!$C$34)</f>
        <v>4.3078790782756071</v>
      </c>
      <c r="P440">
        <f t="shared" si="7"/>
        <v>43.4</v>
      </c>
    </row>
    <row r="441" spans="10:16">
      <c r="J441" s="5"/>
      <c r="L441">
        <f>FONO!M441</f>
        <v>-0.19994107999999999</v>
      </c>
      <c r="M441">
        <f>FONO!N441</f>
        <v>43.5</v>
      </c>
      <c r="O441">
        <f>ABS(L441-FONO!$C$34)</f>
        <v>4.3092943102756065</v>
      </c>
      <c r="P441">
        <f t="shared" si="7"/>
        <v>43.5</v>
      </c>
    </row>
    <row r="442" spans="10:16">
      <c r="J442" s="5"/>
      <c r="L442">
        <f>FONO!M442</f>
        <v>-0.19862106800000001</v>
      </c>
      <c r="M442">
        <f>FONO!N442</f>
        <v>43.6</v>
      </c>
      <c r="O442">
        <f>ABS(L442-FONO!$C$34)</f>
        <v>4.3106143222756064</v>
      </c>
      <c r="P442">
        <f t="shared" si="7"/>
        <v>43.6</v>
      </c>
    </row>
    <row r="443" spans="10:16">
      <c r="J443" s="5"/>
      <c r="L443">
        <f>FONO!M443</f>
        <v>-0.19813423099999999</v>
      </c>
      <c r="M443">
        <f>FONO!N443</f>
        <v>43.7</v>
      </c>
      <c r="O443">
        <f>ABS(L443-FONO!$C$34)</f>
        <v>4.3111011592756068</v>
      </c>
      <c r="P443">
        <f t="shared" si="7"/>
        <v>43.7</v>
      </c>
    </row>
    <row r="444" spans="10:16">
      <c r="J444" s="5"/>
      <c r="L444">
        <f>FONO!M444</f>
        <v>-0.197647394</v>
      </c>
      <c r="M444">
        <f>FONO!N444</f>
        <v>43.8</v>
      </c>
      <c r="O444">
        <f>ABS(L444-FONO!$C$34)</f>
        <v>4.3115879962756072</v>
      </c>
      <c r="P444">
        <f t="shared" si="7"/>
        <v>43.8</v>
      </c>
    </row>
    <row r="445" spans="10:16">
      <c r="J445" s="5"/>
      <c r="L445">
        <f>FONO!M445</f>
        <v>-0.19634602900000001</v>
      </c>
      <c r="M445">
        <f>FONO!N445</f>
        <v>43.9</v>
      </c>
      <c r="O445">
        <f>ABS(L445-FONO!$C$34)</f>
        <v>4.312889361275607</v>
      </c>
      <c r="P445">
        <f t="shared" si="7"/>
        <v>43.9</v>
      </c>
    </row>
    <row r="446" spans="10:16">
      <c r="J446" s="5"/>
      <c r="L446">
        <f>FONO!M446</f>
        <v>-0.19264684000000001</v>
      </c>
      <c r="M446">
        <f>FONO!N446</f>
        <v>44</v>
      </c>
      <c r="O446">
        <f>ABS(L446-FONO!$C$34)</f>
        <v>4.3165885502756067</v>
      </c>
      <c r="P446">
        <f t="shared" si="7"/>
        <v>44</v>
      </c>
    </row>
    <row r="447" spans="10:16">
      <c r="J447" s="5"/>
      <c r="L447">
        <f>FONO!M447</f>
        <v>-0.18894765099999999</v>
      </c>
      <c r="M447">
        <f>FONO!N447</f>
        <v>44.1</v>
      </c>
      <c r="O447">
        <f>ABS(L447-FONO!$C$34)</f>
        <v>4.3202877392756065</v>
      </c>
      <c r="P447">
        <f t="shared" si="7"/>
        <v>44.1</v>
      </c>
    </row>
    <row r="448" spans="10:16">
      <c r="J448" s="5"/>
      <c r="L448">
        <f>FONO!M448</f>
        <v>-0.18582483999999999</v>
      </c>
      <c r="M448">
        <f>FONO!N448</f>
        <v>44.2</v>
      </c>
      <c r="O448">
        <f>ABS(L448-FONO!$C$34)</f>
        <v>4.3234105502756073</v>
      </c>
      <c r="P448">
        <f t="shared" si="7"/>
        <v>44.2</v>
      </c>
    </row>
    <row r="449" spans="10:16">
      <c r="J449" s="5"/>
      <c r="L449">
        <f>FONO!M449</f>
        <v>-0.18355036</v>
      </c>
      <c r="M449">
        <f>FONO!N449</f>
        <v>44.3</v>
      </c>
      <c r="O449">
        <f>ABS(L449-FONO!$C$34)</f>
        <v>4.3256850302756069</v>
      </c>
      <c r="P449">
        <f t="shared" si="7"/>
        <v>44.3</v>
      </c>
    </row>
    <row r="450" spans="10:16">
      <c r="J450" s="5"/>
      <c r="L450">
        <f>FONO!M450</f>
        <v>-0.18127588</v>
      </c>
      <c r="M450">
        <f>FONO!N450</f>
        <v>44.4</v>
      </c>
      <c r="O450">
        <f>ABS(L450-FONO!$C$34)</f>
        <v>4.3279595102756065</v>
      </c>
      <c r="P450">
        <f t="shared" si="7"/>
        <v>44.4</v>
      </c>
    </row>
    <row r="451" spans="10:16">
      <c r="J451" s="5"/>
      <c r="L451">
        <f>FONO!M451</f>
        <v>-0.18012421000000001</v>
      </c>
      <c r="M451">
        <f>FONO!N451</f>
        <v>44.5</v>
      </c>
      <c r="O451">
        <f>ABS(L451-FONO!$C$34)</f>
        <v>4.329111180275607</v>
      </c>
      <c r="P451">
        <f t="shared" si="7"/>
        <v>44.5</v>
      </c>
    </row>
    <row r="452" spans="10:16">
      <c r="J452" s="5"/>
      <c r="L452">
        <f>FONO!M452</f>
        <v>-0.179870788</v>
      </c>
      <c r="M452">
        <f>FONO!N452</f>
        <v>44.6</v>
      </c>
      <c r="O452">
        <f>ABS(L452-FONO!$C$34)</f>
        <v>4.3293646022756072</v>
      </c>
      <c r="P452">
        <f t="shared" si="7"/>
        <v>44.6</v>
      </c>
    </row>
    <row r="453" spans="10:16">
      <c r="J453" s="5"/>
      <c r="L453">
        <f>FONO!M453</f>
        <v>-0.179617366</v>
      </c>
      <c r="M453">
        <f>FONO!N453</f>
        <v>44.7</v>
      </c>
      <c r="O453">
        <f>ABS(L453-FONO!$C$34)</f>
        <v>4.3296180242756073</v>
      </c>
      <c r="P453">
        <f t="shared" si="7"/>
        <v>44.7</v>
      </c>
    </row>
    <row r="454" spans="10:16">
      <c r="J454" s="5"/>
      <c r="L454">
        <f>FONO!M454</f>
        <v>-0.17541305600000001</v>
      </c>
      <c r="M454">
        <f>FONO!N454</f>
        <v>44.8</v>
      </c>
      <c r="O454">
        <f>ABS(L454-FONO!$C$34)</f>
        <v>4.3338223342756068</v>
      </c>
      <c r="P454">
        <f t="shared" si="7"/>
        <v>44.8</v>
      </c>
    </row>
    <row r="455" spans="10:16">
      <c r="J455" s="5"/>
      <c r="L455">
        <f>FONO!M455</f>
        <v>-0.16956785299999999</v>
      </c>
      <c r="M455">
        <f>FONO!N455</f>
        <v>44.9</v>
      </c>
      <c r="O455">
        <f>ABS(L455-FONO!$C$34)</f>
        <v>4.3396675372756066</v>
      </c>
      <c r="P455">
        <f t="shared" ref="P455:P518" si="8">M455</f>
        <v>44.9</v>
      </c>
    </row>
    <row r="456" spans="10:16">
      <c r="J456" s="5"/>
      <c r="L456">
        <f>FONO!M456</f>
        <v>-0.16372265</v>
      </c>
      <c r="M456">
        <f>FONO!N456</f>
        <v>45</v>
      </c>
      <c r="O456">
        <f>ABS(L456-FONO!$C$34)</f>
        <v>4.3455127402756064</v>
      </c>
      <c r="P456">
        <f t="shared" si="8"/>
        <v>45</v>
      </c>
    </row>
    <row r="457" spans="10:16">
      <c r="J457" s="5"/>
      <c r="L457">
        <f>FONO!M457</f>
        <v>-0.16289000000000001</v>
      </c>
      <c r="M457">
        <f>FONO!N457</f>
        <v>45.1</v>
      </c>
      <c r="O457">
        <f>ABS(L457-FONO!$C$34)</f>
        <v>4.3463453902756068</v>
      </c>
      <c r="P457">
        <f t="shared" si="8"/>
        <v>45.1</v>
      </c>
    </row>
    <row r="458" spans="10:16">
      <c r="J458" s="5"/>
      <c r="L458">
        <f>FONO!M458</f>
        <v>-0.16289000000000001</v>
      </c>
      <c r="M458">
        <f>FONO!N458</f>
        <v>45.2</v>
      </c>
      <c r="O458">
        <f>ABS(L458-FONO!$C$34)</f>
        <v>4.3463453902756068</v>
      </c>
      <c r="P458">
        <f t="shared" si="8"/>
        <v>45.2</v>
      </c>
    </row>
    <row r="459" spans="10:16">
      <c r="J459" s="5"/>
      <c r="L459">
        <f>FONO!M459</f>
        <v>-0.162858383</v>
      </c>
      <c r="M459">
        <f>FONO!N459</f>
        <v>45.3</v>
      </c>
      <c r="O459">
        <f>ABS(L459-FONO!$C$34)</f>
        <v>4.3463770072756072</v>
      </c>
      <c r="P459">
        <f t="shared" si="8"/>
        <v>45.3</v>
      </c>
    </row>
    <row r="460" spans="10:16">
      <c r="J460" s="5"/>
      <c r="L460">
        <f>FONO!M460</f>
        <v>-0.159159194</v>
      </c>
      <c r="M460">
        <f>FONO!N460</f>
        <v>45.4</v>
      </c>
      <c r="O460">
        <f>ABS(L460-FONO!$C$34)</f>
        <v>4.3500761962756069</v>
      </c>
      <c r="P460">
        <f t="shared" si="8"/>
        <v>45.4</v>
      </c>
    </row>
    <row r="461" spans="10:16">
      <c r="J461" s="5"/>
      <c r="L461">
        <f>FONO!M461</f>
        <v>-0.15546000500000001</v>
      </c>
      <c r="M461">
        <f>FONO!N461</f>
        <v>45.5</v>
      </c>
      <c r="O461">
        <f>ABS(L461-FONO!$C$34)</f>
        <v>4.3537753852756067</v>
      </c>
      <c r="P461">
        <f t="shared" si="8"/>
        <v>45.5</v>
      </c>
    </row>
    <row r="462" spans="10:16">
      <c r="J462" s="5"/>
      <c r="L462">
        <f>FONO!M462</f>
        <v>-0.151839048</v>
      </c>
      <c r="M462">
        <f>FONO!N462</f>
        <v>45.6</v>
      </c>
      <c r="O462">
        <f>ABS(L462-FONO!$C$34)</f>
        <v>4.3573963422756066</v>
      </c>
      <c r="P462">
        <f t="shared" si="8"/>
        <v>45.6</v>
      </c>
    </row>
    <row r="463" spans="10:16">
      <c r="J463" s="5"/>
      <c r="L463">
        <f>FONO!M463</f>
        <v>-0.14863020599999999</v>
      </c>
      <c r="M463">
        <f>FONO!N463</f>
        <v>45.7</v>
      </c>
      <c r="O463">
        <f>ABS(L463-FONO!$C$34)</f>
        <v>4.3606051842756068</v>
      </c>
      <c r="P463">
        <f t="shared" si="8"/>
        <v>45.7</v>
      </c>
    </row>
    <row r="464" spans="10:16">
      <c r="J464" s="5"/>
      <c r="L464">
        <f>FONO!M464</f>
        <v>-0.145421364</v>
      </c>
      <c r="M464">
        <f>FONO!N464</f>
        <v>45.8</v>
      </c>
      <c r="O464">
        <f>ABS(L464-FONO!$C$34)</f>
        <v>4.3638140262756071</v>
      </c>
      <c r="P464">
        <f t="shared" si="8"/>
        <v>45.8</v>
      </c>
    </row>
    <row r="465" spans="10:16">
      <c r="J465" s="5"/>
      <c r="L465">
        <f>FONO!M465</f>
        <v>-0.14301792299999999</v>
      </c>
      <c r="M465">
        <f>FONO!N465</f>
        <v>45.9</v>
      </c>
      <c r="O465">
        <f>ABS(L465-FONO!$C$34)</f>
        <v>4.3662174672756064</v>
      </c>
      <c r="P465">
        <f t="shared" si="8"/>
        <v>45.9</v>
      </c>
    </row>
    <row r="466" spans="10:16">
      <c r="J466" s="5"/>
      <c r="L466">
        <f>FONO!M466</f>
        <v>-0.14240262000000001</v>
      </c>
      <c r="M466">
        <f>FONO!N466</f>
        <v>46</v>
      </c>
      <c r="O466">
        <f>ABS(L466-FONO!$C$34)</f>
        <v>4.3668327702756065</v>
      </c>
      <c r="P466">
        <f t="shared" si="8"/>
        <v>46</v>
      </c>
    </row>
    <row r="467" spans="10:16">
      <c r="J467" s="5"/>
      <c r="L467">
        <f>FONO!M467</f>
        <v>-0.141787317</v>
      </c>
      <c r="M467">
        <f>FONO!N467</f>
        <v>46.1</v>
      </c>
      <c r="O467">
        <f>ABS(L467-FONO!$C$34)</f>
        <v>4.3674480732756065</v>
      </c>
      <c r="P467">
        <f t="shared" si="8"/>
        <v>46.1</v>
      </c>
    </row>
    <row r="468" spans="10:16">
      <c r="J468" s="5"/>
      <c r="L468">
        <f>FONO!M468</f>
        <v>-0.14120376600000001</v>
      </c>
      <c r="M468">
        <f>FONO!N468</f>
        <v>46.2</v>
      </c>
      <c r="O468">
        <f>ABS(L468-FONO!$C$34)</f>
        <v>4.3680316242756065</v>
      </c>
      <c r="P468">
        <f t="shared" si="8"/>
        <v>46.2</v>
      </c>
    </row>
    <row r="469" spans="10:16">
      <c r="J469" s="5"/>
      <c r="L469">
        <f>FONO!M469</f>
        <v>-0.14065725900000001</v>
      </c>
      <c r="M469">
        <f>FONO!N469</f>
        <v>46.3</v>
      </c>
      <c r="O469">
        <f>ABS(L469-FONO!$C$34)</f>
        <v>4.3685781312756067</v>
      </c>
      <c r="P469">
        <f t="shared" si="8"/>
        <v>46.3</v>
      </c>
    </row>
    <row r="470" spans="10:16">
      <c r="J470" s="5"/>
      <c r="L470">
        <f>FONO!M470</f>
        <v>-0.14011075200000001</v>
      </c>
      <c r="M470">
        <f>FONO!N470</f>
        <v>46.4</v>
      </c>
      <c r="O470">
        <f>ABS(L470-FONO!$C$34)</f>
        <v>4.3691246382756068</v>
      </c>
      <c r="P470">
        <f t="shared" si="8"/>
        <v>46.4</v>
      </c>
    </row>
    <row r="471" spans="10:16">
      <c r="J471" s="5"/>
      <c r="L471">
        <f>FONO!M471</f>
        <v>-0.139366875</v>
      </c>
      <c r="M471">
        <f>FONO!N471</f>
        <v>46.5</v>
      </c>
      <c r="O471">
        <f>ABS(L471-FONO!$C$34)</f>
        <v>4.3698685152756065</v>
      </c>
      <c r="P471">
        <f t="shared" si="8"/>
        <v>46.5</v>
      </c>
    </row>
    <row r="472" spans="10:16">
      <c r="J472" s="5"/>
      <c r="L472">
        <f>FONO!M472</f>
        <v>-0.13849814999999999</v>
      </c>
      <c r="M472">
        <f>FONO!N472</f>
        <v>46.6</v>
      </c>
      <c r="O472">
        <f>ABS(L472-FONO!$C$34)</f>
        <v>4.3707372402756066</v>
      </c>
      <c r="P472">
        <f t="shared" si="8"/>
        <v>46.6</v>
      </c>
    </row>
    <row r="473" spans="10:16">
      <c r="J473" s="5"/>
      <c r="L473">
        <f>FONO!M473</f>
        <v>-0.137629425</v>
      </c>
      <c r="M473">
        <f>FONO!N473</f>
        <v>46.7</v>
      </c>
      <c r="O473">
        <f>ABS(L473-FONO!$C$34)</f>
        <v>4.3716059652756067</v>
      </c>
      <c r="P473">
        <f t="shared" si="8"/>
        <v>46.7</v>
      </c>
    </row>
    <row r="474" spans="10:16">
      <c r="J474" s="5"/>
      <c r="L474">
        <f>FONO!M474</f>
        <v>-0.13676793600000001</v>
      </c>
      <c r="M474">
        <f>FONO!N474</f>
        <v>46.8</v>
      </c>
      <c r="O474">
        <f>ABS(L474-FONO!$C$34)</f>
        <v>4.3724674542756068</v>
      </c>
      <c r="P474">
        <f t="shared" si="8"/>
        <v>46.8</v>
      </c>
    </row>
    <row r="475" spans="10:16">
      <c r="J475" s="5"/>
      <c r="L475">
        <f>FONO!M475</f>
        <v>-0.135908688</v>
      </c>
      <c r="M475">
        <f>FONO!N475</f>
        <v>46.9</v>
      </c>
      <c r="O475">
        <f>ABS(L475-FONO!$C$34)</f>
        <v>4.373326702275607</v>
      </c>
      <c r="P475">
        <f t="shared" si="8"/>
        <v>46.9</v>
      </c>
    </row>
    <row r="476" spans="10:16">
      <c r="J476" s="5"/>
      <c r="L476">
        <f>FONO!M476</f>
        <v>-0.13504943999999999</v>
      </c>
      <c r="M476">
        <f>FONO!N476</f>
        <v>47</v>
      </c>
      <c r="O476">
        <f>ABS(L476-FONO!$C$34)</f>
        <v>4.3741859502756064</v>
      </c>
      <c r="P476">
        <f t="shared" si="8"/>
        <v>47</v>
      </c>
    </row>
    <row r="477" spans="10:16">
      <c r="J477" s="5"/>
      <c r="L477">
        <f>FONO!M477</f>
        <v>-0.131093505</v>
      </c>
      <c r="M477">
        <f>FONO!N477</f>
        <v>47.1</v>
      </c>
      <c r="O477">
        <f>ABS(L477-FONO!$C$34)</f>
        <v>4.3781418852756069</v>
      </c>
      <c r="P477">
        <f t="shared" si="8"/>
        <v>47.1</v>
      </c>
    </row>
    <row r="478" spans="10:16">
      <c r="J478" s="5"/>
      <c r="L478">
        <f>FONO!M478</f>
        <v>-0.12684815999999999</v>
      </c>
      <c r="M478">
        <f>FONO!N478</f>
        <v>47.2</v>
      </c>
      <c r="O478">
        <f>ABS(L478-FONO!$C$34)</f>
        <v>4.3823872302756071</v>
      </c>
      <c r="P478">
        <f t="shared" si="8"/>
        <v>47.2</v>
      </c>
    </row>
    <row r="479" spans="10:16">
      <c r="J479" s="5"/>
      <c r="L479">
        <f>FONO!M479</f>
        <v>-0.122881</v>
      </c>
      <c r="M479">
        <f>FONO!N479</f>
        <v>47.3</v>
      </c>
      <c r="O479">
        <f>ABS(L479-FONO!$C$34)</f>
        <v>4.3863543902756073</v>
      </c>
      <c r="P479">
        <f t="shared" si="8"/>
        <v>47.3</v>
      </c>
    </row>
    <row r="480" spans="10:16">
      <c r="J480" s="5"/>
      <c r="L480">
        <f>FONO!M480</f>
        <v>-0.122881</v>
      </c>
      <c r="M480">
        <f>FONO!N480</f>
        <v>47.4</v>
      </c>
      <c r="O480">
        <f>ABS(L480-FONO!$C$34)</f>
        <v>4.3863543902756073</v>
      </c>
      <c r="P480">
        <f t="shared" si="8"/>
        <v>47.4</v>
      </c>
    </row>
    <row r="481" spans="10:16">
      <c r="J481" s="5"/>
      <c r="L481">
        <f>FONO!M481</f>
        <v>-0.122881</v>
      </c>
      <c r="M481">
        <f>FONO!N481</f>
        <v>47.5</v>
      </c>
      <c r="O481">
        <f>ABS(L481-FONO!$C$34)</f>
        <v>4.3863543902756073</v>
      </c>
      <c r="P481">
        <f t="shared" si="8"/>
        <v>47.5</v>
      </c>
    </row>
    <row r="482" spans="10:16">
      <c r="J482" s="5"/>
      <c r="L482">
        <f>FONO!M482</f>
        <v>-0.122213264</v>
      </c>
      <c r="M482">
        <f>FONO!N482</f>
        <v>47.6</v>
      </c>
      <c r="O482">
        <f>ABS(L482-FONO!$C$34)</f>
        <v>4.3870221262756068</v>
      </c>
      <c r="P482">
        <f t="shared" si="8"/>
        <v>47.6</v>
      </c>
    </row>
    <row r="483" spans="10:16">
      <c r="J483" s="5"/>
      <c r="L483">
        <f>FONO!M483</f>
        <v>-0.11912937799999999</v>
      </c>
      <c r="M483">
        <f>FONO!N483</f>
        <v>47.7</v>
      </c>
      <c r="O483">
        <f>ABS(L483-FONO!$C$34)</f>
        <v>4.3901060122756066</v>
      </c>
      <c r="P483">
        <f t="shared" si="8"/>
        <v>47.7</v>
      </c>
    </row>
    <row r="484" spans="10:16">
      <c r="J484" s="5"/>
      <c r="L484">
        <f>FONO!M484</f>
        <v>-0.116045492</v>
      </c>
      <c r="M484">
        <f>FONO!N484</f>
        <v>47.8</v>
      </c>
      <c r="O484">
        <f>ABS(L484-FONO!$C$34)</f>
        <v>4.3931898982756072</v>
      </c>
      <c r="P484">
        <f t="shared" si="8"/>
        <v>47.8</v>
      </c>
    </row>
    <row r="485" spans="10:16">
      <c r="J485" s="5"/>
      <c r="L485">
        <f>FONO!M485</f>
        <v>-0.11256002900000001</v>
      </c>
      <c r="M485">
        <f>FONO!N485</f>
        <v>47.9</v>
      </c>
      <c r="O485">
        <f>ABS(L485-FONO!$C$34)</f>
        <v>4.3966753612756069</v>
      </c>
      <c r="P485">
        <f t="shared" si="8"/>
        <v>47.9</v>
      </c>
    </row>
    <row r="486" spans="10:16">
      <c r="J486" s="5"/>
      <c r="L486">
        <f>FONO!M486</f>
        <v>-0.10838348</v>
      </c>
      <c r="M486">
        <f>FONO!N486</f>
        <v>48</v>
      </c>
      <c r="O486">
        <f>ABS(L486-FONO!$C$34)</f>
        <v>4.4008519102756072</v>
      </c>
      <c r="P486">
        <f t="shared" si="8"/>
        <v>48</v>
      </c>
    </row>
    <row r="487" spans="10:16">
      <c r="J487" s="5"/>
      <c r="L487">
        <f>FONO!M487</f>
        <v>-0.104206931</v>
      </c>
      <c r="M487">
        <f>FONO!N487</f>
        <v>48.1</v>
      </c>
      <c r="O487">
        <f>ABS(L487-FONO!$C$34)</f>
        <v>4.4050284592756066</v>
      </c>
      <c r="P487">
        <f t="shared" si="8"/>
        <v>48.1</v>
      </c>
    </row>
    <row r="488" spans="10:16">
      <c r="J488" s="5"/>
      <c r="L488">
        <f>FONO!M488</f>
        <v>-0.10193301</v>
      </c>
      <c r="M488">
        <f>FONO!N488</f>
        <v>48.2</v>
      </c>
      <c r="O488">
        <f>ABS(L488-FONO!$C$34)</f>
        <v>4.4073023802756071</v>
      </c>
      <c r="P488">
        <f t="shared" si="8"/>
        <v>48.2</v>
      </c>
    </row>
    <row r="489" spans="10:16">
      <c r="J489" s="5"/>
      <c r="L489">
        <f>FONO!M489</f>
        <v>-0.101425815</v>
      </c>
      <c r="M489">
        <f>FONO!N489</f>
        <v>48.3</v>
      </c>
      <c r="O489">
        <f>ABS(L489-FONO!$C$34)</f>
        <v>4.407809575275607</v>
      </c>
      <c r="P489">
        <f t="shared" si="8"/>
        <v>48.3</v>
      </c>
    </row>
    <row r="490" spans="10:16">
      <c r="J490" s="5"/>
      <c r="L490">
        <f>FONO!M490</f>
        <v>-0.10091862</v>
      </c>
      <c r="M490">
        <f>FONO!N490</f>
        <v>48.4</v>
      </c>
      <c r="O490">
        <f>ABS(L490-FONO!$C$34)</f>
        <v>4.408316770275607</v>
      </c>
      <c r="P490">
        <f t="shared" si="8"/>
        <v>48.4</v>
      </c>
    </row>
    <row r="491" spans="10:16">
      <c r="J491" s="5"/>
      <c r="L491">
        <f>FONO!M491</f>
        <v>-9.8979805000000101E-2</v>
      </c>
      <c r="M491">
        <f>FONO!N491</f>
        <v>48.5</v>
      </c>
      <c r="O491">
        <f>ABS(L491-FONO!$C$34)</f>
        <v>4.4102555852756069</v>
      </c>
      <c r="P491">
        <f t="shared" si="8"/>
        <v>48.5</v>
      </c>
    </row>
    <row r="492" spans="10:16">
      <c r="J492" s="5"/>
      <c r="L492">
        <f>FONO!M492</f>
        <v>-9.6334318000000099E-2</v>
      </c>
      <c r="M492">
        <f>FONO!N492</f>
        <v>48.6</v>
      </c>
      <c r="O492">
        <f>ABS(L492-FONO!$C$34)</f>
        <v>4.4129010722756066</v>
      </c>
      <c r="P492">
        <f t="shared" si="8"/>
        <v>48.6</v>
      </c>
    </row>
    <row r="493" spans="10:16">
      <c r="J493" s="5"/>
      <c r="L493">
        <f>FONO!M493</f>
        <v>-9.3688831000000097E-2</v>
      </c>
      <c r="M493">
        <f>FONO!N493</f>
        <v>48.7</v>
      </c>
      <c r="O493">
        <f>ABS(L493-FONO!$C$34)</f>
        <v>4.4155465592756071</v>
      </c>
      <c r="P493">
        <f t="shared" si="8"/>
        <v>48.7</v>
      </c>
    </row>
    <row r="494" spans="10:16">
      <c r="J494" s="5"/>
      <c r="L494">
        <f>FONO!M494</f>
        <v>-9.1693360000000099E-2</v>
      </c>
      <c r="M494">
        <f>FONO!N494</f>
        <v>48.8</v>
      </c>
      <c r="O494">
        <f>ABS(L494-FONO!$C$34)</f>
        <v>4.417542030275607</v>
      </c>
      <c r="P494">
        <f t="shared" si="8"/>
        <v>48.8</v>
      </c>
    </row>
    <row r="495" spans="10:16">
      <c r="J495" s="5"/>
      <c r="L495">
        <f>FONO!M495</f>
        <v>-8.9840079999999906E-2</v>
      </c>
      <c r="M495">
        <f>FONO!N495</f>
        <v>48.9</v>
      </c>
      <c r="O495">
        <f>ABS(L495-FONO!$C$34)</f>
        <v>4.4193953102756067</v>
      </c>
      <c r="P495">
        <f t="shared" si="8"/>
        <v>48.9</v>
      </c>
    </row>
    <row r="496" spans="10:16">
      <c r="J496" s="5"/>
      <c r="L496">
        <f>FONO!M496</f>
        <v>-8.7986799999999907E-2</v>
      </c>
      <c r="M496">
        <f>FONO!N496</f>
        <v>49</v>
      </c>
      <c r="O496">
        <f>ABS(L496-FONO!$C$34)</f>
        <v>4.4212485902756073</v>
      </c>
      <c r="P496">
        <f t="shared" si="8"/>
        <v>49</v>
      </c>
    </row>
    <row r="497" spans="10:16">
      <c r="J497" s="5"/>
      <c r="L497">
        <f>FONO!M497</f>
        <v>-8.7336568000000003E-2</v>
      </c>
      <c r="M497">
        <f>FONO!N497</f>
        <v>49.1</v>
      </c>
      <c r="O497">
        <f>ABS(L497-FONO!$C$34)</f>
        <v>4.4218988222756064</v>
      </c>
      <c r="P497">
        <f t="shared" si="8"/>
        <v>49.1</v>
      </c>
    </row>
    <row r="498" spans="10:16">
      <c r="J498" s="5"/>
      <c r="L498">
        <f>FONO!M498</f>
        <v>-8.6721616000000001E-2</v>
      </c>
      <c r="M498">
        <f>FONO!N498</f>
        <v>49.2</v>
      </c>
      <c r="O498">
        <f>ABS(L498-FONO!$C$34)</f>
        <v>4.4225137742756067</v>
      </c>
      <c r="P498">
        <f t="shared" si="8"/>
        <v>49.2</v>
      </c>
    </row>
    <row r="499" spans="10:16">
      <c r="J499" s="5"/>
      <c r="L499">
        <f>FONO!M499</f>
        <v>-8.6083960000000001E-2</v>
      </c>
      <c r="M499">
        <f>FONO!N499</f>
        <v>49.3</v>
      </c>
      <c r="O499">
        <f>ABS(L499-FONO!$C$34)</f>
        <v>4.423151430275607</v>
      </c>
      <c r="P499">
        <f t="shared" si="8"/>
        <v>49.3</v>
      </c>
    </row>
    <row r="500" spans="10:16">
      <c r="J500" s="5"/>
      <c r="L500">
        <f>FONO!M500</f>
        <v>-8.5283680000000001E-2</v>
      </c>
      <c r="M500">
        <f>FONO!N500</f>
        <v>49.4</v>
      </c>
      <c r="O500">
        <f>ABS(L500-FONO!$C$34)</f>
        <v>4.423951710275607</v>
      </c>
      <c r="P500">
        <f t="shared" si="8"/>
        <v>49.4</v>
      </c>
    </row>
    <row r="501" spans="10:16">
      <c r="J501" s="5"/>
      <c r="L501">
        <f>FONO!M501</f>
        <v>-8.44834E-2</v>
      </c>
      <c r="M501">
        <f>FONO!N501</f>
        <v>49.5</v>
      </c>
      <c r="O501">
        <f>ABS(L501-FONO!$C$34)</f>
        <v>4.4247519902756069</v>
      </c>
      <c r="P501">
        <f t="shared" si="8"/>
        <v>49.5</v>
      </c>
    </row>
    <row r="502" spans="10:16">
      <c r="J502" s="5"/>
      <c r="L502">
        <f>FONO!M502</f>
        <v>-8.2303311999999906E-2</v>
      </c>
      <c r="M502">
        <f>FONO!N502</f>
        <v>49.6</v>
      </c>
      <c r="O502">
        <f>ABS(L502-FONO!$C$34)</f>
        <v>4.4269320782756072</v>
      </c>
      <c r="P502">
        <f t="shared" si="8"/>
        <v>49.6</v>
      </c>
    </row>
    <row r="503" spans="10:16">
      <c r="J503" s="5"/>
      <c r="L503">
        <f>FONO!M503</f>
        <v>-7.6458108999999996E-2</v>
      </c>
      <c r="M503">
        <f>FONO!N503</f>
        <v>49.7</v>
      </c>
      <c r="O503">
        <f>ABS(L503-FONO!$C$34)</f>
        <v>4.432777281275607</v>
      </c>
      <c r="P503">
        <f t="shared" si="8"/>
        <v>49.7</v>
      </c>
    </row>
    <row r="504" spans="10:16">
      <c r="J504" s="5"/>
      <c r="L504">
        <f>FONO!M504</f>
        <v>-7.0612906000000003E-2</v>
      </c>
      <c r="M504">
        <f>FONO!N504</f>
        <v>49.8</v>
      </c>
      <c r="O504">
        <f>ABS(L504-FONO!$C$34)</f>
        <v>4.4386224842756068</v>
      </c>
      <c r="P504">
        <f t="shared" si="8"/>
        <v>49.8</v>
      </c>
    </row>
    <row r="505" spans="10:16">
      <c r="J505" s="5"/>
      <c r="L505">
        <f>FONO!M505</f>
        <v>-6.5472174999999994E-2</v>
      </c>
      <c r="M505">
        <f>FONO!N505</f>
        <v>49.9</v>
      </c>
      <c r="O505">
        <f>ABS(L505-FONO!$C$34)</f>
        <v>4.4437632152756068</v>
      </c>
      <c r="P505">
        <f t="shared" si="8"/>
        <v>49.9</v>
      </c>
    </row>
    <row r="506" spans="10:16">
      <c r="J506" s="5"/>
      <c r="L506">
        <f>FONO!M506</f>
        <v>-6.1286500000000001E-2</v>
      </c>
      <c r="M506">
        <f>FONO!N506</f>
        <v>50</v>
      </c>
      <c r="O506">
        <f>ABS(L506-FONO!$C$34)</f>
        <v>4.4479488902756072</v>
      </c>
      <c r="P506">
        <f t="shared" si="8"/>
        <v>50</v>
      </c>
    </row>
    <row r="507" spans="10:16">
      <c r="J507" s="5"/>
      <c r="L507">
        <f>FONO!M507</f>
        <v>-5.7100825000000001E-2</v>
      </c>
      <c r="M507">
        <f>FONO!N507</f>
        <v>50.1</v>
      </c>
      <c r="O507">
        <f>ABS(L507-FONO!$C$34)</f>
        <v>4.4521345652756068</v>
      </c>
      <c r="P507">
        <f t="shared" si="8"/>
        <v>50.1</v>
      </c>
    </row>
    <row r="508" spans="10:16">
      <c r="J508" s="5"/>
      <c r="L508">
        <f>FONO!M508</f>
        <v>-5.4789709999999998E-2</v>
      </c>
      <c r="M508">
        <f>FONO!N508</f>
        <v>50.2</v>
      </c>
      <c r="O508">
        <f>ABS(L508-FONO!$C$34)</f>
        <v>4.4544456802756072</v>
      </c>
      <c r="P508">
        <f t="shared" si="8"/>
        <v>50.2</v>
      </c>
    </row>
    <row r="509" spans="10:16">
      <c r="J509" s="5"/>
      <c r="L509">
        <f>FONO!M509</f>
        <v>-5.3861315E-2</v>
      </c>
      <c r="M509">
        <f>FONO!N509</f>
        <v>50.3</v>
      </c>
      <c r="O509">
        <f>ABS(L509-FONO!$C$34)</f>
        <v>4.455374075275607</v>
      </c>
      <c r="P509">
        <f t="shared" si="8"/>
        <v>50.3</v>
      </c>
    </row>
    <row r="510" spans="10:16">
      <c r="J510" s="5"/>
      <c r="L510">
        <f>FONO!M510</f>
        <v>-5.2932920000000001E-2</v>
      </c>
      <c r="M510">
        <f>FONO!N510</f>
        <v>50.4</v>
      </c>
      <c r="O510">
        <f>ABS(L510-FONO!$C$34)</f>
        <v>4.4563024702756069</v>
      </c>
      <c r="P510">
        <f t="shared" si="8"/>
        <v>50.4</v>
      </c>
    </row>
    <row r="511" spans="10:16">
      <c r="J511" s="5"/>
      <c r="L511">
        <f>FONO!M511</f>
        <v>-5.0928935000000002E-2</v>
      </c>
      <c r="M511">
        <f>FONO!N511</f>
        <v>50.5</v>
      </c>
      <c r="O511">
        <f>ABS(L511-FONO!$C$34)</f>
        <v>4.4583064552756069</v>
      </c>
      <c r="P511">
        <f t="shared" si="8"/>
        <v>50.5</v>
      </c>
    </row>
    <row r="512" spans="10:16">
      <c r="J512" s="5"/>
      <c r="L512">
        <f>FONO!M512</f>
        <v>-4.8520022000000003E-2</v>
      </c>
      <c r="M512">
        <f>FONO!N512</f>
        <v>50.6</v>
      </c>
      <c r="O512">
        <f>ABS(L512-FONO!$C$34)</f>
        <v>4.4607153682756069</v>
      </c>
      <c r="P512">
        <f t="shared" si="8"/>
        <v>50.6</v>
      </c>
    </row>
    <row r="513" spans="10:16">
      <c r="J513" s="5"/>
      <c r="L513">
        <f>FONO!M513</f>
        <v>-4.6111108999999997E-2</v>
      </c>
      <c r="M513">
        <f>FONO!N513</f>
        <v>50.7</v>
      </c>
      <c r="O513">
        <f>ABS(L513-FONO!$C$34)</f>
        <v>4.4631242812756069</v>
      </c>
      <c r="P513">
        <f t="shared" si="8"/>
        <v>50.7</v>
      </c>
    </row>
    <row r="514" spans="10:16">
      <c r="J514" s="5"/>
      <c r="L514">
        <f>FONO!M514</f>
        <v>-4.4574144000000003E-2</v>
      </c>
      <c r="M514">
        <f>FONO!N514</f>
        <v>50.8</v>
      </c>
      <c r="O514">
        <f>ABS(L514-FONO!$C$34)</f>
        <v>4.4646612462756066</v>
      </c>
      <c r="P514">
        <f t="shared" si="8"/>
        <v>50.8</v>
      </c>
    </row>
    <row r="515" spans="10:16">
      <c r="J515" s="5"/>
      <c r="L515">
        <f>FONO!M515</f>
        <v>-4.3158912000000001E-2</v>
      </c>
      <c r="M515">
        <f>FONO!N515</f>
        <v>50.9</v>
      </c>
      <c r="O515">
        <f>ABS(L515-FONO!$C$34)</f>
        <v>4.4660764782756068</v>
      </c>
      <c r="P515">
        <f t="shared" si="8"/>
        <v>50.9</v>
      </c>
    </row>
    <row r="516" spans="10:16">
      <c r="J516" s="5"/>
      <c r="L516">
        <f>FONO!M516</f>
        <v>-4.1671660000000103E-2</v>
      </c>
      <c r="M516">
        <f>FONO!N516</f>
        <v>51</v>
      </c>
      <c r="O516">
        <f>ABS(L516-FONO!$C$34)</f>
        <v>4.4675637302756064</v>
      </c>
      <c r="P516">
        <f t="shared" si="8"/>
        <v>51</v>
      </c>
    </row>
    <row r="517" spans="10:16">
      <c r="J517" s="5"/>
      <c r="L517">
        <f>FONO!M517</f>
        <v>-3.7728526000000102E-2</v>
      </c>
      <c r="M517">
        <f>FONO!N517</f>
        <v>51.1</v>
      </c>
      <c r="O517">
        <f>ABS(L517-FONO!$C$34)</f>
        <v>4.4715068642756064</v>
      </c>
      <c r="P517">
        <f t="shared" si="8"/>
        <v>51.1</v>
      </c>
    </row>
    <row r="518" spans="10:16">
      <c r="J518" s="5"/>
      <c r="L518">
        <f>FONO!M518</f>
        <v>-3.3785391999999803E-2</v>
      </c>
      <c r="M518">
        <f>FONO!N518</f>
        <v>51.2</v>
      </c>
      <c r="O518">
        <f>ABS(L518-FONO!$C$34)</f>
        <v>4.4754499982756073</v>
      </c>
      <c r="P518">
        <f t="shared" si="8"/>
        <v>51.2</v>
      </c>
    </row>
    <row r="519" spans="10:16">
      <c r="J519" s="5"/>
      <c r="L519">
        <f>FONO!M519</f>
        <v>-3.03415329999999E-2</v>
      </c>
      <c r="M519">
        <f>FONO!N519</f>
        <v>51.3</v>
      </c>
      <c r="O519">
        <f>ABS(L519-FONO!$C$34)</f>
        <v>4.4788938572756072</v>
      </c>
      <c r="P519">
        <f t="shared" ref="P519:P582" si="9">M519</f>
        <v>51.3</v>
      </c>
    </row>
    <row r="520" spans="10:16">
      <c r="J520" s="5"/>
      <c r="L520">
        <f>FONO!M520</f>
        <v>-2.91800739999999E-2</v>
      </c>
      <c r="M520">
        <f>FONO!N520</f>
        <v>51.4</v>
      </c>
      <c r="O520">
        <f>ABS(L520-FONO!$C$34)</f>
        <v>4.4800553162756067</v>
      </c>
      <c r="P520">
        <f t="shared" si="9"/>
        <v>51.4</v>
      </c>
    </row>
    <row r="521" spans="10:16">
      <c r="J521" s="5"/>
      <c r="L521">
        <f>FONO!M521</f>
        <v>-2.8018615E-2</v>
      </c>
      <c r="M521">
        <f>FONO!N521</f>
        <v>51.5</v>
      </c>
      <c r="O521">
        <f>ABS(L521-FONO!$C$34)</f>
        <v>4.4812167752756071</v>
      </c>
      <c r="P521">
        <f t="shared" si="9"/>
        <v>51.5</v>
      </c>
    </row>
    <row r="522" spans="10:16">
      <c r="J522" s="5"/>
      <c r="L522">
        <f>FONO!M522</f>
        <v>-2.7176852000000001E-2</v>
      </c>
      <c r="M522">
        <f>FONO!N522</f>
        <v>51.6</v>
      </c>
      <c r="O522">
        <f>ABS(L522-FONO!$C$34)</f>
        <v>4.4820585382756066</v>
      </c>
      <c r="P522">
        <f t="shared" si="9"/>
        <v>51.6</v>
      </c>
    </row>
    <row r="523" spans="10:16">
      <c r="J523" s="5"/>
      <c r="L523">
        <f>FONO!M523</f>
        <v>-2.6982749E-2</v>
      </c>
      <c r="M523">
        <f>FONO!N523</f>
        <v>51.7</v>
      </c>
      <c r="O523">
        <f>ABS(L523-FONO!$C$34)</f>
        <v>4.4822526412756067</v>
      </c>
      <c r="P523">
        <f t="shared" si="9"/>
        <v>51.7</v>
      </c>
    </row>
    <row r="524" spans="10:16">
      <c r="J524" s="5"/>
      <c r="L524">
        <f>FONO!M524</f>
        <v>-2.6788645999999999E-2</v>
      </c>
      <c r="M524">
        <f>FONO!N524</f>
        <v>51.8</v>
      </c>
      <c r="O524">
        <f>ABS(L524-FONO!$C$34)</f>
        <v>4.4824467442756069</v>
      </c>
      <c r="P524">
        <f t="shared" si="9"/>
        <v>51.8</v>
      </c>
    </row>
    <row r="525" spans="10:16">
      <c r="J525" s="5"/>
      <c r="L525">
        <f>FONO!M525</f>
        <v>-2.6424867000000001E-2</v>
      </c>
      <c r="M525">
        <f>FONO!N525</f>
        <v>51.9</v>
      </c>
      <c r="O525">
        <f>ABS(L525-FONO!$C$34)</f>
        <v>4.4828105232756066</v>
      </c>
      <c r="P525">
        <f t="shared" si="9"/>
        <v>51.9</v>
      </c>
    </row>
    <row r="526" spans="10:16">
      <c r="J526" s="5"/>
      <c r="L526">
        <f>FONO!M526</f>
        <v>-2.587836E-2</v>
      </c>
      <c r="M526">
        <f>FONO!N526</f>
        <v>52</v>
      </c>
      <c r="O526">
        <f>ABS(L526-FONO!$C$34)</f>
        <v>4.4833570302756067</v>
      </c>
      <c r="P526">
        <f t="shared" si="9"/>
        <v>52</v>
      </c>
    </row>
    <row r="527" spans="10:16">
      <c r="J527" s="5"/>
      <c r="L527">
        <f>FONO!M527</f>
        <v>-2.5331853000000001E-2</v>
      </c>
      <c r="M527">
        <f>FONO!N527</f>
        <v>52.1</v>
      </c>
      <c r="O527">
        <f>ABS(L527-FONO!$C$34)</f>
        <v>4.4839035372756069</v>
      </c>
      <c r="P527">
        <f t="shared" si="9"/>
        <v>52.1</v>
      </c>
    </row>
    <row r="528" spans="10:16">
      <c r="J528" s="5"/>
      <c r="L528">
        <f>FONO!M528</f>
        <v>-2.5087488000000002E-2</v>
      </c>
      <c r="M528">
        <f>FONO!N528</f>
        <v>52.2</v>
      </c>
      <c r="O528">
        <f>ABS(L528-FONO!$C$34)</f>
        <v>4.4841479022756072</v>
      </c>
      <c r="P528">
        <f t="shared" si="9"/>
        <v>52.2</v>
      </c>
    </row>
    <row r="529" spans="10:16">
      <c r="J529" s="5"/>
      <c r="L529">
        <f>FONO!M529</f>
        <v>-2.5018691999999999E-2</v>
      </c>
      <c r="M529">
        <f>FONO!N529</f>
        <v>52.3</v>
      </c>
      <c r="O529">
        <f>ABS(L529-FONO!$C$34)</f>
        <v>4.4842166982756071</v>
      </c>
      <c r="P529">
        <f t="shared" si="9"/>
        <v>52.3</v>
      </c>
    </row>
    <row r="530" spans="10:16">
      <c r="J530" s="5"/>
      <c r="L530">
        <f>FONO!M530</f>
        <v>-2.4949895999999999E-2</v>
      </c>
      <c r="M530">
        <f>FONO!N530</f>
        <v>52.4</v>
      </c>
      <c r="O530">
        <f>ABS(L530-FONO!$C$34)</f>
        <v>4.484285494275607</v>
      </c>
      <c r="P530">
        <f t="shared" si="9"/>
        <v>52.4</v>
      </c>
    </row>
    <row r="531" spans="10:16">
      <c r="J531" s="5"/>
      <c r="L531">
        <f>FONO!M531</f>
        <v>-2.4308275000000001E-2</v>
      </c>
      <c r="M531">
        <f>FONO!N531</f>
        <v>52.5</v>
      </c>
      <c r="O531">
        <f>ABS(L531-FONO!$C$34)</f>
        <v>4.4849271152756067</v>
      </c>
      <c r="P531">
        <f t="shared" si="9"/>
        <v>52.5</v>
      </c>
    </row>
    <row r="532" spans="10:16">
      <c r="J532" s="5"/>
      <c r="L532">
        <f>FONO!M532</f>
        <v>-2.3508345999999999E-2</v>
      </c>
      <c r="M532">
        <f>FONO!N532</f>
        <v>52.6</v>
      </c>
      <c r="O532">
        <f>ABS(L532-FONO!$C$34)</f>
        <v>4.485727044275607</v>
      </c>
      <c r="P532">
        <f t="shared" si="9"/>
        <v>52.6</v>
      </c>
    </row>
    <row r="533" spans="10:16">
      <c r="J533" s="5"/>
      <c r="L533">
        <f>FONO!M533</f>
        <v>-2.2708417000000002E-2</v>
      </c>
      <c r="M533">
        <f>FONO!N533</f>
        <v>52.7</v>
      </c>
      <c r="O533">
        <f>ABS(L533-FONO!$C$34)</f>
        <v>4.4865269732756072</v>
      </c>
      <c r="P533">
        <f t="shared" si="9"/>
        <v>52.7</v>
      </c>
    </row>
    <row r="534" spans="10:16">
      <c r="J534" s="5"/>
      <c r="L534">
        <f>FONO!M534</f>
        <v>-2.1853055999999999E-2</v>
      </c>
      <c r="M534">
        <f>FONO!N534</f>
        <v>52.8</v>
      </c>
      <c r="O534">
        <f>ABS(L534-FONO!$C$34)</f>
        <v>4.4873823342756065</v>
      </c>
      <c r="P534">
        <f t="shared" si="9"/>
        <v>52.8</v>
      </c>
    </row>
    <row r="535" spans="10:16">
      <c r="J535" s="5"/>
      <c r="L535">
        <f>FONO!M535</f>
        <v>-2.0993807999999999E-2</v>
      </c>
      <c r="M535">
        <f>FONO!N535</f>
        <v>52.9</v>
      </c>
      <c r="O535">
        <f>ABS(L535-FONO!$C$34)</f>
        <v>4.4882415822756068</v>
      </c>
      <c r="P535">
        <f t="shared" si="9"/>
        <v>52.9</v>
      </c>
    </row>
    <row r="536" spans="10:16">
      <c r="J536" s="5"/>
      <c r="L536">
        <f>FONO!M536</f>
        <v>-2.016051E-2</v>
      </c>
      <c r="M536">
        <f>FONO!N536</f>
        <v>53</v>
      </c>
      <c r="O536">
        <f>ABS(L536-FONO!$C$34)</f>
        <v>4.4890748802756066</v>
      </c>
      <c r="P536">
        <f t="shared" si="9"/>
        <v>53</v>
      </c>
    </row>
    <row r="537" spans="10:16">
      <c r="J537" s="5"/>
      <c r="L537">
        <f>FONO!M537</f>
        <v>-1.9604877E-2</v>
      </c>
      <c r="M537">
        <f>FONO!N537</f>
        <v>53.1</v>
      </c>
      <c r="O537">
        <f>ABS(L537-FONO!$C$34)</f>
        <v>4.4896305132756069</v>
      </c>
      <c r="P537">
        <f t="shared" si="9"/>
        <v>53.1</v>
      </c>
    </row>
    <row r="538" spans="10:16">
      <c r="J538" s="5"/>
      <c r="L538">
        <f>FONO!M538</f>
        <v>-1.9049244E-2</v>
      </c>
      <c r="M538">
        <f>FONO!N538</f>
        <v>53.2</v>
      </c>
      <c r="O538">
        <f>ABS(L538-FONO!$C$34)</f>
        <v>4.4901861462756072</v>
      </c>
      <c r="P538">
        <f t="shared" si="9"/>
        <v>53.2</v>
      </c>
    </row>
    <row r="539" spans="10:16">
      <c r="J539" s="5"/>
      <c r="L539">
        <f>FONO!M539</f>
        <v>-1.8610890000000001E-2</v>
      </c>
      <c r="M539">
        <f>FONO!N539</f>
        <v>53.3</v>
      </c>
      <c r="O539">
        <f>ABS(L539-FONO!$C$34)</f>
        <v>4.4906245002756071</v>
      </c>
      <c r="P539">
        <f t="shared" si="9"/>
        <v>53.3</v>
      </c>
    </row>
    <row r="540" spans="10:16">
      <c r="J540" s="5"/>
      <c r="L540">
        <f>FONO!M540</f>
        <v>-1.855122E-2</v>
      </c>
      <c r="M540">
        <f>FONO!N540</f>
        <v>53.4</v>
      </c>
      <c r="O540">
        <f>ABS(L540-FONO!$C$34)</f>
        <v>4.4906841702756068</v>
      </c>
      <c r="P540">
        <f t="shared" si="9"/>
        <v>53.4</v>
      </c>
    </row>
    <row r="541" spans="10:16">
      <c r="J541" s="5"/>
      <c r="L541">
        <f>FONO!M541</f>
        <v>-1.8491549999999999E-2</v>
      </c>
      <c r="M541">
        <f>FONO!N541</f>
        <v>53.5</v>
      </c>
      <c r="O541">
        <f>ABS(L541-FONO!$C$34)</f>
        <v>4.4907438402756066</v>
      </c>
      <c r="P541">
        <f t="shared" si="9"/>
        <v>53.5</v>
      </c>
    </row>
    <row r="542" spans="10:16">
      <c r="J542" s="5"/>
      <c r="L542">
        <f>FONO!M542</f>
        <v>-1.7668239999999901E-2</v>
      </c>
      <c r="M542">
        <f>FONO!N542</f>
        <v>53.6</v>
      </c>
      <c r="O542">
        <f>ABS(L542-FONO!$C$34)</f>
        <v>4.4915671502756069</v>
      </c>
      <c r="P542">
        <f t="shared" si="9"/>
        <v>53.6</v>
      </c>
    </row>
    <row r="543" spans="10:16">
      <c r="J543" s="5"/>
      <c r="L543">
        <f>FONO!M543</f>
        <v>-1.5637704999999901E-2</v>
      </c>
      <c r="M543">
        <f>FONO!N543</f>
        <v>53.7</v>
      </c>
      <c r="O543">
        <f>ABS(L543-FONO!$C$34)</f>
        <v>4.4935976852756072</v>
      </c>
      <c r="P543">
        <f t="shared" si="9"/>
        <v>53.7</v>
      </c>
    </row>
    <row r="544" spans="10:16">
      <c r="J544" s="5"/>
      <c r="L544">
        <f>FONO!M544</f>
        <v>-1.3607169999999899E-2</v>
      </c>
      <c r="M544">
        <f>FONO!N544</f>
        <v>53.8</v>
      </c>
      <c r="O544">
        <f>ABS(L544-FONO!$C$34)</f>
        <v>4.4956282202756066</v>
      </c>
      <c r="P544">
        <f t="shared" si="9"/>
        <v>53.8</v>
      </c>
    </row>
    <row r="545" spans="10:16">
      <c r="J545" s="5"/>
      <c r="L545">
        <f>FONO!M545</f>
        <v>-9.8168559999996796E-3</v>
      </c>
      <c r="M545">
        <f>FONO!N545</f>
        <v>53.9</v>
      </c>
      <c r="O545">
        <f>ABS(L545-FONO!$C$34)</f>
        <v>4.4994185342756072</v>
      </c>
      <c r="P545">
        <f t="shared" si="9"/>
        <v>53.9</v>
      </c>
    </row>
    <row r="546" spans="10:16">
      <c r="J546" s="5"/>
      <c r="L546">
        <f>FONO!M546</f>
        <v>-4.5181599999996897E-3</v>
      </c>
      <c r="M546">
        <f>FONO!N546</f>
        <v>54</v>
      </c>
      <c r="O546">
        <f>ABS(L546-FONO!$C$34)</f>
        <v>4.5047172302756069</v>
      </c>
      <c r="P546">
        <f t="shared" si="9"/>
        <v>54</v>
      </c>
    </row>
    <row r="547" spans="10:16">
      <c r="J547" s="5"/>
      <c r="L547">
        <f>FONO!M547</f>
        <v>7.8053600000029498E-4</v>
      </c>
      <c r="M547">
        <f>FONO!N547</f>
        <v>54.1</v>
      </c>
      <c r="O547">
        <f>ABS(L547-FONO!$C$34)</f>
        <v>4.5100159262756074</v>
      </c>
      <c r="P547">
        <f t="shared" si="9"/>
        <v>54.1</v>
      </c>
    </row>
    <row r="548" spans="10:16">
      <c r="J548" s="5"/>
      <c r="L548">
        <f>FONO!M548</f>
        <v>2.9363780000000398E-3</v>
      </c>
      <c r="M548">
        <f>FONO!N548</f>
        <v>54.2</v>
      </c>
      <c r="O548">
        <f>ABS(L548-FONO!$C$34)</f>
        <v>4.5121717682756071</v>
      </c>
      <c r="P548">
        <f t="shared" si="9"/>
        <v>54.2</v>
      </c>
    </row>
    <row r="549" spans="10:16">
      <c r="J549" s="5"/>
      <c r="L549">
        <f>FONO!M549</f>
        <v>3.6766370000000399E-3</v>
      </c>
      <c r="M549">
        <f>FONO!N549</f>
        <v>54.3</v>
      </c>
      <c r="O549">
        <f>ABS(L549-FONO!$C$34)</f>
        <v>4.5129120272756067</v>
      </c>
      <c r="P549">
        <f t="shared" si="9"/>
        <v>54.3</v>
      </c>
    </row>
    <row r="550" spans="10:16">
      <c r="J550" s="5"/>
      <c r="L550">
        <f>FONO!M550</f>
        <v>4.4168960000000399E-3</v>
      </c>
      <c r="M550">
        <f>FONO!N550</f>
        <v>54.4</v>
      </c>
      <c r="O550">
        <f>ABS(L550-FONO!$C$34)</f>
        <v>4.5136522862756072</v>
      </c>
      <c r="P550">
        <f t="shared" si="9"/>
        <v>54.4</v>
      </c>
    </row>
    <row r="551" spans="10:16">
      <c r="J551" s="5"/>
      <c r="L551">
        <f>FONO!M551</f>
        <v>6.6097350000001104E-3</v>
      </c>
      <c r="M551">
        <f>FONO!N551</f>
        <v>54.5</v>
      </c>
      <c r="O551">
        <f>ABS(L551-FONO!$C$34)</f>
        <v>4.5158451252756073</v>
      </c>
      <c r="P551">
        <f t="shared" si="9"/>
        <v>54.5</v>
      </c>
    </row>
    <row r="552" spans="10:16">
      <c r="J552" s="5"/>
      <c r="L552">
        <f>FONO!M552</f>
        <v>9.0783180000001094E-3</v>
      </c>
      <c r="M552">
        <f>FONO!N552</f>
        <v>54.6</v>
      </c>
      <c r="O552">
        <f>ABS(L552-FONO!$C$34)</f>
        <v>4.5183137082756071</v>
      </c>
      <c r="P552">
        <f t="shared" si="9"/>
        <v>54.6</v>
      </c>
    </row>
    <row r="553" spans="10:16">
      <c r="J553" s="5"/>
      <c r="L553">
        <f>FONO!M553</f>
        <v>1.1546901000000101E-2</v>
      </c>
      <c r="M553">
        <f>FONO!N553</f>
        <v>54.7</v>
      </c>
      <c r="O553">
        <f>ABS(L553-FONO!$C$34)</f>
        <v>4.5207822912756068</v>
      </c>
      <c r="P553">
        <f t="shared" si="9"/>
        <v>54.7</v>
      </c>
    </row>
    <row r="554" spans="10:16">
      <c r="J554" s="5"/>
      <c r="L554">
        <f>FONO!M554</f>
        <v>1.2719879999999999E-2</v>
      </c>
      <c r="M554">
        <f>FONO!N554</f>
        <v>54.8</v>
      </c>
      <c r="O554">
        <f>ABS(L554-FONO!$C$34)</f>
        <v>4.5219552702756065</v>
      </c>
      <c r="P554">
        <f t="shared" si="9"/>
        <v>54.8</v>
      </c>
    </row>
    <row r="555" spans="10:16">
      <c r="J555" s="5"/>
      <c r="L555">
        <f>FONO!M555</f>
        <v>1.388169E-2</v>
      </c>
      <c r="M555">
        <f>FONO!N555</f>
        <v>54.9</v>
      </c>
      <c r="O555">
        <f>ABS(L555-FONO!$C$34)</f>
        <v>4.5231170802756067</v>
      </c>
      <c r="P555">
        <f t="shared" si="9"/>
        <v>54.9</v>
      </c>
    </row>
    <row r="556" spans="10:16">
      <c r="J556" s="5"/>
      <c r="L556">
        <f>FONO!M556</f>
        <v>1.5563450000000201E-2</v>
      </c>
      <c r="M556">
        <f>FONO!N556</f>
        <v>55</v>
      </c>
      <c r="O556">
        <f>ABS(L556-FONO!$C$34)</f>
        <v>4.524798840275607</v>
      </c>
      <c r="P556">
        <f t="shared" si="9"/>
        <v>55</v>
      </c>
    </row>
    <row r="557" spans="10:16">
      <c r="J557" s="5"/>
      <c r="L557">
        <f>FONO!M557</f>
        <v>2.0375309000000098E-2</v>
      </c>
      <c r="M557">
        <f>FONO!N557</f>
        <v>55.1</v>
      </c>
      <c r="O557">
        <f>ABS(L557-FONO!$C$34)</f>
        <v>4.5296106992756071</v>
      </c>
      <c r="P557">
        <f t="shared" si="9"/>
        <v>55.1</v>
      </c>
    </row>
    <row r="558" spans="10:16">
      <c r="J558" s="5"/>
      <c r="L558">
        <f>FONO!M558</f>
        <v>2.51871680000001E-2</v>
      </c>
      <c r="M558">
        <f>FONO!N558</f>
        <v>55.2</v>
      </c>
      <c r="O558">
        <f>ABS(L558-FONO!$C$34)</f>
        <v>4.5344225582756073</v>
      </c>
      <c r="P558">
        <f t="shared" si="9"/>
        <v>55.2</v>
      </c>
    </row>
    <row r="559" spans="10:16">
      <c r="J559" s="5"/>
      <c r="L559">
        <f>FONO!M559</f>
        <v>2.8729860999999999E-2</v>
      </c>
      <c r="M559">
        <f>FONO!N559</f>
        <v>55.3</v>
      </c>
      <c r="O559">
        <f>ABS(L559-FONO!$C$34)</f>
        <v>4.5379652512756072</v>
      </c>
      <c r="P559">
        <f t="shared" si="9"/>
        <v>55.3</v>
      </c>
    </row>
    <row r="560" spans="10:16">
      <c r="J560" s="5"/>
      <c r="L560">
        <f>FONO!M560</f>
        <v>2.9216697999999999E-2</v>
      </c>
      <c r="M560">
        <f>FONO!N560</f>
        <v>55.4</v>
      </c>
      <c r="O560">
        <f>ABS(L560-FONO!$C$34)</f>
        <v>4.5384520882756068</v>
      </c>
      <c r="P560">
        <f t="shared" si="9"/>
        <v>55.4</v>
      </c>
    </row>
    <row r="561" spans="10:16">
      <c r="J561" s="5"/>
      <c r="L561">
        <f>FONO!M561</f>
        <v>2.9703535E-2</v>
      </c>
      <c r="M561">
        <f>FONO!N561</f>
        <v>55.5</v>
      </c>
      <c r="O561">
        <f>ABS(L561-FONO!$C$34)</f>
        <v>4.5389389252756072</v>
      </c>
      <c r="P561">
        <f t="shared" si="9"/>
        <v>55.5</v>
      </c>
    </row>
    <row r="562" spans="10:16">
      <c r="J562" s="5"/>
      <c r="L562">
        <f>FONO!M562</f>
        <v>3.1097667999999998E-2</v>
      </c>
      <c r="M562">
        <f>FONO!N562</f>
        <v>55.6</v>
      </c>
      <c r="O562">
        <f>ABS(L562-FONO!$C$34)</f>
        <v>4.540333058275607</v>
      </c>
      <c r="P562">
        <f t="shared" si="9"/>
        <v>55.6</v>
      </c>
    </row>
    <row r="563" spans="10:16">
      <c r="J563" s="5"/>
      <c r="L563">
        <f>FONO!M563</f>
        <v>3.3625921000000003E-2</v>
      </c>
      <c r="M563">
        <f>FONO!N563</f>
        <v>55.7</v>
      </c>
      <c r="O563">
        <f>ABS(L563-FONO!$C$34)</f>
        <v>4.5428613112756064</v>
      </c>
      <c r="P563">
        <f t="shared" si="9"/>
        <v>55.7</v>
      </c>
    </row>
    <row r="564" spans="10:16">
      <c r="J564" s="5"/>
      <c r="L564">
        <f>FONO!M564</f>
        <v>3.6154173999999997E-2</v>
      </c>
      <c r="M564">
        <f>FONO!N564</f>
        <v>55.8</v>
      </c>
      <c r="O564">
        <f>ABS(L564-FONO!$C$34)</f>
        <v>4.5453895642756068</v>
      </c>
      <c r="P564">
        <f t="shared" si="9"/>
        <v>55.8</v>
      </c>
    </row>
    <row r="565" spans="10:16">
      <c r="J565" s="5"/>
      <c r="L565">
        <f>FONO!M565</f>
        <v>4.00710230000004E-2</v>
      </c>
      <c r="M565">
        <f>FONO!N565</f>
        <v>55.9</v>
      </c>
      <c r="O565">
        <f>ABS(L565-FONO!$C$34)</f>
        <v>4.5493064132756071</v>
      </c>
      <c r="P565">
        <f t="shared" si="9"/>
        <v>55.9</v>
      </c>
    </row>
    <row r="566" spans="10:16">
      <c r="J566" s="5"/>
      <c r="L566">
        <f>FONO!M566</f>
        <v>4.4931320000000399E-2</v>
      </c>
      <c r="M566">
        <f>FONO!N566</f>
        <v>56</v>
      </c>
      <c r="O566">
        <f>ABS(L566-FONO!$C$34)</f>
        <v>4.5541667102756076</v>
      </c>
      <c r="P566">
        <f t="shared" si="9"/>
        <v>56</v>
      </c>
    </row>
    <row r="567" spans="10:16">
      <c r="J567" s="5"/>
      <c r="L567">
        <f>FONO!M567</f>
        <v>4.9791617000000399E-2</v>
      </c>
      <c r="M567">
        <f>FONO!N567</f>
        <v>56.1</v>
      </c>
      <c r="O567">
        <f>ABS(L567-FONO!$C$34)</f>
        <v>4.5590270072756072</v>
      </c>
      <c r="P567">
        <f t="shared" si="9"/>
        <v>56.1</v>
      </c>
    </row>
    <row r="568" spans="10:16">
      <c r="J568" s="5"/>
      <c r="L568">
        <f>FONO!M568</f>
        <v>5.1168885999999997E-2</v>
      </c>
      <c r="M568">
        <f>FONO!N568</f>
        <v>56.2</v>
      </c>
      <c r="O568">
        <f>ABS(L568-FONO!$C$34)</f>
        <v>4.560404276275607</v>
      </c>
      <c r="P568">
        <f t="shared" si="9"/>
        <v>56.2</v>
      </c>
    </row>
    <row r="569" spans="10:16">
      <c r="J569" s="5"/>
      <c r="L569">
        <f>FONO!M569</f>
        <v>5.1362988999999998E-2</v>
      </c>
      <c r="M569">
        <f>FONO!N569</f>
        <v>56.3</v>
      </c>
      <c r="O569">
        <f>ABS(L569-FONO!$C$34)</f>
        <v>4.5605983792756071</v>
      </c>
      <c r="P569">
        <f t="shared" si="9"/>
        <v>56.3</v>
      </c>
    </row>
    <row r="570" spans="10:16">
      <c r="J570" s="5"/>
      <c r="L570">
        <f>FONO!M570</f>
        <v>5.1557091999999999E-2</v>
      </c>
      <c r="M570">
        <f>FONO!N570</f>
        <v>56.4</v>
      </c>
      <c r="O570">
        <f>ABS(L570-FONO!$C$34)</f>
        <v>4.5607924822756072</v>
      </c>
      <c r="P570">
        <f t="shared" si="9"/>
        <v>56.4</v>
      </c>
    </row>
    <row r="571" spans="10:16">
      <c r="J571" s="5"/>
      <c r="L571">
        <f>FONO!M571</f>
        <v>5.1576999999999998E-2</v>
      </c>
      <c r="M571">
        <f>FONO!N571</f>
        <v>56.5</v>
      </c>
      <c r="O571">
        <f>ABS(L571-FONO!$C$34)</f>
        <v>4.5608123902756068</v>
      </c>
      <c r="P571">
        <f t="shared" si="9"/>
        <v>56.5</v>
      </c>
    </row>
    <row r="572" spans="10:16">
      <c r="J572" s="5"/>
      <c r="L572">
        <f>FONO!M572</f>
        <v>5.1576999999999998E-2</v>
      </c>
      <c r="M572">
        <f>FONO!N572</f>
        <v>56.6</v>
      </c>
      <c r="O572">
        <f>ABS(L572-FONO!$C$34)</f>
        <v>4.5608123902756068</v>
      </c>
      <c r="P572">
        <f t="shared" si="9"/>
        <v>56.6</v>
      </c>
    </row>
    <row r="573" spans="10:16">
      <c r="J573" s="5"/>
      <c r="L573">
        <f>FONO!M573</f>
        <v>5.1836522000000398E-2</v>
      </c>
      <c r="M573">
        <f>FONO!N573</f>
        <v>56.7</v>
      </c>
      <c r="O573">
        <f>ABS(L573-FONO!$C$34)</f>
        <v>4.5610719122756072</v>
      </c>
      <c r="P573">
        <f t="shared" si="9"/>
        <v>56.7</v>
      </c>
    </row>
    <row r="574" spans="10:16">
      <c r="J574" s="5"/>
      <c r="L574">
        <f>FONO!M574</f>
        <v>5.7194888000000402E-2</v>
      </c>
      <c r="M574">
        <f>FONO!N574</f>
        <v>56.8</v>
      </c>
      <c r="O574">
        <f>ABS(L574-FONO!$C$34)</f>
        <v>4.5664302782756074</v>
      </c>
      <c r="P574">
        <f t="shared" si="9"/>
        <v>56.8</v>
      </c>
    </row>
    <row r="575" spans="10:16">
      <c r="J575" s="5"/>
      <c r="L575">
        <f>FONO!M575</f>
        <v>6.2553254000000294E-2</v>
      </c>
      <c r="M575">
        <f>FONO!N575</f>
        <v>56.9</v>
      </c>
      <c r="O575">
        <f>ABS(L575-FONO!$C$34)</f>
        <v>4.5717886442756068</v>
      </c>
      <c r="P575">
        <f t="shared" si="9"/>
        <v>56.9</v>
      </c>
    </row>
    <row r="576" spans="10:16">
      <c r="J576" s="5"/>
      <c r="L576">
        <f>FONO!M576</f>
        <v>6.7516400000000198E-2</v>
      </c>
      <c r="M576">
        <f>FONO!N576</f>
        <v>57</v>
      </c>
      <c r="O576">
        <f>ABS(L576-FONO!$C$34)</f>
        <v>4.5767517902756074</v>
      </c>
      <c r="P576">
        <f t="shared" si="9"/>
        <v>57</v>
      </c>
    </row>
    <row r="577" spans="10:16">
      <c r="J577" s="5"/>
      <c r="L577">
        <f>FONO!M577</f>
        <v>7.0893020000000195E-2</v>
      </c>
      <c r="M577">
        <f>FONO!N577</f>
        <v>57.1</v>
      </c>
      <c r="O577">
        <f>ABS(L577-FONO!$C$34)</f>
        <v>4.5801284102756075</v>
      </c>
      <c r="P577">
        <f t="shared" si="9"/>
        <v>57.1</v>
      </c>
    </row>
    <row r="578" spans="10:16">
      <c r="J578" s="5"/>
      <c r="L578">
        <f>FONO!M578</f>
        <v>7.4269640000000206E-2</v>
      </c>
      <c r="M578">
        <f>FONO!N578</f>
        <v>57.2</v>
      </c>
      <c r="O578">
        <f>ABS(L578-FONO!$C$34)</f>
        <v>4.5835050302756066</v>
      </c>
      <c r="P578">
        <f t="shared" si="9"/>
        <v>57.2</v>
      </c>
    </row>
    <row r="579" spans="10:16">
      <c r="J579" s="5"/>
      <c r="L579">
        <f>FONO!M579</f>
        <v>7.6551806E-2</v>
      </c>
      <c r="M579">
        <f>FONO!N579</f>
        <v>57.3</v>
      </c>
      <c r="O579">
        <f>ABS(L579-FONO!$C$34)</f>
        <v>4.5857871962756072</v>
      </c>
      <c r="P579">
        <f t="shared" si="9"/>
        <v>57.3</v>
      </c>
    </row>
    <row r="580" spans="10:16">
      <c r="J580" s="5"/>
      <c r="L580">
        <f>FONO!M580</f>
        <v>7.6805228000000003E-2</v>
      </c>
      <c r="M580">
        <f>FONO!N580</f>
        <v>57.4</v>
      </c>
      <c r="O580">
        <f>ABS(L580-FONO!$C$34)</f>
        <v>4.5860406182756073</v>
      </c>
      <c r="P580">
        <f t="shared" si="9"/>
        <v>57.4</v>
      </c>
    </row>
    <row r="581" spans="10:16">
      <c r="J581" s="5"/>
      <c r="L581">
        <f>FONO!M581</f>
        <v>7.7058650000000006E-2</v>
      </c>
      <c r="M581">
        <f>FONO!N581</f>
        <v>57.5</v>
      </c>
      <c r="O581">
        <f>ABS(L581-FONO!$C$34)</f>
        <v>4.5862940402756065</v>
      </c>
      <c r="P581">
        <f t="shared" si="9"/>
        <v>57.5</v>
      </c>
    </row>
    <row r="582" spans="10:16">
      <c r="J582" s="5"/>
      <c r="L582">
        <f>FONO!M582</f>
        <v>7.7185000000000004E-2</v>
      </c>
      <c r="M582">
        <f>FONO!N582</f>
        <v>57.6</v>
      </c>
      <c r="O582">
        <f>ABS(L582-FONO!$C$34)</f>
        <v>4.5864203902756069</v>
      </c>
      <c r="P582">
        <f t="shared" si="9"/>
        <v>57.6</v>
      </c>
    </row>
    <row r="583" spans="10:16">
      <c r="J583" s="5"/>
      <c r="L583">
        <f>FONO!M583</f>
        <v>7.7185000000000004E-2</v>
      </c>
      <c r="M583">
        <f>FONO!N583</f>
        <v>57.7</v>
      </c>
      <c r="O583">
        <f>ABS(L583-FONO!$C$34)</f>
        <v>4.5864203902756069</v>
      </c>
      <c r="P583">
        <f t="shared" ref="P583:P646" si="10">M583</f>
        <v>57.7</v>
      </c>
    </row>
    <row r="584" spans="10:16">
      <c r="J584" s="5"/>
      <c r="L584">
        <f>FONO!M584</f>
        <v>7.7185000000000004E-2</v>
      </c>
      <c r="M584">
        <f>FONO!N584</f>
        <v>57.8</v>
      </c>
      <c r="O584">
        <f>ABS(L584-FONO!$C$34)</f>
        <v>4.5864203902756069</v>
      </c>
      <c r="P584">
        <f t="shared" si="10"/>
        <v>57.8</v>
      </c>
    </row>
    <row r="585" spans="10:16">
      <c r="J585" s="5"/>
      <c r="L585">
        <f>FONO!M585</f>
        <v>8.0482828999999798E-2</v>
      </c>
      <c r="M585">
        <f>FONO!N585</f>
        <v>57.9</v>
      </c>
      <c r="O585">
        <f>ABS(L585-FONO!$C$34)</f>
        <v>4.589718219275607</v>
      </c>
      <c r="P585">
        <f t="shared" si="10"/>
        <v>57.9</v>
      </c>
    </row>
    <row r="586" spans="10:16">
      <c r="J586" s="5"/>
      <c r="L586">
        <f>FONO!M586</f>
        <v>8.5537579999999794E-2</v>
      </c>
      <c r="M586">
        <f>FONO!N586</f>
        <v>58</v>
      </c>
      <c r="O586">
        <f>ABS(L586-FONO!$C$34)</f>
        <v>4.5947729702756064</v>
      </c>
      <c r="P586">
        <f t="shared" si="10"/>
        <v>58</v>
      </c>
    </row>
    <row r="587" spans="10:16">
      <c r="J587" s="5"/>
      <c r="L587">
        <f>FONO!M587</f>
        <v>9.0592330999999804E-2</v>
      </c>
      <c r="M587">
        <f>FONO!N587</f>
        <v>58.1</v>
      </c>
      <c r="O587">
        <f>ABS(L587-FONO!$C$34)</f>
        <v>4.5998277212756067</v>
      </c>
      <c r="P587">
        <f t="shared" si="10"/>
        <v>58.1</v>
      </c>
    </row>
    <row r="588" spans="10:16">
      <c r="J588" s="5"/>
      <c r="L588">
        <f>FONO!M588</f>
        <v>9.2424950000000006E-2</v>
      </c>
      <c r="M588">
        <f>FONO!N588</f>
        <v>58.2</v>
      </c>
      <c r="O588">
        <f>ABS(L588-FONO!$C$34)</f>
        <v>4.6016603402756067</v>
      </c>
      <c r="P588">
        <f t="shared" si="10"/>
        <v>58.2</v>
      </c>
    </row>
    <row r="589" spans="10:16">
      <c r="J589" s="5"/>
      <c r="L589">
        <f>FONO!M589</f>
        <v>9.3469174999999904E-2</v>
      </c>
      <c r="M589">
        <f>FONO!N589</f>
        <v>58.3</v>
      </c>
      <c r="O589">
        <f>ABS(L589-FONO!$C$34)</f>
        <v>4.6027045652756069</v>
      </c>
      <c r="P589">
        <f t="shared" si="10"/>
        <v>58.3</v>
      </c>
    </row>
    <row r="590" spans="10:16">
      <c r="J590" s="5"/>
      <c r="L590">
        <f>FONO!M590</f>
        <v>9.4513399999999997E-2</v>
      </c>
      <c r="M590">
        <f>FONO!N590</f>
        <v>58.4</v>
      </c>
      <c r="O590">
        <f>ABS(L590-FONO!$C$34)</f>
        <v>4.6037487902756071</v>
      </c>
      <c r="P590">
        <f t="shared" si="10"/>
        <v>58.4</v>
      </c>
    </row>
    <row r="591" spans="10:16">
      <c r="J591" s="5"/>
      <c r="L591">
        <f>FONO!M591</f>
        <v>9.5091305000000001E-2</v>
      </c>
      <c r="M591">
        <f>FONO!N591</f>
        <v>58.5</v>
      </c>
      <c r="O591">
        <f>ABS(L591-FONO!$C$34)</f>
        <v>4.6043266952756072</v>
      </c>
      <c r="P591">
        <f t="shared" si="10"/>
        <v>58.5</v>
      </c>
    </row>
    <row r="592" spans="10:16">
      <c r="J592" s="5"/>
      <c r="L592">
        <f>FONO!M592</f>
        <v>9.5646938000000001E-2</v>
      </c>
      <c r="M592">
        <f>FONO!N592</f>
        <v>58.6</v>
      </c>
      <c r="O592">
        <f>ABS(L592-FONO!$C$34)</f>
        <v>4.6048823282756066</v>
      </c>
      <c r="P592">
        <f t="shared" si="10"/>
        <v>58.6</v>
      </c>
    </row>
    <row r="593" spans="10:16">
      <c r="J593" s="5"/>
      <c r="L593">
        <f>FONO!M593</f>
        <v>9.6468082999999802E-2</v>
      </c>
      <c r="M593">
        <f>FONO!N593</f>
        <v>58.7</v>
      </c>
      <c r="O593">
        <f>ABS(L593-FONO!$C$34)</f>
        <v>4.6057034732756064</v>
      </c>
      <c r="P593">
        <f t="shared" si="10"/>
        <v>58.7</v>
      </c>
    </row>
    <row r="594" spans="10:16">
      <c r="J594" s="5"/>
      <c r="L594">
        <f>FONO!M594</f>
        <v>9.9542491999999802E-2</v>
      </c>
      <c r="M594">
        <f>FONO!N594</f>
        <v>58.8</v>
      </c>
      <c r="O594">
        <f>ABS(L594-FONO!$C$34)</f>
        <v>4.6087778822756063</v>
      </c>
      <c r="P594">
        <f t="shared" si="10"/>
        <v>58.8</v>
      </c>
    </row>
    <row r="595" spans="10:16">
      <c r="J595" s="5"/>
      <c r="L595">
        <f>FONO!M595</f>
        <v>0.102616901</v>
      </c>
      <c r="M595">
        <f>FONO!N595</f>
        <v>58.9</v>
      </c>
      <c r="O595">
        <f>ABS(L595-FONO!$C$34)</f>
        <v>4.611852291275607</v>
      </c>
      <c r="P595">
        <f t="shared" si="10"/>
        <v>58.9</v>
      </c>
    </row>
    <row r="596" spans="10:16">
      <c r="J596" s="5"/>
      <c r="L596">
        <f>FONO!M596</f>
        <v>0.10564630999999999</v>
      </c>
      <c r="M596">
        <f>FONO!N596</f>
        <v>59</v>
      </c>
      <c r="O596">
        <f>ABS(L596-FONO!$C$34)</f>
        <v>4.6148817002756068</v>
      </c>
      <c r="P596">
        <f t="shared" si="10"/>
        <v>59</v>
      </c>
    </row>
    <row r="597" spans="10:16">
      <c r="J597" s="5"/>
      <c r="L597">
        <f>FONO!M597</f>
        <v>0.108545219</v>
      </c>
      <c r="M597">
        <f>FONO!N597</f>
        <v>59.1</v>
      </c>
      <c r="O597">
        <f>ABS(L597-FONO!$C$34)</f>
        <v>4.6177806092756066</v>
      </c>
      <c r="P597">
        <f t="shared" si="10"/>
        <v>59.1</v>
      </c>
    </row>
    <row r="598" spans="10:16">
      <c r="J598" s="5"/>
      <c r="L598">
        <f>FONO!M598</f>
        <v>0.111444128</v>
      </c>
      <c r="M598">
        <f>FONO!N598</f>
        <v>59.2</v>
      </c>
      <c r="O598">
        <f>ABS(L598-FONO!$C$34)</f>
        <v>4.6206795182756064</v>
      </c>
      <c r="P598">
        <f t="shared" si="10"/>
        <v>59.2</v>
      </c>
    </row>
    <row r="599" spans="10:16">
      <c r="J599" s="5"/>
      <c r="L599">
        <f>FONO!M599</f>
        <v>0.11373857599999999</v>
      </c>
      <c r="M599">
        <f>FONO!N599</f>
        <v>59.3</v>
      </c>
      <c r="O599">
        <f>ABS(L599-FONO!$C$34)</f>
        <v>4.6229739662756071</v>
      </c>
      <c r="P599">
        <f t="shared" si="10"/>
        <v>59.3</v>
      </c>
    </row>
    <row r="600" spans="10:16">
      <c r="J600" s="5"/>
      <c r="L600">
        <f>FONO!M600</f>
        <v>0.115153808</v>
      </c>
      <c r="M600">
        <f>FONO!N600</f>
        <v>59.4</v>
      </c>
      <c r="O600">
        <f>ABS(L600-FONO!$C$34)</f>
        <v>4.6243891982756065</v>
      </c>
      <c r="P600">
        <f t="shared" si="10"/>
        <v>59.4</v>
      </c>
    </row>
    <row r="601" spans="10:16">
      <c r="J601" s="5"/>
      <c r="L601">
        <f>FONO!M601</f>
        <v>0.11656904</v>
      </c>
      <c r="M601">
        <f>FONO!N601</f>
        <v>59.5</v>
      </c>
      <c r="O601">
        <f>ABS(L601-FONO!$C$34)</f>
        <v>4.6258044302756067</v>
      </c>
      <c r="P601">
        <f t="shared" si="10"/>
        <v>59.5</v>
      </c>
    </row>
    <row r="602" spans="10:16">
      <c r="J602" s="5"/>
      <c r="L602">
        <f>FONO!M602</f>
        <v>0.12345522</v>
      </c>
      <c r="M602">
        <f>FONO!N602</f>
        <v>59.6</v>
      </c>
      <c r="O602">
        <f>ABS(L602-FONO!$C$34)</f>
        <v>4.6326906102756071</v>
      </c>
      <c r="P602">
        <f t="shared" si="10"/>
        <v>59.6</v>
      </c>
    </row>
    <row r="603" spans="10:16">
      <c r="J603" s="5"/>
      <c r="L603">
        <f>FONO!M603</f>
        <v>0.134667915</v>
      </c>
      <c r="M603">
        <f>FONO!N603</f>
        <v>59.7</v>
      </c>
      <c r="O603">
        <f>ABS(L603-FONO!$C$34)</f>
        <v>4.6439033052756065</v>
      </c>
      <c r="P603">
        <f t="shared" si="10"/>
        <v>59.7</v>
      </c>
    </row>
    <row r="604" spans="10:16">
      <c r="J604" s="5"/>
      <c r="L604">
        <f>FONO!M604</f>
        <v>0.14588060999999999</v>
      </c>
      <c r="M604">
        <f>FONO!N604</f>
        <v>59.8</v>
      </c>
      <c r="O604">
        <f>ABS(L604-FONO!$C$34)</f>
        <v>4.6551160002756067</v>
      </c>
      <c r="P604">
        <f t="shared" si="10"/>
        <v>59.8</v>
      </c>
    </row>
    <row r="605" spans="10:16">
      <c r="J605" s="5"/>
      <c r="L605">
        <f>FONO!M605</f>
        <v>0.150274191</v>
      </c>
      <c r="M605">
        <f>FONO!N605</f>
        <v>59.9</v>
      </c>
      <c r="O605">
        <f>ABS(L605-FONO!$C$34)</f>
        <v>4.6595095812756071</v>
      </c>
      <c r="P605">
        <f t="shared" si="10"/>
        <v>59.9</v>
      </c>
    </row>
    <row r="606" spans="10:16">
      <c r="J606" s="5"/>
      <c r="L606">
        <f>FONO!M606</f>
        <v>0.15187439999999999</v>
      </c>
      <c r="M606">
        <f>FONO!N606</f>
        <v>60</v>
      </c>
      <c r="O606">
        <f>ABS(L606-FONO!$C$34)</f>
        <v>4.6611097902756065</v>
      </c>
      <c r="P606">
        <f t="shared" si="10"/>
        <v>60</v>
      </c>
    </row>
    <row r="607" spans="10:16">
      <c r="J607" s="5"/>
      <c r="L607">
        <f>FONO!M607</f>
        <v>0.15347460900000001</v>
      </c>
      <c r="M607">
        <f>FONO!N607</f>
        <v>60.1</v>
      </c>
      <c r="O607">
        <f>ABS(L607-FONO!$C$34)</f>
        <v>4.6627099992756067</v>
      </c>
      <c r="P607">
        <f t="shared" si="10"/>
        <v>60.1</v>
      </c>
    </row>
    <row r="608" spans="10:16">
      <c r="J608" s="5"/>
      <c r="L608">
        <f>FONO!M608</f>
        <v>0.15497455399999999</v>
      </c>
      <c r="M608">
        <f>FONO!N608</f>
        <v>60.2</v>
      </c>
      <c r="O608">
        <f>ABS(L608-FONO!$C$34)</f>
        <v>4.6642099442756066</v>
      </c>
      <c r="P608">
        <f t="shared" si="10"/>
        <v>60.2</v>
      </c>
    </row>
    <row r="609" spans="10:16">
      <c r="J609" s="5"/>
      <c r="L609">
        <f>FONO!M609</f>
        <v>0.156458231</v>
      </c>
      <c r="M609">
        <f>FONO!N609</f>
        <v>60.3</v>
      </c>
      <c r="O609">
        <f>ABS(L609-FONO!$C$34)</f>
        <v>4.6656936212756071</v>
      </c>
      <c r="P609">
        <f t="shared" si="10"/>
        <v>60.3</v>
      </c>
    </row>
    <row r="610" spans="10:16">
      <c r="J610" s="5"/>
      <c r="L610">
        <f>FONO!M610</f>
        <v>0.15802597199999999</v>
      </c>
      <c r="M610">
        <f>FONO!N610</f>
        <v>60.4</v>
      </c>
      <c r="O610">
        <f>ABS(L610-FONO!$C$34)</f>
        <v>4.6672613622756067</v>
      </c>
      <c r="P610">
        <f t="shared" si="10"/>
        <v>60.4</v>
      </c>
    </row>
    <row r="611" spans="10:16">
      <c r="J611" s="5"/>
      <c r="L611">
        <f>FONO!M611</f>
        <v>0.16688626500000001</v>
      </c>
      <c r="M611">
        <f>FONO!N611</f>
        <v>60.5</v>
      </c>
      <c r="O611">
        <f>ABS(L611-FONO!$C$34)</f>
        <v>4.6761216552756064</v>
      </c>
      <c r="P611">
        <f t="shared" si="10"/>
        <v>60.5</v>
      </c>
    </row>
    <row r="612" spans="10:16">
      <c r="J612" s="5"/>
      <c r="L612">
        <f>FONO!M612</f>
        <v>0.175746558</v>
      </c>
      <c r="M612">
        <f>FONO!N612</f>
        <v>60.6</v>
      </c>
      <c r="O612">
        <f>ABS(L612-FONO!$C$34)</f>
        <v>4.684981948275607</v>
      </c>
      <c r="P612">
        <f t="shared" si="10"/>
        <v>60.6</v>
      </c>
    </row>
    <row r="613" spans="10:16">
      <c r="J613" s="5"/>
      <c r="L613">
        <f>FONO!M613</f>
        <v>0.18357680400000001</v>
      </c>
      <c r="M613">
        <f>FONO!N613</f>
        <v>60.7</v>
      </c>
      <c r="O613">
        <f>ABS(L613-FONO!$C$34)</f>
        <v>4.6928121942756071</v>
      </c>
      <c r="P613">
        <f t="shared" si="10"/>
        <v>60.7</v>
      </c>
    </row>
    <row r="614" spans="10:16">
      <c r="J614" s="5"/>
      <c r="L614">
        <f>FONO!M614</f>
        <v>0.186094176</v>
      </c>
      <c r="M614">
        <f>FONO!N614</f>
        <v>60.8</v>
      </c>
      <c r="O614">
        <f>ABS(L614-FONO!$C$34)</f>
        <v>4.6953295662756069</v>
      </c>
      <c r="P614">
        <f t="shared" si="10"/>
        <v>60.8</v>
      </c>
    </row>
    <row r="615" spans="10:16">
      <c r="J615" s="5"/>
      <c r="L615">
        <f>FONO!M615</f>
        <v>0.18861154799999999</v>
      </c>
      <c r="M615">
        <f>FONO!N615</f>
        <v>60.9</v>
      </c>
      <c r="O615">
        <f>ABS(L615-FONO!$C$34)</f>
        <v>4.6978469382756067</v>
      </c>
      <c r="P615">
        <f t="shared" si="10"/>
        <v>60.9</v>
      </c>
    </row>
    <row r="616" spans="10:16">
      <c r="J616" s="5"/>
      <c r="L616">
        <f>FONO!M616</f>
        <v>0.19132790999999999</v>
      </c>
      <c r="M616">
        <f>FONO!N616</f>
        <v>61</v>
      </c>
      <c r="O616">
        <f>ABS(L616-FONO!$C$34)</f>
        <v>4.7005633002756069</v>
      </c>
      <c r="P616">
        <f t="shared" si="10"/>
        <v>61</v>
      </c>
    </row>
    <row r="617" spans="10:16">
      <c r="J617" s="5"/>
      <c r="L617">
        <f>FONO!M617</f>
        <v>0.194480241</v>
      </c>
      <c r="M617">
        <f>FONO!N617</f>
        <v>61.1</v>
      </c>
      <c r="O617">
        <f>ABS(L617-FONO!$C$34)</f>
        <v>4.7037156312756068</v>
      </c>
      <c r="P617">
        <f t="shared" si="10"/>
        <v>61.1</v>
      </c>
    </row>
    <row r="618" spans="10:16">
      <c r="J618" s="5"/>
      <c r="L618">
        <f>FONO!M618</f>
        <v>0.19763257200000001</v>
      </c>
      <c r="M618">
        <f>FONO!N618</f>
        <v>61.2</v>
      </c>
      <c r="O618">
        <f>ABS(L618-FONO!$C$34)</f>
        <v>4.7068679622756067</v>
      </c>
      <c r="P618">
        <f t="shared" si="10"/>
        <v>61.2</v>
      </c>
    </row>
    <row r="619" spans="10:16">
      <c r="J619" s="5"/>
      <c r="L619">
        <f>FONO!M619</f>
        <v>0.20018163999999999</v>
      </c>
      <c r="M619">
        <f>FONO!N619</f>
        <v>61.3</v>
      </c>
      <c r="O619">
        <f>ABS(L619-FONO!$C$34)</f>
        <v>4.7094170302756071</v>
      </c>
      <c r="P619">
        <f t="shared" si="10"/>
        <v>61.3</v>
      </c>
    </row>
    <row r="620" spans="10:16">
      <c r="J620" s="5"/>
      <c r="L620">
        <f>FONO!M620</f>
        <v>0.20203492000000001</v>
      </c>
      <c r="M620">
        <f>FONO!N620</f>
        <v>61.4</v>
      </c>
      <c r="O620">
        <f>ABS(L620-FONO!$C$34)</f>
        <v>4.7112703102756068</v>
      </c>
      <c r="P620">
        <f t="shared" si="10"/>
        <v>61.4</v>
      </c>
    </row>
    <row r="621" spans="10:16">
      <c r="J621" s="5"/>
      <c r="L621">
        <f>FONO!M621</f>
        <v>0.20388819999999999</v>
      </c>
      <c r="M621">
        <f>FONO!N621</f>
        <v>61.5</v>
      </c>
      <c r="O621">
        <f>ABS(L621-FONO!$C$34)</f>
        <v>4.7131235902756066</v>
      </c>
      <c r="P621">
        <f t="shared" si="10"/>
        <v>61.5</v>
      </c>
    </row>
    <row r="622" spans="10:16">
      <c r="J622" s="5"/>
      <c r="L622">
        <f>FONO!M622</f>
        <v>0.20982625599999999</v>
      </c>
      <c r="M622">
        <f>FONO!N622</f>
        <v>61.6</v>
      </c>
      <c r="O622">
        <f>ABS(L622-FONO!$C$34)</f>
        <v>4.7190616462756072</v>
      </c>
      <c r="P622">
        <f t="shared" si="10"/>
        <v>61.6</v>
      </c>
    </row>
    <row r="623" spans="10:16">
      <c r="J623" s="5"/>
      <c r="L623">
        <f>FONO!M623</f>
        <v>0.21831729699999999</v>
      </c>
      <c r="M623">
        <f>FONO!N623</f>
        <v>61.7</v>
      </c>
      <c r="O623">
        <f>ABS(L623-FONO!$C$34)</f>
        <v>4.7275526872756064</v>
      </c>
      <c r="P623">
        <f t="shared" si="10"/>
        <v>61.7</v>
      </c>
    </row>
    <row r="624" spans="10:16">
      <c r="J624" s="5"/>
      <c r="L624">
        <f>FONO!M624</f>
        <v>0.226808338</v>
      </c>
      <c r="M624">
        <f>FONO!N624</f>
        <v>61.8</v>
      </c>
      <c r="O624">
        <f>ABS(L624-FONO!$C$34)</f>
        <v>4.7360437282756065</v>
      </c>
      <c r="P624">
        <f t="shared" si="10"/>
        <v>61.8</v>
      </c>
    </row>
    <row r="625" spans="10:16">
      <c r="J625" s="5"/>
      <c r="L625">
        <f>FONO!M625</f>
        <v>0.233092772</v>
      </c>
      <c r="M625">
        <f>FONO!N625</f>
        <v>61.9</v>
      </c>
      <c r="O625">
        <f>ABS(L625-FONO!$C$34)</f>
        <v>4.7423281622756068</v>
      </c>
      <c r="P625">
        <f t="shared" si="10"/>
        <v>61.9</v>
      </c>
    </row>
    <row r="626" spans="10:16">
      <c r="J626" s="5"/>
      <c r="L626">
        <f>FONO!M626</f>
        <v>0.23870456000000001</v>
      </c>
      <c r="M626">
        <f>FONO!N626</f>
        <v>62</v>
      </c>
      <c r="O626">
        <f>ABS(L626-FONO!$C$34)</f>
        <v>4.7479399502756072</v>
      </c>
      <c r="P626">
        <f t="shared" si="10"/>
        <v>62</v>
      </c>
    </row>
    <row r="627" spans="10:16">
      <c r="J627" s="5"/>
      <c r="L627">
        <f>FONO!M627</f>
        <v>0.24431634799999999</v>
      </c>
      <c r="M627">
        <f>FONO!N627</f>
        <v>62.1</v>
      </c>
      <c r="O627">
        <f>ABS(L627-FONO!$C$34)</f>
        <v>4.7535517382756067</v>
      </c>
      <c r="P627">
        <f t="shared" si="10"/>
        <v>62.1</v>
      </c>
    </row>
    <row r="628" spans="10:16">
      <c r="J628" s="5"/>
      <c r="L628">
        <f>FONO!M628</f>
        <v>0.24551383800000001</v>
      </c>
      <c r="M628">
        <f>FONO!N628</f>
        <v>62.2</v>
      </c>
      <c r="O628">
        <f>ABS(L628-FONO!$C$34)</f>
        <v>4.7547492282756068</v>
      </c>
      <c r="P628">
        <f t="shared" si="10"/>
        <v>62.2</v>
      </c>
    </row>
    <row r="629" spans="10:16">
      <c r="J629" s="5"/>
      <c r="L629">
        <f>FONO!M629</f>
        <v>0.24631376699999999</v>
      </c>
      <c r="M629">
        <f>FONO!N629</f>
        <v>62.3</v>
      </c>
      <c r="O629">
        <f>ABS(L629-FONO!$C$34)</f>
        <v>4.755549157275607</v>
      </c>
      <c r="P629">
        <f t="shared" si="10"/>
        <v>62.3</v>
      </c>
    </row>
    <row r="630" spans="10:16">
      <c r="J630" s="5"/>
      <c r="L630">
        <f>FONO!M630</f>
        <v>0.24736660799999999</v>
      </c>
      <c r="M630">
        <f>FONO!N630</f>
        <v>62.4</v>
      </c>
      <c r="O630">
        <f>ABS(L630-FONO!$C$34)</f>
        <v>4.7566019982756069</v>
      </c>
      <c r="P630">
        <f t="shared" si="10"/>
        <v>62.4</v>
      </c>
    </row>
    <row r="631" spans="10:16">
      <c r="J631" s="5"/>
      <c r="L631">
        <f>FONO!M631</f>
        <v>0.251865375</v>
      </c>
      <c r="M631">
        <f>FONO!N631</f>
        <v>62.5</v>
      </c>
      <c r="O631">
        <f>ABS(L631-FONO!$C$34)</f>
        <v>4.7611007652756072</v>
      </c>
      <c r="P631">
        <f t="shared" si="10"/>
        <v>62.5</v>
      </c>
    </row>
    <row r="632" spans="10:16">
      <c r="J632" s="5"/>
      <c r="L632">
        <f>FONO!M632</f>
        <v>0.25636414200000002</v>
      </c>
      <c r="M632">
        <f>FONO!N632</f>
        <v>62.6</v>
      </c>
      <c r="O632">
        <f>ABS(L632-FONO!$C$34)</f>
        <v>4.7655995322756066</v>
      </c>
      <c r="P632">
        <f t="shared" si="10"/>
        <v>62.6</v>
      </c>
    </row>
    <row r="633" spans="10:16">
      <c r="J633" s="5"/>
      <c r="L633">
        <f>FONO!M633</f>
        <v>0.25999588899999998</v>
      </c>
      <c r="M633">
        <f>FONO!N633</f>
        <v>62.7</v>
      </c>
      <c r="O633">
        <f>ABS(L633-FONO!$C$34)</f>
        <v>4.7692312792756066</v>
      </c>
      <c r="P633">
        <f t="shared" si="10"/>
        <v>62.7</v>
      </c>
    </row>
    <row r="634" spans="10:16">
      <c r="J634" s="5"/>
      <c r="L634">
        <f>FONO!M634</f>
        <v>0.26054239600000001</v>
      </c>
      <c r="M634">
        <f>FONO!N634</f>
        <v>62.8</v>
      </c>
      <c r="O634">
        <f>ABS(L634-FONO!$C$34)</f>
        <v>4.7697777862756068</v>
      </c>
      <c r="P634">
        <f t="shared" si="10"/>
        <v>62.8</v>
      </c>
    </row>
    <row r="635" spans="10:16">
      <c r="J635" s="5"/>
      <c r="L635">
        <f>FONO!M635</f>
        <v>0.26108890299999998</v>
      </c>
      <c r="M635">
        <f>FONO!N635</f>
        <v>62.9</v>
      </c>
      <c r="O635">
        <f>ABS(L635-FONO!$C$34)</f>
        <v>4.7703242932756069</v>
      </c>
      <c r="P635">
        <f t="shared" si="10"/>
        <v>62.9</v>
      </c>
    </row>
    <row r="636" spans="10:16">
      <c r="J636" s="5"/>
      <c r="L636">
        <f>FONO!M636</f>
        <v>0.26145847999999999</v>
      </c>
      <c r="M636">
        <f>FONO!N636</f>
        <v>63</v>
      </c>
      <c r="O636">
        <f>ABS(L636-FONO!$C$34)</f>
        <v>4.7706938702756068</v>
      </c>
      <c r="P636">
        <f t="shared" si="10"/>
        <v>63</v>
      </c>
    </row>
    <row r="637" spans="10:16">
      <c r="J637" s="5"/>
      <c r="L637">
        <f>FONO!M637</f>
        <v>0.26152727599999998</v>
      </c>
      <c r="M637">
        <f>FONO!N637</f>
        <v>63.1</v>
      </c>
      <c r="O637">
        <f>ABS(L637-FONO!$C$34)</f>
        <v>4.7707626662756066</v>
      </c>
      <c r="P637">
        <f t="shared" si="10"/>
        <v>63.1</v>
      </c>
    </row>
    <row r="638" spans="10:16">
      <c r="J638" s="5"/>
      <c r="L638">
        <f>FONO!M638</f>
        <v>0.26159607200000001</v>
      </c>
      <c r="M638">
        <f>FONO!N638</f>
        <v>63.2</v>
      </c>
      <c r="O638">
        <f>ABS(L638-FONO!$C$34)</f>
        <v>4.7708314622756065</v>
      </c>
      <c r="P638">
        <f t="shared" si="10"/>
        <v>63.2</v>
      </c>
    </row>
    <row r="639" spans="10:16">
      <c r="J639" s="5"/>
      <c r="L639">
        <f>FONO!M639</f>
        <v>0.261694331</v>
      </c>
      <c r="M639">
        <f>FONO!N639</f>
        <v>63.3</v>
      </c>
      <c r="O639">
        <f>ABS(L639-FONO!$C$34)</f>
        <v>4.770929721275607</v>
      </c>
      <c r="P639">
        <f t="shared" si="10"/>
        <v>63.3</v>
      </c>
    </row>
    <row r="640" spans="10:16">
      <c r="J640" s="5"/>
      <c r="L640">
        <f>FONO!M640</f>
        <v>0.26181963800000002</v>
      </c>
      <c r="M640">
        <f>FONO!N640</f>
        <v>63.4</v>
      </c>
      <c r="O640">
        <f>ABS(L640-FONO!$C$34)</f>
        <v>4.7710550282756072</v>
      </c>
      <c r="P640">
        <f t="shared" si="10"/>
        <v>63.4</v>
      </c>
    </row>
    <row r="641" spans="10:16">
      <c r="J641" s="5"/>
      <c r="L641">
        <f>FONO!M641</f>
        <v>0.26194494499999998</v>
      </c>
      <c r="M641">
        <f>FONO!N641</f>
        <v>63.5</v>
      </c>
      <c r="O641">
        <f>ABS(L641-FONO!$C$34)</f>
        <v>4.7711803352756066</v>
      </c>
      <c r="P641">
        <f t="shared" si="10"/>
        <v>63.5</v>
      </c>
    </row>
    <row r="642" spans="10:16">
      <c r="J642" s="5"/>
      <c r="L642">
        <f>FONO!M642</f>
        <v>0.261986</v>
      </c>
      <c r="M642">
        <f>FONO!N642</f>
        <v>63.6</v>
      </c>
      <c r="O642">
        <f>ABS(L642-FONO!$C$34)</f>
        <v>4.7712213902756071</v>
      </c>
      <c r="P642">
        <f t="shared" si="10"/>
        <v>63.6</v>
      </c>
    </row>
    <row r="643" spans="10:16">
      <c r="J643" s="5"/>
      <c r="L643">
        <f>FONO!M643</f>
        <v>0.261986</v>
      </c>
      <c r="M643">
        <f>FONO!N643</f>
        <v>63.7</v>
      </c>
      <c r="O643">
        <f>ABS(L643-FONO!$C$34)</f>
        <v>4.7712213902756071</v>
      </c>
      <c r="P643">
        <f t="shared" si="10"/>
        <v>63.7</v>
      </c>
    </row>
    <row r="644" spans="10:16">
      <c r="J644" s="5"/>
      <c r="L644">
        <f>FONO!M644</f>
        <v>0.261986</v>
      </c>
      <c r="M644">
        <f>FONO!N644</f>
        <v>63.8</v>
      </c>
      <c r="O644">
        <f>ABS(L644-FONO!$C$34)</f>
        <v>4.7712213902756071</v>
      </c>
      <c r="P644">
        <f t="shared" si="10"/>
        <v>63.8</v>
      </c>
    </row>
    <row r="645" spans="10:16">
      <c r="J645" s="5"/>
      <c r="L645">
        <f>FONO!M645</f>
        <v>0.262492328</v>
      </c>
      <c r="M645">
        <f>FONO!N645</f>
        <v>63.9</v>
      </c>
      <c r="O645">
        <f>ABS(L645-FONO!$C$34)</f>
        <v>4.7717277182756064</v>
      </c>
      <c r="P645">
        <f t="shared" si="10"/>
        <v>63.9</v>
      </c>
    </row>
    <row r="646" spans="10:16">
      <c r="J646" s="5"/>
      <c r="L646">
        <f>FONO!M646</f>
        <v>0.26310728</v>
      </c>
      <c r="M646">
        <f>FONO!N646</f>
        <v>64</v>
      </c>
      <c r="O646">
        <f>ABS(L646-FONO!$C$34)</f>
        <v>4.7723426702756067</v>
      </c>
      <c r="P646">
        <f t="shared" si="10"/>
        <v>64</v>
      </c>
    </row>
    <row r="647" spans="10:16">
      <c r="J647" s="5"/>
      <c r="L647">
        <f>FONO!M647</f>
        <v>0.263722232</v>
      </c>
      <c r="M647">
        <f>FONO!N647</f>
        <v>64.099999999999994</v>
      </c>
      <c r="O647">
        <f>ABS(L647-FONO!$C$34)</f>
        <v>4.7729576222756069</v>
      </c>
      <c r="P647">
        <f t="shared" ref="P647:P710" si="11">M647</f>
        <v>64.099999999999994</v>
      </c>
    </row>
    <row r="648" spans="10:16">
      <c r="J648" s="5"/>
      <c r="L648">
        <f>FONO!M648</f>
        <v>0.26655368600000001</v>
      </c>
      <c r="M648">
        <f>FONO!N648</f>
        <v>64.2</v>
      </c>
      <c r="O648">
        <f>ABS(L648-FONO!$C$34)</f>
        <v>4.7757890762756068</v>
      </c>
      <c r="P648">
        <f t="shared" si="11"/>
        <v>64.2</v>
      </c>
    </row>
    <row r="649" spans="10:16">
      <c r="J649" s="5"/>
      <c r="L649">
        <f>FONO!M649</f>
        <v>0.26944346899999999</v>
      </c>
      <c r="M649">
        <f>FONO!N649</f>
        <v>64.3</v>
      </c>
      <c r="O649">
        <f>ABS(L649-FONO!$C$34)</f>
        <v>4.7786788592756064</v>
      </c>
      <c r="P649">
        <f t="shared" si="11"/>
        <v>64.3</v>
      </c>
    </row>
    <row r="650" spans="10:16">
      <c r="J650" s="5"/>
      <c r="L650">
        <f>FONO!M650</f>
        <v>0.27245037999999999</v>
      </c>
      <c r="M650">
        <f>FONO!N650</f>
        <v>64.400000000000006</v>
      </c>
      <c r="O650">
        <f>ABS(L650-FONO!$C$34)</f>
        <v>4.7816857702756064</v>
      </c>
      <c r="P650">
        <f t="shared" si="11"/>
        <v>64.400000000000006</v>
      </c>
    </row>
    <row r="651" spans="10:16">
      <c r="J651" s="5"/>
      <c r="L651">
        <f>FONO!M651</f>
        <v>0.27627452499999999</v>
      </c>
      <c r="M651">
        <f>FONO!N651</f>
        <v>64.5</v>
      </c>
      <c r="O651">
        <f>ABS(L651-FONO!$C$34)</f>
        <v>4.7855099152756067</v>
      </c>
      <c r="P651">
        <f t="shared" si="11"/>
        <v>64.5</v>
      </c>
    </row>
    <row r="652" spans="10:16">
      <c r="J652" s="5"/>
      <c r="L652">
        <f>FONO!M652</f>
        <v>0.28009866999999999</v>
      </c>
      <c r="M652">
        <f>FONO!N652</f>
        <v>64.599999999999994</v>
      </c>
      <c r="O652">
        <f>ABS(L652-FONO!$C$34)</f>
        <v>4.7893340602756069</v>
      </c>
      <c r="P652">
        <f t="shared" si="11"/>
        <v>64.599999999999994</v>
      </c>
    </row>
    <row r="653" spans="10:16">
      <c r="J653" s="5"/>
      <c r="L653">
        <f>FONO!M653</f>
        <v>0.282933512</v>
      </c>
      <c r="M653">
        <f>FONO!N653</f>
        <v>64.7</v>
      </c>
      <c r="O653">
        <f>ABS(L653-FONO!$C$34)</f>
        <v>4.7921689022756064</v>
      </c>
      <c r="P653">
        <f t="shared" si="11"/>
        <v>64.7</v>
      </c>
    </row>
    <row r="654" spans="10:16">
      <c r="J654" s="5"/>
      <c r="L654">
        <f>FONO!M654</f>
        <v>0.28317780799999998</v>
      </c>
      <c r="M654">
        <f>FONO!N654</f>
        <v>64.8</v>
      </c>
      <c r="O654">
        <f>ABS(L654-FONO!$C$34)</f>
        <v>4.7924131982756064</v>
      </c>
      <c r="P654">
        <f t="shared" si="11"/>
        <v>64.8</v>
      </c>
    </row>
    <row r="655" spans="10:16">
      <c r="J655" s="5"/>
      <c r="L655">
        <f>FONO!M655</f>
        <v>0.28342210400000001</v>
      </c>
      <c r="M655">
        <f>FONO!N655</f>
        <v>64.900000000000006</v>
      </c>
      <c r="O655">
        <f>ABS(L655-FONO!$C$34)</f>
        <v>4.7926574942756073</v>
      </c>
      <c r="P655">
        <f t="shared" si="11"/>
        <v>64.900000000000006</v>
      </c>
    </row>
    <row r="656" spans="10:16">
      <c r="J656" s="5"/>
      <c r="L656">
        <f>FONO!M656</f>
        <v>0.28442974999999998</v>
      </c>
      <c r="M656">
        <f>FONO!N656</f>
        <v>65</v>
      </c>
      <c r="O656">
        <f>ABS(L656-FONO!$C$34)</f>
        <v>4.793665140275607</v>
      </c>
      <c r="P656">
        <f t="shared" si="11"/>
        <v>65</v>
      </c>
    </row>
    <row r="657" spans="10:16">
      <c r="J657" s="5"/>
      <c r="L657">
        <f>FONO!M657</f>
        <v>0.28646028499999998</v>
      </c>
      <c r="M657">
        <f>FONO!N657</f>
        <v>65.099999999999994</v>
      </c>
      <c r="O657">
        <f>ABS(L657-FONO!$C$34)</f>
        <v>4.7956956752756064</v>
      </c>
      <c r="P657">
        <f t="shared" si="11"/>
        <v>65.099999999999994</v>
      </c>
    </row>
    <row r="658" spans="10:16">
      <c r="J658" s="5"/>
      <c r="L658">
        <f>FONO!M658</f>
        <v>0.28849081999999998</v>
      </c>
      <c r="M658">
        <f>FONO!N658</f>
        <v>65.2</v>
      </c>
      <c r="O658">
        <f>ABS(L658-FONO!$C$34)</f>
        <v>4.7977262102756066</v>
      </c>
      <c r="P658">
        <f t="shared" si="11"/>
        <v>65.2</v>
      </c>
    </row>
    <row r="659" spans="10:16">
      <c r="J659" s="5"/>
      <c r="L659">
        <f>FONO!M659</f>
        <v>0.29144642599999998</v>
      </c>
      <c r="M659">
        <f>FONO!N659</f>
        <v>65.3</v>
      </c>
      <c r="O659">
        <f>ABS(L659-FONO!$C$34)</f>
        <v>4.8006818162756071</v>
      </c>
      <c r="P659">
        <f t="shared" si="11"/>
        <v>65.3</v>
      </c>
    </row>
    <row r="660" spans="10:16">
      <c r="J660" s="5"/>
      <c r="L660">
        <f>FONO!M660</f>
        <v>0.29507646799999998</v>
      </c>
      <c r="M660">
        <f>FONO!N660</f>
        <v>65.400000000000006</v>
      </c>
      <c r="O660">
        <f>ABS(L660-FONO!$C$34)</f>
        <v>4.8043118582756072</v>
      </c>
      <c r="P660">
        <f t="shared" si="11"/>
        <v>65.400000000000006</v>
      </c>
    </row>
    <row r="661" spans="10:16">
      <c r="J661" s="5"/>
      <c r="L661">
        <f>FONO!M661</f>
        <v>0.29870650999999998</v>
      </c>
      <c r="M661">
        <f>FONO!N661</f>
        <v>65.5</v>
      </c>
      <c r="O661">
        <f>ABS(L661-FONO!$C$34)</f>
        <v>4.8079419002756065</v>
      </c>
      <c r="P661">
        <f t="shared" si="11"/>
        <v>65.5</v>
      </c>
    </row>
    <row r="662" spans="10:16">
      <c r="J662" s="5"/>
      <c r="L662">
        <f>FONO!M662</f>
        <v>0.29983056800000002</v>
      </c>
      <c r="M662">
        <f>FONO!N662</f>
        <v>65.599999999999994</v>
      </c>
      <c r="O662">
        <f>ABS(L662-FONO!$C$34)</f>
        <v>4.8090659582756068</v>
      </c>
      <c r="P662">
        <f t="shared" si="11"/>
        <v>65.599999999999994</v>
      </c>
    </row>
    <row r="663" spans="10:16">
      <c r="J663" s="5"/>
      <c r="L663">
        <f>FONO!M663</f>
        <v>0.30002467100000002</v>
      </c>
      <c r="M663">
        <f>FONO!N663</f>
        <v>65.7</v>
      </c>
      <c r="O663">
        <f>ABS(L663-FONO!$C$34)</f>
        <v>4.8092600612756069</v>
      </c>
      <c r="P663">
        <f t="shared" si="11"/>
        <v>65.7</v>
      </c>
    </row>
    <row r="664" spans="10:16">
      <c r="J664" s="5"/>
      <c r="L664">
        <f>FONO!M664</f>
        <v>0.30021877400000002</v>
      </c>
      <c r="M664">
        <f>FONO!N664</f>
        <v>65.8</v>
      </c>
      <c r="O664">
        <f>ABS(L664-FONO!$C$34)</f>
        <v>4.809454164275607</v>
      </c>
      <c r="P664">
        <f t="shared" si="11"/>
        <v>65.8</v>
      </c>
    </row>
    <row r="665" spans="10:16">
      <c r="J665" s="5"/>
      <c r="L665">
        <f>FONO!M665</f>
        <v>0.30397935500000001</v>
      </c>
      <c r="M665">
        <f>FONO!N665</f>
        <v>65.900000000000006</v>
      </c>
      <c r="O665">
        <f>ABS(L665-FONO!$C$34)</f>
        <v>4.8132147452756069</v>
      </c>
      <c r="P665">
        <f t="shared" si="11"/>
        <v>65.900000000000006</v>
      </c>
    </row>
    <row r="666" spans="10:16">
      <c r="J666" s="5"/>
      <c r="L666">
        <f>FONO!M666</f>
        <v>0.30822470000000002</v>
      </c>
      <c r="M666">
        <f>FONO!N666</f>
        <v>66</v>
      </c>
      <c r="O666">
        <f>ABS(L666-FONO!$C$34)</f>
        <v>4.8174600902756071</v>
      </c>
      <c r="P666">
        <f t="shared" si="11"/>
        <v>66</v>
      </c>
    </row>
    <row r="667" spans="10:16">
      <c r="J667" s="5"/>
      <c r="L667">
        <f>FONO!M667</f>
        <v>0.31241622200000002</v>
      </c>
      <c r="M667">
        <f>FONO!N667</f>
        <v>66.099999999999994</v>
      </c>
      <c r="O667">
        <f>ABS(L667-FONO!$C$34)</f>
        <v>4.8216516122756072</v>
      </c>
      <c r="P667">
        <f t="shared" si="11"/>
        <v>66.099999999999994</v>
      </c>
    </row>
    <row r="668" spans="10:16">
      <c r="J668" s="5"/>
      <c r="L668">
        <f>FONO!M668</f>
        <v>0.31494412399999999</v>
      </c>
      <c r="M668">
        <f>FONO!N668</f>
        <v>66.2</v>
      </c>
      <c r="O668">
        <f>ABS(L668-FONO!$C$34)</f>
        <v>4.824179514275607</v>
      </c>
      <c r="P668">
        <f t="shared" si="11"/>
        <v>66.2</v>
      </c>
    </row>
    <row r="669" spans="10:16">
      <c r="J669" s="5"/>
      <c r="L669">
        <f>FONO!M669</f>
        <v>0.31747202600000002</v>
      </c>
      <c r="M669">
        <f>FONO!N669</f>
        <v>66.3</v>
      </c>
      <c r="O669">
        <f>ABS(L669-FONO!$C$34)</f>
        <v>4.8267074162756067</v>
      </c>
      <c r="P669">
        <f t="shared" si="11"/>
        <v>66.3</v>
      </c>
    </row>
    <row r="670" spans="10:16">
      <c r="J670" s="5"/>
      <c r="L670">
        <f>FONO!M670</f>
        <v>0.31959410399999999</v>
      </c>
      <c r="M670">
        <f>FONO!N670</f>
        <v>66.400000000000006</v>
      </c>
      <c r="O670">
        <f>ABS(L670-FONO!$C$34)</f>
        <v>4.8288294942756069</v>
      </c>
      <c r="P670">
        <f t="shared" si="11"/>
        <v>66.400000000000006</v>
      </c>
    </row>
    <row r="671" spans="10:16">
      <c r="J671" s="5"/>
      <c r="L671">
        <f>FONO!M671</f>
        <v>0.31989631499999999</v>
      </c>
      <c r="M671">
        <f>FONO!N671</f>
        <v>66.5</v>
      </c>
      <c r="O671">
        <f>ABS(L671-FONO!$C$34)</f>
        <v>4.8291317052756071</v>
      </c>
      <c r="P671">
        <f t="shared" si="11"/>
        <v>66.5</v>
      </c>
    </row>
    <row r="672" spans="10:16">
      <c r="J672" s="5"/>
      <c r="L672">
        <f>FONO!M672</f>
        <v>0.32019852599999998</v>
      </c>
      <c r="M672">
        <f>FONO!N672</f>
        <v>66.599999999999994</v>
      </c>
      <c r="O672">
        <f>ABS(L672-FONO!$C$34)</f>
        <v>4.8294339162756064</v>
      </c>
      <c r="P672">
        <f t="shared" si="11"/>
        <v>66.599999999999994</v>
      </c>
    </row>
    <row r="673" spans="10:16">
      <c r="J673" s="5"/>
      <c r="L673">
        <f>FONO!M673</f>
        <v>0.32066664299999997</v>
      </c>
      <c r="M673">
        <f>FONO!N673</f>
        <v>66.7</v>
      </c>
      <c r="O673">
        <f>ABS(L673-FONO!$C$34)</f>
        <v>4.8299020332756069</v>
      </c>
      <c r="P673">
        <f t="shared" si="11"/>
        <v>66.7</v>
      </c>
    </row>
    <row r="674" spans="10:16">
      <c r="J674" s="5"/>
      <c r="L674">
        <f>FONO!M674</f>
        <v>0.32146657200000001</v>
      </c>
      <c r="M674">
        <f>FONO!N674</f>
        <v>66.8</v>
      </c>
      <c r="O674">
        <f>ABS(L674-FONO!$C$34)</f>
        <v>4.8307019622756071</v>
      </c>
      <c r="P674">
        <f t="shared" si="11"/>
        <v>66.8</v>
      </c>
    </row>
    <row r="675" spans="10:16">
      <c r="J675" s="5"/>
      <c r="L675">
        <f>FONO!M675</f>
        <v>0.32226650099999998</v>
      </c>
      <c r="M675">
        <f>FONO!N675</f>
        <v>66.900000000000006</v>
      </c>
      <c r="O675">
        <f>ABS(L675-FONO!$C$34)</f>
        <v>4.8315018912756065</v>
      </c>
      <c r="P675">
        <f t="shared" si="11"/>
        <v>66.900000000000006</v>
      </c>
    </row>
    <row r="676" spans="10:16">
      <c r="J676" s="5"/>
      <c r="L676">
        <f>FONO!M676</f>
        <v>0.32297701000000001</v>
      </c>
      <c r="M676">
        <f>FONO!N676</f>
        <v>67</v>
      </c>
      <c r="O676">
        <f>ABS(L676-FONO!$C$34)</f>
        <v>4.8322124002756066</v>
      </c>
      <c r="P676">
        <f t="shared" si="11"/>
        <v>67</v>
      </c>
    </row>
    <row r="677" spans="10:16">
      <c r="J677" s="5"/>
      <c r="L677">
        <f>FONO!M677</f>
        <v>0.32359231300000002</v>
      </c>
      <c r="M677">
        <f>FONO!N677</f>
        <v>67.099999999999994</v>
      </c>
      <c r="O677">
        <f>ABS(L677-FONO!$C$34)</f>
        <v>4.8328277032756066</v>
      </c>
      <c r="P677">
        <f t="shared" si="11"/>
        <v>67.099999999999994</v>
      </c>
    </row>
    <row r="678" spans="10:16">
      <c r="J678" s="5"/>
      <c r="L678">
        <f>FONO!M678</f>
        <v>0.32420761599999998</v>
      </c>
      <c r="M678">
        <f>FONO!N678</f>
        <v>67.2</v>
      </c>
      <c r="O678">
        <f>ABS(L678-FONO!$C$34)</f>
        <v>4.8334430062756066</v>
      </c>
      <c r="P678">
        <f t="shared" si="11"/>
        <v>67.2</v>
      </c>
    </row>
    <row r="679" spans="10:16">
      <c r="J679" s="5"/>
      <c r="L679">
        <f>FONO!M679</f>
        <v>0.324432</v>
      </c>
      <c r="M679">
        <f>FONO!N679</f>
        <v>67.3</v>
      </c>
      <c r="O679">
        <f>ABS(L679-FONO!$C$34)</f>
        <v>4.8336673902756067</v>
      </c>
      <c r="P679">
        <f t="shared" si="11"/>
        <v>67.3</v>
      </c>
    </row>
    <row r="680" spans="10:16">
      <c r="J680" s="5"/>
      <c r="L680">
        <f>FONO!M680</f>
        <v>0.324432</v>
      </c>
      <c r="M680">
        <f>FONO!N680</f>
        <v>67.400000000000006</v>
      </c>
      <c r="O680">
        <f>ABS(L680-FONO!$C$34)</f>
        <v>4.8336673902756067</v>
      </c>
      <c r="P680">
        <f t="shared" si="11"/>
        <v>67.400000000000006</v>
      </c>
    </row>
    <row r="681" spans="10:16">
      <c r="J681" s="5"/>
      <c r="L681">
        <f>FONO!M681</f>
        <v>0.324432</v>
      </c>
      <c r="M681">
        <f>FONO!N681</f>
        <v>67.5</v>
      </c>
      <c r="O681">
        <f>ABS(L681-FONO!$C$34)</f>
        <v>4.8336673902756067</v>
      </c>
      <c r="P681">
        <f t="shared" si="11"/>
        <v>67.5</v>
      </c>
    </row>
    <row r="682" spans="10:16">
      <c r="J682" s="5"/>
      <c r="L682">
        <f>FONO!M682</f>
        <v>0.32526027600000001</v>
      </c>
      <c r="M682">
        <f>FONO!N682</f>
        <v>67.599999999999994</v>
      </c>
      <c r="O682">
        <f>ABS(L682-FONO!$C$34)</f>
        <v>4.8344956662756067</v>
      </c>
      <c r="P682">
        <f t="shared" si="11"/>
        <v>67.599999999999994</v>
      </c>
    </row>
    <row r="683" spans="10:16">
      <c r="J683" s="5"/>
      <c r="L683">
        <f>FONO!M683</f>
        <v>0.32631362699999999</v>
      </c>
      <c r="M683">
        <f>FONO!N683</f>
        <v>67.7</v>
      </c>
      <c r="O683">
        <f>ABS(L683-FONO!$C$34)</f>
        <v>4.835549017275607</v>
      </c>
      <c r="P683">
        <f t="shared" si="11"/>
        <v>67.7</v>
      </c>
    </row>
    <row r="684" spans="10:16">
      <c r="J684" s="5"/>
      <c r="L684">
        <f>FONO!M684</f>
        <v>0.32736697799999998</v>
      </c>
      <c r="M684">
        <f>FONO!N684</f>
        <v>67.8</v>
      </c>
      <c r="O684">
        <f>ABS(L684-FONO!$C$34)</f>
        <v>4.8366023682756065</v>
      </c>
      <c r="P684">
        <f t="shared" si="11"/>
        <v>67.8</v>
      </c>
    </row>
    <row r="685" spans="10:16">
      <c r="J685" s="5"/>
      <c r="L685">
        <f>FONO!M685</f>
        <v>0.32748893000000001</v>
      </c>
      <c r="M685">
        <f>FONO!N685</f>
        <v>67.900000000000006</v>
      </c>
      <c r="O685">
        <f>ABS(L685-FONO!$C$34)</f>
        <v>4.8367243202756072</v>
      </c>
      <c r="P685">
        <f t="shared" si="11"/>
        <v>67.900000000000006</v>
      </c>
    </row>
    <row r="686" spans="10:16">
      <c r="J686" s="5"/>
      <c r="L686">
        <f>FONO!M686</f>
        <v>0.32754860000000002</v>
      </c>
      <c r="M686">
        <f>FONO!N686</f>
        <v>68</v>
      </c>
      <c r="O686">
        <f>ABS(L686-FONO!$C$34)</f>
        <v>4.8367839902756069</v>
      </c>
      <c r="P686">
        <f t="shared" si="11"/>
        <v>68</v>
      </c>
    </row>
    <row r="687" spans="10:16">
      <c r="J687" s="5"/>
      <c r="L687">
        <f>FONO!M687</f>
        <v>0.32792360199999998</v>
      </c>
      <c r="M687">
        <f>FONO!N687</f>
        <v>68.099999999999994</v>
      </c>
      <c r="O687">
        <f>ABS(L687-FONO!$C$34)</f>
        <v>4.8371589922756071</v>
      </c>
      <c r="P687">
        <f t="shared" si="11"/>
        <v>68.099999999999994</v>
      </c>
    </row>
    <row r="688" spans="10:16">
      <c r="J688" s="5"/>
      <c r="L688">
        <f>FONO!M688</f>
        <v>0.33155364399999998</v>
      </c>
      <c r="M688">
        <f>FONO!N688</f>
        <v>68.2</v>
      </c>
      <c r="O688">
        <f>ABS(L688-FONO!$C$34)</f>
        <v>4.8407890342756072</v>
      </c>
      <c r="P688">
        <f t="shared" si="11"/>
        <v>68.2</v>
      </c>
    </row>
    <row r="689" spans="10:16">
      <c r="J689" s="5"/>
      <c r="L689">
        <f>FONO!M689</f>
        <v>0.33518368599999998</v>
      </c>
      <c r="M689">
        <f>FONO!N689</f>
        <v>68.3</v>
      </c>
      <c r="O689">
        <f>ABS(L689-FONO!$C$34)</f>
        <v>4.8444190762756065</v>
      </c>
      <c r="P689">
        <f t="shared" si="11"/>
        <v>68.3</v>
      </c>
    </row>
    <row r="690" spans="10:16">
      <c r="J690" s="5"/>
      <c r="L690">
        <f>FONO!M690</f>
        <v>0.337945</v>
      </c>
      <c r="M690">
        <f>FONO!N690</f>
        <v>68.400000000000006</v>
      </c>
      <c r="O690">
        <f>ABS(L690-FONO!$C$34)</f>
        <v>4.8471803902756072</v>
      </c>
      <c r="P690">
        <f t="shared" si="11"/>
        <v>68.400000000000006</v>
      </c>
    </row>
    <row r="691" spans="10:16">
      <c r="J691" s="5"/>
      <c r="L691">
        <f>FONO!M691</f>
        <v>0.337945</v>
      </c>
      <c r="M691">
        <f>FONO!N691</f>
        <v>68.5</v>
      </c>
      <c r="O691">
        <f>ABS(L691-FONO!$C$34)</f>
        <v>4.8471803902756072</v>
      </c>
      <c r="P691">
        <f t="shared" si="11"/>
        <v>68.5</v>
      </c>
    </row>
    <row r="692" spans="10:16">
      <c r="J692" s="5"/>
      <c r="L692">
        <f>FONO!M692</f>
        <v>0.337945</v>
      </c>
      <c r="M692">
        <f>FONO!N692</f>
        <v>68.599999999999994</v>
      </c>
      <c r="O692">
        <f>ABS(L692-FONO!$C$34)</f>
        <v>4.8471803902756072</v>
      </c>
      <c r="P692">
        <f t="shared" si="11"/>
        <v>68.599999999999994</v>
      </c>
    </row>
    <row r="693" spans="10:16">
      <c r="J693" s="5"/>
      <c r="L693">
        <f>FONO!M693</f>
        <v>0.33797185200000002</v>
      </c>
      <c r="M693">
        <f>FONO!N693</f>
        <v>68.7</v>
      </c>
      <c r="O693">
        <f>ABS(L693-FONO!$C$34)</f>
        <v>4.8472072422756067</v>
      </c>
      <c r="P693">
        <f t="shared" si="11"/>
        <v>68.7</v>
      </c>
    </row>
    <row r="694" spans="10:16">
      <c r="J694" s="5"/>
      <c r="L694">
        <f>FONO!M694</f>
        <v>0.338040648</v>
      </c>
      <c r="M694">
        <f>FONO!N694</f>
        <v>68.8</v>
      </c>
      <c r="O694">
        <f>ABS(L694-FONO!$C$34)</f>
        <v>4.8472760382756066</v>
      </c>
      <c r="P694">
        <f t="shared" si="11"/>
        <v>68.8</v>
      </c>
    </row>
    <row r="695" spans="10:16">
      <c r="J695" s="5"/>
      <c r="L695">
        <f>FONO!M695</f>
        <v>0.33810944399999998</v>
      </c>
      <c r="M695">
        <f>FONO!N695</f>
        <v>68.900000000000006</v>
      </c>
      <c r="O695">
        <f>ABS(L695-FONO!$C$34)</f>
        <v>4.8473448342756065</v>
      </c>
      <c r="P695">
        <f t="shared" si="11"/>
        <v>68.900000000000006</v>
      </c>
    </row>
    <row r="696" spans="10:16">
      <c r="J696" s="5"/>
      <c r="L696">
        <f>FONO!M696</f>
        <v>0.33814100000000002</v>
      </c>
      <c r="M696">
        <f>FONO!N696</f>
        <v>69</v>
      </c>
      <c r="O696">
        <f>ABS(L696-FONO!$C$34)</f>
        <v>4.8473763902756071</v>
      </c>
      <c r="P696">
        <f t="shared" si="11"/>
        <v>69</v>
      </c>
    </row>
    <row r="697" spans="10:16">
      <c r="J697" s="5"/>
      <c r="L697">
        <f>FONO!M697</f>
        <v>0.33814100000000002</v>
      </c>
      <c r="M697">
        <f>FONO!N697</f>
        <v>69.099999999999994</v>
      </c>
      <c r="O697">
        <f>ABS(L697-FONO!$C$34)</f>
        <v>4.8473763902756071</v>
      </c>
      <c r="P697">
        <f t="shared" si="11"/>
        <v>69.099999999999994</v>
      </c>
    </row>
    <row r="698" spans="10:16">
      <c r="J698" s="5"/>
      <c r="L698">
        <f>FONO!M698</f>
        <v>0.33814100000000002</v>
      </c>
      <c r="M698">
        <f>FONO!N698</f>
        <v>69.2</v>
      </c>
      <c r="O698">
        <f>ABS(L698-FONO!$C$34)</f>
        <v>4.8473763902756071</v>
      </c>
      <c r="P698">
        <f t="shared" si="11"/>
        <v>69.2</v>
      </c>
    </row>
    <row r="699" spans="10:16">
      <c r="J699" s="5"/>
      <c r="L699">
        <f>FONO!M699</f>
        <v>0.34701122900000098</v>
      </c>
      <c r="M699">
        <f>FONO!N699</f>
        <v>69.3</v>
      </c>
      <c r="O699">
        <f>ABS(L699-FONO!$C$34)</f>
        <v>4.8562466192756082</v>
      </c>
      <c r="P699">
        <f t="shared" si="11"/>
        <v>69.3</v>
      </c>
    </row>
    <row r="700" spans="10:16">
      <c r="J700" s="5"/>
      <c r="L700">
        <f>FONO!M700</f>
        <v>0.35982378200000098</v>
      </c>
      <c r="M700">
        <f>FONO!N700</f>
        <v>69.400000000000006</v>
      </c>
      <c r="O700">
        <f>ABS(L700-FONO!$C$34)</f>
        <v>4.869059172275608</v>
      </c>
      <c r="P700">
        <f t="shared" si="11"/>
        <v>69.400000000000006</v>
      </c>
    </row>
    <row r="701" spans="10:16">
      <c r="J701" s="5"/>
      <c r="L701">
        <f>FONO!M701</f>
        <v>0.37263633500000098</v>
      </c>
      <c r="M701">
        <f>FONO!N701</f>
        <v>69.5</v>
      </c>
      <c r="O701">
        <f>ABS(L701-FONO!$C$34)</f>
        <v>4.8818717252756079</v>
      </c>
      <c r="P701">
        <f t="shared" si="11"/>
        <v>69.5</v>
      </c>
    </row>
    <row r="702" spans="10:16">
      <c r="J702" s="5"/>
      <c r="L702">
        <f>FONO!M702</f>
        <v>0.38694753600000098</v>
      </c>
      <c r="M702">
        <f>FONO!N702</f>
        <v>69.599999999999994</v>
      </c>
      <c r="O702">
        <f>ABS(L702-FONO!$C$34)</f>
        <v>4.8961829262756078</v>
      </c>
      <c r="P702">
        <f t="shared" si="11"/>
        <v>69.599999999999994</v>
      </c>
    </row>
    <row r="703" spans="10:16">
      <c r="J703" s="5"/>
      <c r="L703">
        <f>FONO!M703</f>
        <v>0.40153720200000098</v>
      </c>
      <c r="M703">
        <f>FONO!N703</f>
        <v>69.7</v>
      </c>
      <c r="O703">
        <f>ABS(L703-FONO!$C$34)</f>
        <v>4.9107725922756078</v>
      </c>
      <c r="P703">
        <f t="shared" si="11"/>
        <v>69.7</v>
      </c>
    </row>
    <row r="704" spans="10:16">
      <c r="J704" s="5"/>
      <c r="L704">
        <f>FONO!M704</f>
        <v>0.41612686800000098</v>
      </c>
      <c r="M704">
        <f>FONO!N704</f>
        <v>69.8</v>
      </c>
      <c r="O704">
        <f>ABS(L704-FONO!$C$34)</f>
        <v>4.9253622582756078</v>
      </c>
      <c r="P704">
        <f t="shared" si="11"/>
        <v>69.8</v>
      </c>
    </row>
    <row r="705" spans="10:16">
      <c r="J705" s="5"/>
      <c r="L705">
        <f>FONO!M705</f>
        <v>0.41701444500000001</v>
      </c>
      <c r="M705">
        <f>FONO!N705</f>
        <v>69.900000000000006</v>
      </c>
      <c r="O705">
        <f>ABS(L705-FONO!$C$34)</f>
        <v>4.9262498352756072</v>
      </c>
      <c r="P705">
        <f t="shared" si="11"/>
        <v>69.900000000000006</v>
      </c>
    </row>
    <row r="706" spans="10:16">
      <c r="J706" s="5"/>
      <c r="L706">
        <f>FONO!M706</f>
        <v>0.41782350000000001</v>
      </c>
      <c r="M706">
        <f>FONO!N706</f>
        <v>70</v>
      </c>
      <c r="O706">
        <f>ABS(L706-FONO!$C$34)</f>
        <v>4.9270588902756067</v>
      </c>
      <c r="P706">
        <f t="shared" si="11"/>
        <v>70</v>
      </c>
    </row>
    <row r="707" spans="10:16">
      <c r="J707" s="5"/>
      <c r="L707">
        <f>FONO!M707</f>
        <v>0.41863122899999999</v>
      </c>
      <c r="M707">
        <f>FONO!N707</f>
        <v>70.099999999999994</v>
      </c>
      <c r="O707">
        <f>ABS(L707-FONO!$C$34)</f>
        <v>4.9278666192756067</v>
      </c>
      <c r="P707">
        <f t="shared" si="11"/>
        <v>70.099999999999994</v>
      </c>
    </row>
    <row r="708" spans="10:16">
      <c r="J708" s="5"/>
      <c r="L708">
        <f>FONO!M708</f>
        <v>0.41943115800000003</v>
      </c>
      <c r="M708">
        <f>FONO!N708</f>
        <v>70.2</v>
      </c>
      <c r="O708">
        <f>ABS(L708-FONO!$C$34)</f>
        <v>4.9286665482756069</v>
      </c>
      <c r="P708">
        <f t="shared" si="11"/>
        <v>70.2</v>
      </c>
    </row>
    <row r="709" spans="10:16">
      <c r="J709" s="5"/>
      <c r="L709">
        <f>FONO!M709</f>
        <v>0.420231087</v>
      </c>
      <c r="M709">
        <f>FONO!N709</f>
        <v>70.3</v>
      </c>
      <c r="O709">
        <f>ABS(L709-FONO!$C$34)</f>
        <v>4.9294664772756072</v>
      </c>
      <c r="P709">
        <f t="shared" si="11"/>
        <v>70.3</v>
      </c>
    </row>
    <row r="710" spans="10:16">
      <c r="J710" s="5"/>
      <c r="L710">
        <f>FONO!M710</f>
        <v>0.42254359200000002</v>
      </c>
      <c r="M710">
        <f>FONO!N710</f>
        <v>70.400000000000006</v>
      </c>
      <c r="O710">
        <f>ABS(L710-FONO!$C$34)</f>
        <v>4.9317789822756071</v>
      </c>
      <c r="P710">
        <f t="shared" si="11"/>
        <v>70.400000000000006</v>
      </c>
    </row>
    <row r="711" spans="10:16">
      <c r="J711" s="5"/>
      <c r="L711">
        <f>FONO!M711</f>
        <v>0.428448465</v>
      </c>
      <c r="M711">
        <f>FONO!N711</f>
        <v>70.5</v>
      </c>
      <c r="O711">
        <f>ABS(L711-FONO!$C$34)</f>
        <v>4.9376838552756066</v>
      </c>
      <c r="P711">
        <f t="shared" ref="P711:P774" si="12">M711</f>
        <v>70.5</v>
      </c>
    </row>
    <row r="712" spans="10:16">
      <c r="J712" s="5"/>
      <c r="L712">
        <f>FONO!M712</f>
        <v>0.43435333799999998</v>
      </c>
      <c r="M712">
        <f>FONO!N712</f>
        <v>70.599999999999994</v>
      </c>
      <c r="O712">
        <f>ABS(L712-FONO!$C$34)</f>
        <v>4.943588728275607</v>
      </c>
      <c r="P712">
        <f t="shared" si="12"/>
        <v>70.599999999999994</v>
      </c>
    </row>
    <row r="713" spans="10:16">
      <c r="J713" s="5"/>
      <c r="L713">
        <f>FONO!M713</f>
        <v>0.44001784399999999</v>
      </c>
      <c r="M713">
        <f>FONO!N713</f>
        <v>70.7</v>
      </c>
      <c r="O713">
        <f>ABS(L713-FONO!$C$34)</f>
        <v>4.9492532342756066</v>
      </c>
      <c r="P713">
        <f t="shared" si="12"/>
        <v>70.7</v>
      </c>
    </row>
    <row r="714" spans="10:16">
      <c r="J714" s="5"/>
      <c r="L714">
        <f>FONO!M714</f>
        <v>0.44538533600000002</v>
      </c>
      <c r="M714">
        <f>FONO!N714</f>
        <v>70.8</v>
      </c>
      <c r="O714">
        <f>ABS(L714-FONO!$C$34)</f>
        <v>4.954620726275607</v>
      </c>
      <c r="P714">
        <f t="shared" si="12"/>
        <v>70.8</v>
      </c>
    </row>
    <row r="715" spans="10:16">
      <c r="J715" s="5"/>
      <c r="L715">
        <f>FONO!M715</f>
        <v>0.45075282799999999</v>
      </c>
      <c r="M715">
        <f>FONO!N715</f>
        <v>70.900000000000006</v>
      </c>
      <c r="O715">
        <f>ABS(L715-FONO!$C$34)</f>
        <v>4.9599882182756065</v>
      </c>
      <c r="P715">
        <f t="shared" si="12"/>
        <v>70.900000000000006</v>
      </c>
    </row>
    <row r="716" spans="10:16">
      <c r="J716" s="5"/>
      <c r="L716">
        <f>FONO!M716</f>
        <v>0.45389537000000002</v>
      </c>
      <c r="M716">
        <f>FONO!N716</f>
        <v>71</v>
      </c>
      <c r="O716">
        <f>ABS(L716-FONO!$C$34)</f>
        <v>4.9631307602756065</v>
      </c>
      <c r="P716">
        <f t="shared" si="12"/>
        <v>71</v>
      </c>
    </row>
    <row r="717" spans="10:16">
      <c r="J717" s="5"/>
      <c r="L717">
        <f>FONO!M717</f>
        <v>0.45554401700000002</v>
      </c>
      <c r="M717">
        <f>FONO!N717</f>
        <v>71.099999999999994</v>
      </c>
      <c r="O717">
        <f>ABS(L717-FONO!$C$34)</f>
        <v>4.9647794072756071</v>
      </c>
      <c r="P717">
        <f t="shared" si="12"/>
        <v>71.099999999999994</v>
      </c>
    </row>
    <row r="718" spans="10:16">
      <c r="J718" s="5"/>
      <c r="L718">
        <f>FONO!M718</f>
        <v>0.45719266400000003</v>
      </c>
      <c r="M718">
        <f>FONO!N718</f>
        <v>71.2</v>
      </c>
      <c r="O718">
        <f>ABS(L718-FONO!$C$34)</f>
        <v>4.9664280542756067</v>
      </c>
      <c r="P718">
        <f t="shared" si="12"/>
        <v>71.2</v>
      </c>
    </row>
    <row r="719" spans="10:16">
      <c r="J719" s="5"/>
      <c r="L719">
        <f>FONO!M719</f>
        <v>0.46744798599999898</v>
      </c>
      <c r="M719">
        <f>FONO!N719</f>
        <v>71.3</v>
      </c>
      <c r="O719">
        <f>ABS(L719-FONO!$C$34)</f>
        <v>4.9766833762756058</v>
      </c>
      <c r="P719">
        <f t="shared" si="12"/>
        <v>71.3</v>
      </c>
    </row>
    <row r="720" spans="10:16">
      <c r="J720" s="5"/>
      <c r="L720">
        <f>FONO!M720</f>
        <v>0.48058310799999898</v>
      </c>
      <c r="M720">
        <f>FONO!N720</f>
        <v>71.400000000000006</v>
      </c>
      <c r="O720">
        <f>ABS(L720-FONO!$C$34)</f>
        <v>4.9898184982756062</v>
      </c>
      <c r="P720">
        <f t="shared" si="12"/>
        <v>71.400000000000006</v>
      </c>
    </row>
    <row r="721" spans="10:16">
      <c r="J721" s="5"/>
      <c r="L721">
        <f>FONO!M721</f>
        <v>0.49371822999999898</v>
      </c>
      <c r="M721">
        <f>FONO!N721</f>
        <v>71.5</v>
      </c>
      <c r="O721">
        <f>ABS(L721-FONO!$C$34)</f>
        <v>5.0029536202756058</v>
      </c>
      <c r="P721">
        <f t="shared" si="12"/>
        <v>71.5</v>
      </c>
    </row>
    <row r="722" spans="10:16">
      <c r="J722" s="5"/>
      <c r="L722">
        <f>FONO!M722</f>
        <v>0.49551969600000001</v>
      </c>
      <c r="M722">
        <f>FONO!N722</f>
        <v>71.599999999999994</v>
      </c>
      <c r="O722">
        <f>ABS(L722-FONO!$C$34)</f>
        <v>5.0047550862756065</v>
      </c>
      <c r="P722">
        <f t="shared" si="12"/>
        <v>71.599999999999994</v>
      </c>
    </row>
    <row r="723" spans="10:16">
      <c r="J723" s="5"/>
      <c r="L723">
        <f>FONO!M723</f>
        <v>0.49606585199999997</v>
      </c>
      <c r="M723">
        <f>FONO!N723</f>
        <v>71.7</v>
      </c>
      <c r="O723">
        <f>ABS(L723-FONO!$C$34)</f>
        <v>5.0053012422756069</v>
      </c>
      <c r="P723">
        <f t="shared" si="12"/>
        <v>71.7</v>
      </c>
    </row>
    <row r="724" spans="10:16">
      <c r="J724" s="5"/>
      <c r="L724">
        <f>FONO!M724</f>
        <v>0.49658400000000003</v>
      </c>
      <c r="M724">
        <f>FONO!N724</f>
        <v>71.8</v>
      </c>
      <c r="O724">
        <f>ABS(L724-FONO!$C$34)</f>
        <v>5.0058193902756072</v>
      </c>
      <c r="P724">
        <f t="shared" si="12"/>
        <v>71.8</v>
      </c>
    </row>
    <row r="725" spans="10:16">
      <c r="J725" s="5"/>
      <c r="L725">
        <f>FONO!M725</f>
        <v>0.49658400000000003</v>
      </c>
      <c r="M725">
        <f>FONO!N725</f>
        <v>71.900000000000006</v>
      </c>
      <c r="O725">
        <f>ABS(L725-FONO!$C$34)</f>
        <v>5.0058193902756072</v>
      </c>
      <c r="P725">
        <f t="shared" si="12"/>
        <v>71.900000000000006</v>
      </c>
    </row>
    <row r="726" spans="10:16">
      <c r="J726" s="5"/>
      <c r="L726">
        <f>FONO!M726</f>
        <v>0.49658400000000003</v>
      </c>
      <c r="M726">
        <f>FONO!N726</f>
        <v>72</v>
      </c>
      <c r="O726">
        <f>ABS(L726-FONO!$C$34)</f>
        <v>5.0058193902756072</v>
      </c>
      <c r="P726">
        <f t="shared" si="12"/>
        <v>72</v>
      </c>
    </row>
    <row r="727" spans="10:16">
      <c r="J727" s="5"/>
      <c r="L727">
        <f>FONO!M727</f>
        <v>0.49768180200000001</v>
      </c>
      <c r="M727">
        <f>FONO!N727</f>
        <v>72.099999999999994</v>
      </c>
      <c r="O727">
        <f>ABS(L727-FONO!$C$34)</f>
        <v>5.0069171922756066</v>
      </c>
      <c r="P727">
        <f t="shared" si="12"/>
        <v>72.099999999999994</v>
      </c>
    </row>
    <row r="728" spans="10:16">
      <c r="J728" s="5"/>
      <c r="L728">
        <f>FONO!M728</f>
        <v>0.50310896400000005</v>
      </c>
      <c r="M728">
        <f>FONO!N728</f>
        <v>72.2</v>
      </c>
      <c r="O728">
        <f>ABS(L728-FONO!$C$34)</f>
        <v>5.0123443542756068</v>
      </c>
      <c r="P728">
        <f t="shared" si="12"/>
        <v>72.2</v>
      </c>
    </row>
    <row r="729" spans="10:16">
      <c r="J729" s="5"/>
      <c r="L729">
        <f>FONO!M729</f>
        <v>0.50853612599999998</v>
      </c>
      <c r="M729">
        <f>FONO!N729</f>
        <v>72.3</v>
      </c>
      <c r="O729">
        <f>ABS(L729-FONO!$C$34)</f>
        <v>5.0177715162756069</v>
      </c>
      <c r="P729">
        <f t="shared" si="12"/>
        <v>72.3</v>
      </c>
    </row>
    <row r="730" spans="10:16">
      <c r="J730" s="5"/>
      <c r="L730">
        <f>FONO!M730</f>
        <v>0.51496210799999997</v>
      </c>
      <c r="M730">
        <f>FONO!N730</f>
        <v>72.400000000000006</v>
      </c>
      <c r="O730">
        <f>ABS(L730-FONO!$C$34)</f>
        <v>5.0241974982756066</v>
      </c>
      <c r="P730">
        <f t="shared" si="12"/>
        <v>72.400000000000006</v>
      </c>
    </row>
    <row r="731" spans="10:16">
      <c r="J731" s="5"/>
      <c r="L731">
        <f>FONO!M731</f>
        <v>0.52321657499999996</v>
      </c>
      <c r="M731">
        <f>FONO!N731</f>
        <v>72.5</v>
      </c>
      <c r="O731">
        <f>ABS(L731-FONO!$C$34)</f>
        <v>5.032451965275607</v>
      </c>
      <c r="P731">
        <f t="shared" si="12"/>
        <v>72.5</v>
      </c>
    </row>
    <row r="732" spans="10:16">
      <c r="J732" s="5"/>
      <c r="L732">
        <f>FONO!M732</f>
        <v>0.53147104199999995</v>
      </c>
      <c r="M732">
        <f>FONO!N732</f>
        <v>72.599999999999994</v>
      </c>
      <c r="O732">
        <f>ABS(L732-FONO!$C$34)</f>
        <v>5.0407064322756066</v>
      </c>
      <c r="P732">
        <f t="shared" si="12"/>
        <v>72.599999999999994</v>
      </c>
    </row>
    <row r="733" spans="10:16">
      <c r="J733" s="5"/>
      <c r="L733">
        <f>FONO!M733</f>
        <v>0.53730043199999999</v>
      </c>
      <c r="M733">
        <f>FONO!N733</f>
        <v>72.7</v>
      </c>
      <c r="O733">
        <f>ABS(L733-FONO!$C$34)</f>
        <v>5.0465358222756072</v>
      </c>
      <c r="P733">
        <f t="shared" si="12"/>
        <v>72.7</v>
      </c>
    </row>
    <row r="734" spans="10:16">
      <c r="J734" s="5"/>
      <c r="L734">
        <f>FONO!M734</f>
        <v>0.54074584800000003</v>
      </c>
      <c r="M734">
        <f>FONO!N734</f>
        <v>72.8</v>
      </c>
      <c r="O734">
        <f>ABS(L734-FONO!$C$34)</f>
        <v>5.0499812382756071</v>
      </c>
      <c r="P734">
        <f t="shared" si="12"/>
        <v>72.8</v>
      </c>
    </row>
    <row r="735" spans="10:16">
      <c r="J735" s="5"/>
      <c r="L735">
        <f>FONO!M735</f>
        <v>0.54419126399999995</v>
      </c>
      <c r="M735">
        <f>FONO!N735</f>
        <v>72.900000000000006</v>
      </c>
      <c r="O735">
        <f>ABS(L735-FONO!$C$34)</f>
        <v>5.053426654275607</v>
      </c>
      <c r="P735">
        <f t="shared" si="12"/>
        <v>72.900000000000006</v>
      </c>
    </row>
    <row r="736" spans="10:16">
      <c r="J736" s="5"/>
      <c r="L736">
        <f>FONO!M736</f>
        <v>0.54663227000000003</v>
      </c>
      <c r="M736">
        <f>FONO!N736</f>
        <v>73</v>
      </c>
      <c r="O736">
        <f>ABS(L736-FONO!$C$34)</f>
        <v>5.0558676602756067</v>
      </c>
      <c r="P736">
        <f t="shared" si="12"/>
        <v>73</v>
      </c>
    </row>
    <row r="737" spans="10:16">
      <c r="J737" s="5"/>
      <c r="L737">
        <f>FONO!M737</f>
        <v>0.54854486899999999</v>
      </c>
      <c r="M737">
        <f>FONO!N737</f>
        <v>73.099999999999994</v>
      </c>
      <c r="O737">
        <f>ABS(L737-FONO!$C$34)</f>
        <v>5.0577802592756065</v>
      </c>
      <c r="P737">
        <f t="shared" si="12"/>
        <v>73.099999999999994</v>
      </c>
    </row>
    <row r="738" spans="10:16">
      <c r="J738" s="5"/>
      <c r="L738">
        <f>FONO!M738</f>
        <v>0.55045746799999995</v>
      </c>
      <c r="M738">
        <f>FONO!N738</f>
        <v>73.2</v>
      </c>
      <c r="O738">
        <f>ABS(L738-FONO!$C$34)</f>
        <v>5.0596928582756071</v>
      </c>
      <c r="P738">
        <f t="shared" si="12"/>
        <v>73.2</v>
      </c>
    </row>
    <row r="739" spans="10:16">
      <c r="J739" s="5"/>
      <c r="L739">
        <f>FONO!M739</f>
        <v>0.55221271900000002</v>
      </c>
      <c r="M739">
        <f>FONO!N739</f>
        <v>73.3</v>
      </c>
      <c r="O739">
        <f>ABS(L739-FONO!$C$34)</f>
        <v>5.0614481092756067</v>
      </c>
      <c r="P739">
        <f t="shared" si="12"/>
        <v>73.3</v>
      </c>
    </row>
    <row r="740" spans="10:16">
      <c r="J740" s="5"/>
      <c r="L740">
        <f>FONO!M740</f>
        <v>0.553930162</v>
      </c>
      <c r="M740">
        <f>FONO!N740</f>
        <v>73.400000000000006</v>
      </c>
      <c r="O740">
        <f>ABS(L740-FONO!$C$34)</f>
        <v>5.0631655522756072</v>
      </c>
      <c r="P740">
        <f t="shared" si="12"/>
        <v>73.400000000000006</v>
      </c>
    </row>
    <row r="741" spans="10:16">
      <c r="J741" s="5"/>
      <c r="L741">
        <f>FONO!M741</f>
        <v>0.55564760499999999</v>
      </c>
      <c r="M741">
        <f>FONO!N741</f>
        <v>73.5</v>
      </c>
      <c r="O741">
        <f>ABS(L741-FONO!$C$34)</f>
        <v>5.0648829952756067</v>
      </c>
      <c r="P741">
        <f t="shared" si="12"/>
        <v>73.5</v>
      </c>
    </row>
    <row r="742" spans="10:16">
      <c r="J742" s="5"/>
      <c r="L742">
        <f>FONO!M742</f>
        <v>0.56103618399999999</v>
      </c>
      <c r="M742">
        <f>FONO!N742</f>
        <v>73.599999999999994</v>
      </c>
      <c r="O742">
        <f>ABS(L742-FONO!$C$34)</f>
        <v>5.0702715742756066</v>
      </c>
      <c r="P742">
        <f t="shared" si="12"/>
        <v>73.599999999999994</v>
      </c>
    </row>
    <row r="743" spans="10:16">
      <c r="J743" s="5"/>
      <c r="L743">
        <f>FONO!M743</f>
        <v>0.56658865300000005</v>
      </c>
      <c r="M743">
        <f>FONO!N743</f>
        <v>73.7</v>
      </c>
      <c r="O743">
        <f>ABS(L743-FONO!$C$34)</f>
        <v>5.075824043275607</v>
      </c>
      <c r="P743">
        <f t="shared" si="12"/>
        <v>73.7</v>
      </c>
    </row>
    <row r="744" spans="10:16">
      <c r="J744" s="5"/>
      <c r="L744">
        <f>FONO!M744</f>
        <v>0.57199960999999999</v>
      </c>
      <c r="M744">
        <f>FONO!N744</f>
        <v>73.8</v>
      </c>
      <c r="O744">
        <f>ABS(L744-FONO!$C$34)</f>
        <v>5.0812350002756066</v>
      </c>
      <c r="P744">
        <f t="shared" si="12"/>
        <v>73.8</v>
      </c>
    </row>
    <row r="745" spans="10:16">
      <c r="J745" s="5"/>
      <c r="L745">
        <f>FONO!M745</f>
        <v>0.57624495499999995</v>
      </c>
      <c r="M745">
        <f>FONO!N745</f>
        <v>73.900000000000006</v>
      </c>
      <c r="O745">
        <f>ABS(L745-FONO!$C$34)</f>
        <v>5.0854803452756068</v>
      </c>
      <c r="P745">
        <f t="shared" si="12"/>
        <v>73.900000000000006</v>
      </c>
    </row>
    <row r="746" spans="10:16">
      <c r="J746" s="5"/>
      <c r="L746">
        <f>FONO!M746</f>
        <v>0.58049030000000001</v>
      </c>
      <c r="M746">
        <f>FONO!N746</f>
        <v>74</v>
      </c>
      <c r="O746">
        <f>ABS(L746-FONO!$C$34)</f>
        <v>5.089725690275607</v>
      </c>
      <c r="P746">
        <f t="shared" si="12"/>
        <v>74</v>
      </c>
    </row>
    <row r="747" spans="10:16">
      <c r="J747" s="5"/>
      <c r="L747">
        <f>FONO!M747</f>
        <v>0.58654199500000004</v>
      </c>
      <c r="M747">
        <f>FONO!N747</f>
        <v>74.099999999999994</v>
      </c>
      <c r="O747">
        <f>ABS(L747-FONO!$C$34)</f>
        <v>5.095777385275607</v>
      </c>
      <c r="P747">
        <f t="shared" si="12"/>
        <v>74.099999999999994</v>
      </c>
    </row>
    <row r="748" spans="10:16">
      <c r="J748" s="5"/>
      <c r="L748">
        <f>FONO!M748</f>
        <v>0.59775469000000003</v>
      </c>
      <c r="M748">
        <f>FONO!N748</f>
        <v>74.2</v>
      </c>
      <c r="O748">
        <f>ABS(L748-FONO!$C$34)</f>
        <v>5.1069900802756072</v>
      </c>
      <c r="P748">
        <f t="shared" si="12"/>
        <v>74.2</v>
      </c>
    </row>
    <row r="749" spans="10:16">
      <c r="J749" s="5"/>
      <c r="L749">
        <f>FONO!M749</f>
        <v>0.60896738500000003</v>
      </c>
      <c r="M749">
        <f>FONO!N749</f>
        <v>74.3</v>
      </c>
      <c r="O749">
        <f>ABS(L749-FONO!$C$34)</f>
        <v>5.1182027752756065</v>
      </c>
      <c r="P749">
        <f t="shared" si="12"/>
        <v>74.3</v>
      </c>
    </row>
    <row r="750" spans="10:16">
      <c r="J750" s="5"/>
      <c r="L750">
        <f>FONO!M750</f>
        <v>0.61808200000000002</v>
      </c>
      <c r="M750">
        <f>FONO!N750</f>
        <v>74.400000000000006</v>
      </c>
      <c r="O750">
        <f>ABS(L750-FONO!$C$34)</f>
        <v>5.1273173902756071</v>
      </c>
      <c r="P750">
        <f t="shared" si="12"/>
        <v>74.400000000000006</v>
      </c>
    </row>
    <row r="751" spans="10:16">
      <c r="J751" s="5"/>
      <c r="L751">
        <f>FONO!M751</f>
        <v>0.62418062500000004</v>
      </c>
      <c r="M751">
        <f>FONO!N751</f>
        <v>74.5</v>
      </c>
      <c r="O751">
        <f>ABS(L751-FONO!$C$34)</f>
        <v>5.133416015275607</v>
      </c>
      <c r="P751">
        <f t="shared" si="12"/>
        <v>74.5</v>
      </c>
    </row>
    <row r="752" spans="10:16">
      <c r="J752" s="5"/>
      <c r="L752">
        <f>FONO!M752</f>
        <v>0.63027924999999996</v>
      </c>
      <c r="M752">
        <f>FONO!N752</f>
        <v>74.599999999999994</v>
      </c>
      <c r="O752">
        <f>ABS(L752-FONO!$C$34)</f>
        <v>5.1395146402756069</v>
      </c>
      <c r="P752">
        <f t="shared" si="12"/>
        <v>74.599999999999994</v>
      </c>
    </row>
    <row r="753" spans="10:16">
      <c r="J753" s="5"/>
      <c r="L753">
        <f>FONO!M753</f>
        <v>0.63378279400000004</v>
      </c>
      <c r="M753">
        <f>FONO!N753</f>
        <v>74.7</v>
      </c>
      <c r="O753">
        <f>ABS(L753-FONO!$C$34)</f>
        <v>5.1430181842756069</v>
      </c>
      <c r="P753">
        <f t="shared" si="12"/>
        <v>74.7</v>
      </c>
    </row>
    <row r="754" spans="10:16">
      <c r="J754" s="5"/>
      <c r="L754">
        <f>FONO!M754</f>
        <v>0.63525769600000004</v>
      </c>
      <c r="M754">
        <f>FONO!N754</f>
        <v>74.8</v>
      </c>
      <c r="O754">
        <f>ABS(L754-FONO!$C$34)</f>
        <v>5.1444930862756069</v>
      </c>
      <c r="P754">
        <f t="shared" si="12"/>
        <v>74.8</v>
      </c>
    </row>
    <row r="755" spans="10:16">
      <c r="J755" s="5"/>
      <c r="L755">
        <f>FONO!M755</f>
        <v>0.63673259800000004</v>
      </c>
      <c r="M755">
        <f>FONO!N755</f>
        <v>74.900000000000006</v>
      </c>
      <c r="O755">
        <f>ABS(L755-FONO!$C$34)</f>
        <v>5.1459679882756069</v>
      </c>
      <c r="P755">
        <f t="shared" si="12"/>
        <v>74.900000000000006</v>
      </c>
    </row>
    <row r="756" spans="10:16">
      <c r="J756" s="5"/>
      <c r="L756">
        <f>FONO!M756</f>
        <v>0.64070800000000006</v>
      </c>
      <c r="M756">
        <f>FONO!N756</f>
        <v>75</v>
      </c>
      <c r="O756">
        <f>ABS(L756-FONO!$C$34)</f>
        <v>5.1499433902756069</v>
      </c>
      <c r="P756">
        <f t="shared" si="12"/>
        <v>75</v>
      </c>
    </row>
    <row r="757" spans="10:16">
      <c r="J757" s="5"/>
      <c r="L757">
        <f>FONO!M757</f>
        <v>0.64569360399999998</v>
      </c>
      <c r="M757">
        <f>FONO!N757</f>
        <v>75.099999999999994</v>
      </c>
      <c r="O757">
        <f>ABS(L757-FONO!$C$34)</f>
        <v>5.1549289942756067</v>
      </c>
      <c r="P757">
        <f t="shared" si="12"/>
        <v>75.099999999999994</v>
      </c>
    </row>
    <row r="758" spans="10:16">
      <c r="J758" s="5"/>
      <c r="L758">
        <f>FONO!M758</f>
        <v>0.65067920800000001</v>
      </c>
      <c r="M758">
        <f>FONO!N758</f>
        <v>75.2</v>
      </c>
      <c r="O758">
        <f>ABS(L758-FONO!$C$34)</f>
        <v>5.1599145982756065</v>
      </c>
      <c r="P758">
        <f t="shared" si="12"/>
        <v>75.2</v>
      </c>
    </row>
    <row r="759" spans="10:16">
      <c r="J759" s="5"/>
      <c r="L759">
        <f>FONO!M759</f>
        <v>0.66508356700000004</v>
      </c>
      <c r="M759">
        <f>FONO!N759</f>
        <v>75.3</v>
      </c>
      <c r="O759">
        <f>ABS(L759-FONO!$C$34)</f>
        <v>5.1743189572756068</v>
      </c>
      <c r="P759">
        <f t="shared" si="12"/>
        <v>75.3</v>
      </c>
    </row>
    <row r="760" spans="10:16">
      <c r="J760" s="5"/>
      <c r="L760">
        <f>FONO!M760</f>
        <v>0.68098000599999997</v>
      </c>
      <c r="M760">
        <f>FONO!N760</f>
        <v>75.400000000000006</v>
      </c>
      <c r="O760">
        <f>ABS(L760-FONO!$C$34)</f>
        <v>5.1902153962756064</v>
      </c>
      <c r="P760">
        <f t="shared" si="12"/>
        <v>75.400000000000006</v>
      </c>
    </row>
    <row r="761" spans="10:16">
      <c r="J761" s="5"/>
      <c r="L761">
        <f>FONO!M761</f>
        <v>0.69668337999999996</v>
      </c>
      <c r="M761">
        <f>FONO!N761</f>
        <v>75.5</v>
      </c>
      <c r="O761">
        <f>ABS(L761-FONO!$C$34)</f>
        <v>5.2059187702756065</v>
      </c>
      <c r="P761">
        <f t="shared" si="12"/>
        <v>75.5</v>
      </c>
    </row>
    <row r="762" spans="10:16">
      <c r="J762" s="5"/>
      <c r="L762">
        <f>FONO!M762</f>
        <v>0.69902665600000002</v>
      </c>
      <c r="M762">
        <f>FONO!N762</f>
        <v>75.599999999999994</v>
      </c>
      <c r="O762">
        <f>ABS(L762-FONO!$C$34)</f>
        <v>5.2082620462756068</v>
      </c>
      <c r="P762">
        <f t="shared" si="12"/>
        <v>75.599999999999994</v>
      </c>
    </row>
    <row r="763" spans="10:16">
      <c r="J763" s="5"/>
      <c r="L763">
        <f>FONO!M763</f>
        <v>0.70136993199999997</v>
      </c>
      <c r="M763">
        <f>FONO!N763</f>
        <v>75.7</v>
      </c>
      <c r="O763">
        <f>ABS(L763-FONO!$C$34)</f>
        <v>5.2106053222756064</v>
      </c>
      <c r="P763">
        <f t="shared" si="12"/>
        <v>75.7</v>
      </c>
    </row>
    <row r="764" spans="10:16">
      <c r="J764" s="5"/>
      <c r="L764">
        <f>FONO!M764</f>
        <v>0.70341630600000005</v>
      </c>
      <c r="M764">
        <f>FONO!N764</f>
        <v>75.8</v>
      </c>
      <c r="O764">
        <f>ABS(L764-FONO!$C$34)</f>
        <v>5.2126516962756071</v>
      </c>
      <c r="P764">
        <f t="shared" si="12"/>
        <v>75.8</v>
      </c>
    </row>
    <row r="765" spans="10:16">
      <c r="J765" s="5"/>
      <c r="L765">
        <f>FONO!M765</f>
        <v>0.70396281299999997</v>
      </c>
      <c r="M765">
        <f>FONO!N765</f>
        <v>75.900000000000006</v>
      </c>
      <c r="O765">
        <f>ABS(L765-FONO!$C$34)</f>
        <v>5.2131982032756063</v>
      </c>
      <c r="P765">
        <f t="shared" si="12"/>
        <v>75.900000000000006</v>
      </c>
    </row>
    <row r="766" spans="10:16">
      <c r="J766" s="5"/>
      <c r="L766">
        <f>FONO!M766</f>
        <v>0.70450931999999999</v>
      </c>
      <c r="M766">
        <f>FONO!N766</f>
        <v>76</v>
      </c>
      <c r="O766">
        <f>ABS(L766-FONO!$C$34)</f>
        <v>5.2137447102756065</v>
      </c>
      <c r="P766">
        <f t="shared" si="12"/>
        <v>76</v>
      </c>
    </row>
    <row r="767" spans="10:16">
      <c r="J767" s="5"/>
      <c r="L767">
        <f>FONO!M767</f>
        <v>0.70513896600000003</v>
      </c>
      <c r="M767">
        <f>FONO!N767</f>
        <v>76.099999999999994</v>
      </c>
      <c r="O767">
        <f>ABS(L767-FONO!$C$34)</f>
        <v>5.2143743562756066</v>
      </c>
      <c r="P767">
        <f t="shared" si="12"/>
        <v>76.099999999999994</v>
      </c>
    </row>
    <row r="768" spans="10:16">
      <c r="J768" s="5"/>
      <c r="L768">
        <f>FONO!M768</f>
        <v>0.70594837200000005</v>
      </c>
      <c r="M768">
        <f>FONO!N768</f>
        <v>76.2</v>
      </c>
      <c r="O768">
        <f>ABS(L768-FONO!$C$34)</f>
        <v>5.2151837622756068</v>
      </c>
      <c r="P768">
        <f t="shared" si="12"/>
        <v>76.2</v>
      </c>
    </row>
    <row r="769" spans="10:16">
      <c r="J769" s="5"/>
      <c r="L769">
        <f>FONO!M769</f>
        <v>0.70675777799999995</v>
      </c>
      <c r="M769">
        <f>FONO!N769</f>
        <v>76.3</v>
      </c>
      <c r="O769">
        <f>ABS(L769-FONO!$C$34)</f>
        <v>5.2159931682756069</v>
      </c>
      <c r="P769">
        <f t="shared" si="12"/>
        <v>76.3</v>
      </c>
    </row>
    <row r="770" spans="10:16">
      <c r="J770" s="5"/>
      <c r="L770">
        <f>FONO!M770</f>
        <v>0.707353656</v>
      </c>
      <c r="M770">
        <f>FONO!N770</f>
        <v>76.400000000000006</v>
      </c>
      <c r="O770">
        <f>ABS(L770-FONO!$C$34)</f>
        <v>5.2165890462756064</v>
      </c>
      <c r="P770">
        <f t="shared" si="12"/>
        <v>76.400000000000006</v>
      </c>
    </row>
    <row r="771" spans="10:16">
      <c r="J771" s="5"/>
      <c r="L771">
        <f>FONO!M771</f>
        <v>0.70770606000000003</v>
      </c>
      <c r="M771">
        <f>FONO!N771</f>
        <v>76.5</v>
      </c>
      <c r="O771">
        <f>ABS(L771-FONO!$C$34)</f>
        <v>5.2169414502756073</v>
      </c>
      <c r="P771">
        <f t="shared" si="12"/>
        <v>76.5</v>
      </c>
    </row>
    <row r="772" spans="10:16">
      <c r="J772" s="5"/>
      <c r="L772">
        <f>FONO!M772</f>
        <v>0.70805846400000005</v>
      </c>
      <c r="M772">
        <f>FONO!N772</f>
        <v>76.599999999999994</v>
      </c>
      <c r="O772">
        <f>ABS(L772-FONO!$C$34)</f>
        <v>5.2172938542756064</v>
      </c>
      <c r="P772">
        <f t="shared" si="12"/>
        <v>76.599999999999994</v>
      </c>
    </row>
    <row r="773" spans="10:16">
      <c r="J773" s="5"/>
      <c r="L773">
        <f>FONO!M773</f>
        <v>0.71212590799999997</v>
      </c>
      <c r="M773">
        <f>FONO!N773</f>
        <v>76.7</v>
      </c>
      <c r="O773">
        <f>ABS(L773-FONO!$C$34)</f>
        <v>5.2213612982756068</v>
      </c>
      <c r="P773">
        <f t="shared" si="12"/>
        <v>76.7</v>
      </c>
    </row>
    <row r="774" spans="10:16">
      <c r="J774" s="5"/>
      <c r="L774">
        <f>FONO!M774</f>
        <v>0.71848743199999998</v>
      </c>
      <c r="M774">
        <f>FONO!N774</f>
        <v>76.8</v>
      </c>
      <c r="O774">
        <f>ABS(L774-FONO!$C$34)</f>
        <v>5.2277228222756067</v>
      </c>
      <c r="P774">
        <f t="shared" si="12"/>
        <v>76.8</v>
      </c>
    </row>
    <row r="775" spans="10:16">
      <c r="J775" s="5"/>
      <c r="L775">
        <f>FONO!M775</f>
        <v>0.72484895599999999</v>
      </c>
      <c r="M775">
        <f>FONO!N775</f>
        <v>76.900000000000006</v>
      </c>
      <c r="O775">
        <f>ABS(L775-FONO!$C$34)</f>
        <v>5.2340843462756066</v>
      </c>
      <c r="P775">
        <f t="shared" ref="P775:P838" si="13">M775</f>
        <v>76.900000000000006</v>
      </c>
    </row>
    <row r="776" spans="10:16">
      <c r="J776" s="5"/>
      <c r="L776">
        <f>FONO!M776</f>
        <v>0.72910934000000005</v>
      </c>
      <c r="M776">
        <f>FONO!N776</f>
        <v>77</v>
      </c>
      <c r="O776">
        <f>ABS(L776-FONO!$C$34)</f>
        <v>5.2383447302756068</v>
      </c>
      <c r="P776">
        <f t="shared" si="13"/>
        <v>77</v>
      </c>
    </row>
    <row r="777" spans="10:16">
      <c r="J777" s="5"/>
      <c r="L777">
        <f>FONO!M777</f>
        <v>0.73273938199999999</v>
      </c>
      <c r="M777">
        <f>FONO!N777</f>
        <v>77.099999999999994</v>
      </c>
      <c r="O777">
        <f>ABS(L777-FONO!$C$34)</f>
        <v>5.2419747722756069</v>
      </c>
      <c r="P777">
        <f t="shared" si="13"/>
        <v>77.099999999999994</v>
      </c>
    </row>
    <row r="778" spans="10:16">
      <c r="J778" s="5"/>
      <c r="L778">
        <f>FONO!M778</f>
        <v>0.73636942400000005</v>
      </c>
      <c r="M778">
        <f>FONO!N778</f>
        <v>77.2</v>
      </c>
      <c r="O778">
        <f>ABS(L778-FONO!$C$34)</f>
        <v>5.2456048142756071</v>
      </c>
      <c r="P778">
        <f t="shared" si="13"/>
        <v>77.2</v>
      </c>
    </row>
    <row r="779" spans="10:16">
      <c r="J779" s="5"/>
      <c r="L779">
        <f>FONO!M779</f>
        <v>0.73875236300000002</v>
      </c>
      <c r="M779">
        <f>FONO!N779</f>
        <v>77.3</v>
      </c>
      <c r="O779">
        <f>ABS(L779-FONO!$C$34)</f>
        <v>5.2479877532756065</v>
      </c>
      <c r="P779">
        <f t="shared" si="13"/>
        <v>77.3</v>
      </c>
    </row>
    <row r="780" spans="10:16">
      <c r="J780" s="5"/>
      <c r="L780">
        <f>FONO!M780</f>
        <v>0.74102719399999994</v>
      </c>
      <c r="M780">
        <f>FONO!N780</f>
        <v>77.400000000000006</v>
      </c>
      <c r="O780">
        <f>ABS(L780-FONO!$C$34)</f>
        <v>5.2502625842756068</v>
      </c>
      <c r="P780">
        <f t="shared" si="13"/>
        <v>77.400000000000006</v>
      </c>
    </row>
    <row r="781" spans="10:16">
      <c r="J781" s="5"/>
      <c r="L781">
        <f>FONO!M781</f>
        <v>0.74315379999999998</v>
      </c>
      <c r="M781">
        <f>FONO!N781</f>
        <v>77.5</v>
      </c>
      <c r="O781">
        <f>ABS(L781-FONO!$C$34)</f>
        <v>5.2523891902756068</v>
      </c>
      <c r="P781">
        <f t="shared" si="13"/>
        <v>77.5</v>
      </c>
    </row>
    <row r="782" spans="10:16">
      <c r="J782" s="5"/>
      <c r="L782">
        <f>FONO!M782</f>
        <v>0.74334755200000002</v>
      </c>
      <c r="M782">
        <f>FONO!N782</f>
        <v>77.599999999999994</v>
      </c>
      <c r="O782">
        <f>ABS(L782-FONO!$C$34)</f>
        <v>5.2525829422756072</v>
      </c>
      <c r="P782">
        <f t="shared" si="13"/>
        <v>77.599999999999994</v>
      </c>
    </row>
    <row r="783" spans="10:16">
      <c r="J783" s="5"/>
      <c r="L783">
        <f>FONO!M783</f>
        <v>0.74354130399999996</v>
      </c>
      <c r="M783">
        <f>FONO!N783</f>
        <v>77.7</v>
      </c>
      <c r="O783">
        <f>ABS(L783-FONO!$C$34)</f>
        <v>5.2527766942756067</v>
      </c>
      <c r="P783">
        <f t="shared" si="13"/>
        <v>77.7</v>
      </c>
    </row>
    <row r="784" spans="10:16">
      <c r="J784" s="5"/>
      <c r="L784">
        <f>FONO!M784</f>
        <v>0.74515613800000102</v>
      </c>
      <c r="M784">
        <f>FONO!N784</f>
        <v>77.8</v>
      </c>
      <c r="O784">
        <f>ABS(L784-FONO!$C$34)</f>
        <v>5.2543915282756082</v>
      </c>
      <c r="P784">
        <f t="shared" si="13"/>
        <v>77.8</v>
      </c>
    </row>
    <row r="785" spans="10:16">
      <c r="J785" s="5"/>
      <c r="L785">
        <f>FONO!M785</f>
        <v>0.75174475900000104</v>
      </c>
      <c r="M785">
        <f>FONO!N785</f>
        <v>77.900000000000006</v>
      </c>
      <c r="O785">
        <f>ABS(L785-FONO!$C$34)</f>
        <v>5.2609801492756079</v>
      </c>
      <c r="P785">
        <f t="shared" si="13"/>
        <v>77.900000000000006</v>
      </c>
    </row>
    <row r="786" spans="10:16">
      <c r="J786" s="5"/>
      <c r="L786">
        <f>FONO!M786</f>
        <v>0.75833338000000095</v>
      </c>
      <c r="M786">
        <f>FONO!N786</f>
        <v>78</v>
      </c>
      <c r="O786">
        <f>ABS(L786-FONO!$C$34)</f>
        <v>5.2675687702756075</v>
      </c>
      <c r="P786">
        <f t="shared" si="13"/>
        <v>78</v>
      </c>
    </row>
    <row r="787" spans="10:16">
      <c r="J787" s="5"/>
      <c r="L787">
        <f>FONO!M787</f>
        <v>0.76496876800000102</v>
      </c>
      <c r="M787">
        <f>FONO!N787</f>
        <v>78.099999999999994</v>
      </c>
      <c r="O787">
        <f>ABS(L787-FONO!$C$34)</f>
        <v>5.2742041582756078</v>
      </c>
      <c r="P787">
        <f t="shared" si="13"/>
        <v>78.099999999999994</v>
      </c>
    </row>
    <row r="788" spans="10:16">
      <c r="J788" s="5"/>
      <c r="L788">
        <f>FONO!M788</f>
        <v>0.77168269600000094</v>
      </c>
      <c r="M788">
        <f>FONO!N788</f>
        <v>78.2</v>
      </c>
      <c r="O788">
        <f>ABS(L788-FONO!$C$34)</f>
        <v>5.2809180862756078</v>
      </c>
      <c r="P788">
        <f t="shared" si="13"/>
        <v>78.2</v>
      </c>
    </row>
    <row r="789" spans="10:16">
      <c r="J789" s="5"/>
      <c r="L789">
        <f>FONO!M789</f>
        <v>0.77839662400000098</v>
      </c>
      <c r="M789">
        <f>FONO!N789</f>
        <v>78.3</v>
      </c>
      <c r="O789">
        <f>ABS(L789-FONO!$C$34)</f>
        <v>5.2876320142756077</v>
      </c>
      <c r="P789">
        <f t="shared" si="13"/>
        <v>78.3</v>
      </c>
    </row>
    <row r="790" spans="10:16">
      <c r="J790" s="5"/>
      <c r="L790">
        <f>FONO!M790</f>
        <v>0.78423600000000004</v>
      </c>
      <c r="M790">
        <f>FONO!N790</f>
        <v>78.400000000000006</v>
      </c>
      <c r="O790">
        <f>ABS(L790-FONO!$C$34)</f>
        <v>5.2934713902756068</v>
      </c>
      <c r="P790">
        <f t="shared" si="13"/>
        <v>78.400000000000006</v>
      </c>
    </row>
    <row r="791" spans="10:16">
      <c r="J791" s="5"/>
      <c r="L791">
        <f>FONO!M791</f>
        <v>0.78928162499999999</v>
      </c>
      <c r="M791">
        <f>FONO!N791</f>
        <v>78.5</v>
      </c>
      <c r="O791">
        <f>ABS(L791-FONO!$C$34)</f>
        <v>5.2985170152756069</v>
      </c>
      <c r="P791">
        <f t="shared" si="13"/>
        <v>78.5</v>
      </c>
    </row>
    <row r="792" spans="10:16">
      <c r="J792" s="5"/>
      <c r="L792">
        <f>FONO!M792</f>
        <v>0.79432725000000004</v>
      </c>
      <c r="M792">
        <f>FONO!N792</f>
        <v>78.599999999999994</v>
      </c>
      <c r="O792">
        <f>ABS(L792-FONO!$C$34)</f>
        <v>5.3035626402756071</v>
      </c>
      <c r="P792">
        <f t="shared" si="13"/>
        <v>78.599999999999994</v>
      </c>
    </row>
    <row r="793" spans="10:16">
      <c r="J793" s="5"/>
      <c r="L793">
        <f>FONO!M793</f>
        <v>0.80407708800000099</v>
      </c>
      <c r="M793">
        <f>FONO!N793</f>
        <v>78.7</v>
      </c>
      <c r="O793">
        <f>ABS(L793-FONO!$C$34)</f>
        <v>5.3133124782756074</v>
      </c>
      <c r="P793">
        <f t="shared" si="13"/>
        <v>78.7</v>
      </c>
    </row>
    <row r="794" spans="10:16">
      <c r="J794" s="5"/>
      <c r="L794">
        <f>FONO!M794</f>
        <v>0.81608971200000102</v>
      </c>
      <c r="M794">
        <f>FONO!N794</f>
        <v>78.8</v>
      </c>
      <c r="O794">
        <f>ABS(L794-FONO!$C$34)</f>
        <v>5.3253251022756078</v>
      </c>
      <c r="P794">
        <f t="shared" si="13"/>
        <v>78.8</v>
      </c>
    </row>
    <row r="795" spans="10:16">
      <c r="J795" s="5"/>
      <c r="L795">
        <f>FONO!M795</f>
        <v>0.82810233600000105</v>
      </c>
      <c r="M795">
        <f>FONO!N795</f>
        <v>78.900000000000006</v>
      </c>
      <c r="O795">
        <f>ABS(L795-FONO!$C$34)</f>
        <v>5.3373377262756083</v>
      </c>
      <c r="P795">
        <f t="shared" si="13"/>
        <v>78.900000000000006</v>
      </c>
    </row>
    <row r="796" spans="10:16">
      <c r="J796" s="5"/>
      <c r="L796">
        <f>FONO!M796</f>
        <v>0.83318946999999999</v>
      </c>
      <c r="M796">
        <f>FONO!N796</f>
        <v>79</v>
      </c>
      <c r="O796">
        <f>ABS(L796-FONO!$C$34)</f>
        <v>5.3424248602756066</v>
      </c>
      <c r="P796">
        <f t="shared" si="13"/>
        <v>79</v>
      </c>
    </row>
    <row r="797" spans="10:16">
      <c r="J797" s="5"/>
      <c r="L797">
        <f>FONO!M797</f>
        <v>0.836819863</v>
      </c>
      <c r="M797">
        <f>FONO!N797</f>
        <v>79.099999999999994</v>
      </c>
      <c r="O797">
        <f>ABS(L797-FONO!$C$34)</f>
        <v>5.3460552532756065</v>
      </c>
      <c r="P797">
        <f t="shared" si="13"/>
        <v>79.099999999999994</v>
      </c>
    </row>
    <row r="798" spans="10:16">
      <c r="J798" s="5"/>
      <c r="L798">
        <f>FONO!M798</f>
        <v>0.84045025600000001</v>
      </c>
      <c r="M798">
        <f>FONO!N798</f>
        <v>79.2</v>
      </c>
      <c r="O798">
        <f>ABS(L798-FONO!$C$34)</f>
        <v>5.3496856462756064</v>
      </c>
      <c r="P798">
        <f t="shared" si="13"/>
        <v>79.2</v>
      </c>
    </row>
    <row r="799" spans="10:16">
      <c r="J799" s="5"/>
      <c r="L799">
        <f>FONO!M799</f>
        <v>0.85450339000000097</v>
      </c>
      <c r="M799">
        <f>FONO!N799</f>
        <v>79.3</v>
      </c>
      <c r="O799">
        <f>ABS(L799-FONO!$C$34)</f>
        <v>5.3637387802756074</v>
      </c>
      <c r="P799">
        <f t="shared" si="13"/>
        <v>79.3</v>
      </c>
    </row>
    <row r="800" spans="10:16">
      <c r="J800" s="5"/>
      <c r="L800">
        <f>FONO!M800</f>
        <v>0.86879962000000099</v>
      </c>
      <c r="M800">
        <f>FONO!N800</f>
        <v>79.400000000000006</v>
      </c>
      <c r="O800">
        <f>ABS(L800-FONO!$C$34)</f>
        <v>5.3780350102756076</v>
      </c>
      <c r="P800">
        <f t="shared" si="13"/>
        <v>79.400000000000006</v>
      </c>
    </row>
    <row r="801" spans="10:16">
      <c r="J801" s="5"/>
      <c r="L801">
        <f>FONO!M801</f>
        <v>0.88136555500000002</v>
      </c>
      <c r="M801">
        <f>FONO!N801</f>
        <v>79.5</v>
      </c>
      <c r="O801">
        <f>ABS(L801-FONO!$C$34)</f>
        <v>5.3906009452756072</v>
      </c>
      <c r="P801">
        <f t="shared" si="13"/>
        <v>79.5</v>
      </c>
    </row>
    <row r="802" spans="10:16">
      <c r="J802" s="5"/>
      <c r="L802">
        <f>FONO!M802</f>
        <v>0.88216548400000006</v>
      </c>
      <c r="M802">
        <f>FONO!N802</f>
        <v>79.599999999999994</v>
      </c>
      <c r="O802">
        <f>ABS(L802-FONO!$C$34)</f>
        <v>5.3914008742756065</v>
      </c>
      <c r="P802">
        <f t="shared" si="13"/>
        <v>79.599999999999994</v>
      </c>
    </row>
    <row r="803" spans="10:16">
      <c r="J803" s="5"/>
      <c r="L803">
        <f>FONO!M803</f>
        <v>0.88296541299999998</v>
      </c>
      <c r="M803">
        <f>FONO!N803</f>
        <v>79.7</v>
      </c>
      <c r="O803">
        <f>ABS(L803-FONO!$C$34)</f>
        <v>5.3922008032756068</v>
      </c>
      <c r="P803">
        <f t="shared" si="13"/>
        <v>79.7</v>
      </c>
    </row>
    <row r="804" spans="10:16">
      <c r="J804" s="5"/>
      <c r="L804">
        <f>FONO!M804</f>
        <v>0.88431561199999997</v>
      </c>
      <c r="M804">
        <f>FONO!N804</f>
        <v>79.8</v>
      </c>
      <c r="O804">
        <f>ABS(L804-FONO!$C$34)</f>
        <v>5.3935510022756068</v>
      </c>
      <c r="P804">
        <f t="shared" si="13"/>
        <v>79.8</v>
      </c>
    </row>
    <row r="805" spans="10:16">
      <c r="J805" s="5"/>
      <c r="L805">
        <f>FONO!M805</f>
        <v>0.88708640599999999</v>
      </c>
      <c r="M805">
        <f>FONO!N805</f>
        <v>79.900000000000006</v>
      </c>
      <c r="O805">
        <f>ABS(L805-FONO!$C$34)</f>
        <v>5.3963217962756067</v>
      </c>
      <c r="P805">
        <f t="shared" si="13"/>
        <v>79.900000000000006</v>
      </c>
    </row>
    <row r="806" spans="10:16">
      <c r="J806" s="5"/>
      <c r="L806">
        <f>FONO!M806</f>
        <v>0.88985720000000001</v>
      </c>
      <c r="M806">
        <f>FONO!N806</f>
        <v>80</v>
      </c>
      <c r="O806">
        <f>ABS(L806-FONO!$C$34)</f>
        <v>5.3990925902756066</v>
      </c>
      <c r="P806">
        <f t="shared" si="13"/>
        <v>80</v>
      </c>
    </row>
    <row r="807" spans="10:16">
      <c r="J807" s="5"/>
      <c r="L807">
        <f>FONO!M807</f>
        <v>0.89371564699999995</v>
      </c>
      <c r="M807">
        <f>FONO!N807</f>
        <v>80.099999999999994</v>
      </c>
      <c r="O807">
        <f>ABS(L807-FONO!$C$34)</f>
        <v>5.4029510372756064</v>
      </c>
      <c r="P807">
        <f t="shared" si="13"/>
        <v>80.099999999999994</v>
      </c>
    </row>
    <row r="808" spans="10:16">
      <c r="J808" s="5"/>
      <c r="L808">
        <f>FONO!M808</f>
        <v>0.899014694</v>
      </c>
      <c r="M808">
        <f>FONO!N808</f>
        <v>80.2</v>
      </c>
      <c r="O808">
        <f>ABS(L808-FONO!$C$34)</f>
        <v>5.4082500842756067</v>
      </c>
      <c r="P808">
        <f t="shared" si="13"/>
        <v>80.2</v>
      </c>
    </row>
    <row r="809" spans="10:16">
      <c r="J809" s="5"/>
      <c r="L809">
        <f>FONO!M809</f>
        <v>0.90431374099999995</v>
      </c>
      <c r="M809">
        <f>FONO!N809</f>
        <v>80.3</v>
      </c>
      <c r="O809">
        <f>ABS(L809-FONO!$C$34)</f>
        <v>5.413549131275607</v>
      </c>
      <c r="P809">
        <f t="shared" si="13"/>
        <v>80.3</v>
      </c>
    </row>
    <row r="810" spans="10:16">
      <c r="J810" s="5"/>
      <c r="L810">
        <f>FONO!M810</f>
        <v>0.90782023999999995</v>
      </c>
      <c r="M810">
        <f>FONO!N810</f>
        <v>80.400000000000006</v>
      </c>
      <c r="O810">
        <f>ABS(L810-FONO!$C$34)</f>
        <v>5.4170556302756072</v>
      </c>
      <c r="P810">
        <f t="shared" si="13"/>
        <v>80.400000000000006</v>
      </c>
    </row>
    <row r="811" spans="10:16">
      <c r="J811" s="5"/>
      <c r="L811">
        <f>FONO!M811</f>
        <v>0.91003504999999996</v>
      </c>
      <c r="M811">
        <f>FONO!N811</f>
        <v>80.5</v>
      </c>
      <c r="O811">
        <f>ABS(L811-FONO!$C$34)</f>
        <v>5.4192704402756071</v>
      </c>
      <c r="P811">
        <f t="shared" si="13"/>
        <v>80.5</v>
      </c>
    </row>
    <row r="812" spans="10:16">
      <c r="J812" s="5"/>
      <c r="L812">
        <f>FONO!M812</f>
        <v>0.91224985999999997</v>
      </c>
      <c r="M812">
        <f>FONO!N812</f>
        <v>80.599999999999994</v>
      </c>
      <c r="O812">
        <f>ABS(L812-FONO!$C$34)</f>
        <v>5.421485250275607</v>
      </c>
      <c r="P812">
        <f t="shared" si="13"/>
        <v>80.599999999999994</v>
      </c>
    </row>
    <row r="813" spans="10:16">
      <c r="J813" s="5"/>
      <c r="L813">
        <f>FONO!M813</f>
        <v>0.91406477799999997</v>
      </c>
      <c r="M813">
        <f>FONO!N813</f>
        <v>80.7</v>
      </c>
      <c r="O813">
        <f>ABS(L813-FONO!$C$34)</f>
        <v>5.423300168275607</v>
      </c>
      <c r="P813">
        <f t="shared" si="13"/>
        <v>80.7</v>
      </c>
    </row>
    <row r="814" spans="10:16">
      <c r="J814" s="5"/>
      <c r="L814">
        <f>FONO!M814</f>
        <v>0.91573343200000001</v>
      </c>
      <c r="M814">
        <f>FONO!N814</f>
        <v>80.8</v>
      </c>
      <c r="O814">
        <f>ABS(L814-FONO!$C$34)</f>
        <v>5.4249688222756065</v>
      </c>
      <c r="P814">
        <f t="shared" si="13"/>
        <v>80.8</v>
      </c>
    </row>
    <row r="815" spans="10:16">
      <c r="J815" s="5"/>
      <c r="L815">
        <f>FONO!M815</f>
        <v>0.91740208599999995</v>
      </c>
      <c r="M815">
        <f>FONO!N815</f>
        <v>80.900000000000006</v>
      </c>
      <c r="O815">
        <f>ABS(L815-FONO!$C$34)</f>
        <v>5.4266374762756069</v>
      </c>
      <c r="P815">
        <f t="shared" si="13"/>
        <v>80.900000000000006</v>
      </c>
    </row>
    <row r="816" spans="10:16">
      <c r="J816" s="5"/>
      <c r="L816">
        <f>FONO!M816</f>
        <v>0.92934569</v>
      </c>
      <c r="M816">
        <f>FONO!N816</f>
        <v>81</v>
      </c>
      <c r="O816">
        <f>ABS(L816-FONO!$C$34)</f>
        <v>5.4385810802756067</v>
      </c>
      <c r="P816">
        <f t="shared" si="13"/>
        <v>81</v>
      </c>
    </row>
    <row r="817" spans="10:16">
      <c r="J817" s="5"/>
      <c r="L817">
        <f>FONO!M817</f>
        <v>0.94264823900000005</v>
      </c>
      <c r="M817">
        <f>FONO!N817</f>
        <v>81.099999999999994</v>
      </c>
      <c r="O817">
        <f>ABS(L817-FONO!$C$34)</f>
        <v>5.4518836292756072</v>
      </c>
      <c r="P817">
        <f t="shared" si="13"/>
        <v>81.099999999999994</v>
      </c>
    </row>
    <row r="818" spans="10:16">
      <c r="J818" s="5"/>
      <c r="L818">
        <f>FONO!M818</f>
        <v>0.95559908000000005</v>
      </c>
      <c r="M818">
        <f>FONO!N818</f>
        <v>81.2</v>
      </c>
      <c r="O818">
        <f>ABS(L818-FONO!$C$34)</f>
        <v>5.4648344702756066</v>
      </c>
      <c r="P818">
        <f t="shared" si="13"/>
        <v>81.2</v>
      </c>
    </row>
    <row r="819" spans="10:16">
      <c r="J819" s="5"/>
      <c r="L819">
        <f>FONO!M819</f>
        <v>0.95861417000000004</v>
      </c>
      <c r="M819">
        <f>FONO!N819</f>
        <v>81.3</v>
      </c>
      <c r="O819">
        <f>ABS(L819-FONO!$C$34)</f>
        <v>5.4678495602756065</v>
      </c>
      <c r="P819">
        <f t="shared" si="13"/>
        <v>81.3</v>
      </c>
    </row>
    <row r="820" spans="10:16">
      <c r="J820" s="5"/>
      <c r="L820">
        <f>FONO!M820</f>
        <v>0.96162926000000004</v>
      </c>
      <c r="M820">
        <f>FONO!N820</f>
        <v>81.400000000000006</v>
      </c>
      <c r="O820">
        <f>ABS(L820-FONO!$C$34)</f>
        <v>5.4708646502756064</v>
      </c>
      <c r="P820">
        <f t="shared" si="13"/>
        <v>81.400000000000006</v>
      </c>
    </row>
    <row r="821" spans="10:16">
      <c r="J821" s="5"/>
      <c r="L821">
        <f>FONO!M821</f>
        <v>0.96544326499999999</v>
      </c>
      <c r="M821">
        <f>FONO!N821</f>
        <v>81.5</v>
      </c>
      <c r="O821">
        <f>ABS(L821-FONO!$C$34)</f>
        <v>5.474678655275607</v>
      </c>
      <c r="P821">
        <f t="shared" si="13"/>
        <v>81.5</v>
      </c>
    </row>
    <row r="822" spans="10:16">
      <c r="J822" s="5"/>
      <c r="L822">
        <f>FONO!M822</f>
        <v>0.97277249600000004</v>
      </c>
      <c r="M822">
        <f>FONO!N822</f>
        <v>81.599999999999994</v>
      </c>
      <c r="O822">
        <f>ABS(L822-FONO!$C$34)</f>
        <v>5.482007886275607</v>
      </c>
      <c r="P822">
        <f t="shared" si="13"/>
        <v>81.599999999999994</v>
      </c>
    </row>
    <row r="823" spans="10:16">
      <c r="J823" s="5"/>
      <c r="L823">
        <f>FONO!M823</f>
        <v>0.98010172699999998</v>
      </c>
      <c r="M823">
        <f>FONO!N823</f>
        <v>81.7</v>
      </c>
      <c r="O823">
        <f>ABS(L823-FONO!$C$34)</f>
        <v>5.4893371172756069</v>
      </c>
      <c r="P823">
        <f t="shared" si="13"/>
        <v>81.7</v>
      </c>
    </row>
    <row r="824" spans="10:16">
      <c r="J824" s="5"/>
      <c r="L824">
        <f>FONO!M824</f>
        <v>0.98826073400000003</v>
      </c>
      <c r="M824">
        <f>FONO!N824</f>
        <v>81.8</v>
      </c>
      <c r="O824">
        <f>ABS(L824-FONO!$C$34)</f>
        <v>5.4974961242756066</v>
      </c>
      <c r="P824">
        <f t="shared" si="13"/>
        <v>81.8</v>
      </c>
    </row>
    <row r="825" spans="10:16">
      <c r="J825" s="5"/>
      <c r="L825">
        <f>FONO!M825</f>
        <v>0.99805819699999998</v>
      </c>
      <c r="M825">
        <f>FONO!N825</f>
        <v>81.900000000000006</v>
      </c>
      <c r="O825">
        <f>ABS(L825-FONO!$C$34)</f>
        <v>5.5072935872756066</v>
      </c>
      <c r="P825">
        <f t="shared" si="13"/>
        <v>81.900000000000006</v>
      </c>
    </row>
    <row r="826" spans="10:16">
      <c r="J826" s="5"/>
      <c r="L826">
        <f>FONO!M826</f>
        <v>1.0078556599999999</v>
      </c>
      <c r="M826">
        <f>FONO!N826</f>
        <v>82</v>
      </c>
      <c r="O826">
        <f>ABS(L826-FONO!$C$34)</f>
        <v>5.5170910502756065</v>
      </c>
      <c r="P826">
        <f t="shared" si="13"/>
        <v>82</v>
      </c>
    </row>
    <row r="827" spans="10:16">
      <c r="J827" s="5"/>
      <c r="L827">
        <f>FONO!M827</f>
        <v>1.0132072940000001</v>
      </c>
      <c r="M827">
        <f>FONO!N827</f>
        <v>82.1</v>
      </c>
      <c r="O827">
        <f>ABS(L827-FONO!$C$34)</f>
        <v>5.5224426842756067</v>
      </c>
      <c r="P827">
        <f t="shared" si="13"/>
        <v>82.1</v>
      </c>
    </row>
    <row r="828" spans="10:16">
      <c r="J828" s="5"/>
      <c r="L828">
        <f>FONO!M828</f>
        <v>1.013879108</v>
      </c>
      <c r="M828">
        <f>FONO!N828</f>
        <v>82.2</v>
      </c>
      <c r="O828">
        <f>ABS(L828-FONO!$C$34)</f>
        <v>5.5231144982756071</v>
      </c>
      <c r="P828">
        <f t="shared" si="13"/>
        <v>82.2</v>
      </c>
    </row>
    <row r="829" spans="10:16">
      <c r="J829" s="5"/>
      <c r="L829">
        <f>FONO!M829</f>
        <v>1.014550922</v>
      </c>
      <c r="M829">
        <f>FONO!N829</f>
        <v>82.3</v>
      </c>
      <c r="O829">
        <f>ABS(L829-FONO!$C$34)</f>
        <v>5.5237863122756066</v>
      </c>
      <c r="P829">
        <f t="shared" si="13"/>
        <v>82.3</v>
      </c>
    </row>
    <row r="830" spans="10:16">
      <c r="J830" s="5"/>
      <c r="L830">
        <f>FONO!M830</f>
        <v>1.01865016</v>
      </c>
      <c r="M830">
        <f>FONO!N830</f>
        <v>82.4</v>
      </c>
      <c r="O830">
        <f>ABS(L830-FONO!$C$34)</f>
        <v>5.5278855502756068</v>
      </c>
      <c r="P830">
        <f t="shared" si="13"/>
        <v>82.4</v>
      </c>
    </row>
    <row r="831" spans="10:16">
      <c r="J831" s="5"/>
      <c r="L831">
        <f>FONO!M831</f>
        <v>1.0246926249999999</v>
      </c>
      <c r="M831">
        <f>FONO!N831</f>
        <v>82.5</v>
      </c>
      <c r="O831">
        <f>ABS(L831-FONO!$C$34)</f>
        <v>5.533928015275607</v>
      </c>
      <c r="P831">
        <f t="shared" si="13"/>
        <v>82.5</v>
      </c>
    </row>
    <row r="832" spans="10:16">
      <c r="J832" s="5"/>
      <c r="L832">
        <f>FONO!M832</f>
        <v>1.0307350900000001</v>
      </c>
      <c r="M832">
        <f>FONO!N832</f>
        <v>82.6</v>
      </c>
      <c r="O832">
        <f>ABS(L832-FONO!$C$34)</f>
        <v>5.5399704802756071</v>
      </c>
      <c r="P832">
        <f t="shared" si="13"/>
        <v>82.6</v>
      </c>
    </row>
    <row r="833" spans="10:16">
      <c r="J833" s="5"/>
      <c r="L833">
        <f>FONO!M833</f>
        <v>1.0343881530000001</v>
      </c>
      <c r="M833">
        <f>FONO!N833</f>
        <v>82.7</v>
      </c>
      <c r="O833">
        <f>ABS(L833-FONO!$C$34)</f>
        <v>5.5436235432756069</v>
      </c>
      <c r="P833">
        <f t="shared" si="13"/>
        <v>82.7</v>
      </c>
    </row>
    <row r="834" spans="10:16">
      <c r="J834" s="5"/>
      <c r="L834">
        <f>FONO!M834</f>
        <v>1.037402892</v>
      </c>
      <c r="M834">
        <f>FONO!N834</f>
        <v>82.8</v>
      </c>
      <c r="O834">
        <f>ABS(L834-FONO!$C$34)</f>
        <v>5.5466382822756071</v>
      </c>
      <c r="P834">
        <f t="shared" si="13"/>
        <v>82.8</v>
      </c>
    </row>
    <row r="835" spans="10:16">
      <c r="J835" s="5"/>
      <c r="L835">
        <f>FONO!M835</f>
        <v>1.040417631</v>
      </c>
      <c r="M835">
        <f>FONO!N835</f>
        <v>82.9</v>
      </c>
      <c r="O835">
        <f>ABS(L835-FONO!$C$34)</f>
        <v>5.5496530212756063</v>
      </c>
      <c r="P835">
        <f t="shared" si="13"/>
        <v>82.9</v>
      </c>
    </row>
    <row r="836" spans="10:16">
      <c r="J836" s="5"/>
      <c r="L836">
        <f>FONO!M836</f>
        <v>1.04349738</v>
      </c>
      <c r="M836">
        <f>FONO!N836</f>
        <v>83</v>
      </c>
      <c r="O836">
        <f>ABS(L836-FONO!$C$34)</f>
        <v>5.5527327702756066</v>
      </c>
      <c r="P836">
        <f t="shared" si="13"/>
        <v>83</v>
      </c>
    </row>
    <row r="837" spans="10:16">
      <c r="J837" s="5"/>
      <c r="L837">
        <f>FONO!M837</f>
        <v>1.046581266</v>
      </c>
      <c r="M837">
        <f>FONO!N837</f>
        <v>83.1</v>
      </c>
      <c r="O837">
        <f>ABS(L837-FONO!$C$34)</f>
        <v>5.5558166562756064</v>
      </c>
      <c r="P837">
        <f t="shared" si="13"/>
        <v>83.1</v>
      </c>
    </row>
    <row r="838" spans="10:16">
      <c r="J838" s="5"/>
      <c r="L838">
        <f>FONO!M838</f>
        <v>1.0495574080000001</v>
      </c>
      <c r="M838">
        <f>FONO!N838</f>
        <v>83.2</v>
      </c>
      <c r="O838">
        <f>ABS(L838-FONO!$C$34)</f>
        <v>5.5587927982756069</v>
      </c>
      <c r="P838">
        <f t="shared" si="13"/>
        <v>83.2</v>
      </c>
    </row>
    <row r="839" spans="10:16">
      <c r="J839" s="5"/>
      <c r="L839">
        <f>FONO!M839</f>
        <v>1.0514594770000001</v>
      </c>
      <c r="M839">
        <f>FONO!N839</f>
        <v>83.3</v>
      </c>
      <c r="O839">
        <f>ABS(L839-FONO!$C$34)</f>
        <v>5.5606948672756067</v>
      </c>
      <c r="P839">
        <f t="shared" ref="P839:P902" si="14">M839</f>
        <v>83.3</v>
      </c>
    </row>
    <row r="840" spans="10:16">
      <c r="J840" s="5"/>
      <c r="L840">
        <f>FONO!M840</f>
        <v>1.0533615460000001</v>
      </c>
      <c r="M840">
        <f>FONO!N840</f>
        <v>83.4</v>
      </c>
      <c r="O840">
        <f>ABS(L840-FONO!$C$34)</f>
        <v>5.5625969362756074</v>
      </c>
      <c r="P840">
        <f t="shared" si="14"/>
        <v>83.4</v>
      </c>
    </row>
    <row r="841" spans="10:16">
      <c r="J841" s="5"/>
      <c r="L841">
        <f>FONO!M841</f>
        <v>1.056249615</v>
      </c>
      <c r="M841">
        <f>FONO!N841</f>
        <v>83.5</v>
      </c>
      <c r="O841">
        <f>ABS(L841-FONO!$C$34)</f>
        <v>5.5654850052756064</v>
      </c>
      <c r="P841">
        <f t="shared" si="14"/>
        <v>83.5</v>
      </c>
    </row>
    <row r="842" spans="10:16">
      <c r="J842" s="5"/>
      <c r="L842">
        <f>FONO!M842</f>
        <v>1.0622232840000001</v>
      </c>
      <c r="M842">
        <f>FONO!N842</f>
        <v>83.6</v>
      </c>
      <c r="O842">
        <f>ABS(L842-FONO!$C$34)</f>
        <v>5.5714586742756067</v>
      </c>
      <c r="P842">
        <f t="shared" si="14"/>
        <v>83.6</v>
      </c>
    </row>
    <row r="843" spans="10:16">
      <c r="J843" s="5"/>
      <c r="L843">
        <f>FONO!M843</f>
        <v>1.0681969529999999</v>
      </c>
      <c r="M843">
        <f>FONO!N843</f>
        <v>83.7</v>
      </c>
      <c r="O843">
        <f>ABS(L843-FONO!$C$34)</f>
        <v>5.577432343275607</v>
      </c>
      <c r="P843">
        <f t="shared" si="14"/>
        <v>83.7</v>
      </c>
    </row>
    <row r="844" spans="10:16">
      <c r="J844" s="5"/>
      <c r="L844">
        <f>FONO!M844</f>
        <v>1.072477914</v>
      </c>
      <c r="M844">
        <f>FONO!N844</f>
        <v>83.8</v>
      </c>
      <c r="O844">
        <f>ABS(L844-FONO!$C$34)</f>
        <v>5.5817133042756071</v>
      </c>
      <c r="P844">
        <f t="shared" si="14"/>
        <v>83.8</v>
      </c>
    </row>
    <row r="845" spans="10:16">
      <c r="J845" s="5"/>
      <c r="L845">
        <f>FONO!M845</f>
        <v>1.074146217</v>
      </c>
      <c r="M845">
        <f>FONO!N845</f>
        <v>83.9</v>
      </c>
      <c r="O845">
        <f>ABS(L845-FONO!$C$34)</f>
        <v>5.5833816072756068</v>
      </c>
      <c r="P845">
        <f t="shared" si="14"/>
        <v>83.9</v>
      </c>
    </row>
    <row r="846" spans="10:16">
      <c r="J846" s="5"/>
      <c r="L846">
        <f>FONO!M846</f>
        <v>1.07581452</v>
      </c>
      <c r="M846">
        <f>FONO!N846</f>
        <v>84</v>
      </c>
      <c r="O846">
        <f>ABS(L846-FONO!$C$34)</f>
        <v>5.5850499102756066</v>
      </c>
      <c r="P846">
        <f t="shared" si="14"/>
        <v>84</v>
      </c>
    </row>
    <row r="847" spans="10:16">
      <c r="J847" s="5"/>
      <c r="L847">
        <f>FONO!M847</f>
        <v>1.0823095840000001</v>
      </c>
      <c r="M847">
        <f>FONO!N847</f>
        <v>84.1</v>
      </c>
      <c r="O847">
        <f>ABS(L847-FONO!$C$34)</f>
        <v>5.5915449742756067</v>
      </c>
      <c r="P847">
        <f t="shared" si="14"/>
        <v>84.1</v>
      </c>
    </row>
    <row r="848" spans="10:16">
      <c r="J848" s="5"/>
      <c r="L848">
        <f>FONO!M848</f>
        <v>1.092848008</v>
      </c>
      <c r="M848">
        <f>FONO!N848</f>
        <v>84.2</v>
      </c>
      <c r="O848">
        <f>ABS(L848-FONO!$C$34)</f>
        <v>5.6020833982756066</v>
      </c>
      <c r="P848">
        <f t="shared" si="14"/>
        <v>84.2</v>
      </c>
    </row>
    <row r="849" spans="10:16">
      <c r="J849" s="5"/>
      <c r="L849">
        <f>FONO!M849</f>
        <v>1.103386432</v>
      </c>
      <c r="M849">
        <f>FONO!N849</f>
        <v>84.3</v>
      </c>
      <c r="O849">
        <f>ABS(L849-FONO!$C$34)</f>
        <v>5.6126218222756066</v>
      </c>
      <c r="P849">
        <f t="shared" si="14"/>
        <v>84.3</v>
      </c>
    </row>
    <row r="850" spans="10:16">
      <c r="J850" s="5"/>
      <c r="L850">
        <f>FONO!M850</f>
        <v>1.107624044</v>
      </c>
      <c r="M850">
        <f>FONO!N850</f>
        <v>84.4</v>
      </c>
      <c r="O850">
        <f>ABS(L850-FONO!$C$34)</f>
        <v>5.6168594342756073</v>
      </c>
      <c r="P850">
        <f t="shared" si="14"/>
        <v>84.4</v>
      </c>
    </row>
    <row r="851" spans="10:16">
      <c r="J851" s="5"/>
      <c r="L851">
        <f>FONO!M851</f>
        <v>1.1090985950000001</v>
      </c>
      <c r="M851">
        <f>FONO!N851</f>
        <v>84.5</v>
      </c>
      <c r="O851">
        <f>ABS(L851-FONO!$C$34)</f>
        <v>5.6183339852756067</v>
      </c>
      <c r="P851">
        <f t="shared" si="14"/>
        <v>84.5</v>
      </c>
    </row>
    <row r="852" spans="10:16">
      <c r="J852" s="5"/>
      <c r="L852">
        <f>FONO!M852</f>
        <v>1.1105731459999999</v>
      </c>
      <c r="M852">
        <f>FONO!N852</f>
        <v>84.6</v>
      </c>
      <c r="O852">
        <f>ABS(L852-FONO!$C$34)</f>
        <v>5.6198085362756069</v>
      </c>
      <c r="P852">
        <f t="shared" si="14"/>
        <v>84.6</v>
      </c>
    </row>
    <row r="853" spans="10:16">
      <c r="J853" s="5"/>
      <c r="L853">
        <f>FONO!M853</f>
        <v>1.1136069470000001</v>
      </c>
      <c r="M853">
        <f>FONO!N853</f>
        <v>84.7</v>
      </c>
      <c r="O853">
        <f>ABS(L853-FONO!$C$34)</f>
        <v>5.6228423372756069</v>
      </c>
      <c r="P853">
        <f t="shared" si="14"/>
        <v>84.7</v>
      </c>
    </row>
    <row r="854" spans="10:16">
      <c r="J854" s="5"/>
      <c r="L854">
        <f>FONO!M854</f>
        <v>1.1169242479999999</v>
      </c>
      <c r="M854">
        <f>FONO!N854</f>
        <v>84.8</v>
      </c>
      <c r="O854">
        <f>ABS(L854-FONO!$C$34)</f>
        <v>5.6261596382756069</v>
      </c>
      <c r="P854">
        <f t="shared" si="14"/>
        <v>84.8</v>
      </c>
    </row>
    <row r="855" spans="10:16">
      <c r="J855" s="5"/>
      <c r="L855">
        <f>FONO!M855</f>
        <v>1.1202415489999999</v>
      </c>
      <c r="M855">
        <f>FONO!N855</f>
        <v>84.9</v>
      </c>
      <c r="O855">
        <f>ABS(L855-FONO!$C$34)</f>
        <v>5.629476939275607</v>
      </c>
      <c r="P855">
        <f t="shared" si="14"/>
        <v>84.9</v>
      </c>
    </row>
    <row r="856" spans="10:16">
      <c r="J856" s="5"/>
      <c r="L856">
        <f>FONO!M856</f>
        <v>1.1256032</v>
      </c>
      <c r="M856">
        <f>FONO!N856</f>
        <v>85</v>
      </c>
      <c r="O856">
        <f>ABS(L856-FONO!$C$34)</f>
        <v>5.6348385902756064</v>
      </c>
      <c r="P856">
        <f t="shared" si="14"/>
        <v>85</v>
      </c>
    </row>
    <row r="857" spans="10:16">
      <c r="J857" s="5"/>
      <c r="L857">
        <f>FONO!M857</f>
        <v>1.130970692</v>
      </c>
      <c r="M857">
        <f>FONO!N857</f>
        <v>85.1</v>
      </c>
      <c r="O857">
        <f>ABS(L857-FONO!$C$34)</f>
        <v>5.6402060822756068</v>
      </c>
      <c r="P857">
        <f t="shared" si="14"/>
        <v>85.1</v>
      </c>
    </row>
    <row r="858" spans="10:16">
      <c r="J858" s="5"/>
      <c r="L858">
        <f>FONO!M858</f>
        <v>1.1364089559999999</v>
      </c>
      <c r="M858">
        <f>FONO!N858</f>
        <v>85.2</v>
      </c>
      <c r="O858">
        <f>ABS(L858-FONO!$C$34)</f>
        <v>5.6456443462756063</v>
      </c>
      <c r="P858">
        <f t="shared" si="14"/>
        <v>85.2</v>
      </c>
    </row>
    <row r="859" spans="10:16">
      <c r="J859" s="5"/>
      <c r="L859">
        <f>FONO!M859</f>
        <v>1.1422541589999999</v>
      </c>
      <c r="M859">
        <f>FONO!N859</f>
        <v>85.3</v>
      </c>
      <c r="O859">
        <f>ABS(L859-FONO!$C$34)</f>
        <v>5.651489549275607</v>
      </c>
      <c r="P859">
        <f t="shared" si="14"/>
        <v>85.3</v>
      </c>
    </row>
    <row r="860" spans="10:16">
      <c r="J860" s="5"/>
      <c r="L860">
        <f>FONO!M860</f>
        <v>1.148099362</v>
      </c>
      <c r="M860">
        <f>FONO!N860</f>
        <v>85.4</v>
      </c>
      <c r="O860">
        <f>ABS(L860-FONO!$C$34)</f>
        <v>5.6573347522756068</v>
      </c>
      <c r="P860">
        <f t="shared" si="14"/>
        <v>85.4</v>
      </c>
    </row>
    <row r="861" spans="10:16">
      <c r="J861" s="5"/>
      <c r="L861">
        <f>FONO!M861</f>
        <v>1.154388505</v>
      </c>
      <c r="M861">
        <f>FONO!N861</f>
        <v>85.5</v>
      </c>
      <c r="O861">
        <f>ABS(L861-FONO!$C$34)</f>
        <v>5.6636238952756068</v>
      </c>
      <c r="P861">
        <f t="shared" si="14"/>
        <v>85.5</v>
      </c>
    </row>
    <row r="862" spans="10:16">
      <c r="J862" s="5"/>
      <c r="L862">
        <f>FONO!M862</f>
        <v>1.1617177359999999</v>
      </c>
      <c r="M862">
        <f>FONO!N862</f>
        <v>85.6</v>
      </c>
      <c r="O862">
        <f>ABS(L862-FONO!$C$34)</f>
        <v>5.6709531262756068</v>
      </c>
      <c r="P862">
        <f t="shared" si="14"/>
        <v>85.6</v>
      </c>
    </row>
    <row r="863" spans="10:16">
      <c r="J863" s="5"/>
      <c r="L863">
        <f>FONO!M863</f>
        <v>1.1690469670000001</v>
      </c>
      <c r="M863">
        <f>FONO!N863</f>
        <v>85.7</v>
      </c>
      <c r="O863">
        <f>ABS(L863-FONO!$C$34)</f>
        <v>5.6782823572756067</v>
      </c>
      <c r="P863">
        <f t="shared" si="14"/>
        <v>85.7</v>
      </c>
    </row>
    <row r="864" spans="10:16">
      <c r="J864" s="5"/>
      <c r="L864">
        <f>FONO!M864</f>
        <v>1.175936326</v>
      </c>
      <c r="M864">
        <f>FONO!N864</f>
        <v>85.8</v>
      </c>
      <c r="O864">
        <f>ABS(L864-FONO!$C$34)</f>
        <v>5.6851717162756064</v>
      </c>
      <c r="P864">
        <f t="shared" si="14"/>
        <v>85.8</v>
      </c>
    </row>
    <row r="865" spans="10:16">
      <c r="J865" s="5"/>
      <c r="L865">
        <f>FONO!M865</f>
        <v>1.182288373</v>
      </c>
      <c r="M865">
        <f>FONO!N865</f>
        <v>85.9</v>
      </c>
      <c r="O865">
        <f>ABS(L865-FONO!$C$34)</f>
        <v>5.6915237632756064</v>
      </c>
      <c r="P865">
        <f t="shared" si="14"/>
        <v>85.9</v>
      </c>
    </row>
    <row r="866" spans="10:16">
      <c r="J866" s="5"/>
      <c r="L866">
        <f>FONO!M866</f>
        <v>1.18864042</v>
      </c>
      <c r="M866">
        <f>FONO!N866</f>
        <v>86</v>
      </c>
      <c r="O866">
        <f>ABS(L866-FONO!$C$34)</f>
        <v>5.6978758102756064</v>
      </c>
      <c r="P866">
        <f t="shared" si="14"/>
        <v>86</v>
      </c>
    </row>
    <row r="867" spans="10:16">
      <c r="J867" s="5"/>
      <c r="L867">
        <f>FONO!M867</f>
        <v>1.199093674</v>
      </c>
      <c r="M867">
        <f>FONO!N867</f>
        <v>86.1</v>
      </c>
      <c r="O867">
        <f>ABS(L867-FONO!$C$34)</f>
        <v>5.708329064275607</v>
      </c>
      <c r="P867">
        <f t="shared" si="14"/>
        <v>86.1</v>
      </c>
    </row>
    <row r="868" spans="10:16">
      <c r="J868" s="5"/>
      <c r="L868">
        <f>FONO!M868</f>
        <v>1.212268108</v>
      </c>
      <c r="M868">
        <f>FONO!N868</f>
        <v>86.2</v>
      </c>
      <c r="O868">
        <f>ABS(L868-FONO!$C$34)</f>
        <v>5.7215034982756068</v>
      </c>
      <c r="P868">
        <f t="shared" si="14"/>
        <v>86.2</v>
      </c>
    </row>
    <row r="869" spans="10:16">
      <c r="J869" s="5"/>
      <c r="L869">
        <f>FONO!M869</f>
        <v>1.2254425419999999</v>
      </c>
      <c r="M869">
        <f>FONO!N869</f>
        <v>86.3</v>
      </c>
      <c r="O869">
        <f>ABS(L869-FONO!$C$34)</f>
        <v>5.7346779322756065</v>
      </c>
      <c r="P869">
        <f t="shared" si="14"/>
        <v>86.3</v>
      </c>
    </row>
    <row r="870" spans="10:16">
      <c r="J870" s="5"/>
      <c r="L870">
        <f>FONO!M870</f>
        <v>1.2369957519999999</v>
      </c>
      <c r="M870">
        <f>FONO!N870</f>
        <v>86.4</v>
      </c>
      <c r="O870">
        <f>ABS(L870-FONO!$C$34)</f>
        <v>5.7462311422756063</v>
      </c>
      <c r="P870">
        <f t="shared" si="14"/>
        <v>86.4</v>
      </c>
    </row>
    <row r="871" spans="10:16">
      <c r="J871" s="5"/>
      <c r="L871">
        <f>FONO!M871</f>
        <v>1.248014695</v>
      </c>
      <c r="M871">
        <f>FONO!N871</f>
        <v>86.5</v>
      </c>
      <c r="O871">
        <f>ABS(L871-FONO!$C$34)</f>
        <v>5.757250085275607</v>
      </c>
      <c r="P871">
        <f t="shared" si="14"/>
        <v>86.5</v>
      </c>
    </row>
    <row r="872" spans="10:16">
      <c r="J872" s="5"/>
      <c r="L872">
        <f>FONO!M872</f>
        <v>1.259033638</v>
      </c>
      <c r="M872">
        <f>FONO!N872</f>
        <v>86.6</v>
      </c>
      <c r="O872">
        <f>ABS(L872-FONO!$C$34)</f>
        <v>5.7682690282756068</v>
      </c>
      <c r="P872">
        <f t="shared" si="14"/>
        <v>86.6</v>
      </c>
    </row>
    <row r="873" spans="10:16">
      <c r="J873" s="5"/>
      <c r="L873">
        <f>FONO!M873</f>
        <v>1.2631150360000001</v>
      </c>
      <c r="M873">
        <f>FONO!N873</f>
        <v>86.7</v>
      </c>
      <c r="O873">
        <f>ABS(L873-FONO!$C$34)</f>
        <v>5.7723504262756071</v>
      </c>
      <c r="P873">
        <f t="shared" si="14"/>
        <v>86.7</v>
      </c>
    </row>
    <row r="874" spans="10:16">
      <c r="J874" s="5"/>
      <c r="L874">
        <f>FONO!M874</f>
        <v>1.266452344</v>
      </c>
      <c r="M874">
        <f>FONO!N874</f>
        <v>86.8</v>
      </c>
      <c r="O874">
        <f>ABS(L874-FONO!$C$34)</f>
        <v>5.775687734275607</v>
      </c>
      <c r="P874">
        <f t="shared" si="14"/>
        <v>86.8</v>
      </c>
    </row>
    <row r="875" spans="10:16">
      <c r="J875" s="5"/>
      <c r="L875">
        <f>FONO!M875</f>
        <v>1.269852523</v>
      </c>
      <c r="M875">
        <f>FONO!N875</f>
        <v>86.9</v>
      </c>
      <c r="O875">
        <f>ABS(L875-FONO!$C$34)</f>
        <v>5.7790879132756068</v>
      </c>
      <c r="P875">
        <f t="shared" si="14"/>
        <v>86.9</v>
      </c>
    </row>
    <row r="876" spans="10:16">
      <c r="J876" s="5"/>
      <c r="L876">
        <f>FONO!M876</f>
        <v>1.27435129</v>
      </c>
      <c r="M876">
        <f>FONO!N876</f>
        <v>87</v>
      </c>
      <c r="O876">
        <f>ABS(L876-FONO!$C$34)</f>
        <v>5.7835866802756071</v>
      </c>
      <c r="P876">
        <f t="shared" si="14"/>
        <v>87</v>
      </c>
    </row>
    <row r="877" spans="10:16">
      <c r="J877" s="5"/>
      <c r="L877">
        <f>FONO!M877</f>
        <v>1.2788500570000001</v>
      </c>
      <c r="M877">
        <f>FONO!N877</f>
        <v>87.1</v>
      </c>
      <c r="O877">
        <f>ABS(L877-FONO!$C$34)</f>
        <v>5.7880854472756074</v>
      </c>
      <c r="P877">
        <f t="shared" si="14"/>
        <v>87.1</v>
      </c>
    </row>
    <row r="878" spans="10:16">
      <c r="J878" s="5"/>
      <c r="L878">
        <f>FONO!M878</f>
        <v>1.2826900240000001</v>
      </c>
      <c r="M878">
        <f>FONO!N878</f>
        <v>87.2</v>
      </c>
      <c r="O878">
        <f>ABS(L878-FONO!$C$34)</f>
        <v>5.7919254142756067</v>
      </c>
      <c r="P878">
        <f t="shared" si="14"/>
        <v>87.2</v>
      </c>
    </row>
    <row r="879" spans="10:16">
      <c r="J879" s="5"/>
      <c r="L879">
        <f>FONO!M879</f>
        <v>1.283977141</v>
      </c>
      <c r="M879">
        <f>FONO!N879</f>
        <v>87.3</v>
      </c>
      <c r="O879">
        <f>ABS(L879-FONO!$C$34)</f>
        <v>5.7932125312756071</v>
      </c>
      <c r="P879">
        <f t="shared" si="14"/>
        <v>87.3</v>
      </c>
    </row>
    <row r="880" spans="10:16">
      <c r="J880" s="5"/>
      <c r="L880">
        <f>FONO!M880</f>
        <v>1.285264258</v>
      </c>
      <c r="M880">
        <f>FONO!N880</f>
        <v>87.4</v>
      </c>
      <c r="O880">
        <f>ABS(L880-FONO!$C$34)</f>
        <v>5.7944996482756066</v>
      </c>
      <c r="P880">
        <f t="shared" si="14"/>
        <v>87.4</v>
      </c>
    </row>
    <row r="881" spans="10:16">
      <c r="J881" s="5"/>
      <c r="L881">
        <f>FONO!M881</f>
        <v>1.288025625</v>
      </c>
      <c r="M881">
        <f>FONO!N881</f>
        <v>87.5</v>
      </c>
      <c r="O881">
        <f>ABS(L881-FONO!$C$34)</f>
        <v>5.7972610152756072</v>
      </c>
      <c r="P881">
        <f t="shared" si="14"/>
        <v>87.5</v>
      </c>
    </row>
    <row r="882" spans="10:16">
      <c r="J882" s="5"/>
      <c r="L882">
        <f>FONO!M882</f>
        <v>1.2934524359999999</v>
      </c>
      <c r="M882">
        <f>FONO!N882</f>
        <v>87.6</v>
      </c>
      <c r="O882">
        <f>ABS(L882-FONO!$C$34)</f>
        <v>5.8026878262756068</v>
      </c>
      <c r="P882">
        <f t="shared" si="14"/>
        <v>87.6</v>
      </c>
    </row>
    <row r="883" spans="10:16">
      <c r="J883" s="5"/>
      <c r="L883">
        <f>FONO!M883</f>
        <v>1.2988792469999999</v>
      </c>
      <c r="M883">
        <f>FONO!N883</f>
        <v>87.7</v>
      </c>
      <c r="O883">
        <f>ABS(L883-FONO!$C$34)</f>
        <v>5.8081146372756063</v>
      </c>
      <c r="P883">
        <f t="shared" si="14"/>
        <v>87.7</v>
      </c>
    </row>
    <row r="884" spans="10:16">
      <c r="J884" s="5"/>
      <c r="L884">
        <f>FONO!M884</f>
        <v>1.3019295799999999</v>
      </c>
      <c r="M884">
        <f>FONO!N884</f>
        <v>87.8</v>
      </c>
      <c r="O884">
        <f>ABS(L884-FONO!$C$34)</f>
        <v>5.8111649702756072</v>
      </c>
      <c r="P884">
        <f t="shared" si="14"/>
        <v>87.8</v>
      </c>
    </row>
    <row r="885" spans="10:16">
      <c r="J885" s="5"/>
      <c r="L885">
        <f>FONO!M885</f>
        <v>1.30267019</v>
      </c>
      <c r="M885">
        <f>FONO!N885</f>
        <v>87.9</v>
      </c>
      <c r="O885">
        <f>ABS(L885-FONO!$C$34)</f>
        <v>5.8119055802756066</v>
      </c>
      <c r="P885">
        <f t="shared" si="14"/>
        <v>87.9</v>
      </c>
    </row>
    <row r="886" spans="10:16">
      <c r="J886" s="5"/>
      <c r="L886">
        <f>FONO!M886</f>
        <v>1.3034108</v>
      </c>
      <c r="M886">
        <f>FONO!N886</f>
        <v>88</v>
      </c>
      <c r="O886">
        <f>ABS(L886-FONO!$C$34)</f>
        <v>5.8126461902756068</v>
      </c>
      <c r="P886">
        <f t="shared" si="14"/>
        <v>88</v>
      </c>
    </row>
    <row r="887" spans="10:16">
      <c r="J887" s="5"/>
      <c r="L887">
        <f>FONO!M887</f>
        <v>1.3039411999999999</v>
      </c>
      <c r="M887">
        <f>FONO!N887</f>
        <v>88.1</v>
      </c>
      <c r="O887">
        <f>ABS(L887-FONO!$C$34)</f>
        <v>5.8131765902756065</v>
      </c>
      <c r="P887">
        <f t="shared" si="14"/>
        <v>88.1</v>
      </c>
    </row>
    <row r="888" spans="10:16">
      <c r="J888" s="5"/>
      <c r="L888">
        <f>FONO!M888</f>
        <v>1.3043624</v>
      </c>
      <c r="M888">
        <f>FONO!N888</f>
        <v>88.2</v>
      </c>
      <c r="O888">
        <f>ABS(L888-FONO!$C$34)</f>
        <v>5.8135977902756064</v>
      </c>
      <c r="P888">
        <f t="shared" si="14"/>
        <v>88.2</v>
      </c>
    </row>
    <row r="889" spans="10:16">
      <c r="J889" s="5"/>
      <c r="L889">
        <f>FONO!M889</f>
        <v>1.3047835999999999</v>
      </c>
      <c r="M889">
        <f>FONO!N889</f>
        <v>88.3</v>
      </c>
      <c r="O889">
        <f>ABS(L889-FONO!$C$34)</f>
        <v>5.8140189902756063</v>
      </c>
      <c r="P889">
        <f t="shared" si="14"/>
        <v>88.3</v>
      </c>
    </row>
    <row r="890" spans="10:16">
      <c r="J890" s="5"/>
      <c r="L890">
        <f>FONO!M890</f>
        <v>1.3099555519999999</v>
      </c>
      <c r="M890">
        <f>FONO!N890</f>
        <v>88.4</v>
      </c>
      <c r="O890">
        <f>ABS(L890-FONO!$C$34)</f>
        <v>5.8191909422756067</v>
      </c>
      <c r="P890">
        <f t="shared" si="14"/>
        <v>88.4</v>
      </c>
    </row>
    <row r="891" spans="10:16">
      <c r="J891" s="5"/>
      <c r="L891">
        <f>FONO!M891</f>
        <v>1.3162482799999999</v>
      </c>
      <c r="M891">
        <f>FONO!N891</f>
        <v>88.5</v>
      </c>
      <c r="O891">
        <f>ABS(L891-FONO!$C$34)</f>
        <v>5.8254836702756068</v>
      </c>
      <c r="P891">
        <f t="shared" si="14"/>
        <v>88.5</v>
      </c>
    </row>
    <row r="892" spans="10:16">
      <c r="J892" s="5"/>
      <c r="L892">
        <f>FONO!M892</f>
        <v>1.322541008</v>
      </c>
      <c r="M892">
        <f>FONO!N892</f>
        <v>88.6</v>
      </c>
      <c r="O892">
        <f>ABS(L892-FONO!$C$34)</f>
        <v>5.8317763982756068</v>
      </c>
      <c r="P892">
        <f t="shared" si="14"/>
        <v>88.6</v>
      </c>
    </row>
    <row r="893" spans="10:16">
      <c r="J893" s="5"/>
      <c r="L893">
        <f>FONO!M893</f>
        <v>1.3292950889999999</v>
      </c>
      <c r="M893">
        <f>FONO!N893</f>
        <v>88.7</v>
      </c>
      <c r="O893">
        <f>ABS(L893-FONO!$C$34)</f>
        <v>5.8385304792756063</v>
      </c>
      <c r="P893">
        <f t="shared" si="14"/>
        <v>88.7</v>
      </c>
    </row>
    <row r="894" spans="10:16">
      <c r="J894" s="5"/>
      <c r="L894">
        <f>FONO!M894</f>
        <v>1.3360683360000001</v>
      </c>
      <c r="M894">
        <f>FONO!N894</f>
        <v>88.8</v>
      </c>
      <c r="O894">
        <f>ABS(L894-FONO!$C$34)</f>
        <v>5.8453037262756071</v>
      </c>
      <c r="P894">
        <f t="shared" si="14"/>
        <v>88.8</v>
      </c>
    </row>
    <row r="895" spans="10:16">
      <c r="J895" s="5"/>
      <c r="L895">
        <f>FONO!M895</f>
        <v>1.342122579</v>
      </c>
      <c r="M895">
        <f>FONO!N895</f>
        <v>88.9</v>
      </c>
      <c r="O895">
        <f>ABS(L895-FONO!$C$34)</f>
        <v>5.8513579692756066</v>
      </c>
      <c r="P895">
        <f t="shared" si="14"/>
        <v>88.9</v>
      </c>
    </row>
    <row r="896" spans="10:16">
      <c r="J896" s="5"/>
      <c r="L896">
        <f>FONO!M896</f>
        <v>1.3424247899999999</v>
      </c>
      <c r="M896">
        <f>FONO!N896</f>
        <v>89</v>
      </c>
      <c r="O896">
        <f>ABS(L896-FONO!$C$34)</f>
        <v>5.8516601802756067</v>
      </c>
      <c r="P896">
        <f t="shared" si="14"/>
        <v>89</v>
      </c>
    </row>
    <row r="897" spans="10:16">
      <c r="J897" s="5"/>
      <c r="L897">
        <f>FONO!M897</f>
        <v>1.3427270010000001</v>
      </c>
      <c r="M897">
        <f>FONO!N897</f>
        <v>89.1</v>
      </c>
      <c r="O897">
        <f>ABS(L897-FONO!$C$34)</f>
        <v>5.8519623912756069</v>
      </c>
      <c r="P897">
        <f t="shared" si="14"/>
        <v>89.1</v>
      </c>
    </row>
    <row r="898" spans="10:16">
      <c r="J898" s="5"/>
      <c r="L898">
        <f>FONO!M898</f>
        <v>1.344985868</v>
      </c>
      <c r="M898">
        <f>FONO!N898</f>
        <v>89.2</v>
      </c>
      <c r="O898">
        <f>ABS(L898-FONO!$C$34)</f>
        <v>5.854221258275607</v>
      </c>
      <c r="P898">
        <f t="shared" si="14"/>
        <v>89.2</v>
      </c>
    </row>
    <row r="899" spans="10:16">
      <c r="J899" s="5"/>
      <c r="L899">
        <f>FONO!M899</f>
        <v>1.352753147</v>
      </c>
      <c r="M899">
        <f>FONO!N899</f>
        <v>89.3</v>
      </c>
      <c r="O899">
        <f>ABS(L899-FONO!$C$34)</f>
        <v>5.8619885372756073</v>
      </c>
      <c r="P899">
        <f t="shared" si="14"/>
        <v>89.3</v>
      </c>
    </row>
    <row r="900" spans="10:16">
      <c r="J900" s="5"/>
      <c r="L900">
        <f>FONO!M900</f>
        <v>1.3605204259999999</v>
      </c>
      <c r="M900">
        <f>FONO!N900</f>
        <v>89.4</v>
      </c>
      <c r="O900">
        <f>ABS(L900-FONO!$C$34)</f>
        <v>5.8697558162756067</v>
      </c>
      <c r="P900">
        <f t="shared" si="14"/>
        <v>89.4</v>
      </c>
    </row>
    <row r="901" spans="10:16">
      <c r="J901" s="5"/>
      <c r="L901">
        <f>FONO!M901</f>
        <v>1.3680020550000001</v>
      </c>
      <c r="M901">
        <f>FONO!N901</f>
        <v>89.5</v>
      </c>
      <c r="O901">
        <f>ABS(L901-FONO!$C$34)</f>
        <v>5.8772374452756067</v>
      </c>
      <c r="P901">
        <f t="shared" si="14"/>
        <v>89.5</v>
      </c>
    </row>
    <row r="902" spans="10:16">
      <c r="J902" s="5"/>
      <c r="L902">
        <f>FONO!M902</f>
        <v>1.3750778640000001</v>
      </c>
      <c r="M902">
        <f>FONO!N902</f>
        <v>89.6</v>
      </c>
      <c r="O902">
        <f>ABS(L902-FONO!$C$34)</f>
        <v>5.8843132542756074</v>
      </c>
      <c r="P902">
        <f t="shared" si="14"/>
        <v>89.6</v>
      </c>
    </row>
    <row r="903" spans="10:16">
      <c r="J903" s="5"/>
      <c r="L903">
        <f>FONO!M903</f>
        <v>1.3821536729999999</v>
      </c>
      <c r="M903">
        <f>FONO!N903</f>
        <v>89.7</v>
      </c>
      <c r="O903">
        <f>ABS(L903-FONO!$C$34)</f>
        <v>5.8913890632756072</v>
      </c>
      <c r="P903">
        <f t="shared" ref="P903:P966" si="15">M903</f>
        <v>89.7</v>
      </c>
    </row>
    <row r="904" spans="10:16">
      <c r="J904" s="5"/>
      <c r="L904">
        <f>FONO!M904</f>
        <v>1.3880230680000001</v>
      </c>
      <c r="M904">
        <f>FONO!N904</f>
        <v>89.8</v>
      </c>
      <c r="O904">
        <f>ABS(L904-FONO!$C$34)</f>
        <v>5.8972584582756067</v>
      </c>
      <c r="P904">
        <f t="shared" si="15"/>
        <v>89.8</v>
      </c>
    </row>
    <row r="905" spans="10:16">
      <c r="J905" s="5"/>
      <c r="L905">
        <f>FONO!M905</f>
        <v>1.392960234</v>
      </c>
      <c r="M905">
        <f>FONO!N905</f>
        <v>89.9</v>
      </c>
      <c r="O905">
        <f>ABS(L905-FONO!$C$34)</f>
        <v>5.9021956242756071</v>
      </c>
      <c r="P905">
        <f t="shared" si="15"/>
        <v>89.9</v>
      </c>
    </row>
    <row r="906" spans="10:16">
      <c r="J906" s="5"/>
      <c r="L906">
        <f>FONO!M906</f>
        <v>1.3978974</v>
      </c>
      <c r="M906">
        <f>FONO!N906</f>
        <v>90</v>
      </c>
      <c r="O906">
        <f>ABS(L906-FONO!$C$34)</f>
        <v>5.9071327902756066</v>
      </c>
      <c r="P906">
        <f t="shared" si="15"/>
        <v>90</v>
      </c>
    </row>
    <row r="907" spans="10:16">
      <c r="J907" s="5"/>
      <c r="L907">
        <f>FONO!M907</f>
        <v>1.4008880610000001</v>
      </c>
      <c r="M907">
        <f>FONO!N907</f>
        <v>90.1</v>
      </c>
      <c r="O907">
        <f>ABS(L907-FONO!$C$34)</f>
        <v>5.9101234512756067</v>
      </c>
      <c r="P907">
        <f t="shared" si="15"/>
        <v>90.1</v>
      </c>
    </row>
    <row r="908" spans="10:16">
      <c r="J908" s="5"/>
      <c r="L908">
        <f>FONO!M908</f>
        <v>1.4031032219999999</v>
      </c>
      <c r="M908">
        <f>FONO!N908</f>
        <v>90.2</v>
      </c>
      <c r="O908">
        <f>ABS(L908-FONO!$C$34)</f>
        <v>5.9123386122756063</v>
      </c>
      <c r="P908">
        <f t="shared" si="15"/>
        <v>90.2</v>
      </c>
    </row>
    <row r="909" spans="10:16">
      <c r="J909" s="5"/>
      <c r="L909">
        <f>FONO!M909</f>
        <v>1.405318383</v>
      </c>
      <c r="M909">
        <f>FONO!N909</f>
        <v>90.3</v>
      </c>
      <c r="O909">
        <f>ABS(L909-FONO!$C$34)</f>
        <v>5.9145537732756068</v>
      </c>
      <c r="P909">
        <f t="shared" si="15"/>
        <v>90.3</v>
      </c>
    </row>
    <row r="910" spans="10:16">
      <c r="J910" s="5"/>
      <c r="L910">
        <f>FONO!M910</f>
        <v>1.41569108</v>
      </c>
      <c r="M910">
        <f>FONO!N910</f>
        <v>90.4</v>
      </c>
      <c r="O910">
        <f>ABS(L910-FONO!$C$34)</f>
        <v>5.924926470275607</v>
      </c>
      <c r="P910">
        <f t="shared" si="15"/>
        <v>90.4</v>
      </c>
    </row>
    <row r="911" spans="10:16">
      <c r="J911" s="5"/>
      <c r="L911">
        <f>FONO!M911</f>
        <v>1.4273249750000001</v>
      </c>
      <c r="M911">
        <f>FONO!N911</f>
        <v>90.5</v>
      </c>
      <c r="O911">
        <f>ABS(L911-FONO!$C$34)</f>
        <v>5.9365603652756072</v>
      </c>
      <c r="P911">
        <f t="shared" si="15"/>
        <v>90.5</v>
      </c>
    </row>
    <row r="912" spans="10:16">
      <c r="J912" s="5"/>
      <c r="L912">
        <f>FONO!M912</f>
        <v>1.4388358880000001</v>
      </c>
      <c r="M912">
        <f>FONO!N912</f>
        <v>90.6</v>
      </c>
      <c r="O912">
        <f>ABS(L912-FONO!$C$34)</f>
        <v>5.9480712782756067</v>
      </c>
      <c r="P912">
        <f t="shared" si="15"/>
        <v>90.6</v>
      </c>
    </row>
    <row r="913" spans="10:16">
      <c r="J913" s="5"/>
      <c r="L913">
        <f>FONO!M913</f>
        <v>1.4432753359999999</v>
      </c>
      <c r="M913">
        <f>FONO!N913</f>
        <v>90.7</v>
      </c>
      <c r="O913">
        <f>ABS(L913-FONO!$C$34)</f>
        <v>5.952510726275607</v>
      </c>
      <c r="P913">
        <f t="shared" si="15"/>
        <v>90.7</v>
      </c>
    </row>
    <row r="914" spans="10:16">
      <c r="J914" s="5"/>
      <c r="L914">
        <f>FONO!M914</f>
        <v>1.447714784</v>
      </c>
      <c r="M914">
        <f>FONO!N914</f>
        <v>90.8</v>
      </c>
      <c r="O914">
        <f>ABS(L914-FONO!$C$34)</f>
        <v>5.9569501742756064</v>
      </c>
      <c r="P914">
        <f t="shared" si="15"/>
        <v>90.8</v>
      </c>
    </row>
    <row r="915" spans="10:16">
      <c r="J915" s="5"/>
      <c r="L915">
        <f>FONO!M915</f>
        <v>1.451686893</v>
      </c>
      <c r="M915">
        <f>FONO!N915</f>
        <v>90.9</v>
      </c>
      <c r="O915">
        <f>ABS(L915-FONO!$C$34)</f>
        <v>5.9609222832756066</v>
      </c>
      <c r="P915">
        <f t="shared" si="15"/>
        <v>90.9</v>
      </c>
    </row>
    <row r="916" spans="10:16">
      <c r="J916" s="5"/>
      <c r="L916">
        <f>FONO!M916</f>
        <v>1.45334607</v>
      </c>
      <c r="M916">
        <f>FONO!N916</f>
        <v>91</v>
      </c>
      <c r="O916">
        <f>ABS(L916-FONO!$C$34)</f>
        <v>5.9625814602756071</v>
      </c>
      <c r="P916">
        <f t="shared" si="15"/>
        <v>91</v>
      </c>
    </row>
    <row r="917" spans="10:16">
      <c r="J917" s="5"/>
      <c r="L917">
        <f>FONO!M917</f>
        <v>1.4550052469999999</v>
      </c>
      <c r="M917">
        <f>FONO!N917</f>
        <v>91.1</v>
      </c>
      <c r="O917">
        <f>ABS(L917-FONO!$C$34)</f>
        <v>5.9642406372756067</v>
      </c>
      <c r="P917">
        <f t="shared" si="15"/>
        <v>91.1</v>
      </c>
    </row>
    <row r="918" spans="10:16">
      <c r="J918" s="5"/>
      <c r="L918">
        <f>FONO!M918</f>
        <v>1.4563932719999999</v>
      </c>
      <c r="M918">
        <f>FONO!N918</f>
        <v>91.2</v>
      </c>
      <c r="O918">
        <f>ABS(L918-FONO!$C$34)</f>
        <v>5.9656286622756065</v>
      </c>
      <c r="P918">
        <f t="shared" si="15"/>
        <v>91.2</v>
      </c>
    </row>
    <row r="919" spans="10:16">
      <c r="J919" s="5"/>
      <c r="L919">
        <f>FONO!M919</f>
        <v>1.457202678</v>
      </c>
      <c r="M919">
        <f>FONO!N919</f>
        <v>91.3</v>
      </c>
      <c r="O919">
        <f>ABS(L919-FONO!$C$34)</f>
        <v>5.9664380682756066</v>
      </c>
      <c r="P919">
        <f t="shared" si="15"/>
        <v>91.3</v>
      </c>
    </row>
    <row r="920" spans="10:16">
      <c r="J920" s="5"/>
      <c r="L920">
        <f>FONO!M920</f>
        <v>1.4580120839999999</v>
      </c>
      <c r="M920">
        <f>FONO!N920</f>
        <v>91.4</v>
      </c>
      <c r="O920">
        <f>ABS(L920-FONO!$C$34)</f>
        <v>5.9672474742756068</v>
      </c>
      <c r="P920">
        <f t="shared" si="15"/>
        <v>91.4</v>
      </c>
    </row>
    <row r="921" spans="10:16">
      <c r="J921" s="5"/>
      <c r="L921">
        <f>FONO!M921</f>
        <v>1.459106115</v>
      </c>
      <c r="M921">
        <f>FONO!N921</f>
        <v>91.5</v>
      </c>
      <c r="O921">
        <f>ABS(L921-FONO!$C$34)</f>
        <v>5.9683415052756068</v>
      </c>
      <c r="P921">
        <f t="shared" si="15"/>
        <v>91.5</v>
      </c>
    </row>
    <row r="922" spans="10:16">
      <c r="J922" s="5"/>
      <c r="L922">
        <f>FONO!M922</f>
        <v>1.4605209960000001</v>
      </c>
      <c r="M922">
        <f>FONO!N922</f>
        <v>91.6</v>
      </c>
      <c r="O922">
        <f>ABS(L922-FONO!$C$34)</f>
        <v>5.9697563862756073</v>
      </c>
      <c r="P922">
        <f t="shared" si="15"/>
        <v>91.6</v>
      </c>
    </row>
    <row r="923" spans="10:16">
      <c r="J923" s="5"/>
      <c r="L923">
        <f>FONO!M923</f>
        <v>1.4619358769999999</v>
      </c>
      <c r="M923">
        <f>FONO!N923</f>
        <v>91.7</v>
      </c>
      <c r="O923">
        <f>ABS(L923-FONO!$C$34)</f>
        <v>5.971171267275607</v>
      </c>
      <c r="P923">
        <f t="shared" si="15"/>
        <v>91.7</v>
      </c>
    </row>
    <row r="924" spans="10:16">
      <c r="J924" s="5"/>
      <c r="L924">
        <f>FONO!M924</f>
        <v>1.4649212300000001</v>
      </c>
      <c r="M924">
        <f>FONO!N924</f>
        <v>91.8</v>
      </c>
      <c r="O924">
        <f>ABS(L924-FONO!$C$34)</f>
        <v>5.9741566202756067</v>
      </c>
      <c r="P924">
        <f t="shared" si="15"/>
        <v>91.8</v>
      </c>
    </row>
    <row r="925" spans="10:16">
      <c r="J925" s="5"/>
      <c r="L925">
        <f>FONO!M925</f>
        <v>1.468864715</v>
      </c>
      <c r="M925">
        <f>FONO!N925</f>
        <v>91.9</v>
      </c>
      <c r="O925">
        <f>ABS(L925-FONO!$C$34)</f>
        <v>5.9781001052756064</v>
      </c>
      <c r="P925">
        <f t="shared" si="15"/>
        <v>91.9</v>
      </c>
    </row>
    <row r="926" spans="10:16">
      <c r="J926" s="5"/>
      <c r="L926">
        <f>FONO!M926</f>
        <v>1.4728082</v>
      </c>
      <c r="M926">
        <f>FONO!N926</f>
        <v>92</v>
      </c>
      <c r="O926">
        <f>ABS(L926-FONO!$C$34)</f>
        <v>5.9820435902756071</v>
      </c>
      <c r="P926">
        <f t="shared" si="15"/>
        <v>92</v>
      </c>
    </row>
    <row r="927" spans="10:16">
      <c r="J927" s="5"/>
      <c r="L927">
        <f>FONO!M927</f>
        <v>1.474603739</v>
      </c>
      <c r="M927">
        <f>FONO!N927</f>
        <v>92.1</v>
      </c>
      <c r="O927">
        <f>ABS(L927-FONO!$C$34)</f>
        <v>5.9838391292756068</v>
      </c>
      <c r="P927">
        <f t="shared" si="15"/>
        <v>92.1</v>
      </c>
    </row>
    <row r="928" spans="10:16">
      <c r="J928" s="5"/>
      <c r="L928">
        <f>FONO!M928</f>
        <v>1.4757651979999999</v>
      </c>
      <c r="M928">
        <f>FONO!N928</f>
        <v>92.2</v>
      </c>
      <c r="O928">
        <f>ABS(L928-FONO!$C$34)</f>
        <v>5.9850005882756072</v>
      </c>
      <c r="P928">
        <f t="shared" si="15"/>
        <v>92.2</v>
      </c>
    </row>
    <row r="929" spans="10:16">
      <c r="J929" s="5"/>
      <c r="L929">
        <f>FONO!M929</f>
        <v>1.4769266569999999</v>
      </c>
      <c r="M929">
        <f>FONO!N929</f>
        <v>92.3</v>
      </c>
      <c r="O929">
        <f>ABS(L929-FONO!$C$34)</f>
        <v>5.9861620472756067</v>
      </c>
      <c r="P929">
        <f t="shared" si="15"/>
        <v>92.3</v>
      </c>
    </row>
    <row r="930" spans="10:16">
      <c r="J930" s="5"/>
      <c r="L930">
        <f>FONO!M930</f>
        <v>1.4827090039999999</v>
      </c>
      <c r="M930">
        <f>FONO!N930</f>
        <v>92.4</v>
      </c>
      <c r="O930">
        <f>ABS(L930-FONO!$C$34)</f>
        <v>5.991944394275607</v>
      </c>
      <c r="P930">
        <f t="shared" si="15"/>
        <v>92.4</v>
      </c>
    </row>
    <row r="931" spans="10:16">
      <c r="J931" s="5"/>
      <c r="L931">
        <f>FONO!M931</f>
        <v>1.4888764249999999</v>
      </c>
      <c r="M931">
        <f>FONO!N931</f>
        <v>92.5</v>
      </c>
      <c r="O931">
        <f>ABS(L931-FONO!$C$34)</f>
        <v>5.9981118152756068</v>
      </c>
      <c r="P931">
        <f t="shared" si="15"/>
        <v>92.5</v>
      </c>
    </row>
    <row r="932" spans="10:16">
      <c r="J932" s="5"/>
      <c r="L932">
        <f>FONO!M932</f>
        <v>1.4946274820000001</v>
      </c>
      <c r="M932">
        <f>FONO!N932</f>
        <v>92.6</v>
      </c>
      <c r="O932">
        <f>ABS(L932-FONO!$C$34)</f>
        <v>6.0038628722756071</v>
      </c>
      <c r="P932">
        <f t="shared" si="15"/>
        <v>92.6</v>
      </c>
    </row>
    <row r="933" spans="10:16">
      <c r="J933" s="5"/>
      <c r="L933">
        <f>FONO!M933</f>
        <v>1.495173989</v>
      </c>
      <c r="M933">
        <f>FONO!N933</f>
        <v>92.7</v>
      </c>
      <c r="O933">
        <f>ABS(L933-FONO!$C$34)</f>
        <v>6.0044093792756073</v>
      </c>
      <c r="P933">
        <f t="shared" si="15"/>
        <v>92.7</v>
      </c>
    </row>
    <row r="934" spans="10:16">
      <c r="J934" s="5"/>
      <c r="L934">
        <f>FONO!M934</f>
        <v>1.4957204959999999</v>
      </c>
      <c r="M934">
        <f>FONO!N934</f>
        <v>92.8</v>
      </c>
      <c r="O934">
        <f>ABS(L934-FONO!$C$34)</f>
        <v>6.0049558862756065</v>
      </c>
      <c r="P934">
        <f t="shared" si="15"/>
        <v>92.8</v>
      </c>
    </row>
    <row r="935" spans="10:16">
      <c r="J935" s="5"/>
      <c r="L935">
        <f>FONO!M935</f>
        <v>1.4966446229999999</v>
      </c>
      <c r="M935">
        <f>FONO!N935</f>
        <v>92.9</v>
      </c>
      <c r="O935">
        <f>ABS(L935-FONO!$C$34)</f>
        <v>6.0058800132756067</v>
      </c>
      <c r="P935">
        <f t="shared" si="15"/>
        <v>92.9</v>
      </c>
    </row>
    <row r="936" spans="10:16">
      <c r="J936" s="5"/>
      <c r="L936">
        <f>FONO!M936</f>
        <v>1.4988689100000001</v>
      </c>
      <c r="M936">
        <f>FONO!N936</f>
        <v>93</v>
      </c>
      <c r="O936">
        <f>ABS(L936-FONO!$C$34)</f>
        <v>6.0081043002756065</v>
      </c>
      <c r="P936">
        <f t="shared" si="15"/>
        <v>93</v>
      </c>
    </row>
    <row r="937" spans="10:16">
      <c r="J937" s="5"/>
      <c r="L937">
        <f>FONO!M937</f>
        <v>1.5010931970000001</v>
      </c>
      <c r="M937">
        <f>FONO!N937</f>
        <v>93.1</v>
      </c>
      <c r="O937">
        <f>ABS(L937-FONO!$C$34)</f>
        <v>6.0103285872756071</v>
      </c>
      <c r="P937">
        <f t="shared" si="15"/>
        <v>93.1</v>
      </c>
    </row>
    <row r="938" spans="10:16">
      <c r="J938" s="5"/>
      <c r="L938">
        <f>FONO!M938</f>
        <v>1.5044702400000001</v>
      </c>
      <c r="M938">
        <f>FONO!N938</f>
        <v>93.2</v>
      </c>
      <c r="O938">
        <f>ABS(L938-FONO!$C$34)</f>
        <v>6.0137056302756067</v>
      </c>
      <c r="P938">
        <f t="shared" si="15"/>
        <v>93.2</v>
      </c>
    </row>
    <row r="939" spans="10:16">
      <c r="J939" s="5"/>
      <c r="L939">
        <f>FONO!M939</f>
        <v>1.50975981</v>
      </c>
      <c r="M939">
        <f>FONO!N939</f>
        <v>93.3</v>
      </c>
      <c r="O939">
        <f>ABS(L939-FONO!$C$34)</f>
        <v>6.0189952002756071</v>
      </c>
      <c r="P939">
        <f t="shared" si="15"/>
        <v>93.3</v>
      </c>
    </row>
    <row r="940" spans="10:16">
      <c r="J940" s="5"/>
      <c r="L940">
        <f>FONO!M940</f>
        <v>1.51504938</v>
      </c>
      <c r="M940">
        <f>FONO!N940</f>
        <v>93.4</v>
      </c>
      <c r="O940">
        <f>ABS(L940-FONO!$C$34)</f>
        <v>6.0242847702756066</v>
      </c>
      <c r="P940">
        <f t="shared" si="15"/>
        <v>93.4</v>
      </c>
    </row>
    <row r="941" spans="10:16">
      <c r="J941" s="5"/>
      <c r="L941">
        <f>FONO!M941</f>
        <v>1.5184304900000001</v>
      </c>
      <c r="M941">
        <f>FONO!N941</f>
        <v>93.5</v>
      </c>
      <c r="O941">
        <f>ABS(L941-FONO!$C$34)</f>
        <v>6.0276658802756069</v>
      </c>
      <c r="P941">
        <f t="shared" si="15"/>
        <v>93.5</v>
      </c>
    </row>
    <row r="942" spans="10:16">
      <c r="J942" s="5"/>
      <c r="L942">
        <f>FONO!M942</f>
        <v>1.520099144</v>
      </c>
      <c r="M942">
        <f>FONO!N942</f>
        <v>93.6</v>
      </c>
      <c r="O942">
        <f>ABS(L942-FONO!$C$34)</f>
        <v>6.0293345342756073</v>
      </c>
      <c r="P942">
        <f t="shared" si="15"/>
        <v>93.6</v>
      </c>
    </row>
    <row r="943" spans="10:16">
      <c r="J943" s="5"/>
      <c r="L943">
        <f>FONO!M943</f>
        <v>1.5217677979999999</v>
      </c>
      <c r="M943">
        <f>FONO!N943</f>
        <v>93.7</v>
      </c>
      <c r="O943">
        <f>ABS(L943-FONO!$C$34)</f>
        <v>6.0310031882756068</v>
      </c>
      <c r="P943">
        <f t="shared" si="15"/>
        <v>93.7</v>
      </c>
    </row>
    <row r="944" spans="10:16">
      <c r="J944" s="5"/>
      <c r="L944">
        <f>FONO!M944</f>
        <v>1.5253554460000001</v>
      </c>
      <c r="M944">
        <f>FONO!N944</f>
        <v>93.8</v>
      </c>
      <c r="O944">
        <f>ABS(L944-FONO!$C$34)</f>
        <v>6.0345908362756067</v>
      </c>
      <c r="P944">
        <f t="shared" si="15"/>
        <v>93.8</v>
      </c>
    </row>
    <row r="945" spans="10:16">
      <c r="J945" s="5"/>
      <c r="L945">
        <f>FONO!M945</f>
        <v>1.5298542129999999</v>
      </c>
      <c r="M945">
        <f>FONO!N945</f>
        <v>93.9</v>
      </c>
      <c r="O945">
        <f>ABS(L945-FONO!$C$34)</f>
        <v>6.039089603275607</v>
      </c>
      <c r="P945">
        <f t="shared" si="15"/>
        <v>93.9</v>
      </c>
    </row>
    <row r="946" spans="10:16">
      <c r="J946" s="5"/>
      <c r="L946">
        <f>FONO!M946</f>
        <v>1.53435298</v>
      </c>
      <c r="M946">
        <f>FONO!N946</f>
        <v>94</v>
      </c>
      <c r="O946">
        <f>ABS(L946-FONO!$C$34)</f>
        <v>6.0435883702756072</v>
      </c>
      <c r="P946">
        <f t="shared" si="15"/>
        <v>94</v>
      </c>
    </row>
    <row r="947" spans="10:16">
      <c r="J947" s="5"/>
      <c r="L947">
        <f>FONO!M947</f>
        <v>1.540639069</v>
      </c>
      <c r="M947">
        <f>FONO!N947</f>
        <v>94.1</v>
      </c>
      <c r="O947">
        <f>ABS(L947-FONO!$C$34)</f>
        <v>6.0498744592756069</v>
      </c>
      <c r="P947">
        <f t="shared" si="15"/>
        <v>94.1</v>
      </c>
    </row>
    <row r="948" spans="10:16">
      <c r="J948" s="5"/>
      <c r="L948">
        <f>FONO!M948</f>
        <v>1.547293678</v>
      </c>
      <c r="M948">
        <f>FONO!N948</f>
        <v>94.2</v>
      </c>
      <c r="O948">
        <f>ABS(L948-FONO!$C$34)</f>
        <v>6.0565290682756068</v>
      </c>
      <c r="P948">
        <f t="shared" si="15"/>
        <v>94.2</v>
      </c>
    </row>
    <row r="949" spans="10:16">
      <c r="J949" s="5"/>
      <c r="L949">
        <f>FONO!M949</f>
        <v>1.5539482870000001</v>
      </c>
      <c r="M949">
        <f>FONO!N949</f>
        <v>94.3</v>
      </c>
      <c r="O949">
        <f>ABS(L949-FONO!$C$34)</f>
        <v>6.0631836772756067</v>
      </c>
      <c r="P949">
        <f t="shared" si="15"/>
        <v>94.3</v>
      </c>
    </row>
    <row r="950" spans="10:16">
      <c r="J950" s="5"/>
      <c r="L950">
        <f>FONO!M950</f>
        <v>1.5606610320000001</v>
      </c>
      <c r="M950">
        <f>FONO!N950</f>
        <v>94.4</v>
      </c>
      <c r="O950">
        <f>ABS(L950-FONO!$C$34)</f>
        <v>6.0698964222756064</v>
      </c>
      <c r="P950">
        <f t="shared" si="15"/>
        <v>94.4</v>
      </c>
    </row>
    <row r="951" spans="10:16">
      <c r="J951" s="5"/>
      <c r="L951">
        <f>FONO!M951</f>
        <v>1.56737496</v>
      </c>
      <c r="M951">
        <f>FONO!N951</f>
        <v>94.5</v>
      </c>
      <c r="O951">
        <f>ABS(L951-FONO!$C$34)</f>
        <v>6.0766103502756064</v>
      </c>
      <c r="P951">
        <f t="shared" si="15"/>
        <v>94.5</v>
      </c>
    </row>
    <row r="952" spans="10:16">
      <c r="J952" s="5"/>
      <c r="L952">
        <f>FONO!M952</f>
        <v>1.5732090000000001</v>
      </c>
      <c r="M952">
        <f>FONO!N952</f>
        <v>94.6</v>
      </c>
      <c r="O952">
        <f>ABS(L952-FONO!$C$34)</f>
        <v>6.0824443902756071</v>
      </c>
      <c r="P952">
        <f t="shared" si="15"/>
        <v>94.6</v>
      </c>
    </row>
    <row r="953" spans="10:16">
      <c r="J953" s="5"/>
      <c r="L953">
        <f>FONO!M953</f>
        <v>1.5732090000000001</v>
      </c>
      <c r="M953">
        <f>FONO!N953</f>
        <v>94.7</v>
      </c>
      <c r="O953">
        <f>ABS(L953-FONO!$C$34)</f>
        <v>6.0824443902756071</v>
      </c>
      <c r="P953">
        <f t="shared" si="15"/>
        <v>94.7</v>
      </c>
    </row>
    <row r="954" spans="10:16">
      <c r="J954" s="5"/>
      <c r="L954">
        <f>FONO!M954</f>
        <v>1.5732090000000001</v>
      </c>
      <c r="M954">
        <f>FONO!N954</f>
        <v>94.8</v>
      </c>
      <c r="O954">
        <f>ABS(L954-FONO!$C$34)</f>
        <v>6.0824443902756071</v>
      </c>
      <c r="P954">
        <f t="shared" si="15"/>
        <v>94.8</v>
      </c>
    </row>
    <row r="955" spans="10:16">
      <c r="J955" s="5"/>
      <c r="L955">
        <f>FONO!M955</f>
        <v>1.58040135</v>
      </c>
      <c r="M955">
        <f>FONO!N955</f>
        <v>94.9</v>
      </c>
      <c r="O955">
        <f>ABS(L955-FONO!$C$34)</f>
        <v>6.0896367402756066</v>
      </c>
      <c r="P955">
        <f t="shared" si="15"/>
        <v>94.9</v>
      </c>
    </row>
    <row r="956" spans="10:16">
      <c r="J956" s="5"/>
      <c r="L956">
        <f>FONO!M956</f>
        <v>1.6059015000000001</v>
      </c>
      <c r="M956">
        <f>FONO!N956</f>
        <v>95</v>
      </c>
      <c r="O956">
        <f>ABS(L956-FONO!$C$34)</f>
        <v>6.1151368902756067</v>
      </c>
      <c r="P956">
        <f t="shared" si="15"/>
        <v>95</v>
      </c>
    </row>
    <row r="957" spans="10:16">
      <c r="J957" s="5"/>
      <c r="L957">
        <f>FONO!M957</f>
        <v>1.6314016499999999</v>
      </c>
      <c r="M957">
        <f>FONO!N957</f>
        <v>95.1</v>
      </c>
      <c r="O957">
        <f>ABS(L957-FONO!$C$34)</f>
        <v>6.1406370402756068</v>
      </c>
      <c r="P957">
        <f t="shared" si="15"/>
        <v>95.1</v>
      </c>
    </row>
    <row r="958" spans="10:16">
      <c r="J958" s="5"/>
      <c r="L958">
        <f>FONO!M958</f>
        <v>1.6502327999999999</v>
      </c>
      <c r="M958">
        <f>FONO!N958</f>
        <v>95.2</v>
      </c>
      <c r="O958">
        <f>ABS(L958-FONO!$C$34)</f>
        <v>6.1594681902756072</v>
      </c>
      <c r="P958">
        <f t="shared" si="15"/>
        <v>95.2</v>
      </c>
    </row>
    <row r="959" spans="10:16">
      <c r="J959" s="5"/>
      <c r="L959">
        <f>FONO!M959</f>
        <v>1.660332825</v>
      </c>
      <c r="M959">
        <f>FONO!N959</f>
        <v>95.3</v>
      </c>
      <c r="O959">
        <f>ABS(L959-FONO!$C$34)</f>
        <v>6.1695682152756071</v>
      </c>
      <c r="P959">
        <f t="shared" si="15"/>
        <v>95.3</v>
      </c>
    </row>
    <row r="960" spans="10:16">
      <c r="J960" s="5"/>
      <c r="L960">
        <f>FONO!M960</f>
        <v>1.6704328500000001</v>
      </c>
      <c r="M960">
        <f>FONO!N960</f>
        <v>95.4</v>
      </c>
      <c r="O960">
        <f>ABS(L960-FONO!$C$34)</f>
        <v>6.1796682402756069</v>
      </c>
      <c r="P960">
        <f t="shared" si="15"/>
        <v>95.4</v>
      </c>
    </row>
    <row r="961" spans="10:16">
      <c r="J961" s="5"/>
      <c r="L961">
        <f>FONO!M961</f>
        <v>1.69330048</v>
      </c>
      <c r="M961">
        <f>FONO!N961</f>
        <v>95.5</v>
      </c>
      <c r="O961">
        <f>ABS(L961-FONO!$C$34)</f>
        <v>6.2025358702756073</v>
      </c>
      <c r="P961">
        <f t="shared" si="15"/>
        <v>95.5</v>
      </c>
    </row>
    <row r="962" spans="10:16">
      <c r="J962" s="5"/>
      <c r="L962">
        <f>FONO!M962</f>
        <v>1.7252611360000001</v>
      </c>
      <c r="M962">
        <f>FONO!N962</f>
        <v>95.6</v>
      </c>
      <c r="O962">
        <f>ABS(L962-FONO!$C$34)</f>
        <v>6.2344965262756071</v>
      </c>
      <c r="P962">
        <f t="shared" si="15"/>
        <v>95.6</v>
      </c>
    </row>
    <row r="963" spans="10:16">
      <c r="J963" s="5"/>
      <c r="L963">
        <f>FONO!M963</f>
        <v>1.7572217919999999</v>
      </c>
      <c r="M963">
        <f>FONO!N963</f>
        <v>95.7</v>
      </c>
      <c r="O963">
        <f>ABS(L963-FONO!$C$34)</f>
        <v>6.266457182275607</v>
      </c>
      <c r="P963">
        <f t="shared" si="15"/>
        <v>95.7</v>
      </c>
    </row>
    <row r="964" spans="10:16">
      <c r="J964" s="5"/>
      <c r="L964">
        <f>FONO!M964</f>
        <v>1.7849778220000001</v>
      </c>
      <c r="M964">
        <f>FONO!N964</f>
        <v>95.8</v>
      </c>
      <c r="O964">
        <f>ABS(L964-FONO!$C$34)</f>
        <v>6.2942132122756069</v>
      </c>
      <c r="P964">
        <f t="shared" si="15"/>
        <v>95.8</v>
      </c>
    </row>
    <row r="965" spans="10:16">
      <c r="J965" s="5"/>
      <c r="L965">
        <f>FONO!M965</f>
        <v>1.811218231</v>
      </c>
      <c r="M965">
        <f>FONO!N965</f>
        <v>95.9</v>
      </c>
      <c r="O965">
        <f>ABS(L965-FONO!$C$34)</f>
        <v>6.3204536212756066</v>
      </c>
      <c r="P965">
        <f t="shared" si="15"/>
        <v>95.9</v>
      </c>
    </row>
    <row r="966" spans="10:16">
      <c r="J966" s="5"/>
      <c r="L966">
        <f>FONO!M966</f>
        <v>1.8374586399999999</v>
      </c>
      <c r="M966">
        <f>FONO!N966</f>
        <v>96</v>
      </c>
      <c r="O966">
        <f>ABS(L966-FONO!$C$34)</f>
        <v>6.3466940302756072</v>
      </c>
      <c r="P966">
        <f t="shared" si="15"/>
        <v>96</v>
      </c>
    </row>
    <row r="967" spans="10:16">
      <c r="J967" s="5"/>
      <c r="L967">
        <f>FONO!M967</f>
        <v>1.8417639079999999</v>
      </c>
      <c r="M967">
        <f>FONO!N967</f>
        <v>96.1</v>
      </c>
      <c r="O967">
        <f>ABS(L967-FONO!$C$34)</f>
        <v>6.3509992982756067</v>
      </c>
      <c r="P967">
        <f t="shared" ref="P967:P1006" si="16">M967</f>
        <v>96.1</v>
      </c>
    </row>
    <row r="968" spans="10:16">
      <c r="J968" s="5"/>
      <c r="L968">
        <f>FONO!M968</f>
        <v>1.843247936</v>
      </c>
      <c r="M968">
        <f>FONO!N968</f>
        <v>96.2</v>
      </c>
      <c r="O968">
        <f>ABS(L968-FONO!$C$34)</f>
        <v>6.3524833262756069</v>
      </c>
      <c r="P968">
        <f t="shared" si="16"/>
        <v>96.2</v>
      </c>
    </row>
    <row r="969" spans="10:16">
      <c r="J969" s="5"/>
      <c r="L969">
        <f>FONO!M969</f>
        <v>1.8449530810000001</v>
      </c>
      <c r="M969">
        <f>FONO!N969</f>
        <v>96.3</v>
      </c>
      <c r="O969">
        <f>ABS(L969-FONO!$C$34)</f>
        <v>6.3541884712756067</v>
      </c>
      <c r="P969">
        <f t="shared" si="16"/>
        <v>96.3</v>
      </c>
    </row>
    <row r="970" spans="10:16">
      <c r="J970" s="5"/>
      <c r="L970">
        <f>FONO!M970</f>
        <v>1.8524072680000001</v>
      </c>
      <c r="M970">
        <f>FONO!N970</f>
        <v>96.4</v>
      </c>
      <c r="O970">
        <f>ABS(L970-FONO!$C$34)</f>
        <v>6.3616426582756072</v>
      </c>
      <c r="P970">
        <f t="shared" si="16"/>
        <v>96.4</v>
      </c>
    </row>
    <row r="971" spans="10:16">
      <c r="J971" s="5"/>
      <c r="L971">
        <f>FONO!M971</f>
        <v>1.8598614550000001</v>
      </c>
      <c r="M971">
        <f>FONO!N971</f>
        <v>96.5</v>
      </c>
      <c r="O971">
        <f>ABS(L971-FONO!$C$34)</f>
        <v>6.3690968452756067</v>
      </c>
      <c r="P971">
        <f t="shared" si="16"/>
        <v>96.5</v>
      </c>
    </row>
    <row r="972" spans="10:16">
      <c r="J972" s="5"/>
      <c r="L972">
        <f>FONO!M972</f>
        <v>1.866873904</v>
      </c>
      <c r="M972">
        <f>FONO!N972</f>
        <v>96.6</v>
      </c>
      <c r="O972">
        <f>ABS(L972-FONO!$C$34)</f>
        <v>6.376109294275607</v>
      </c>
      <c r="P972">
        <f t="shared" si="16"/>
        <v>96.6</v>
      </c>
    </row>
    <row r="973" spans="10:16">
      <c r="J973" s="5"/>
      <c r="L973">
        <f>FONO!M973</f>
        <v>1.8719788479999999</v>
      </c>
      <c r="M973">
        <f>FONO!N973</f>
        <v>96.7</v>
      </c>
      <c r="O973">
        <f>ABS(L973-FONO!$C$34)</f>
        <v>6.3812142382756072</v>
      </c>
      <c r="P973">
        <f t="shared" si="16"/>
        <v>96.7</v>
      </c>
    </row>
    <row r="974" spans="10:16">
      <c r="J974" s="5"/>
      <c r="L974">
        <f>FONO!M974</f>
        <v>1.8770837920000001</v>
      </c>
      <c r="M974">
        <f>FONO!N974</f>
        <v>96.8</v>
      </c>
      <c r="O974">
        <f>ABS(L974-FONO!$C$34)</f>
        <v>6.3863191822756065</v>
      </c>
      <c r="P974">
        <f t="shared" si="16"/>
        <v>96.8</v>
      </c>
    </row>
    <row r="975" spans="10:16">
      <c r="J975" s="5"/>
      <c r="L975">
        <f>FONO!M975</f>
        <v>1.885784678</v>
      </c>
      <c r="M975">
        <f>FONO!N975</f>
        <v>96.9</v>
      </c>
      <c r="O975">
        <f>ABS(L975-FONO!$C$34)</f>
        <v>6.3950200682756071</v>
      </c>
      <c r="P975">
        <f t="shared" si="16"/>
        <v>96.9</v>
      </c>
    </row>
    <row r="976" spans="10:16">
      <c r="J976" s="5"/>
      <c r="L976">
        <f>FONO!M976</f>
        <v>1.9014961399999999</v>
      </c>
      <c r="M976">
        <f>FONO!N976</f>
        <v>97</v>
      </c>
      <c r="O976">
        <f>ABS(L976-FONO!$C$34)</f>
        <v>6.4107315302756067</v>
      </c>
      <c r="P976">
        <f t="shared" si="16"/>
        <v>97</v>
      </c>
    </row>
    <row r="977" spans="10:16">
      <c r="J977" s="5"/>
      <c r="L977">
        <f>FONO!M977</f>
        <v>1.917207602</v>
      </c>
      <c r="M977">
        <f>FONO!N977</f>
        <v>97.1</v>
      </c>
      <c r="O977">
        <f>ABS(L977-FONO!$C$34)</f>
        <v>6.4264429922756072</v>
      </c>
      <c r="P977">
        <f t="shared" si="16"/>
        <v>97.1</v>
      </c>
    </row>
    <row r="978" spans="10:16">
      <c r="J978" s="5"/>
      <c r="L978">
        <f>FONO!M978</f>
        <v>1.9259749079999999</v>
      </c>
      <c r="M978">
        <f>FONO!N978</f>
        <v>97.2</v>
      </c>
      <c r="O978">
        <f>ABS(L978-FONO!$C$34)</f>
        <v>6.4352102982756065</v>
      </c>
      <c r="P978">
        <f t="shared" si="16"/>
        <v>97.2</v>
      </c>
    </row>
    <row r="979" spans="10:16">
      <c r="J979" s="5"/>
      <c r="L979">
        <f>FONO!M979</f>
        <v>1.927515447</v>
      </c>
      <c r="M979">
        <f>FONO!N979</f>
        <v>97.3</v>
      </c>
      <c r="O979">
        <f>ABS(L979-FONO!$C$34)</f>
        <v>6.436750837275607</v>
      </c>
      <c r="P979">
        <f t="shared" si="16"/>
        <v>97.3</v>
      </c>
    </row>
    <row r="980" spans="10:16">
      <c r="J980" s="5"/>
      <c r="L980">
        <f>FONO!M980</f>
        <v>1.9290559860000001</v>
      </c>
      <c r="M980">
        <f>FONO!N980</f>
        <v>97.4</v>
      </c>
      <c r="O980">
        <f>ABS(L980-FONO!$C$34)</f>
        <v>6.4382913762756067</v>
      </c>
      <c r="P980">
        <f t="shared" si="16"/>
        <v>97.4</v>
      </c>
    </row>
    <row r="981" spans="10:16">
      <c r="J981" s="5"/>
      <c r="L981">
        <f>FONO!M981</f>
        <v>1.9401131250000001</v>
      </c>
      <c r="M981">
        <f>FONO!N981</f>
        <v>97.5</v>
      </c>
      <c r="O981">
        <f>ABS(L981-FONO!$C$34)</f>
        <v>6.4493485152756067</v>
      </c>
      <c r="P981">
        <f t="shared" si="16"/>
        <v>97.5</v>
      </c>
    </row>
    <row r="982" spans="10:16">
      <c r="J982" s="5"/>
      <c r="L982">
        <f>FONO!M982</f>
        <v>1.9564995599999999</v>
      </c>
      <c r="M982">
        <f>FONO!N982</f>
        <v>97.6</v>
      </c>
      <c r="O982">
        <f>ABS(L982-FONO!$C$34)</f>
        <v>6.465734950275607</v>
      </c>
      <c r="P982">
        <f t="shared" si="16"/>
        <v>97.6</v>
      </c>
    </row>
    <row r="983" spans="10:16">
      <c r="J983" s="5"/>
      <c r="L983">
        <f>FONO!M983</f>
        <v>1.9728859949999999</v>
      </c>
      <c r="M983">
        <f>FONO!N983</f>
        <v>97.7</v>
      </c>
      <c r="O983">
        <f>ABS(L983-FONO!$C$34)</f>
        <v>6.4821213852756063</v>
      </c>
      <c r="P983">
        <f t="shared" si="16"/>
        <v>97.7</v>
      </c>
    </row>
    <row r="984" spans="10:16">
      <c r="J984" s="5"/>
      <c r="L984">
        <f>FONO!M984</f>
        <v>2.0352202699999999</v>
      </c>
      <c r="M984">
        <f>FONO!N984</f>
        <v>97.8</v>
      </c>
      <c r="O984">
        <f>ABS(L984-FONO!$C$34)</f>
        <v>6.5444556602756068</v>
      </c>
      <c r="P984">
        <f t="shared" si="16"/>
        <v>97.8</v>
      </c>
    </row>
    <row r="985" spans="10:16">
      <c r="J985" s="5"/>
      <c r="L985">
        <f>FONO!M985</f>
        <v>2.1096199850000001</v>
      </c>
      <c r="M985">
        <f>FONO!N985</f>
        <v>97.9</v>
      </c>
      <c r="O985">
        <f>ABS(L985-FONO!$C$34)</f>
        <v>6.618855375275607</v>
      </c>
      <c r="P985">
        <f t="shared" si="16"/>
        <v>97.9</v>
      </c>
    </row>
    <row r="986" spans="10:16">
      <c r="J986" s="5"/>
      <c r="L986">
        <f>FONO!M986</f>
        <v>2.1840196999999999</v>
      </c>
      <c r="M986">
        <f>FONO!N986</f>
        <v>98</v>
      </c>
      <c r="O986">
        <f>ABS(L986-FONO!$C$34)</f>
        <v>6.6932550902756063</v>
      </c>
      <c r="P986">
        <f t="shared" si="16"/>
        <v>98</v>
      </c>
    </row>
    <row r="987" spans="10:16">
      <c r="J987" s="5"/>
      <c r="L987">
        <f>FONO!M987</f>
        <v>2.2030192830000002</v>
      </c>
      <c r="M987">
        <f>FONO!N987</f>
        <v>98.1</v>
      </c>
      <c r="O987">
        <f>ABS(L987-FONO!$C$34)</f>
        <v>6.7122546732756074</v>
      </c>
      <c r="P987">
        <f t="shared" si="16"/>
        <v>98.1</v>
      </c>
    </row>
    <row r="988" spans="10:16">
      <c r="J988" s="5"/>
      <c r="L988">
        <f>FONO!M988</f>
        <v>2.2186714259999998</v>
      </c>
      <c r="M988">
        <f>FONO!N988</f>
        <v>98.2</v>
      </c>
      <c r="O988">
        <f>ABS(L988-FONO!$C$34)</f>
        <v>6.7279068162756062</v>
      </c>
      <c r="P988">
        <f t="shared" si="16"/>
        <v>98.2</v>
      </c>
    </row>
    <row r="989" spans="10:16">
      <c r="J989" s="5"/>
      <c r="L989">
        <f>FONO!M989</f>
        <v>2.2390946430000001</v>
      </c>
      <c r="M989">
        <f>FONO!N989</f>
        <v>98.3</v>
      </c>
      <c r="O989">
        <f>ABS(L989-FONO!$C$34)</f>
        <v>6.7483300332756073</v>
      </c>
      <c r="P989">
        <f t="shared" si="16"/>
        <v>98.3</v>
      </c>
    </row>
    <row r="990" spans="10:16">
      <c r="J990" s="5"/>
      <c r="L990">
        <f>FONO!M990</f>
        <v>2.3054936640000001</v>
      </c>
      <c r="M990">
        <f>FONO!N990</f>
        <v>98.4</v>
      </c>
      <c r="O990">
        <f>ABS(L990-FONO!$C$34)</f>
        <v>6.8147290542756069</v>
      </c>
      <c r="P990">
        <f t="shared" si="16"/>
        <v>98.4</v>
      </c>
    </row>
    <row r="991" spans="10:16">
      <c r="J991" s="5"/>
      <c r="L991">
        <f>FONO!M991</f>
        <v>2.3718926850000002</v>
      </c>
      <c r="M991">
        <f>FONO!N991</f>
        <v>98.5</v>
      </c>
      <c r="O991">
        <f>ABS(L991-FONO!$C$34)</f>
        <v>6.8811280752756065</v>
      </c>
      <c r="P991">
        <f t="shared" si="16"/>
        <v>98.5</v>
      </c>
    </row>
    <row r="992" spans="10:16">
      <c r="J992" s="5"/>
      <c r="L992">
        <f>FONO!M992</f>
        <v>2.4234552439999999</v>
      </c>
      <c r="M992">
        <f>FONO!N992</f>
        <v>98.6</v>
      </c>
      <c r="O992">
        <f>ABS(L992-FONO!$C$34)</f>
        <v>6.9326906342756072</v>
      </c>
      <c r="P992">
        <f t="shared" si="16"/>
        <v>98.6</v>
      </c>
    </row>
    <row r="993" spans="10:16">
      <c r="J993" s="5"/>
      <c r="L993">
        <f>FONO!M993</f>
        <v>2.4293007979999999</v>
      </c>
      <c r="M993">
        <f>FONO!N993</f>
        <v>98.7</v>
      </c>
      <c r="O993">
        <f>ABS(L993-FONO!$C$34)</f>
        <v>6.9385361882756067</v>
      </c>
      <c r="P993">
        <f t="shared" si="16"/>
        <v>98.7</v>
      </c>
    </row>
    <row r="994" spans="10:16">
      <c r="J994" s="5"/>
      <c r="L994">
        <f>FONO!M994</f>
        <v>2.4351463519999998</v>
      </c>
      <c r="M994">
        <f>FONO!N994</f>
        <v>98.8</v>
      </c>
      <c r="O994">
        <f>ABS(L994-FONO!$C$34)</f>
        <v>6.9443817422756062</v>
      </c>
      <c r="P994">
        <f t="shared" si="16"/>
        <v>98.8</v>
      </c>
    </row>
    <row r="995" spans="10:16">
      <c r="J995" s="5"/>
      <c r="L995">
        <f>FONO!M995</f>
        <v>2.4586565820000001</v>
      </c>
      <c r="M995">
        <f>FONO!N995</f>
        <v>98.9</v>
      </c>
      <c r="O995">
        <f>ABS(L995-FONO!$C$34)</f>
        <v>6.9678919722756074</v>
      </c>
      <c r="P995">
        <f t="shared" si="16"/>
        <v>98.9</v>
      </c>
    </row>
    <row r="996" spans="10:16">
      <c r="J996" s="5"/>
      <c r="L996">
        <f>FONO!M996</f>
        <v>2.5091086200000001</v>
      </c>
      <c r="M996">
        <f>FONO!N996</f>
        <v>99</v>
      </c>
      <c r="O996">
        <f>ABS(L996-FONO!$C$34)</f>
        <v>7.0183440102756069</v>
      </c>
      <c r="P996">
        <f t="shared" si="16"/>
        <v>99</v>
      </c>
    </row>
    <row r="997" spans="10:16">
      <c r="J997" s="5"/>
      <c r="L997">
        <f>FONO!M997</f>
        <v>2.5595606580000001</v>
      </c>
      <c r="M997">
        <f>FONO!N997</f>
        <v>99.1</v>
      </c>
      <c r="O997">
        <f>ABS(L997-FONO!$C$34)</f>
        <v>7.0687960482756065</v>
      </c>
      <c r="P997">
        <f t="shared" si="16"/>
        <v>99.1</v>
      </c>
    </row>
    <row r="998" spans="10:16">
      <c r="J998" s="5"/>
      <c r="L998">
        <f>FONO!M998</f>
        <v>2.6249328240000001</v>
      </c>
      <c r="M998">
        <f>FONO!N998</f>
        <v>99.2</v>
      </c>
      <c r="O998">
        <f>ABS(L998-FONO!$C$34)</f>
        <v>7.1341682142756069</v>
      </c>
      <c r="P998">
        <f t="shared" si="16"/>
        <v>99.2</v>
      </c>
    </row>
    <row r="999" spans="10:16">
      <c r="J999" s="5"/>
      <c r="L999">
        <f>FONO!M999</f>
        <v>2.702660721</v>
      </c>
      <c r="M999">
        <f>FONO!N999</f>
        <v>99.3</v>
      </c>
      <c r="O999">
        <f>ABS(L999-FONO!$C$34)</f>
        <v>7.2118961112756068</v>
      </c>
      <c r="P999">
        <f t="shared" si="16"/>
        <v>99.3</v>
      </c>
    </row>
    <row r="1000" spans="10:16">
      <c r="J1000" s="5"/>
      <c r="L1000">
        <f>FONO!M1000</f>
        <v>2.7803886179999999</v>
      </c>
      <c r="M1000">
        <f>FONO!N1000</f>
        <v>99.4</v>
      </c>
      <c r="O1000">
        <f>ABS(L1000-FONO!$C$34)</f>
        <v>7.2896240082756067</v>
      </c>
      <c r="P1000">
        <f t="shared" si="16"/>
        <v>99.4</v>
      </c>
    </row>
    <row r="1001" spans="10:16">
      <c r="J1001" s="5"/>
      <c r="L1001">
        <f>FONO!M1001</f>
        <v>2.8130644450000002</v>
      </c>
      <c r="M1001">
        <f>FONO!N1001</f>
        <v>99.5</v>
      </c>
      <c r="O1001">
        <f>ABS(L1001-FONO!$C$34)</f>
        <v>7.322299835275607</v>
      </c>
      <c r="P1001">
        <f t="shared" si="16"/>
        <v>99.5</v>
      </c>
    </row>
    <row r="1002" spans="10:16">
      <c r="J1002" s="5"/>
      <c r="L1002">
        <f>FONO!M1002</f>
        <v>2.8262483559999998</v>
      </c>
      <c r="M1002">
        <f>FONO!N1002</f>
        <v>99.6</v>
      </c>
      <c r="O1002">
        <f>ABS(L1002-FONO!$C$34)</f>
        <v>7.3354837462756066</v>
      </c>
      <c r="P1002">
        <f t="shared" si="16"/>
        <v>99.6</v>
      </c>
    </row>
    <row r="1003" spans="10:16">
      <c r="J1003" s="5"/>
      <c r="L1003">
        <f>FONO!M1003</f>
        <v>2.8394322669999998</v>
      </c>
      <c r="M1003">
        <f>FONO!N1003</f>
        <v>99.7</v>
      </c>
      <c r="O1003">
        <f>ABS(L1003-FONO!$C$34)</f>
        <v>7.3486676572756071</v>
      </c>
      <c r="P1003">
        <f t="shared" si="16"/>
        <v>99.7</v>
      </c>
    </row>
    <row r="1004" spans="10:16">
      <c r="J1004" s="5"/>
      <c r="L1004">
        <f>FONO!M1004</f>
        <v>2.850255422</v>
      </c>
      <c r="M1004">
        <f>FONO!N1004</f>
        <v>99.8</v>
      </c>
      <c r="O1004">
        <f>ABS(L1004-FONO!$C$34)</f>
        <v>7.3594908122756069</v>
      </c>
      <c r="P1004">
        <f t="shared" si="16"/>
        <v>99.8</v>
      </c>
    </row>
    <row r="1005" spans="10:16">
      <c r="J1005" s="5"/>
      <c r="L1005">
        <f>FONO!M1005</f>
        <v>2.8606587110000001</v>
      </c>
      <c r="M1005">
        <f>FONO!N1005</f>
        <v>99.9</v>
      </c>
      <c r="O1005">
        <f>ABS(L1005-FONO!$C$34)</f>
        <v>7.369894101275607</v>
      </c>
      <c r="P1005">
        <f t="shared" si="16"/>
        <v>99.9</v>
      </c>
    </row>
    <row r="1006" spans="10:16">
      <c r="J1006" s="5"/>
      <c r="L1006">
        <f>FONO!M1006</f>
        <v>2.8710619999999998</v>
      </c>
      <c r="M1006">
        <f>FONO!N1006</f>
        <v>100</v>
      </c>
      <c r="O1006">
        <f>ABS(L1006-FONO!$C$34)</f>
        <v>7.3802973902756062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topLeftCell="A17" zoomScale="80" zoomScaleNormal="80" workbookViewId="0">
      <selection activeCell="J34" sqref="J34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str">
        <f>SD_PERC_TMTB!A42</f>
        <v xml:space="preserve"> 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s="27" t="s">
        <v>1</v>
      </c>
      <c r="C5" s="28" t="s">
        <v>17</v>
      </c>
      <c r="H5" s="9" t="s">
        <v>33</v>
      </c>
      <c r="I5" s="57" t="s">
        <v>18</v>
      </c>
      <c r="J5" s="58"/>
      <c r="M5" s="27" t="s">
        <v>11</v>
      </c>
      <c r="N5" s="28" t="s">
        <v>44</v>
      </c>
    </row>
    <row r="6" spans="1:14">
      <c r="B6" s="59" t="s">
        <v>62</v>
      </c>
      <c r="C6" s="59">
        <v>137.25123680970799</v>
      </c>
      <c r="I6" s="10" t="s">
        <v>36</v>
      </c>
      <c r="M6" s="59">
        <v>-1.6320269999999999</v>
      </c>
      <c r="N6" s="59">
        <v>0</v>
      </c>
    </row>
    <row r="7" spans="1:14">
      <c r="B7" s="59" t="s">
        <v>63</v>
      </c>
      <c r="C7" s="59">
        <v>2.1572237710416999</v>
      </c>
      <c r="M7" s="59">
        <v>-1.570550052</v>
      </c>
      <c r="N7" s="59">
        <v>0.1</v>
      </c>
    </row>
    <row r="8" spans="1:14">
      <c r="B8" s="59" t="s">
        <v>65</v>
      </c>
      <c r="C8" s="59">
        <v>-2.9532055539939899</v>
      </c>
      <c r="I8" s="9"/>
      <c r="J8" s="9"/>
      <c r="M8" s="59">
        <v>-1.5090731040000001</v>
      </c>
      <c r="N8" s="59">
        <v>0.2</v>
      </c>
    </row>
    <row r="9" spans="1:14">
      <c r="H9" s="9" t="s">
        <v>34</v>
      </c>
      <c r="I9" s="57" t="s">
        <v>37</v>
      </c>
      <c r="J9" s="58"/>
      <c r="M9" s="59">
        <v>-1.454696778</v>
      </c>
      <c r="N9" s="59">
        <v>0.3</v>
      </c>
    </row>
    <row r="10" spans="1:14">
      <c r="B10" s="29"/>
      <c r="C10" s="30"/>
      <c r="I10" s="12" t="s">
        <v>3</v>
      </c>
      <c r="J10" s="13" t="s">
        <v>36</v>
      </c>
      <c r="M10" s="59">
        <v>-1.4402447039999999</v>
      </c>
      <c r="N10" s="59">
        <v>0.4</v>
      </c>
    </row>
    <row r="11" spans="1:14">
      <c r="B11" s="29"/>
      <c r="C11" s="30"/>
      <c r="I11" s="14"/>
      <c r="J11" s="15"/>
      <c r="M11" s="59">
        <v>-1.4257926299999999</v>
      </c>
      <c r="N11" s="59">
        <v>0.5</v>
      </c>
    </row>
    <row r="12" spans="1:14">
      <c r="B12" s="29"/>
      <c r="C12" s="30"/>
      <c r="I12" s="14"/>
      <c r="J12" s="15"/>
      <c r="M12" s="59">
        <v>-1.410220984</v>
      </c>
      <c r="N12" s="59">
        <v>0.6</v>
      </c>
    </row>
    <row r="13" spans="1:14">
      <c r="B13" s="29"/>
      <c r="C13" s="30"/>
      <c r="I13" s="14"/>
      <c r="J13" s="15"/>
      <c r="M13" s="59">
        <v>-1.3920616480000001</v>
      </c>
      <c r="N13" s="59">
        <v>0.7</v>
      </c>
    </row>
    <row r="14" spans="1:14">
      <c r="B14" s="29"/>
      <c r="C14" s="30"/>
      <c r="I14" s="14"/>
      <c r="J14" s="15"/>
      <c r="M14" s="59">
        <v>-1.373902312</v>
      </c>
      <c r="N14" s="59">
        <v>0.8</v>
      </c>
    </row>
    <row r="15" spans="1:14">
      <c r="B15" s="29"/>
      <c r="C15" s="30"/>
      <c r="I15" s="14"/>
      <c r="J15" s="15"/>
      <c r="M15" s="59">
        <v>-1.363786309</v>
      </c>
      <c r="N15" s="59">
        <v>0.9</v>
      </c>
    </row>
    <row r="16" spans="1:14">
      <c r="B16" s="29"/>
      <c r="C16" s="30"/>
      <c r="I16" s="14"/>
      <c r="J16" s="15"/>
      <c r="M16" s="59">
        <v>-1.36338301</v>
      </c>
      <c r="N16" s="59">
        <v>1</v>
      </c>
    </row>
    <row r="17" spans="1:14">
      <c r="B17" s="29"/>
      <c r="C17" s="30"/>
      <c r="I17" s="14"/>
      <c r="J17" s="15"/>
      <c r="M17" s="59">
        <v>-1.3629797109999999</v>
      </c>
      <c r="N17" s="59">
        <v>1.1000000000000001</v>
      </c>
    </row>
    <row r="18" spans="1:14">
      <c r="B18" s="29"/>
      <c r="C18" s="30"/>
      <c r="I18" s="14"/>
      <c r="J18" s="15"/>
      <c r="M18" s="59">
        <v>-1.355472928</v>
      </c>
      <c r="N18" s="59">
        <v>1.2</v>
      </c>
    </row>
    <row r="19" spans="1:14">
      <c r="B19" s="29"/>
      <c r="C19" s="30"/>
      <c r="I19" s="14"/>
      <c r="J19" s="15"/>
      <c r="M19" s="59">
        <v>-1.343308672</v>
      </c>
      <c r="N19" s="59">
        <v>1.3</v>
      </c>
    </row>
    <row r="20" spans="1:14">
      <c r="B20" s="29"/>
      <c r="C20" s="30"/>
      <c r="I20" s="14"/>
      <c r="J20" s="15"/>
      <c r="M20" s="59">
        <v>-1.3311444160000001</v>
      </c>
      <c r="N20" s="59">
        <v>1.4</v>
      </c>
    </row>
    <row r="21" spans="1:14">
      <c r="B21" s="29"/>
      <c r="C21" s="30"/>
      <c r="I21" s="14"/>
      <c r="J21" s="15"/>
      <c r="M21" s="59">
        <v>-1.3274227949999999</v>
      </c>
      <c r="N21" s="59">
        <v>1.5</v>
      </c>
    </row>
    <row r="22" spans="1:14">
      <c r="B22" s="29"/>
      <c r="C22" s="30"/>
      <c r="I22" s="16"/>
      <c r="J22" s="17"/>
      <c r="M22" s="59">
        <v>-1.326441048</v>
      </c>
      <c r="N22" s="59">
        <v>1.6</v>
      </c>
    </row>
    <row r="23" spans="1:14">
      <c r="B23" s="29"/>
      <c r="C23" s="30"/>
      <c r="M23" s="59">
        <v>-1.325459301</v>
      </c>
      <c r="N23" s="59">
        <v>1.7</v>
      </c>
    </row>
    <row r="24" spans="1:14">
      <c r="B24" s="31"/>
      <c r="C24" s="11"/>
      <c r="M24" s="59">
        <v>-1.3047685499999999</v>
      </c>
      <c r="N24" s="59">
        <v>1.8</v>
      </c>
    </row>
    <row r="25" spans="1:14">
      <c r="H25" s="9" t="s">
        <v>35</v>
      </c>
      <c r="I25" s="57" t="s">
        <v>42</v>
      </c>
      <c r="J25" s="58"/>
      <c r="M25" s="59">
        <v>-1.282032525</v>
      </c>
      <c r="N25" s="59">
        <v>1.9</v>
      </c>
    </row>
    <row r="26" spans="1:14">
      <c r="I26" s="12" t="s">
        <v>1</v>
      </c>
      <c r="J26" s="13" t="s">
        <v>17</v>
      </c>
      <c r="M26" s="59">
        <v>-1.2604238000000001</v>
      </c>
      <c r="N26" s="59">
        <v>2</v>
      </c>
    </row>
    <row r="27" spans="1:14">
      <c r="A27" s="34">
        <v>4</v>
      </c>
      <c r="B27" s="2" t="s">
        <v>2</v>
      </c>
      <c r="C27" s="63">
        <f>C6+(C7*('Normative data'!C6-71.28))+(TMTB!C8*'Normative data'!C8)</f>
        <v>-16.515673590144388</v>
      </c>
      <c r="I27" s="59" t="s">
        <v>62</v>
      </c>
      <c r="J27" s="59">
        <v>13730.002955588399</v>
      </c>
      <c r="M27" s="59">
        <v>-1.2574718899999999</v>
      </c>
      <c r="N27" s="59">
        <v>2.1</v>
      </c>
    </row>
    <row r="28" spans="1:14">
      <c r="B28" s="2" t="s">
        <v>6</v>
      </c>
      <c r="C28" s="2"/>
      <c r="D28" s="2"/>
      <c r="E28" s="2"/>
      <c r="F28" s="2"/>
      <c r="I28" s="59" t="s">
        <v>66</v>
      </c>
      <c r="J28" s="59">
        <v>-413.09290100276598</v>
      </c>
      <c r="M28" s="59">
        <v>-1.25451998</v>
      </c>
      <c r="N28" s="59">
        <v>2.2000000000000002</v>
      </c>
    </row>
    <row r="29" spans="1:14">
      <c r="B29" s="2" t="s">
        <v>7</v>
      </c>
      <c r="C29" s="2"/>
      <c r="D29" s="2"/>
      <c r="E29" s="2"/>
      <c r="F29" s="2"/>
      <c r="I29" s="59" t="s">
        <v>67</v>
      </c>
      <c r="J29" s="59">
        <v>4.1126815317572101</v>
      </c>
      <c r="M29" s="59">
        <v>-1.250831354</v>
      </c>
      <c r="N29" s="59">
        <v>2.2999999999999998</v>
      </c>
    </row>
    <row r="30" spans="1:14">
      <c r="B30" s="2" t="s">
        <v>8</v>
      </c>
      <c r="I30" s="59" t="s">
        <v>68</v>
      </c>
      <c r="J30" s="59">
        <v>-1.2018306444996E-2</v>
      </c>
      <c r="M30" s="59">
        <v>-1.2443371519999999</v>
      </c>
      <c r="N30" s="59">
        <v>2.4</v>
      </c>
    </row>
    <row r="31" spans="1:14">
      <c r="I31" s="14"/>
      <c r="J31" s="15"/>
      <c r="M31" s="59">
        <v>-1.2378429500000001</v>
      </c>
      <c r="N31" s="59">
        <v>2.5</v>
      </c>
    </row>
    <row r="32" spans="1:14">
      <c r="I32" s="35"/>
      <c r="J32" s="17"/>
      <c r="M32" s="59">
        <v>-1.232009492</v>
      </c>
      <c r="N32" s="59">
        <v>2.6</v>
      </c>
    </row>
    <row r="33" spans="2:14">
      <c r="B33" t="s">
        <v>9</v>
      </c>
      <c r="C33">
        <f>'Normative data'!C17-TMTB!C27</f>
        <v>16.515673590144388</v>
      </c>
      <c r="M33" s="59">
        <v>-1.227355934</v>
      </c>
      <c r="N33" s="59">
        <v>2.7</v>
      </c>
    </row>
    <row r="34" spans="2:14">
      <c r="B34" t="s">
        <v>12</v>
      </c>
      <c r="C34">
        <f>-(C33/SD_PERC_TMTB!I38)</f>
        <v>-0.112042254234258</v>
      </c>
      <c r="I34" t="s">
        <v>41</v>
      </c>
      <c r="J34">
        <f>SD_PERC_TMTB!I38</f>
        <v>147.40575957721637</v>
      </c>
      <c r="M34" s="59">
        <v>-1.222702376</v>
      </c>
      <c r="N34" s="59">
        <v>2.8</v>
      </c>
    </row>
    <row r="35" spans="2:14">
      <c r="M35" s="59">
        <v>-1.2201875099999999</v>
      </c>
      <c r="N35" s="59">
        <v>2.9</v>
      </c>
    </row>
    <row r="36" spans="2:14">
      <c r="M36" s="59">
        <v>-1.2197277</v>
      </c>
      <c r="N36" s="59">
        <v>3</v>
      </c>
    </row>
    <row r="37" spans="2:14">
      <c r="M37" s="59">
        <v>-1.21926789</v>
      </c>
      <c r="N37" s="59">
        <v>3.1</v>
      </c>
    </row>
    <row r="38" spans="2:14">
      <c r="M38" s="59">
        <v>-1.2124969839999999</v>
      </c>
      <c r="N38" s="59">
        <v>3.2</v>
      </c>
    </row>
    <row r="39" spans="2:14">
      <c r="M39" s="59">
        <v>-1.202488921</v>
      </c>
      <c r="N39" s="59">
        <v>3.3</v>
      </c>
    </row>
    <row r="40" spans="2:14">
      <c r="M40" s="59">
        <v>-1.1924808579999999</v>
      </c>
      <c r="N40" s="59">
        <v>3.4</v>
      </c>
    </row>
    <row r="41" spans="2:14">
      <c r="M41" s="59">
        <v>-1.17668587</v>
      </c>
      <c r="N41" s="59">
        <v>3.5</v>
      </c>
    </row>
    <row r="42" spans="2:14">
      <c r="M42" s="59">
        <v>-1.1595507519999999</v>
      </c>
      <c r="N42" s="59">
        <v>3.6</v>
      </c>
    </row>
    <row r="43" spans="2:14">
      <c r="M43" s="59">
        <v>-1.142415634</v>
      </c>
      <c r="N43" s="59">
        <v>3.7</v>
      </c>
    </row>
    <row r="44" spans="2:14">
      <c r="M44" s="59">
        <v>-1.1410177960000001</v>
      </c>
      <c r="N44" s="59">
        <v>3.8</v>
      </c>
    </row>
    <row r="45" spans="2:14">
      <c r="M45" s="59">
        <v>-1.140225238</v>
      </c>
      <c r="N45" s="59">
        <v>3.9</v>
      </c>
    </row>
    <row r="46" spans="2:14">
      <c r="M46" s="59">
        <v>-1.1391129200000001</v>
      </c>
      <c r="N46" s="59">
        <v>4</v>
      </c>
    </row>
    <row r="47" spans="2:14">
      <c r="M47" s="59">
        <v>-1.135514468</v>
      </c>
      <c r="N47" s="59">
        <v>4.0999999999999996</v>
      </c>
    </row>
    <row r="48" spans="2:14">
      <c r="M48" s="59">
        <v>-1.1319160159999999</v>
      </c>
      <c r="N48" s="59">
        <v>4.2</v>
      </c>
    </row>
    <row r="49" spans="13:14">
      <c r="M49" s="59">
        <v>-1.127291123</v>
      </c>
      <c r="N49" s="59">
        <v>4.3</v>
      </c>
    </row>
    <row r="50" spans="13:14">
      <c r="M50" s="59">
        <v>-1.119818684</v>
      </c>
      <c r="N50" s="59">
        <v>4.4000000000000004</v>
      </c>
    </row>
    <row r="51" spans="13:14">
      <c r="M51" s="59">
        <v>-1.1123462449999999</v>
      </c>
      <c r="N51" s="59">
        <v>4.5</v>
      </c>
    </row>
    <row r="52" spans="13:14">
      <c r="M52" s="59">
        <v>-1.1052913660000001</v>
      </c>
      <c r="N52" s="59">
        <v>4.5999999999999996</v>
      </c>
    </row>
    <row r="53" spans="13:14">
      <c r="M53" s="59">
        <v>-1.098822787</v>
      </c>
      <c r="N53" s="59">
        <v>4.7</v>
      </c>
    </row>
    <row r="54" spans="13:14">
      <c r="M54" s="59">
        <v>-1.0923542079999999</v>
      </c>
      <c r="N54" s="59">
        <v>4.8</v>
      </c>
    </row>
    <row r="55" spans="13:14">
      <c r="M55" s="59">
        <v>-1.085104753</v>
      </c>
      <c r="N55" s="59">
        <v>4.9000000000000004</v>
      </c>
    </row>
    <row r="56" spans="13:14">
      <c r="M56" s="59">
        <v>-1.07725885</v>
      </c>
      <c r="N56" s="59">
        <v>5</v>
      </c>
    </row>
    <row r="57" spans="13:14">
      <c r="M57" s="59">
        <v>-1.069412947</v>
      </c>
      <c r="N57" s="59">
        <v>5.0999999999999996</v>
      </c>
    </row>
    <row r="58" spans="13:14">
      <c r="M58" s="59">
        <v>-1.0626864279999999</v>
      </c>
      <c r="N58" s="59">
        <v>5.2</v>
      </c>
    </row>
    <row r="59" spans="13:14">
      <c r="M59" s="59">
        <v>-1.056399667</v>
      </c>
      <c r="N59" s="59">
        <v>5.3</v>
      </c>
    </row>
    <row r="60" spans="13:14">
      <c r="M60" s="59">
        <v>-1.0501129060000001</v>
      </c>
      <c r="N60" s="59">
        <v>5.4</v>
      </c>
    </row>
    <row r="61" spans="13:14">
      <c r="M61" s="59">
        <v>-1.0489376399999999</v>
      </c>
      <c r="N61" s="59">
        <v>5.5</v>
      </c>
    </row>
    <row r="62" spans="13:14">
      <c r="M62" s="59">
        <v>-1.048533288</v>
      </c>
      <c r="N62" s="59">
        <v>5.6</v>
      </c>
    </row>
    <row r="63" spans="13:14">
      <c r="M63" s="59">
        <v>-1.0480721099999999</v>
      </c>
      <c r="N63" s="59">
        <v>5.7</v>
      </c>
    </row>
    <row r="64" spans="13:14">
      <c r="M64" s="59">
        <v>-1.04481834</v>
      </c>
      <c r="N64" s="59">
        <v>5.8</v>
      </c>
    </row>
    <row r="65" spans="13:14">
      <c r="M65" s="59">
        <v>-1.04156457</v>
      </c>
      <c r="N65" s="59">
        <v>5.9</v>
      </c>
    </row>
    <row r="66" spans="13:14">
      <c r="M66" s="59">
        <v>-1.03883736</v>
      </c>
      <c r="N66" s="59">
        <v>6</v>
      </c>
    </row>
    <row r="67" spans="13:14">
      <c r="M67" s="59">
        <v>-1.0386639660000001</v>
      </c>
      <c r="N67" s="59">
        <v>6.1</v>
      </c>
    </row>
    <row r="68" spans="13:14">
      <c r="M68" s="59">
        <v>-1.0384905719999999</v>
      </c>
      <c r="N68" s="59">
        <v>6.2</v>
      </c>
    </row>
    <row r="69" spans="13:14">
      <c r="M69" s="59">
        <v>-1.038373</v>
      </c>
      <c r="N69" s="59">
        <v>6.3</v>
      </c>
    </row>
    <row r="70" spans="13:14">
      <c r="M70" s="59">
        <v>-1.038373</v>
      </c>
      <c r="N70" s="59">
        <v>6.4</v>
      </c>
    </row>
    <row r="71" spans="13:14">
      <c r="M71" s="59">
        <v>-1.038373</v>
      </c>
      <c r="N71" s="59">
        <v>6.5</v>
      </c>
    </row>
    <row r="72" spans="13:14">
      <c r="M72" s="59">
        <v>-1.0369737859999999</v>
      </c>
      <c r="N72" s="59">
        <v>6.6</v>
      </c>
    </row>
    <row r="73" spans="13:14">
      <c r="M73" s="59">
        <v>-1.0340152069999999</v>
      </c>
      <c r="N73" s="59">
        <v>6.7</v>
      </c>
    </row>
    <row r="74" spans="13:14">
      <c r="M74" s="59">
        <v>-1.031056628</v>
      </c>
      <c r="N74" s="59">
        <v>6.8</v>
      </c>
    </row>
    <row r="75" spans="13:14">
      <c r="M75" s="59">
        <v>-1.027965335</v>
      </c>
      <c r="N75" s="59">
        <v>6.9</v>
      </c>
    </row>
    <row r="76" spans="13:14">
      <c r="M76" s="59">
        <v>-1.0247940499999999</v>
      </c>
      <c r="N76" s="59">
        <v>7</v>
      </c>
    </row>
    <row r="77" spans="13:14">
      <c r="M77" s="59">
        <v>-1.021622765</v>
      </c>
      <c r="N77" s="59">
        <v>7.1</v>
      </c>
    </row>
    <row r="78" spans="13:14">
      <c r="M78" s="59">
        <v>-1.0195430160000001</v>
      </c>
      <c r="N78" s="59">
        <v>7.2</v>
      </c>
    </row>
    <row r="79" spans="13:14">
      <c r="M79" s="59">
        <v>-1.017780294</v>
      </c>
      <c r="N79" s="59">
        <v>7.3</v>
      </c>
    </row>
    <row r="80" spans="13:14">
      <c r="M80" s="59">
        <v>-1.016017572</v>
      </c>
      <c r="N80" s="59">
        <v>7.4</v>
      </c>
    </row>
    <row r="81" spans="13:14">
      <c r="M81" s="59">
        <v>-1.003103125</v>
      </c>
      <c r="N81" s="59">
        <v>7.5</v>
      </c>
    </row>
    <row r="82" spans="13:14">
      <c r="M82" s="59">
        <v>-0.98929654</v>
      </c>
      <c r="N82" s="59">
        <v>7.6</v>
      </c>
    </row>
    <row r="83" spans="13:14">
      <c r="M83" s="59">
        <v>-0.97648774000000005</v>
      </c>
      <c r="N83" s="59">
        <v>7.7</v>
      </c>
    </row>
    <row r="84" spans="13:14">
      <c r="M84" s="59">
        <v>-0.97565236</v>
      </c>
      <c r="N84" s="59">
        <v>7.8</v>
      </c>
    </row>
    <row r="85" spans="13:14">
      <c r="M85" s="59">
        <v>-0.97481698000000006</v>
      </c>
      <c r="N85" s="59">
        <v>7.9</v>
      </c>
    </row>
    <row r="86" spans="13:14">
      <c r="M86" s="59">
        <v>-0.97383304000000004</v>
      </c>
      <c r="N86" s="59">
        <v>8</v>
      </c>
    </row>
    <row r="87" spans="13:14">
      <c r="M87" s="59">
        <v>-0.97234585299999998</v>
      </c>
      <c r="N87" s="59">
        <v>8.1</v>
      </c>
    </row>
    <row r="88" spans="13:14">
      <c r="M88" s="59">
        <v>-0.97085866600000004</v>
      </c>
      <c r="N88" s="59">
        <v>8.1999999999999993</v>
      </c>
    </row>
    <row r="89" spans="13:14">
      <c r="M89" s="59">
        <v>-0.969544246</v>
      </c>
      <c r="N89" s="59">
        <v>8.3000000000000007</v>
      </c>
    </row>
    <row r="90" spans="13:14">
      <c r="M90" s="59">
        <v>-0.96851300799999995</v>
      </c>
      <c r="N90" s="59">
        <v>8.4</v>
      </c>
    </row>
    <row r="91" spans="13:14">
      <c r="M91" s="59">
        <v>-0.96748177000000002</v>
      </c>
      <c r="N91" s="59">
        <v>8.5</v>
      </c>
    </row>
    <row r="92" spans="13:14">
      <c r="M92" s="59">
        <v>-0.96519186999999995</v>
      </c>
      <c r="N92" s="59">
        <v>8.6</v>
      </c>
    </row>
    <row r="93" spans="13:14">
      <c r="M93" s="59">
        <v>-0.96178541500000003</v>
      </c>
      <c r="N93" s="59">
        <v>8.6999999999999993</v>
      </c>
    </row>
    <row r="94" spans="13:14">
      <c r="M94" s="59">
        <v>-0.95837896</v>
      </c>
      <c r="N94" s="59">
        <v>8.8000000000000007</v>
      </c>
    </row>
    <row r="95" spans="13:14">
      <c r="M95" s="59">
        <v>-0.95727646499999997</v>
      </c>
      <c r="N95" s="59">
        <v>8.9</v>
      </c>
    </row>
    <row r="96" spans="13:14">
      <c r="M96" s="59">
        <v>-0.95725364999999996</v>
      </c>
      <c r="N96" s="59">
        <v>9</v>
      </c>
    </row>
    <row r="97" spans="13:14">
      <c r="M97" s="59">
        <v>-0.95723083499999995</v>
      </c>
      <c r="N97" s="59">
        <v>9.1</v>
      </c>
    </row>
    <row r="98" spans="13:14">
      <c r="M98" s="59">
        <v>-0.957214444</v>
      </c>
      <c r="N98" s="59">
        <v>9.1999999999999993</v>
      </c>
    </row>
    <row r="99" spans="13:14">
      <c r="M99" s="59">
        <v>-0.95719935099999998</v>
      </c>
      <c r="N99" s="59">
        <v>9.3000000000000007</v>
      </c>
    </row>
    <row r="100" spans="13:14">
      <c r="M100" s="59">
        <v>-0.95718425799999995</v>
      </c>
      <c r="N100" s="59">
        <v>9.4</v>
      </c>
    </row>
    <row r="101" spans="13:14">
      <c r="M101" s="59">
        <v>-0.95498255499999996</v>
      </c>
      <c r="N101" s="59">
        <v>9.5</v>
      </c>
    </row>
    <row r="102" spans="13:14">
      <c r="M102" s="59">
        <v>-0.95274282399999999</v>
      </c>
      <c r="N102" s="59">
        <v>9.6</v>
      </c>
    </row>
    <row r="103" spans="13:14">
      <c r="M103" s="59">
        <v>-0.95076102900000004</v>
      </c>
      <c r="N103" s="59">
        <v>9.6999999999999993</v>
      </c>
    </row>
    <row r="104" spans="13:14">
      <c r="M104" s="59">
        <v>-0.95044758600000001</v>
      </c>
      <c r="N104" s="59">
        <v>9.8000000000000007</v>
      </c>
    </row>
    <row r="105" spans="13:14">
      <c r="M105" s="59">
        <v>-0.95013414299999999</v>
      </c>
      <c r="N105" s="59">
        <v>9.9</v>
      </c>
    </row>
    <row r="106" spans="13:14">
      <c r="M106" s="59">
        <v>-0.9496462</v>
      </c>
      <c r="N106" s="59">
        <v>10</v>
      </c>
    </row>
    <row r="107" spans="13:14">
      <c r="M107" s="59">
        <v>-0.94872026200000004</v>
      </c>
      <c r="N107" s="59">
        <v>10.1</v>
      </c>
    </row>
    <row r="108" spans="13:14">
      <c r="M108" s="59">
        <v>-0.94779432399999997</v>
      </c>
      <c r="N108" s="59">
        <v>10.199999999999999</v>
      </c>
    </row>
    <row r="109" spans="13:14">
      <c r="M109" s="59">
        <v>-0.94482767199999995</v>
      </c>
      <c r="N109" s="59">
        <v>10.3</v>
      </c>
    </row>
    <row r="110" spans="13:14">
      <c r="M110" s="59">
        <v>-0.939220096</v>
      </c>
      <c r="N110" s="59">
        <v>10.4</v>
      </c>
    </row>
    <row r="111" spans="13:14">
      <c r="M111" s="59">
        <v>-0.93361251999999995</v>
      </c>
      <c r="N111" s="59">
        <v>10.5</v>
      </c>
    </row>
    <row r="112" spans="13:14">
      <c r="M112" s="59">
        <v>-0.93113429000000003</v>
      </c>
      <c r="N112" s="59">
        <v>10.6</v>
      </c>
    </row>
    <row r="113" spans="13:14">
      <c r="M113" s="59">
        <v>-0.93085875500000004</v>
      </c>
      <c r="N113" s="59">
        <v>10.7</v>
      </c>
    </row>
    <row r="114" spans="13:14">
      <c r="M114" s="59">
        <v>-0.93058322000000004</v>
      </c>
      <c r="N114" s="59">
        <v>10.8</v>
      </c>
    </row>
    <row r="115" spans="13:14">
      <c r="M115" s="59">
        <v>-0.92705801200000004</v>
      </c>
      <c r="N115" s="59">
        <v>10.9</v>
      </c>
    </row>
    <row r="116" spans="13:14">
      <c r="M116" s="59">
        <v>-0.92237848</v>
      </c>
      <c r="N116" s="59">
        <v>11</v>
      </c>
    </row>
    <row r="117" spans="13:14">
      <c r="M117" s="59">
        <v>-0.91769894799999996</v>
      </c>
      <c r="N117" s="59">
        <v>11.1</v>
      </c>
    </row>
    <row r="118" spans="13:14">
      <c r="M118" s="59">
        <v>-0.91706168799999999</v>
      </c>
      <c r="N118" s="59">
        <v>11.2</v>
      </c>
    </row>
    <row r="119" spans="13:14">
      <c r="M119" s="59">
        <v>-0.91692971199999995</v>
      </c>
      <c r="N119" s="59">
        <v>11.3</v>
      </c>
    </row>
    <row r="120" spans="13:14">
      <c r="M120" s="59">
        <v>-0.91678100600000001</v>
      </c>
      <c r="N120" s="59">
        <v>11.4</v>
      </c>
    </row>
    <row r="121" spans="13:14">
      <c r="M121" s="59">
        <v>-0.91622958499999996</v>
      </c>
      <c r="N121" s="59">
        <v>11.5</v>
      </c>
    </row>
    <row r="122" spans="13:14">
      <c r="M122" s="59">
        <v>-0.91567816400000002</v>
      </c>
      <c r="N122" s="59">
        <v>11.6</v>
      </c>
    </row>
    <row r="123" spans="13:14">
      <c r="M123" s="59">
        <v>-0.91489914400000005</v>
      </c>
      <c r="N123" s="59">
        <v>11.7</v>
      </c>
    </row>
    <row r="124" spans="13:14">
      <c r="M124" s="59">
        <v>-0.91315537599999996</v>
      </c>
      <c r="N124" s="59">
        <v>11.8</v>
      </c>
    </row>
    <row r="125" spans="13:14">
      <c r="M125" s="59">
        <v>-0.91141160799999998</v>
      </c>
      <c r="N125" s="59">
        <v>11.9</v>
      </c>
    </row>
    <row r="126" spans="13:14">
      <c r="M126" s="59">
        <v>-0.91005027999999999</v>
      </c>
      <c r="N126" s="59">
        <v>12</v>
      </c>
    </row>
    <row r="127" spans="13:14">
      <c r="M127" s="59">
        <v>-0.90942514900000004</v>
      </c>
      <c r="N127" s="59">
        <v>12.1</v>
      </c>
    </row>
    <row r="128" spans="13:14">
      <c r="M128" s="59">
        <v>-0.90880001799999999</v>
      </c>
      <c r="N128" s="59">
        <v>12.2</v>
      </c>
    </row>
    <row r="129" spans="13:14">
      <c r="M129" s="59">
        <v>-0.90821709900000003</v>
      </c>
      <c r="N129" s="59">
        <v>12.3</v>
      </c>
    </row>
    <row r="130" spans="13:14">
      <c r="M130" s="59">
        <v>-0.90767761199999997</v>
      </c>
      <c r="N130" s="59">
        <v>12.4</v>
      </c>
    </row>
    <row r="131" spans="13:14">
      <c r="M131" s="59">
        <v>-0.90713812500000002</v>
      </c>
      <c r="N131" s="59">
        <v>12.5</v>
      </c>
    </row>
    <row r="132" spans="13:14">
      <c r="M132" s="59">
        <v>-0.90502228799999995</v>
      </c>
      <c r="N132" s="59">
        <v>12.6</v>
      </c>
    </row>
    <row r="133" spans="13:14">
      <c r="M133" s="59">
        <v>-0.90203457600000003</v>
      </c>
      <c r="N133" s="59">
        <v>12.7</v>
      </c>
    </row>
    <row r="134" spans="13:14">
      <c r="M134" s="59">
        <v>-0.899046864</v>
      </c>
      <c r="N134" s="59">
        <v>12.8</v>
      </c>
    </row>
    <row r="135" spans="13:14">
      <c r="M135" s="59">
        <v>-0.89624161800000002</v>
      </c>
      <c r="N135" s="59">
        <v>12.9</v>
      </c>
    </row>
    <row r="136" spans="13:14">
      <c r="M136" s="59">
        <v>-0.89348346000000001</v>
      </c>
      <c r="N136" s="59">
        <v>13</v>
      </c>
    </row>
    <row r="137" spans="13:14">
      <c r="M137" s="59">
        <v>-0.890725302</v>
      </c>
      <c r="N137" s="59">
        <v>13.1</v>
      </c>
    </row>
    <row r="138" spans="13:14">
      <c r="M138" s="59">
        <v>-0.88902888000000002</v>
      </c>
      <c r="N138" s="59">
        <v>13.2</v>
      </c>
    </row>
    <row r="139" spans="13:14">
      <c r="M139" s="59">
        <v>-0.88739321999999998</v>
      </c>
      <c r="N139" s="59">
        <v>13.3</v>
      </c>
    </row>
    <row r="140" spans="13:14">
      <c r="M140" s="59">
        <v>-0.88584419199999997</v>
      </c>
      <c r="N140" s="59">
        <v>13.4</v>
      </c>
    </row>
    <row r="141" spans="13:14">
      <c r="M141" s="59">
        <v>-0.88510288000000004</v>
      </c>
      <c r="N141" s="59">
        <v>13.5</v>
      </c>
    </row>
    <row r="142" spans="13:14">
      <c r="M142" s="59">
        <v>-0.88436156799999999</v>
      </c>
      <c r="N142" s="59">
        <v>13.6</v>
      </c>
    </row>
    <row r="143" spans="13:14">
      <c r="M143" s="59">
        <v>-0.88349053899999996</v>
      </c>
      <c r="N143" s="59">
        <v>13.7</v>
      </c>
    </row>
    <row r="144" spans="13:14">
      <c r="M144" s="59">
        <v>-0.88222588599999996</v>
      </c>
      <c r="N144" s="59">
        <v>13.8</v>
      </c>
    </row>
    <row r="145" spans="13:14">
      <c r="M145" s="59">
        <v>-0.88096123299999995</v>
      </c>
      <c r="N145" s="59">
        <v>13.9</v>
      </c>
    </row>
    <row r="146" spans="13:14">
      <c r="M146" s="59">
        <v>-0.87876907999999998</v>
      </c>
      <c r="N146" s="59">
        <v>14</v>
      </c>
    </row>
    <row r="147" spans="13:14">
      <c r="M147" s="59">
        <v>-0.87517905200000001</v>
      </c>
      <c r="N147" s="59">
        <v>14.1</v>
      </c>
    </row>
    <row r="148" spans="13:14">
      <c r="M148" s="59">
        <v>-0.87158902400000005</v>
      </c>
      <c r="N148" s="59">
        <v>14.2</v>
      </c>
    </row>
    <row r="149" spans="13:14">
      <c r="M149" s="59">
        <v>-0.86950188699999997</v>
      </c>
      <c r="N149" s="59">
        <v>14.3</v>
      </c>
    </row>
    <row r="150" spans="13:14">
      <c r="M150" s="59">
        <v>-0.86864509599999995</v>
      </c>
      <c r="N150" s="59">
        <v>14.4</v>
      </c>
    </row>
    <row r="151" spans="13:14">
      <c r="M151" s="59">
        <v>-0.86778830500000004</v>
      </c>
      <c r="N151" s="59">
        <v>14.5</v>
      </c>
    </row>
    <row r="152" spans="13:14">
      <c r="M152" s="59">
        <v>-0.86690469999999997</v>
      </c>
      <c r="N152" s="59">
        <v>14.6</v>
      </c>
    </row>
    <row r="153" spans="13:14">
      <c r="M153" s="59">
        <v>-0.86600964999999996</v>
      </c>
      <c r="N153" s="59">
        <v>14.7</v>
      </c>
    </row>
    <row r="154" spans="13:14">
      <c r="M154" s="59">
        <v>-0.86511459999999996</v>
      </c>
      <c r="N154" s="59">
        <v>14.8</v>
      </c>
    </row>
    <row r="155" spans="13:14">
      <c r="M155" s="59">
        <v>-0.86416363699999998</v>
      </c>
      <c r="N155" s="59">
        <v>14.9</v>
      </c>
    </row>
    <row r="156" spans="13:14">
      <c r="M156" s="59">
        <v>-0.86320295000000002</v>
      </c>
      <c r="N156" s="59">
        <v>15</v>
      </c>
    </row>
    <row r="157" spans="13:14">
      <c r="M157" s="59">
        <v>-0.86224416400000004</v>
      </c>
      <c r="N157" s="59">
        <v>15.1</v>
      </c>
    </row>
    <row r="158" spans="13:14">
      <c r="M158" s="59">
        <v>-0.86195072800000005</v>
      </c>
      <c r="N158" s="59">
        <v>15.2</v>
      </c>
    </row>
    <row r="159" spans="13:14">
      <c r="M159" s="59">
        <v>-0.86165729199999996</v>
      </c>
      <c r="N159" s="59">
        <v>15.3</v>
      </c>
    </row>
    <row r="160" spans="13:14">
      <c r="M160" s="59">
        <v>-0.860516218</v>
      </c>
      <c r="N160" s="59">
        <v>15.4</v>
      </c>
    </row>
    <row r="161" spans="13:14">
      <c r="M161" s="59">
        <v>-0.85471313500000001</v>
      </c>
      <c r="N161" s="59">
        <v>15.5</v>
      </c>
    </row>
    <row r="162" spans="13:14">
      <c r="M162" s="59">
        <v>-0.84891005200000003</v>
      </c>
      <c r="N162" s="59">
        <v>15.6</v>
      </c>
    </row>
    <row r="163" spans="13:14">
      <c r="M163" s="59">
        <v>-0.84464423799999999</v>
      </c>
      <c r="N163" s="59">
        <v>15.7</v>
      </c>
    </row>
    <row r="164" spans="13:14">
      <c r="M164" s="59">
        <v>-0.84388397199999998</v>
      </c>
      <c r="N164" s="59">
        <v>15.8</v>
      </c>
    </row>
    <row r="165" spans="13:14">
      <c r="M165" s="59">
        <v>-0.84312370599999997</v>
      </c>
      <c r="N165" s="59">
        <v>15.9</v>
      </c>
    </row>
    <row r="166" spans="13:14">
      <c r="M166" s="59">
        <v>-0.84226824</v>
      </c>
      <c r="N166" s="59">
        <v>16</v>
      </c>
    </row>
    <row r="167" spans="13:14">
      <c r="M167" s="59">
        <v>-0.84129912900000003</v>
      </c>
      <c r="N167" s="59">
        <v>16.100000000000001</v>
      </c>
    </row>
    <row r="168" spans="13:14">
      <c r="M168" s="59">
        <v>-0.84033001799999996</v>
      </c>
      <c r="N168" s="59">
        <v>16.2</v>
      </c>
    </row>
    <row r="169" spans="13:14">
      <c r="M169" s="59">
        <v>-0.83900732700000002</v>
      </c>
      <c r="N169" s="59">
        <v>16.3</v>
      </c>
    </row>
    <row r="170" spans="13:14">
      <c r="M170" s="59">
        <v>-0.83745555599999999</v>
      </c>
      <c r="N170" s="59">
        <v>16.399999999999999</v>
      </c>
    </row>
    <row r="171" spans="13:14">
      <c r="M171" s="59">
        <v>-0.83590378499999995</v>
      </c>
      <c r="N171" s="59">
        <v>16.5</v>
      </c>
    </row>
    <row r="172" spans="13:14">
      <c r="M172" s="59">
        <v>-0.82949112999999997</v>
      </c>
      <c r="N172" s="59">
        <v>16.600000000000001</v>
      </c>
    </row>
    <row r="173" spans="13:14">
      <c r="M173" s="59">
        <v>-0.82152518500000005</v>
      </c>
      <c r="N173" s="59">
        <v>16.7</v>
      </c>
    </row>
    <row r="174" spans="13:14">
      <c r="M174" s="59">
        <v>-0.81355924000000002</v>
      </c>
      <c r="N174" s="59">
        <v>16.8</v>
      </c>
    </row>
    <row r="175" spans="13:14">
      <c r="M175" s="59">
        <v>-0.81082489499999999</v>
      </c>
      <c r="N175" s="59">
        <v>16.899999999999999</v>
      </c>
    </row>
    <row r="176" spans="13:14">
      <c r="M176" s="59">
        <v>-0.80861534999999995</v>
      </c>
      <c r="N176" s="59">
        <v>17</v>
      </c>
    </row>
    <row r="177" spans="13:14">
      <c r="M177" s="59">
        <v>-0.80632951200000003</v>
      </c>
      <c r="N177" s="59">
        <v>17.100000000000001</v>
      </c>
    </row>
    <row r="178" spans="13:14">
      <c r="M178" s="59">
        <v>-0.80284478400000003</v>
      </c>
      <c r="N178" s="59">
        <v>17.2</v>
      </c>
    </row>
    <row r="179" spans="13:14">
      <c r="M179" s="59">
        <v>-0.79936005600000004</v>
      </c>
      <c r="N179" s="59">
        <v>17.3</v>
      </c>
    </row>
    <row r="180" spans="13:14">
      <c r="M180" s="59">
        <v>-0.79658587599999997</v>
      </c>
      <c r="N180" s="59">
        <v>17.399999999999999</v>
      </c>
    </row>
    <row r="181" spans="13:14">
      <c r="M181" s="59">
        <v>-0.79647144999999997</v>
      </c>
      <c r="N181" s="59">
        <v>17.5</v>
      </c>
    </row>
    <row r="182" spans="13:14">
      <c r="M182" s="59">
        <v>-0.79635702399999997</v>
      </c>
      <c r="N182" s="59">
        <v>17.600000000000001</v>
      </c>
    </row>
    <row r="183" spans="13:14">
      <c r="M183" s="59">
        <v>-0.79524437800000003</v>
      </c>
      <c r="N183" s="59">
        <v>17.7</v>
      </c>
    </row>
    <row r="184" spans="13:14">
      <c r="M184" s="59">
        <v>-0.792371092</v>
      </c>
      <c r="N184" s="59">
        <v>17.8</v>
      </c>
    </row>
    <row r="185" spans="13:14">
      <c r="M185" s="59">
        <v>-0.78949780599999997</v>
      </c>
      <c r="N185" s="59">
        <v>17.899999999999999</v>
      </c>
    </row>
    <row r="186" spans="13:14">
      <c r="M186" s="59">
        <v>-0.78661588000000005</v>
      </c>
      <c r="N186" s="59">
        <v>18</v>
      </c>
    </row>
    <row r="187" spans="13:14">
      <c r="M187" s="59">
        <v>-0.783725746</v>
      </c>
      <c r="N187" s="59">
        <v>18.100000000000001</v>
      </c>
    </row>
    <row r="188" spans="13:14">
      <c r="M188" s="59">
        <v>-0.78083561199999996</v>
      </c>
      <c r="N188" s="59">
        <v>18.2</v>
      </c>
    </row>
    <row r="189" spans="13:14">
      <c r="M189" s="59">
        <v>-0.77844456399999995</v>
      </c>
      <c r="N189" s="59">
        <v>18.3</v>
      </c>
    </row>
    <row r="190" spans="13:14">
      <c r="M190" s="59">
        <v>-0.77630627200000002</v>
      </c>
      <c r="N190" s="59">
        <v>18.399999999999999</v>
      </c>
    </row>
    <row r="191" spans="13:14">
      <c r="M191" s="59">
        <v>-0.77416797999999998</v>
      </c>
      <c r="N191" s="59">
        <v>18.5</v>
      </c>
    </row>
    <row r="192" spans="13:14">
      <c r="M192" s="59">
        <v>-0.77314394399999997</v>
      </c>
      <c r="N192" s="59">
        <v>18.600000000000001</v>
      </c>
    </row>
    <row r="193" spans="13:14">
      <c r="M193" s="59">
        <v>-0.77237314800000001</v>
      </c>
      <c r="N193" s="59">
        <v>18.7</v>
      </c>
    </row>
    <row r="194" spans="13:14">
      <c r="M194" s="59">
        <v>-0.77160235200000005</v>
      </c>
      <c r="N194" s="59">
        <v>18.8</v>
      </c>
    </row>
    <row r="195" spans="13:14">
      <c r="M195" s="59">
        <v>-0.77122208400000003</v>
      </c>
      <c r="N195" s="59">
        <v>18.899999999999999</v>
      </c>
    </row>
    <row r="196" spans="13:14">
      <c r="M196" s="59">
        <v>-0.77085563999999995</v>
      </c>
      <c r="N196" s="59">
        <v>19</v>
      </c>
    </row>
    <row r="197" spans="13:14">
      <c r="M197" s="59">
        <v>-0.77026476200000005</v>
      </c>
      <c r="N197" s="59">
        <v>19.100000000000001</v>
      </c>
    </row>
    <row r="198" spans="13:14">
      <c r="M198" s="59">
        <v>-0.76797694400000005</v>
      </c>
      <c r="N198" s="59">
        <v>19.2</v>
      </c>
    </row>
    <row r="199" spans="13:14">
      <c r="M199" s="59">
        <v>-0.76568912600000005</v>
      </c>
      <c r="N199" s="59">
        <v>19.3</v>
      </c>
    </row>
    <row r="200" spans="13:14">
      <c r="M200" s="59">
        <v>-0.76379563800000005</v>
      </c>
      <c r="N200" s="59">
        <v>19.399999999999999</v>
      </c>
    </row>
    <row r="201" spans="13:14">
      <c r="M201" s="59">
        <v>-0.76298026500000005</v>
      </c>
      <c r="N201" s="59">
        <v>19.5</v>
      </c>
    </row>
    <row r="202" spans="13:14">
      <c r="M202" s="59">
        <v>-0.76216489200000004</v>
      </c>
      <c r="N202" s="59">
        <v>19.600000000000001</v>
      </c>
    </row>
    <row r="203" spans="13:14">
      <c r="M203" s="59">
        <v>-0.76075387500000002</v>
      </c>
      <c r="N203" s="59">
        <v>19.7</v>
      </c>
    </row>
    <row r="204" spans="13:14">
      <c r="M204" s="59">
        <v>-0.75851625</v>
      </c>
      <c r="N204" s="59">
        <v>19.8</v>
      </c>
    </row>
    <row r="205" spans="13:14">
      <c r="M205" s="59">
        <v>-0.75627862499999998</v>
      </c>
      <c r="N205" s="59">
        <v>19.899999999999999</v>
      </c>
    </row>
    <row r="206" spans="13:14">
      <c r="M206" s="59">
        <v>-0.75509300000000001</v>
      </c>
      <c r="N206" s="59">
        <v>20</v>
      </c>
    </row>
    <row r="207" spans="13:14">
      <c r="M207" s="59">
        <v>-0.75470163499999998</v>
      </c>
      <c r="N207" s="59">
        <v>20.100000000000001</v>
      </c>
    </row>
    <row r="208" spans="13:14">
      <c r="M208" s="59">
        <v>-0.75431026999999995</v>
      </c>
      <c r="N208" s="59">
        <v>20.2</v>
      </c>
    </row>
    <row r="209" spans="13:14">
      <c r="M209" s="59">
        <v>-0.75394749400000005</v>
      </c>
      <c r="N209" s="59">
        <v>20.3</v>
      </c>
    </row>
    <row r="210" spans="13:14">
      <c r="M210" s="59">
        <v>-0.75359579200000004</v>
      </c>
      <c r="N210" s="59">
        <v>20.399999999999999</v>
      </c>
    </row>
    <row r="211" spans="13:14">
      <c r="M211" s="59">
        <v>-0.75324409000000003</v>
      </c>
      <c r="N211" s="59">
        <v>20.5</v>
      </c>
    </row>
    <row r="212" spans="13:14">
      <c r="M212" s="59">
        <v>-0.75055332399999997</v>
      </c>
      <c r="N212" s="59">
        <v>20.6</v>
      </c>
    </row>
    <row r="213" spans="13:14">
      <c r="M213" s="59">
        <v>-0.74751857799999999</v>
      </c>
      <c r="N213" s="59">
        <v>20.7</v>
      </c>
    </row>
    <row r="214" spans="13:14">
      <c r="M214" s="59">
        <v>-0.74452679200000005</v>
      </c>
      <c r="N214" s="59">
        <v>20.8</v>
      </c>
    </row>
    <row r="215" spans="13:14">
      <c r="M215" s="59">
        <v>-0.743376916</v>
      </c>
      <c r="N215" s="59">
        <v>20.9</v>
      </c>
    </row>
    <row r="216" spans="13:14">
      <c r="M216" s="59">
        <v>-0.74222703999999995</v>
      </c>
      <c r="N216" s="59">
        <v>21</v>
      </c>
    </row>
    <row r="217" spans="13:14">
      <c r="M217" s="59">
        <v>-0.741209534</v>
      </c>
      <c r="N217" s="59">
        <v>21.1</v>
      </c>
    </row>
    <row r="218" spans="13:14">
      <c r="M218" s="59">
        <v>-0.740821328</v>
      </c>
      <c r="N218" s="59">
        <v>21.2</v>
      </c>
    </row>
    <row r="219" spans="13:14">
      <c r="M219" s="59">
        <v>-0.740433122</v>
      </c>
      <c r="N219" s="59">
        <v>21.3</v>
      </c>
    </row>
    <row r="220" spans="13:14">
      <c r="M220" s="59">
        <v>-0.73893364399999995</v>
      </c>
      <c r="N220" s="59">
        <v>21.4</v>
      </c>
    </row>
    <row r="221" spans="13:14">
      <c r="M221" s="59">
        <v>-0.73512389</v>
      </c>
      <c r="N221" s="59">
        <v>21.5</v>
      </c>
    </row>
    <row r="222" spans="13:14">
      <c r="M222" s="59">
        <v>-0.73131413599999995</v>
      </c>
      <c r="N222" s="59">
        <v>21.6</v>
      </c>
    </row>
    <row r="223" spans="13:14">
      <c r="M223" s="59">
        <v>-0.72923650600000001</v>
      </c>
      <c r="N223" s="59">
        <v>21.7</v>
      </c>
    </row>
    <row r="224" spans="13:14">
      <c r="M224" s="59">
        <v>-0.72906732399999996</v>
      </c>
      <c r="N224" s="59">
        <v>21.8</v>
      </c>
    </row>
    <row r="225" spans="13:14">
      <c r="M225" s="59">
        <v>-0.72889814200000003</v>
      </c>
      <c r="N225" s="59">
        <v>21.9</v>
      </c>
    </row>
    <row r="226" spans="13:14">
      <c r="M226" s="59">
        <v>-0.72875029999999996</v>
      </c>
      <c r="N226" s="59">
        <v>22</v>
      </c>
    </row>
    <row r="227" spans="13:14">
      <c r="M227" s="59">
        <v>-0.72861516500000001</v>
      </c>
      <c r="N227" s="59">
        <v>22.1</v>
      </c>
    </row>
    <row r="228" spans="13:14">
      <c r="M228" s="59">
        <v>-0.72848002999999995</v>
      </c>
      <c r="N228" s="59">
        <v>22.2</v>
      </c>
    </row>
    <row r="229" spans="13:14">
      <c r="M229" s="59">
        <v>-0.727068347</v>
      </c>
      <c r="N229" s="59">
        <v>22.3</v>
      </c>
    </row>
    <row r="230" spans="13:14">
      <c r="M230" s="59">
        <v>-0.72529193599999997</v>
      </c>
      <c r="N230" s="59">
        <v>22.4</v>
      </c>
    </row>
    <row r="231" spans="13:14">
      <c r="M231" s="59">
        <v>-0.72351552500000005</v>
      </c>
      <c r="N231" s="59">
        <v>22.5</v>
      </c>
    </row>
    <row r="232" spans="13:14">
      <c r="M232" s="59">
        <v>-0.720616696</v>
      </c>
      <c r="N232" s="59">
        <v>22.6</v>
      </c>
    </row>
    <row r="233" spans="13:14">
      <c r="M233" s="59">
        <v>-0.71763179200000005</v>
      </c>
      <c r="N233" s="59">
        <v>22.7</v>
      </c>
    </row>
    <row r="234" spans="13:14">
      <c r="M234" s="59">
        <v>-0.71483241600000003</v>
      </c>
      <c r="N234" s="59">
        <v>22.8</v>
      </c>
    </row>
    <row r="235" spans="13:14">
      <c r="M235" s="59">
        <v>-0.71417323799999999</v>
      </c>
      <c r="N235" s="59">
        <v>22.9</v>
      </c>
    </row>
    <row r="236" spans="13:14">
      <c r="M236" s="59">
        <v>-0.71351405999999995</v>
      </c>
      <c r="N236" s="59">
        <v>23</v>
      </c>
    </row>
    <row r="237" spans="13:14">
      <c r="M237" s="59">
        <v>-0.71286711300000005</v>
      </c>
      <c r="N237" s="59">
        <v>23.1</v>
      </c>
    </row>
    <row r="238" spans="13:14">
      <c r="M238" s="59">
        <v>-0.71226093599999996</v>
      </c>
      <c r="N238" s="59">
        <v>23.2</v>
      </c>
    </row>
    <row r="239" spans="13:14">
      <c r="M239" s="59">
        <v>-0.71165475899999997</v>
      </c>
      <c r="N239" s="59">
        <v>23.3</v>
      </c>
    </row>
    <row r="240" spans="13:14">
      <c r="M240" s="59">
        <v>-0.71115591600000005</v>
      </c>
      <c r="N240" s="59">
        <v>23.4</v>
      </c>
    </row>
    <row r="241" spans="13:14">
      <c r="M241" s="59">
        <v>-0.71083088999999999</v>
      </c>
      <c r="N241" s="59">
        <v>23.5</v>
      </c>
    </row>
    <row r="242" spans="13:14">
      <c r="M242" s="59">
        <v>-0.71050586400000004</v>
      </c>
      <c r="N242" s="59">
        <v>23.6</v>
      </c>
    </row>
    <row r="243" spans="13:14">
      <c r="M243" s="59">
        <v>-0.70828708900000004</v>
      </c>
      <c r="N243" s="59">
        <v>23.7</v>
      </c>
    </row>
    <row r="244" spans="13:14">
      <c r="M244" s="59">
        <v>-0.70440748600000003</v>
      </c>
      <c r="N244" s="59">
        <v>23.8</v>
      </c>
    </row>
    <row r="245" spans="13:14">
      <c r="M245" s="59">
        <v>-0.70052788300000002</v>
      </c>
      <c r="N245" s="59">
        <v>23.9</v>
      </c>
    </row>
    <row r="246" spans="13:14">
      <c r="M246" s="59">
        <v>-0.69866620000000002</v>
      </c>
      <c r="N246" s="59">
        <v>24</v>
      </c>
    </row>
    <row r="247" spans="13:14">
      <c r="M247" s="59">
        <v>-0.69773780500000004</v>
      </c>
      <c r="N247" s="59">
        <v>24.1</v>
      </c>
    </row>
    <row r="248" spans="13:14">
      <c r="M248" s="59">
        <v>-0.69680940999999996</v>
      </c>
      <c r="N248" s="59">
        <v>24.2</v>
      </c>
    </row>
    <row r="249" spans="13:14">
      <c r="M249" s="59">
        <v>-0.69474241699999995</v>
      </c>
      <c r="N249" s="59">
        <v>24.3</v>
      </c>
    </row>
    <row r="250" spans="13:14">
      <c r="M250" s="59">
        <v>-0.69245003599999999</v>
      </c>
      <c r="N250" s="59">
        <v>24.4</v>
      </c>
    </row>
    <row r="251" spans="13:14">
      <c r="M251" s="59">
        <v>-0.69015765500000004</v>
      </c>
      <c r="N251" s="59">
        <v>24.5</v>
      </c>
    </row>
    <row r="252" spans="13:14">
      <c r="M252" s="59">
        <v>-0.68856350200000005</v>
      </c>
      <c r="N252" s="59">
        <v>24.6</v>
      </c>
    </row>
    <row r="253" spans="13:14">
      <c r="M253" s="59">
        <v>-0.68697943900000003</v>
      </c>
      <c r="N253" s="59">
        <v>24.7</v>
      </c>
    </row>
    <row r="254" spans="13:14">
      <c r="M254" s="59">
        <v>-0.68474046399999999</v>
      </c>
      <c r="N254" s="59">
        <v>24.8</v>
      </c>
    </row>
    <row r="255" spans="13:14">
      <c r="M255" s="59">
        <v>-0.67836735699999995</v>
      </c>
      <c r="N255" s="59">
        <v>24.9</v>
      </c>
    </row>
    <row r="256" spans="13:14">
      <c r="M256" s="59">
        <v>-0.67199425000000002</v>
      </c>
      <c r="N256" s="59">
        <v>25</v>
      </c>
    </row>
    <row r="257" spans="13:14">
      <c r="M257" s="59">
        <v>-0.66730925699999999</v>
      </c>
      <c r="N257" s="59">
        <v>25.1</v>
      </c>
    </row>
    <row r="258" spans="13:14">
      <c r="M258" s="59">
        <v>-0.66680276400000005</v>
      </c>
      <c r="N258" s="59">
        <v>25.2</v>
      </c>
    </row>
    <row r="259" spans="13:14">
      <c r="M259" s="59">
        <v>-0.666296271</v>
      </c>
      <c r="N259" s="59">
        <v>25.3</v>
      </c>
    </row>
    <row r="260" spans="13:14">
      <c r="M260" s="59">
        <v>-0.66595717600000004</v>
      </c>
      <c r="N260" s="59">
        <v>25.4</v>
      </c>
    </row>
    <row r="261" spans="13:14">
      <c r="M261" s="59">
        <v>-0.66583221999999997</v>
      </c>
      <c r="N261" s="59">
        <v>25.5</v>
      </c>
    </row>
    <row r="262" spans="13:14">
      <c r="M262" s="59">
        <v>-0.66570726400000002</v>
      </c>
      <c r="N262" s="59">
        <v>25.6</v>
      </c>
    </row>
    <row r="263" spans="13:14">
      <c r="M263" s="59">
        <v>-0.66466012299999999</v>
      </c>
      <c r="N263" s="59">
        <v>25.7</v>
      </c>
    </row>
    <row r="264" spans="13:14">
      <c r="M264" s="59">
        <v>-0.66297146200000001</v>
      </c>
      <c r="N264" s="59">
        <v>25.8</v>
      </c>
    </row>
    <row r="265" spans="13:14">
      <c r="M265" s="59">
        <v>-0.66128280100000003</v>
      </c>
      <c r="N265" s="59">
        <v>25.9</v>
      </c>
    </row>
    <row r="266" spans="13:14">
      <c r="M266" s="59">
        <v>-0.65871404</v>
      </c>
      <c r="N266" s="59">
        <v>26</v>
      </c>
    </row>
    <row r="267" spans="13:14">
      <c r="M267" s="59">
        <v>-0.65583724399999999</v>
      </c>
      <c r="N267" s="59">
        <v>26.1</v>
      </c>
    </row>
    <row r="268" spans="13:14">
      <c r="M268" s="59">
        <v>-0.65296044799999997</v>
      </c>
      <c r="N268" s="59">
        <v>26.2</v>
      </c>
    </row>
    <row r="269" spans="13:14">
      <c r="M269" s="59">
        <v>-0.65246714699999997</v>
      </c>
      <c r="N269" s="59">
        <v>26.3</v>
      </c>
    </row>
    <row r="270" spans="13:14">
      <c r="M270" s="59">
        <v>-0.65226321600000003</v>
      </c>
      <c r="N270" s="59">
        <v>26.4</v>
      </c>
    </row>
    <row r="271" spans="13:14">
      <c r="M271" s="59">
        <v>-0.65188324499999994</v>
      </c>
      <c r="N271" s="59">
        <v>26.5</v>
      </c>
    </row>
    <row r="272" spans="13:14">
      <c r="M272" s="59">
        <v>-0.64755997799999998</v>
      </c>
      <c r="N272" s="59">
        <v>26.6</v>
      </c>
    </row>
    <row r="273" spans="13:14">
      <c r="M273" s="59">
        <v>-0.64323671100000002</v>
      </c>
      <c r="N273" s="59">
        <v>26.7</v>
      </c>
    </row>
    <row r="274" spans="13:14">
      <c r="M274" s="59">
        <v>-0.63961343599999998</v>
      </c>
      <c r="N274" s="59">
        <v>26.8</v>
      </c>
    </row>
    <row r="275" spans="13:14">
      <c r="M275" s="59">
        <v>-0.63890336299999995</v>
      </c>
      <c r="N275" s="59">
        <v>26.9</v>
      </c>
    </row>
    <row r="276" spans="13:14">
      <c r="M276" s="59">
        <v>-0.63819329000000002</v>
      </c>
      <c r="N276" s="59">
        <v>27</v>
      </c>
    </row>
    <row r="277" spans="13:14">
      <c r="M277" s="59">
        <v>-0.63741049599999999</v>
      </c>
      <c r="N277" s="59">
        <v>27.1</v>
      </c>
    </row>
    <row r="278" spans="13:14">
      <c r="M278" s="59">
        <v>-0.63648947199999995</v>
      </c>
      <c r="N278" s="59">
        <v>27.2</v>
      </c>
    </row>
    <row r="279" spans="13:14">
      <c r="M279" s="59">
        <v>-0.63556844800000001</v>
      </c>
      <c r="N279" s="59">
        <v>27.3</v>
      </c>
    </row>
    <row r="280" spans="13:14">
      <c r="M280" s="59">
        <v>-0.63440765200000004</v>
      </c>
      <c r="N280" s="59">
        <v>27.4</v>
      </c>
    </row>
    <row r="281" spans="13:14">
      <c r="M281" s="59">
        <v>-0.63300294999999995</v>
      </c>
      <c r="N281" s="59">
        <v>27.5</v>
      </c>
    </row>
    <row r="282" spans="13:14">
      <c r="M282" s="59">
        <v>-0.63159824799999997</v>
      </c>
      <c r="N282" s="59">
        <v>27.6</v>
      </c>
    </row>
    <row r="283" spans="13:14">
      <c r="M283" s="59">
        <v>-0.63040215899999996</v>
      </c>
      <c r="N283" s="59">
        <v>27.7</v>
      </c>
    </row>
    <row r="284" spans="13:14">
      <c r="M284" s="59">
        <v>-0.62932002600000003</v>
      </c>
      <c r="N284" s="59">
        <v>27.8</v>
      </c>
    </row>
    <row r="285" spans="13:14">
      <c r="M285" s="59">
        <v>-0.62823789299999999</v>
      </c>
      <c r="N285" s="59">
        <v>27.9</v>
      </c>
    </row>
    <row r="286" spans="13:14">
      <c r="M286" s="59">
        <v>-0.62787059999999995</v>
      </c>
      <c r="N286" s="59">
        <v>28</v>
      </c>
    </row>
    <row r="287" spans="13:14">
      <c r="M287" s="59">
        <v>-0.62768457</v>
      </c>
      <c r="N287" s="59">
        <v>28.1</v>
      </c>
    </row>
    <row r="288" spans="13:14">
      <c r="M288" s="59">
        <v>-0.62749854000000005</v>
      </c>
      <c r="N288" s="59">
        <v>28.2</v>
      </c>
    </row>
    <row r="289" spans="13:14">
      <c r="M289" s="59">
        <v>-0.62742140099999999</v>
      </c>
      <c r="N289" s="59">
        <v>28.3</v>
      </c>
    </row>
    <row r="290" spans="13:14">
      <c r="M290" s="59">
        <v>-0.627350148</v>
      </c>
      <c r="N290" s="59">
        <v>28.4</v>
      </c>
    </row>
    <row r="291" spans="13:14">
      <c r="M291" s="59">
        <v>-0.62707095999999996</v>
      </c>
      <c r="N291" s="59">
        <v>28.5</v>
      </c>
    </row>
    <row r="292" spans="13:14">
      <c r="M292" s="59">
        <v>-0.62491441599999997</v>
      </c>
      <c r="N292" s="59">
        <v>28.6</v>
      </c>
    </row>
    <row r="293" spans="13:14">
      <c r="M293" s="59">
        <v>-0.62275787199999999</v>
      </c>
      <c r="N293" s="59">
        <v>28.7</v>
      </c>
    </row>
    <row r="294" spans="13:14">
      <c r="M294" s="59">
        <v>-0.62104379200000004</v>
      </c>
      <c r="N294" s="59">
        <v>28.8</v>
      </c>
    </row>
    <row r="295" spans="13:14">
      <c r="M295" s="59">
        <v>-0.62065207600000005</v>
      </c>
      <c r="N295" s="59">
        <v>28.9</v>
      </c>
    </row>
    <row r="296" spans="13:14">
      <c r="M296" s="59">
        <v>-0.62026035999999996</v>
      </c>
      <c r="N296" s="59">
        <v>29</v>
      </c>
    </row>
    <row r="297" spans="13:14">
      <c r="M297" s="59">
        <v>-0.61991489200000005</v>
      </c>
      <c r="N297" s="59">
        <v>29.1</v>
      </c>
    </row>
    <row r="298" spans="13:14">
      <c r="M298" s="59">
        <v>-0.61963830399999997</v>
      </c>
      <c r="N298" s="59">
        <v>29.2</v>
      </c>
    </row>
    <row r="299" spans="13:14">
      <c r="M299" s="59">
        <v>-0.61936171600000001</v>
      </c>
      <c r="N299" s="59">
        <v>29.3</v>
      </c>
    </row>
    <row r="300" spans="13:14">
      <c r="M300" s="59">
        <v>-0.61815295800000003</v>
      </c>
      <c r="N300" s="59">
        <v>29.4</v>
      </c>
    </row>
    <row r="301" spans="13:14">
      <c r="M301" s="59">
        <v>-0.61618981500000003</v>
      </c>
      <c r="N301" s="59">
        <v>29.5</v>
      </c>
    </row>
    <row r="302" spans="13:14">
      <c r="M302" s="59">
        <v>-0.61422667200000003</v>
      </c>
      <c r="N302" s="59">
        <v>29.6</v>
      </c>
    </row>
    <row r="303" spans="13:14">
      <c r="M303" s="59">
        <v>-0.612478666</v>
      </c>
      <c r="N303" s="59">
        <v>29.7</v>
      </c>
    </row>
    <row r="304" spans="13:14">
      <c r="M304" s="59">
        <v>-0.61082124400000004</v>
      </c>
      <c r="N304" s="59">
        <v>29.8</v>
      </c>
    </row>
    <row r="305" spans="13:14">
      <c r="M305" s="59">
        <v>-0.60916382199999997</v>
      </c>
      <c r="N305" s="59">
        <v>29.9</v>
      </c>
    </row>
    <row r="306" spans="13:14">
      <c r="M306" s="59">
        <v>-0.60719080000000003</v>
      </c>
      <c r="N306" s="59">
        <v>30</v>
      </c>
    </row>
    <row r="307" spans="13:14">
      <c r="M307" s="59">
        <v>-0.60516412600000002</v>
      </c>
      <c r="N307" s="59">
        <v>30.1</v>
      </c>
    </row>
    <row r="308" spans="13:14">
      <c r="M308" s="59">
        <v>-0.60314900000000005</v>
      </c>
      <c r="N308" s="59">
        <v>30.2</v>
      </c>
    </row>
    <row r="309" spans="13:14">
      <c r="M309" s="59">
        <v>-0.60314900000000005</v>
      </c>
      <c r="N309" s="59">
        <v>30.3</v>
      </c>
    </row>
    <row r="310" spans="13:14">
      <c r="M310" s="59">
        <v>-0.60314900000000005</v>
      </c>
      <c r="N310" s="59">
        <v>30.4</v>
      </c>
    </row>
    <row r="311" spans="13:14">
      <c r="M311" s="59">
        <v>-0.60293026500000002</v>
      </c>
      <c r="N311" s="59">
        <v>30.5</v>
      </c>
    </row>
    <row r="312" spans="13:14">
      <c r="M312" s="59">
        <v>-0.601534338</v>
      </c>
      <c r="N312" s="59">
        <v>30.6</v>
      </c>
    </row>
    <row r="313" spans="13:14">
      <c r="M313" s="59">
        <v>-0.60013841099999998</v>
      </c>
      <c r="N313" s="59">
        <v>30.7</v>
      </c>
    </row>
    <row r="314" spans="13:14">
      <c r="M314" s="59">
        <v>-0.59872714800000004</v>
      </c>
      <c r="N314" s="59">
        <v>30.8</v>
      </c>
    </row>
    <row r="315" spans="13:14">
      <c r="M315" s="59">
        <v>-0.597281379</v>
      </c>
      <c r="N315" s="59">
        <v>30.9</v>
      </c>
    </row>
    <row r="316" spans="13:14">
      <c r="M316" s="59">
        <v>-0.59583560999999996</v>
      </c>
      <c r="N316" s="59">
        <v>31</v>
      </c>
    </row>
    <row r="317" spans="13:14">
      <c r="M317" s="59">
        <v>-0.59264862600000001</v>
      </c>
      <c r="N317" s="59">
        <v>31.1</v>
      </c>
    </row>
    <row r="318" spans="13:14">
      <c r="M318" s="59">
        <v>-0.58740679200000001</v>
      </c>
      <c r="N318" s="59">
        <v>31.2</v>
      </c>
    </row>
    <row r="319" spans="13:14">
      <c r="M319" s="59">
        <v>-0.58216495800000001</v>
      </c>
      <c r="N319" s="59">
        <v>31.3</v>
      </c>
    </row>
    <row r="320" spans="13:14">
      <c r="M320" s="59">
        <v>-0.57985171400000002</v>
      </c>
      <c r="N320" s="59">
        <v>31.4</v>
      </c>
    </row>
    <row r="321" spans="13:14">
      <c r="M321" s="59">
        <v>-0.57941331500000004</v>
      </c>
      <c r="N321" s="59">
        <v>31.5</v>
      </c>
    </row>
    <row r="322" spans="13:14">
      <c r="M322" s="59">
        <v>-0.57897491599999995</v>
      </c>
      <c r="N322" s="59">
        <v>31.6</v>
      </c>
    </row>
    <row r="323" spans="13:14">
      <c r="M323" s="59">
        <v>-0.57600909499999997</v>
      </c>
      <c r="N323" s="59">
        <v>31.7</v>
      </c>
    </row>
    <row r="324" spans="13:14">
      <c r="M324" s="59">
        <v>-0.57224812999999997</v>
      </c>
      <c r="N324" s="59">
        <v>31.8</v>
      </c>
    </row>
    <row r="325" spans="13:14">
      <c r="M325" s="59">
        <v>-0.56848716499999996</v>
      </c>
      <c r="N325" s="59">
        <v>31.9</v>
      </c>
    </row>
    <row r="326" spans="13:14">
      <c r="M326" s="59">
        <v>-0.56544011999999999</v>
      </c>
      <c r="N326" s="59">
        <v>32</v>
      </c>
    </row>
    <row r="327" spans="13:14">
      <c r="M327" s="59">
        <v>-0.562462236</v>
      </c>
      <c r="N327" s="59">
        <v>32.1</v>
      </c>
    </row>
    <row r="328" spans="13:14">
      <c r="M328" s="59">
        <v>-0.55953244400000002</v>
      </c>
      <c r="N328" s="59">
        <v>32.200000000000003</v>
      </c>
    </row>
    <row r="329" spans="13:14">
      <c r="M329" s="59">
        <v>-0.55732184600000001</v>
      </c>
      <c r="N329" s="59">
        <v>32.299999999999997</v>
      </c>
    </row>
    <row r="330" spans="13:14">
      <c r="M330" s="59">
        <v>-0.555111248</v>
      </c>
      <c r="N330" s="59">
        <v>32.4</v>
      </c>
    </row>
    <row r="331" spans="13:14">
      <c r="M331" s="59">
        <v>-0.55329185000000003</v>
      </c>
      <c r="N331" s="59">
        <v>32.5</v>
      </c>
    </row>
    <row r="332" spans="13:14">
      <c r="M332" s="59">
        <v>-0.55291206800000003</v>
      </c>
      <c r="N332" s="59">
        <v>32.6</v>
      </c>
    </row>
    <row r="333" spans="13:14">
      <c r="M333" s="59">
        <v>-0.55253228600000004</v>
      </c>
      <c r="N333" s="59">
        <v>32.700000000000003</v>
      </c>
    </row>
    <row r="334" spans="13:14">
      <c r="M334" s="59">
        <v>-0.55210693600000005</v>
      </c>
      <c r="N334" s="59">
        <v>32.799999999999997</v>
      </c>
    </row>
    <row r="335" spans="13:14">
      <c r="M335" s="59">
        <v>-0.55160219799999999</v>
      </c>
      <c r="N335" s="59">
        <v>32.9</v>
      </c>
    </row>
    <row r="336" spans="13:14">
      <c r="M336" s="59">
        <v>-0.55109746000000004</v>
      </c>
      <c r="N336" s="59">
        <v>33</v>
      </c>
    </row>
    <row r="337" spans="13:14">
      <c r="M337" s="59">
        <v>-0.55024610699999998</v>
      </c>
      <c r="N337" s="59">
        <v>33.1</v>
      </c>
    </row>
    <row r="338" spans="13:14">
      <c r="M338" s="59">
        <v>-0.54906920400000003</v>
      </c>
      <c r="N338" s="59">
        <v>33.200000000000003</v>
      </c>
    </row>
    <row r="339" spans="13:14">
      <c r="M339" s="59">
        <v>-0.54789230099999997</v>
      </c>
      <c r="N339" s="59">
        <v>33.299999999999997</v>
      </c>
    </row>
    <row r="340" spans="13:14">
      <c r="M340" s="59">
        <v>-0.54615169200000002</v>
      </c>
      <c r="N340" s="59">
        <v>33.4</v>
      </c>
    </row>
    <row r="341" spans="13:14">
      <c r="M341" s="59">
        <v>-0.54412923000000002</v>
      </c>
      <c r="N341" s="59">
        <v>33.5</v>
      </c>
    </row>
    <row r="342" spans="13:14">
      <c r="M342" s="59">
        <v>-0.54210676800000002</v>
      </c>
      <c r="N342" s="59">
        <v>33.6</v>
      </c>
    </row>
    <row r="343" spans="13:14">
      <c r="M343" s="59">
        <v>-0.54115883399999998</v>
      </c>
      <c r="N343" s="59">
        <v>33.700000000000003</v>
      </c>
    </row>
    <row r="344" spans="13:14">
      <c r="M344" s="59">
        <v>-0.54045051600000005</v>
      </c>
      <c r="N344" s="59">
        <v>33.799999999999997</v>
      </c>
    </row>
    <row r="345" spans="13:14">
      <c r="M345" s="59">
        <v>-0.53974219800000001</v>
      </c>
      <c r="N345" s="59">
        <v>33.9</v>
      </c>
    </row>
    <row r="346" spans="13:14">
      <c r="M346" s="59">
        <v>-0.53891657999999998</v>
      </c>
      <c r="N346" s="59">
        <v>34</v>
      </c>
    </row>
    <row r="347" spans="13:14">
      <c r="M347" s="59">
        <v>-0.53808716700000003</v>
      </c>
      <c r="N347" s="59">
        <v>34.1</v>
      </c>
    </row>
    <row r="348" spans="13:14">
      <c r="M348" s="59">
        <v>-0.53713435799999998</v>
      </c>
      <c r="N348" s="59">
        <v>34.200000000000003</v>
      </c>
    </row>
    <row r="349" spans="13:14">
      <c r="M349" s="59">
        <v>-0.53527370699999999</v>
      </c>
      <c r="N349" s="59">
        <v>34.299999999999997</v>
      </c>
    </row>
    <row r="350" spans="13:14">
      <c r="M350" s="59">
        <v>-0.533413056</v>
      </c>
      <c r="N350" s="59">
        <v>34.4</v>
      </c>
    </row>
    <row r="351" spans="13:14">
      <c r="M351" s="59">
        <v>-0.53200546000000004</v>
      </c>
      <c r="N351" s="59">
        <v>34.5</v>
      </c>
    </row>
    <row r="352" spans="13:14">
      <c r="M352" s="59">
        <v>-0.53181872799999996</v>
      </c>
      <c r="N352" s="59">
        <v>34.6</v>
      </c>
    </row>
    <row r="353" spans="13:14">
      <c r="M353" s="59">
        <v>-0.531631996</v>
      </c>
      <c r="N353" s="59">
        <v>34.700000000000003</v>
      </c>
    </row>
    <row r="354" spans="13:14">
      <c r="M354" s="59">
        <v>-0.53114082799999995</v>
      </c>
      <c r="N354" s="59">
        <v>34.799999999999997</v>
      </c>
    </row>
    <row r="355" spans="13:14">
      <c r="M355" s="59">
        <v>-0.53023208899999996</v>
      </c>
      <c r="N355" s="59">
        <v>34.9</v>
      </c>
    </row>
    <row r="356" spans="13:14">
      <c r="M356" s="59">
        <v>-0.52932334999999997</v>
      </c>
      <c r="N356" s="59">
        <v>35</v>
      </c>
    </row>
    <row r="357" spans="13:14">
      <c r="M357" s="59">
        <v>-0.52794165800000004</v>
      </c>
      <c r="N357" s="59">
        <v>35.1</v>
      </c>
    </row>
    <row r="358" spans="13:14">
      <c r="M358" s="59">
        <v>-0.52620701599999997</v>
      </c>
      <c r="N358" s="59">
        <v>35.200000000000003</v>
      </c>
    </row>
    <row r="359" spans="13:14">
      <c r="M359" s="59">
        <v>-0.52447237400000002</v>
      </c>
      <c r="N359" s="59">
        <v>35.299999999999997</v>
      </c>
    </row>
    <row r="360" spans="13:14">
      <c r="M360" s="59">
        <v>-0.52167982199999996</v>
      </c>
      <c r="N360" s="59">
        <v>35.4</v>
      </c>
    </row>
    <row r="361" spans="13:14">
      <c r="M361" s="59">
        <v>-0.51848326499999997</v>
      </c>
      <c r="N361" s="59">
        <v>35.5</v>
      </c>
    </row>
    <row r="362" spans="13:14">
      <c r="M362" s="59">
        <v>-0.51528670799999998</v>
      </c>
      <c r="N362" s="59">
        <v>35.6</v>
      </c>
    </row>
    <row r="363" spans="13:14">
      <c r="M363" s="59">
        <v>-0.51482275799999999</v>
      </c>
      <c r="N363" s="59">
        <v>35.700000000000003</v>
      </c>
    </row>
    <row r="364" spans="13:14">
      <c r="M364" s="59">
        <v>-0.51475045200000002</v>
      </c>
      <c r="N364" s="59">
        <v>35.799999999999997</v>
      </c>
    </row>
    <row r="365" spans="13:14">
      <c r="M365" s="59">
        <v>-0.5146773</v>
      </c>
      <c r="N365" s="59">
        <v>35.9</v>
      </c>
    </row>
    <row r="366" spans="13:14">
      <c r="M366" s="59">
        <v>-0.51457200000000003</v>
      </c>
      <c r="N366" s="59">
        <v>36</v>
      </c>
    </row>
    <row r="367" spans="13:14">
      <c r="M367" s="59">
        <v>-0.51446670000000005</v>
      </c>
      <c r="N367" s="59">
        <v>36.1</v>
      </c>
    </row>
    <row r="368" spans="13:14">
      <c r="M368" s="59">
        <v>-0.51372218000000003</v>
      </c>
      <c r="N368" s="59">
        <v>36.200000000000003</v>
      </c>
    </row>
    <row r="369" spans="13:14">
      <c r="M369" s="59">
        <v>-0.50999806999999997</v>
      </c>
      <c r="N369" s="59">
        <v>36.299999999999997</v>
      </c>
    </row>
    <row r="370" spans="13:14">
      <c r="M370" s="59">
        <v>-0.50627396000000002</v>
      </c>
      <c r="N370" s="59">
        <v>36.4</v>
      </c>
    </row>
    <row r="371" spans="13:14">
      <c r="M371" s="59">
        <v>-0.50277927499999997</v>
      </c>
      <c r="N371" s="59">
        <v>36.5</v>
      </c>
    </row>
    <row r="372" spans="13:14">
      <c r="M372" s="59">
        <v>-0.49975541000000001</v>
      </c>
      <c r="N372" s="59">
        <v>36.6</v>
      </c>
    </row>
    <row r="373" spans="13:14">
      <c r="M373" s="59">
        <v>-0.496731545</v>
      </c>
      <c r="N373" s="59">
        <v>36.700000000000003</v>
      </c>
    </row>
    <row r="374" spans="13:14">
      <c r="M374" s="59">
        <v>-0.49491022400000001</v>
      </c>
      <c r="N374" s="59">
        <v>36.799999999999997</v>
      </c>
    </row>
    <row r="375" spans="13:14">
      <c r="M375" s="59">
        <v>-0.49439881699999999</v>
      </c>
      <c r="N375" s="59">
        <v>36.9</v>
      </c>
    </row>
    <row r="376" spans="13:14">
      <c r="M376" s="59">
        <v>-0.49388741000000003</v>
      </c>
      <c r="N376" s="59">
        <v>37</v>
      </c>
    </row>
    <row r="377" spans="13:14">
      <c r="M377" s="59">
        <v>-0.492764496</v>
      </c>
      <c r="N377" s="59">
        <v>37.1</v>
      </c>
    </row>
    <row r="378" spans="13:14">
      <c r="M378" s="59">
        <v>-0.49128187200000001</v>
      </c>
      <c r="N378" s="59">
        <v>37.200000000000003</v>
      </c>
    </row>
    <row r="379" spans="13:14">
      <c r="M379" s="59">
        <v>-0.48979924800000002</v>
      </c>
      <c r="N379" s="59">
        <v>37.299999999999997</v>
      </c>
    </row>
    <row r="380" spans="13:14">
      <c r="M380" s="59">
        <v>-0.48937398999999998</v>
      </c>
      <c r="N380" s="59">
        <v>37.4</v>
      </c>
    </row>
    <row r="381" spans="13:14">
      <c r="M381" s="59">
        <v>-0.489245875</v>
      </c>
      <c r="N381" s="59">
        <v>37.5</v>
      </c>
    </row>
    <row r="382" spans="13:14">
      <c r="M382" s="59">
        <v>-0.48911776000000001</v>
      </c>
      <c r="N382" s="59">
        <v>37.6</v>
      </c>
    </row>
    <row r="383" spans="13:14">
      <c r="M383" s="59">
        <v>-0.48910900000000002</v>
      </c>
      <c r="N383" s="59">
        <v>37.700000000000003</v>
      </c>
    </row>
    <row r="384" spans="13:14">
      <c r="M384" s="59">
        <v>-0.48910900000000002</v>
      </c>
      <c r="N384" s="59">
        <v>37.799999999999997</v>
      </c>
    </row>
    <row r="385" spans="13:14">
      <c r="M385" s="59">
        <v>-0.48902397199999997</v>
      </c>
      <c r="N385" s="59">
        <v>37.9</v>
      </c>
    </row>
    <row r="386" spans="13:14">
      <c r="M386" s="59">
        <v>-0.48799483999999999</v>
      </c>
      <c r="N386" s="59">
        <v>38</v>
      </c>
    </row>
    <row r="387" spans="13:14">
      <c r="M387" s="59">
        <v>-0.486965708</v>
      </c>
      <c r="N387" s="59">
        <v>38.1</v>
      </c>
    </row>
    <row r="388" spans="13:14">
      <c r="M388" s="59">
        <v>-0.48513961799999999</v>
      </c>
      <c r="N388" s="59">
        <v>38.200000000000003</v>
      </c>
    </row>
    <row r="389" spans="13:14">
      <c r="M389" s="59">
        <v>-0.48069911700000001</v>
      </c>
      <c r="N389" s="59">
        <v>38.299999999999997</v>
      </c>
    </row>
    <row r="390" spans="13:14">
      <c r="M390" s="59">
        <v>-0.47625861600000002</v>
      </c>
      <c r="N390" s="59">
        <v>38.4</v>
      </c>
    </row>
    <row r="391" spans="13:14">
      <c r="M391" s="59">
        <v>-0.47329690499999999</v>
      </c>
      <c r="N391" s="59">
        <v>38.5</v>
      </c>
    </row>
    <row r="392" spans="13:14">
      <c r="M392" s="59">
        <v>-0.47270125800000001</v>
      </c>
      <c r="N392" s="59">
        <v>38.6</v>
      </c>
    </row>
    <row r="393" spans="13:14">
      <c r="M393" s="59">
        <v>-0.47210561099999998</v>
      </c>
      <c r="N393" s="59">
        <v>38.700000000000003</v>
      </c>
    </row>
    <row r="394" spans="13:14">
      <c r="M394" s="59">
        <v>-0.471160472</v>
      </c>
      <c r="N394" s="59">
        <v>38.799999999999997</v>
      </c>
    </row>
    <row r="395" spans="13:14">
      <c r="M395" s="59">
        <v>-0.469912316</v>
      </c>
      <c r="N395" s="59">
        <v>38.9</v>
      </c>
    </row>
    <row r="396" spans="13:14">
      <c r="M396" s="59">
        <v>-0.46866416</v>
      </c>
      <c r="N396" s="59">
        <v>39</v>
      </c>
    </row>
    <row r="397" spans="13:14">
      <c r="M397" s="59">
        <v>-0.467144638</v>
      </c>
      <c r="N397" s="59">
        <v>39.1</v>
      </c>
    </row>
    <row r="398" spans="13:14">
      <c r="M398" s="59">
        <v>-0.46550125599999997</v>
      </c>
      <c r="N398" s="59">
        <v>39.200000000000003</v>
      </c>
    </row>
    <row r="399" spans="13:14">
      <c r="M399" s="59">
        <v>-0.463857874</v>
      </c>
      <c r="N399" s="59">
        <v>39.299999999999997</v>
      </c>
    </row>
    <row r="400" spans="13:14">
      <c r="M400" s="59">
        <v>-0.46246791999999998</v>
      </c>
      <c r="N400" s="59">
        <v>39.4</v>
      </c>
    </row>
    <row r="401" spans="13:14">
      <c r="M401" s="59">
        <v>-0.46112710000000001</v>
      </c>
      <c r="N401" s="59">
        <v>39.5</v>
      </c>
    </row>
    <row r="402" spans="13:14">
      <c r="M402" s="59">
        <v>-0.45978627999999999</v>
      </c>
      <c r="N402" s="59">
        <v>39.6</v>
      </c>
    </row>
    <row r="403" spans="13:14">
      <c r="M403" s="59">
        <v>-0.45828063499999999</v>
      </c>
      <c r="N403" s="59">
        <v>39.700000000000003</v>
      </c>
    </row>
    <row r="404" spans="13:14">
      <c r="M404" s="59">
        <v>-0.45677308999999999</v>
      </c>
      <c r="N404" s="59">
        <v>39.799999999999997</v>
      </c>
    </row>
    <row r="405" spans="13:14">
      <c r="M405" s="59">
        <v>-0.455341936</v>
      </c>
      <c r="N405" s="59">
        <v>39.9</v>
      </c>
    </row>
    <row r="406" spans="13:14">
      <c r="M406" s="59">
        <v>-0.4543816</v>
      </c>
      <c r="N406" s="59">
        <v>40</v>
      </c>
    </row>
    <row r="407" spans="13:14">
      <c r="M407" s="59">
        <v>-0.45342126399999999</v>
      </c>
      <c r="N407" s="59">
        <v>40.1</v>
      </c>
    </row>
    <row r="408" spans="13:14">
      <c r="M408" s="59">
        <v>-0.45191430999999999</v>
      </c>
      <c r="N408" s="59">
        <v>40.200000000000003</v>
      </c>
    </row>
    <row r="409" spans="13:14">
      <c r="M409" s="59">
        <v>-0.44907296499999999</v>
      </c>
      <c r="N409" s="59">
        <v>40.299999999999997</v>
      </c>
    </row>
    <row r="410" spans="13:14">
      <c r="M410" s="59">
        <v>-0.44623162</v>
      </c>
      <c r="N410" s="59">
        <v>40.4</v>
      </c>
    </row>
    <row r="411" spans="13:14">
      <c r="M411" s="59">
        <v>-0.44320427499999998</v>
      </c>
      <c r="N411" s="59">
        <v>40.5</v>
      </c>
    </row>
    <row r="412" spans="13:14">
      <c r="M412" s="59">
        <v>-0.43994172999999998</v>
      </c>
      <c r="N412" s="59">
        <v>40.6</v>
      </c>
    </row>
    <row r="413" spans="13:14">
      <c r="M413" s="59">
        <v>-0.43667918500000003</v>
      </c>
      <c r="N413" s="59">
        <v>40.700000000000003</v>
      </c>
    </row>
    <row r="414" spans="13:14">
      <c r="M414" s="59">
        <v>-0.43373737600000001</v>
      </c>
      <c r="N414" s="59">
        <v>40.799999999999997</v>
      </c>
    </row>
    <row r="415" spans="13:14">
      <c r="M415" s="59">
        <v>-0.431016073</v>
      </c>
      <c r="N415" s="59">
        <v>40.9</v>
      </c>
    </row>
    <row r="416" spans="13:14">
      <c r="M416" s="59">
        <v>-0.42829476999999999</v>
      </c>
      <c r="N416" s="59">
        <v>41</v>
      </c>
    </row>
    <row r="417" spans="13:14">
      <c r="M417" s="59">
        <v>-0.42739159300000001</v>
      </c>
      <c r="N417" s="59">
        <v>41.1</v>
      </c>
    </row>
    <row r="418" spans="13:14">
      <c r="M418" s="59">
        <v>-0.427115356</v>
      </c>
      <c r="N418" s="59">
        <v>41.2</v>
      </c>
    </row>
    <row r="419" spans="13:14">
      <c r="M419" s="59">
        <v>-0.42683911899999999</v>
      </c>
      <c r="N419" s="59">
        <v>41.3</v>
      </c>
    </row>
    <row r="420" spans="13:14">
      <c r="M420" s="59">
        <v>-0.42502522399999998</v>
      </c>
      <c r="N420" s="59">
        <v>41.4</v>
      </c>
    </row>
    <row r="421" spans="13:14">
      <c r="M421" s="59">
        <v>-0.42303014</v>
      </c>
      <c r="N421" s="59">
        <v>41.5</v>
      </c>
    </row>
    <row r="422" spans="13:14">
      <c r="M422" s="59">
        <v>-0.42091694400000002</v>
      </c>
      <c r="N422" s="59">
        <v>41.6</v>
      </c>
    </row>
    <row r="423" spans="13:14">
      <c r="M423" s="59">
        <v>-0.41633077800000001</v>
      </c>
      <c r="N423" s="59">
        <v>41.7</v>
      </c>
    </row>
    <row r="424" spans="13:14">
      <c r="M424" s="59">
        <v>-0.41174461200000001</v>
      </c>
      <c r="N424" s="59">
        <v>41.8</v>
      </c>
    </row>
    <row r="425" spans="13:14">
      <c r="M425" s="59">
        <v>-0.40773342299999998</v>
      </c>
      <c r="N425" s="59">
        <v>41.9</v>
      </c>
    </row>
    <row r="426" spans="13:14">
      <c r="M426" s="59">
        <v>-0.40607214000000003</v>
      </c>
      <c r="N426" s="59">
        <v>42</v>
      </c>
    </row>
    <row r="427" spans="13:14">
      <c r="M427" s="59">
        <v>-0.40441085700000001</v>
      </c>
      <c r="N427" s="59">
        <v>42.1</v>
      </c>
    </row>
    <row r="428" spans="13:14">
      <c r="M428" s="59">
        <v>-0.403266244</v>
      </c>
      <c r="N428" s="59">
        <v>42.2</v>
      </c>
    </row>
    <row r="429" spans="13:14">
      <c r="M429" s="59">
        <v>-0.40309144600000002</v>
      </c>
      <c r="N429" s="59">
        <v>42.3</v>
      </c>
    </row>
    <row r="430" spans="13:14">
      <c r="M430" s="59">
        <v>-0.40291664799999999</v>
      </c>
      <c r="N430" s="59">
        <v>42.4</v>
      </c>
    </row>
    <row r="431" spans="13:14">
      <c r="M431" s="59">
        <v>-0.40253044999999998</v>
      </c>
      <c r="N431" s="59">
        <v>42.5</v>
      </c>
    </row>
    <row r="432" spans="13:14">
      <c r="M432" s="59">
        <v>-0.40193164399999998</v>
      </c>
      <c r="N432" s="59">
        <v>42.6</v>
      </c>
    </row>
    <row r="433" spans="13:14">
      <c r="M433" s="59">
        <v>-0.40133283800000003</v>
      </c>
      <c r="N433" s="59">
        <v>42.7</v>
      </c>
    </row>
    <row r="434" spans="13:14">
      <c r="M434" s="59">
        <v>-0.40082773999999999</v>
      </c>
      <c r="N434" s="59">
        <v>42.8</v>
      </c>
    </row>
    <row r="435" spans="13:14">
      <c r="M435" s="59">
        <v>-0.40037319500000002</v>
      </c>
      <c r="N435" s="59">
        <v>42.9</v>
      </c>
    </row>
    <row r="436" spans="13:14">
      <c r="M436" s="59">
        <v>-0.39991864999999999</v>
      </c>
      <c r="N436" s="59">
        <v>43</v>
      </c>
    </row>
    <row r="437" spans="13:14">
      <c r="M437" s="59">
        <v>-0.39855450799999997</v>
      </c>
      <c r="N437" s="59">
        <v>43.1</v>
      </c>
    </row>
    <row r="438" spans="13:14">
      <c r="M438" s="59">
        <v>-0.39696377599999999</v>
      </c>
      <c r="N438" s="59">
        <v>43.2</v>
      </c>
    </row>
    <row r="439" spans="13:14">
      <c r="M439" s="59">
        <v>-0.39537304400000001</v>
      </c>
      <c r="N439" s="59">
        <v>43.3</v>
      </c>
    </row>
    <row r="440" spans="13:14">
      <c r="M440" s="59">
        <v>-0.39315940199999999</v>
      </c>
      <c r="N440" s="59">
        <v>43.4</v>
      </c>
    </row>
    <row r="441" spans="13:14">
      <c r="M441" s="59">
        <v>-0.39091405499999998</v>
      </c>
      <c r="N441" s="59">
        <v>43.5</v>
      </c>
    </row>
    <row r="442" spans="13:14">
      <c r="M442" s="59">
        <v>-0.38856923999999998</v>
      </c>
      <c r="N442" s="59">
        <v>43.6</v>
      </c>
    </row>
    <row r="443" spans="13:14">
      <c r="M443" s="59">
        <v>-0.38535407999999999</v>
      </c>
      <c r="N443" s="59">
        <v>43.7</v>
      </c>
    </row>
    <row r="444" spans="13:14">
      <c r="M444" s="59">
        <v>-0.38213891999999999</v>
      </c>
      <c r="N444" s="59">
        <v>43.8</v>
      </c>
    </row>
    <row r="445" spans="13:14">
      <c r="M445" s="59">
        <v>-0.379415218</v>
      </c>
      <c r="N445" s="59">
        <v>43.9</v>
      </c>
    </row>
    <row r="446" spans="13:14">
      <c r="M446" s="59">
        <v>-0.37813827999999999</v>
      </c>
      <c r="N446" s="59">
        <v>44</v>
      </c>
    </row>
    <row r="447" spans="13:14">
      <c r="M447" s="59">
        <v>-0.37686134199999999</v>
      </c>
      <c r="N447" s="59">
        <v>44.1</v>
      </c>
    </row>
    <row r="448" spans="13:14">
      <c r="M448" s="59">
        <v>-0.375996204</v>
      </c>
      <c r="N448" s="59">
        <v>44.2</v>
      </c>
    </row>
    <row r="449" spans="13:14">
      <c r="M449" s="59">
        <v>-0.37573716600000001</v>
      </c>
      <c r="N449" s="59">
        <v>44.3</v>
      </c>
    </row>
    <row r="450" spans="13:14">
      <c r="M450" s="59">
        <v>-0.37547812800000002</v>
      </c>
      <c r="N450" s="59">
        <v>44.4</v>
      </c>
    </row>
    <row r="451" spans="13:14">
      <c r="M451" s="59">
        <v>-0.37518984</v>
      </c>
      <c r="N451" s="59">
        <v>44.5</v>
      </c>
    </row>
    <row r="452" spans="13:14">
      <c r="M452" s="59">
        <v>-0.37487815200000002</v>
      </c>
      <c r="N452" s="59">
        <v>44.6</v>
      </c>
    </row>
    <row r="453" spans="13:14">
      <c r="M453" s="59">
        <v>-0.37456646399999999</v>
      </c>
      <c r="N453" s="59">
        <v>44.7</v>
      </c>
    </row>
    <row r="454" spans="13:14">
      <c r="M454" s="59">
        <v>-0.373331472</v>
      </c>
      <c r="N454" s="59">
        <v>44.8</v>
      </c>
    </row>
    <row r="455" spans="13:14">
      <c r="M455" s="59">
        <v>-0.37171301099999998</v>
      </c>
      <c r="N455" s="59">
        <v>44.9</v>
      </c>
    </row>
    <row r="456" spans="13:14">
      <c r="M456" s="59">
        <v>-0.37009455000000002</v>
      </c>
      <c r="N456" s="59">
        <v>45</v>
      </c>
    </row>
    <row r="457" spans="13:14">
      <c r="M457" s="59">
        <v>-0.36893993000000003</v>
      </c>
      <c r="N457" s="59">
        <v>45.1</v>
      </c>
    </row>
    <row r="458" spans="13:14">
      <c r="M458" s="59">
        <v>-0.36786236</v>
      </c>
      <c r="N458" s="59">
        <v>45.2</v>
      </c>
    </row>
    <row r="459" spans="13:14">
      <c r="M459" s="59">
        <v>-0.36674228599999997</v>
      </c>
      <c r="N459" s="59">
        <v>45.3</v>
      </c>
    </row>
    <row r="460" spans="13:14">
      <c r="M460" s="59">
        <v>-0.36069174799999998</v>
      </c>
      <c r="N460" s="59">
        <v>45.4</v>
      </c>
    </row>
    <row r="461" spans="13:14">
      <c r="M461" s="59">
        <v>-0.35464120999999998</v>
      </c>
      <c r="N461" s="59">
        <v>45.5</v>
      </c>
    </row>
    <row r="462" spans="13:14">
      <c r="M462" s="59">
        <v>-0.34882940000000001</v>
      </c>
      <c r="N462" s="59">
        <v>45.6</v>
      </c>
    </row>
    <row r="463" spans="13:14">
      <c r="M463" s="59">
        <v>-0.34427517499999999</v>
      </c>
      <c r="N463" s="59">
        <v>45.7</v>
      </c>
    </row>
    <row r="464" spans="13:14">
      <c r="M464" s="59">
        <v>-0.33972095000000002</v>
      </c>
      <c r="N464" s="59">
        <v>45.8</v>
      </c>
    </row>
    <row r="465" spans="13:14">
      <c r="M465" s="59">
        <v>-0.33566485499999998</v>
      </c>
      <c r="N465" s="59">
        <v>45.9</v>
      </c>
    </row>
    <row r="466" spans="13:14">
      <c r="M466" s="59">
        <v>-0.33271469999999997</v>
      </c>
      <c r="N466" s="59">
        <v>46</v>
      </c>
    </row>
    <row r="467" spans="13:14">
      <c r="M467" s="59">
        <v>-0.32976454500000002</v>
      </c>
      <c r="N467" s="59">
        <v>46.1</v>
      </c>
    </row>
    <row r="468" spans="13:14">
      <c r="M468" s="59">
        <v>-0.32802129000000002</v>
      </c>
      <c r="N468" s="59">
        <v>46.2</v>
      </c>
    </row>
    <row r="469" spans="13:14">
      <c r="M469" s="59">
        <v>-0.32768608500000002</v>
      </c>
      <c r="N469" s="59">
        <v>46.3</v>
      </c>
    </row>
    <row r="470" spans="13:14">
      <c r="M470" s="59">
        <v>-0.32735088000000001</v>
      </c>
      <c r="N470" s="59">
        <v>46.4</v>
      </c>
    </row>
    <row r="471" spans="13:14">
      <c r="M471" s="59">
        <v>-0.32635154</v>
      </c>
      <c r="N471" s="59">
        <v>46.5</v>
      </c>
    </row>
    <row r="472" spans="13:14">
      <c r="M472" s="59">
        <v>-0.324932096</v>
      </c>
      <c r="N472" s="59">
        <v>46.6</v>
      </c>
    </row>
    <row r="473" spans="13:14">
      <c r="M473" s="59">
        <v>-0.32351265200000001</v>
      </c>
      <c r="N473" s="59">
        <v>46.7</v>
      </c>
    </row>
    <row r="474" spans="13:14">
      <c r="M474" s="59">
        <v>-0.321314936</v>
      </c>
      <c r="N474" s="59">
        <v>46.8</v>
      </c>
    </row>
    <row r="475" spans="13:14">
      <c r="M475" s="59">
        <v>-0.318876188</v>
      </c>
      <c r="N475" s="59">
        <v>46.9</v>
      </c>
    </row>
    <row r="476" spans="13:14">
      <c r="M476" s="59">
        <v>-0.31643744000000001</v>
      </c>
      <c r="N476" s="59">
        <v>47</v>
      </c>
    </row>
    <row r="477" spans="13:14">
      <c r="M477" s="59">
        <v>-0.31613815699999998</v>
      </c>
      <c r="N477" s="59">
        <v>47.1</v>
      </c>
    </row>
    <row r="478" spans="13:14">
      <c r="M478" s="59">
        <v>-0.316038824</v>
      </c>
      <c r="N478" s="59">
        <v>47.2</v>
      </c>
    </row>
    <row r="479" spans="13:14">
      <c r="M479" s="59">
        <v>-0.31594429800000001</v>
      </c>
      <c r="N479" s="59">
        <v>47.3</v>
      </c>
    </row>
    <row r="480" spans="13:14">
      <c r="M480" s="59">
        <v>-0.31591832399999997</v>
      </c>
      <c r="N480" s="59">
        <v>47.4</v>
      </c>
    </row>
    <row r="481" spans="13:14">
      <c r="M481" s="59">
        <v>-0.31589234999999999</v>
      </c>
      <c r="N481" s="59">
        <v>47.5</v>
      </c>
    </row>
    <row r="482" spans="13:14">
      <c r="M482" s="59">
        <v>-0.31499480800000002</v>
      </c>
      <c r="N482" s="59">
        <v>47.6</v>
      </c>
    </row>
    <row r="483" spans="13:14">
      <c r="M483" s="59">
        <v>-0.310943566</v>
      </c>
      <c r="N483" s="59">
        <v>47.7</v>
      </c>
    </row>
    <row r="484" spans="13:14">
      <c r="M484" s="59">
        <v>-0.30689232399999999</v>
      </c>
      <c r="N484" s="59">
        <v>47.8</v>
      </c>
    </row>
    <row r="485" spans="13:14">
      <c r="M485" s="59">
        <v>-0.30389127100000002</v>
      </c>
      <c r="N485" s="59">
        <v>47.9</v>
      </c>
    </row>
    <row r="486" spans="13:14">
      <c r="M486" s="59">
        <v>-0.30269752</v>
      </c>
      <c r="N486" s="59">
        <v>48</v>
      </c>
    </row>
    <row r="487" spans="13:14">
      <c r="M487" s="59">
        <v>-0.30150376899999998</v>
      </c>
      <c r="N487" s="59">
        <v>48.1</v>
      </c>
    </row>
    <row r="488" spans="13:14">
      <c r="M488" s="59">
        <v>-0.30090206400000002</v>
      </c>
      <c r="N488" s="59">
        <v>48.2</v>
      </c>
    </row>
    <row r="489" spans="13:14">
      <c r="M489" s="59">
        <v>-0.300850116</v>
      </c>
      <c r="N489" s="59">
        <v>48.3</v>
      </c>
    </row>
    <row r="490" spans="13:14">
      <c r="M490" s="59">
        <v>-0.30079816799999998</v>
      </c>
      <c r="N490" s="59">
        <v>48.4</v>
      </c>
    </row>
    <row r="491" spans="13:14">
      <c r="M491" s="59">
        <v>-0.29865072500000001</v>
      </c>
      <c r="N491" s="59">
        <v>48.5</v>
      </c>
    </row>
    <row r="492" spans="13:14">
      <c r="M492" s="59">
        <v>-0.29546890999999997</v>
      </c>
      <c r="N492" s="59">
        <v>48.6</v>
      </c>
    </row>
    <row r="493" spans="13:14">
      <c r="M493" s="59">
        <v>-0.292287095</v>
      </c>
      <c r="N493" s="59">
        <v>48.7</v>
      </c>
    </row>
    <row r="494" spans="13:14">
      <c r="M494" s="59">
        <v>-0.29081743999999998</v>
      </c>
      <c r="N494" s="59">
        <v>48.8</v>
      </c>
    </row>
    <row r="495" spans="13:14">
      <c r="M495" s="59">
        <v>-0.28972231999999998</v>
      </c>
      <c r="N495" s="59">
        <v>48.9</v>
      </c>
    </row>
    <row r="496" spans="13:14">
      <c r="M496" s="59">
        <v>-0.28862719999999997</v>
      </c>
      <c r="N496" s="59">
        <v>49</v>
      </c>
    </row>
    <row r="497" spans="13:14">
      <c r="M497" s="59">
        <v>-0.28515565100000001</v>
      </c>
      <c r="N497" s="59">
        <v>49.1</v>
      </c>
    </row>
    <row r="498" spans="13:14">
      <c r="M498" s="59">
        <v>-0.28161441199999998</v>
      </c>
      <c r="N498" s="59">
        <v>49.2</v>
      </c>
    </row>
    <row r="499" spans="13:14">
      <c r="M499" s="59">
        <v>-0.27835899400000003</v>
      </c>
      <c r="N499" s="59">
        <v>49.3</v>
      </c>
    </row>
    <row r="500" spans="13:14">
      <c r="M500" s="59">
        <v>-0.277150852</v>
      </c>
      <c r="N500" s="59">
        <v>49.4</v>
      </c>
    </row>
    <row r="501" spans="13:14">
      <c r="M501" s="59">
        <v>-0.27594270999999998</v>
      </c>
      <c r="N501" s="59">
        <v>49.5</v>
      </c>
    </row>
    <row r="502" spans="13:14">
      <c r="M502" s="59">
        <v>-0.274799656</v>
      </c>
      <c r="N502" s="59">
        <v>49.6</v>
      </c>
    </row>
    <row r="503" spans="13:14">
      <c r="M503" s="59">
        <v>-0.27382949200000001</v>
      </c>
      <c r="N503" s="59">
        <v>49.7</v>
      </c>
    </row>
    <row r="504" spans="13:14">
      <c r="M504" s="59">
        <v>-0.27285932800000001</v>
      </c>
      <c r="N504" s="59">
        <v>49.8</v>
      </c>
    </row>
    <row r="505" spans="13:14">
      <c r="M505" s="59">
        <v>-0.27218165100000002</v>
      </c>
      <c r="N505" s="59">
        <v>49.9</v>
      </c>
    </row>
    <row r="506" spans="13:14">
      <c r="M506" s="59">
        <v>-0.27190049999999999</v>
      </c>
      <c r="N506" s="59">
        <v>50</v>
      </c>
    </row>
    <row r="507" spans="13:14">
      <c r="M507" s="59">
        <v>-0.27161934900000001</v>
      </c>
      <c r="N507" s="59">
        <v>50.1</v>
      </c>
    </row>
    <row r="508" spans="13:14">
      <c r="M508" s="59">
        <v>-0.26953898399999998</v>
      </c>
      <c r="N508" s="59">
        <v>50.2</v>
      </c>
    </row>
    <row r="509" spans="13:14">
      <c r="M509" s="59">
        <v>-0.26613147599999998</v>
      </c>
      <c r="N509" s="59">
        <v>50.3</v>
      </c>
    </row>
    <row r="510" spans="13:14">
      <c r="M510" s="59">
        <v>-0.26272396799999997</v>
      </c>
      <c r="N510" s="59">
        <v>50.4</v>
      </c>
    </row>
    <row r="511" spans="13:14">
      <c r="M511" s="59">
        <v>-0.25914892499999997</v>
      </c>
      <c r="N511" s="59">
        <v>50.5</v>
      </c>
    </row>
    <row r="512" spans="13:14">
      <c r="M512" s="59">
        <v>-0.25551080999999998</v>
      </c>
      <c r="N512" s="59">
        <v>50.6</v>
      </c>
    </row>
    <row r="513" spans="13:14">
      <c r="M513" s="59">
        <v>-0.25187269499999998</v>
      </c>
      <c r="N513" s="59">
        <v>50.7</v>
      </c>
    </row>
    <row r="514" spans="13:14">
      <c r="M514" s="59">
        <v>-0.25085750800000001</v>
      </c>
      <c r="N514" s="59">
        <v>50.8</v>
      </c>
    </row>
    <row r="515" spans="13:14">
      <c r="M515" s="59">
        <v>-0.25020850900000002</v>
      </c>
      <c r="N515" s="59">
        <v>50.9</v>
      </c>
    </row>
    <row r="516" spans="13:14">
      <c r="M516" s="59">
        <v>-0.24957799999999999</v>
      </c>
      <c r="N516" s="59">
        <v>51</v>
      </c>
    </row>
    <row r="517" spans="13:14">
      <c r="M517" s="59">
        <v>-0.24957799999999999</v>
      </c>
      <c r="N517" s="59">
        <v>51.1</v>
      </c>
    </row>
    <row r="518" spans="13:14">
      <c r="M518" s="59">
        <v>-0.24957799999999999</v>
      </c>
      <c r="N518" s="59">
        <v>51.2</v>
      </c>
    </row>
    <row r="519" spans="13:14">
      <c r="M519" s="59">
        <v>-0.24943990399999999</v>
      </c>
      <c r="N519" s="59">
        <v>51.3</v>
      </c>
    </row>
    <row r="520" spans="13:14">
      <c r="M520" s="59">
        <v>-0.24867051200000001</v>
      </c>
      <c r="N520" s="59">
        <v>51.4</v>
      </c>
    </row>
    <row r="521" spans="13:14">
      <c r="M521" s="59">
        <v>-0.24790112</v>
      </c>
      <c r="N521" s="59">
        <v>51.5</v>
      </c>
    </row>
    <row r="522" spans="13:14">
      <c r="M522" s="59">
        <v>-0.24717476399999999</v>
      </c>
      <c r="N522" s="59">
        <v>51.6</v>
      </c>
    </row>
    <row r="523" spans="13:14">
      <c r="M523" s="59">
        <v>-0.246535593</v>
      </c>
      <c r="N523" s="59">
        <v>51.7</v>
      </c>
    </row>
    <row r="524" spans="13:14">
      <c r="M524" s="59">
        <v>-0.245896422</v>
      </c>
      <c r="N524" s="59">
        <v>51.8</v>
      </c>
    </row>
    <row r="525" spans="13:14">
      <c r="M525" s="59">
        <v>-0.242638089</v>
      </c>
      <c r="N525" s="59">
        <v>51.9</v>
      </c>
    </row>
    <row r="526" spans="13:14">
      <c r="M526" s="59">
        <v>-0.23655912000000001</v>
      </c>
      <c r="N526" s="59">
        <v>52</v>
      </c>
    </row>
    <row r="527" spans="13:14">
      <c r="M527" s="59">
        <v>-0.23048015099999999</v>
      </c>
      <c r="N527" s="59">
        <v>52.1</v>
      </c>
    </row>
    <row r="528" spans="13:14">
      <c r="M528" s="59">
        <v>-0.226902678</v>
      </c>
      <c r="N528" s="59">
        <v>52.2</v>
      </c>
    </row>
    <row r="529" spans="13:14">
      <c r="M529" s="59">
        <v>-0.22477877700000001</v>
      </c>
      <c r="N529" s="59">
        <v>52.3</v>
      </c>
    </row>
    <row r="530" spans="13:14">
      <c r="M530" s="59">
        <v>-0.222654876</v>
      </c>
      <c r="N530" s="59">
        <v>52.4</v>
      </c>
    </row>
    <row r="531" spans="13:14">
      <c r="M531" s="59">
        <v>-0.22091707499999999</v>
      </c>
      <c r="N531" s="59">
        <v>52.5</v>
      </c>
    </row>
    <row r="532" spans="13:14">
      <c r="M532" s="59">
        <v>-0.21928597799999999</v>
      </c>
      <c r="N532" s="59">
        <v>52.6</v>
      </c>
    </row>
    <row r="533" spans="13:14">
      <c r="M533" s="59">
        <v>-0.21765488099999999</v>
      </c>
      <c r="N533" s="59">
        <v>52.7</v>
      </c>
    </row>
    <row r="534" spans="13:14">
      <c r="M534" s="59">
        <v>-0.21248368000000001</v>
      </c>
      <c r="N534" s="59">
        <v>52.8</v>
      </c>
    </row>
    <row r="535" spans="13:14">
      <c r="M535" s="59">
        <v>-0.20706424000000001</v>
      </c>
      <c r="N535" s="59">
        <v>52.9</v>
      </c>
    </row>
    <row r="536" spans="13:14">
      <c r="M536" s="59">
        <v>-0.20131861000000001</v>
      </c>
      <c r="N536" s="59">
        <v>53</v>
      </c>
    </row>
    <row r="537" spans="13:14">
      <c r="M537" s="59">
        <v>-0.192082747</v>
      </c>
      <c r="N537" s="59">
        <v>53.1</v>
      </c>
    </row>
    <row r="538" spans="13:14">
      <c r="M538" s="59">
        <v>-0.18284688399999999</v>
      </c>
      <c r="N538" s="59">
        <v>53.2</v>
      </c>
    </row>
    <row r="539" spans="13:14">
      <c r="M539" s="59">
        <v>-0.175706522</v>
      </c>
      <c r="N539" s="59">
        <v>53.3</v>
      </c>
    </row>
    <row r="540" spans="13:14">
      <c r="M540" s="59">
        <v>-0.17533235599999999</v>
      </c>
      <c r="N540" s="59">
        <v>53.4</v>
      </c>
    </row>
    <row r="541" spans="13:14">
      <c r="M541" s="59">
        <v>-0.17495819000000001</v>
      </c>
      <c r="N541" s="59">
        <v>53.5</v>
      </c>
    </row>
    <row r="542" spans="13:14">
      <c r="M542" s="59">
        <v>-0.17393503199999999</v>
      </c>
      <c r="N542" s="59">
        <v>53.6</v>
      </c>
    </row>
    <row r="543" spans="13:14">
      <c r="M543" s="59">
        <v>-0.17188589400000001</v>
      </c>
      <c r="N543" s="59">
        <v>53.7</v>
      </c>
    </row>
    <row r="544" spans="13:14">
      <c r="M544" s="59">
        <v>-0.16983675600000001</v>
      </c>
      <c r="N544" s="59">
        <v>53.8</v>
      </c>
    </row>
    <row r="545" spans="13:14">
      <c r="M545" s="59">
        <v>-0.16855136700000001</v>
      </c>
      <c r="N545" s="59">
        <v>53.9</v>
      </c>
    </row>
    <row r="546" spans="13:14">
      <c r="M546" s="59">
        <v>-0.16792061999999999</v>
      </c>
      <c r="N546" s="59">
        <v>54</v>
      </c>
    </row>
    <row r="547" spans="13:14">
      <c r="M547" s="59">
        <v>-0.16728987300000001</v>
      </c>
      <c r="N547" s="59">
        <v>54.1</v>
      </c>
    </row>
    <row r="548" spans="13:14">
      <c r="M548" s="59">
        <v>-0.16663734599999999</v>
      </c>
      <c r="N548" s="59">
        <v>54.2</v>
      </c>
    </row>
    <row r="549" spans="13:14">
      <c r="M549" s="59">
        <v>-0.16597500900000001</v>
      </c>
      <c r="N549" s="59">
        <v>54.3</v>
      </c>
    </row>
    <row r="550" spans="13:14">
      <c r="M550" s="59">
        <v>-0.16531267199999999</v>
      </c>
      <c r="N550" s="59">
        <v>54.4</v>
      </c>
    </row>
    <row r="551" spans="13:14">
      <c r="M551" s="59">
        <v>-0.16512499</v>
      </c>
      <c r="N551" s="59">
        <v>54.5</v>
      </c>
    </row>
    <row r="552" spans="13:14">
      <c r="M552" s="59">
        <v>-0.16502741200000001</v>
      </c>
      <c r="N552" s="59">
        <v>54.6</v>
      </c>
    </row>
    <row r="553" spans="13:14">
      <c r="M553" s="59">
        <v>-0.164929834</v>
      </c>
      <c r="N553" s="59">
        <v>54.7</v>
      </c>
    </row>
    <row r="554" spans="13:14">
      <c r="M554" s="59">
        <v>-0.16414008399999999</v>
      </c>
      <c r="N554" s="59">
        <v>54.8</v>
      </c>
    </row>
    <row r="555" spans="13:14">
      <c r="M555" s="59">
        <v>-0.16334436699999999</v>
      </c>
      <c r="N555" s="59">
        <v>54.9</v>
      </c>
    </row>
    <row r="556" spans="13:14">
      <c r="M556" s="59">
        <v>-0.16248365000000001</v>
      </c>
      <c r="N556" s="59">
        <v>55</v>
      </c>
    </row>
    <row r="557" spans="13:14">
      <c r="M557" s="59">
        <v>-0.16123163300000001</v>
      </c>
      <c r="N557" s="59">
        <v>55.1</v>
      </c>
    </row>
    <row r="558" spans="13:14">
      <c r="M558" s="59">
        <v>-0.15997961599999999</v>
      </c>
      <c r="N558" s="59">
        <v>55.2</v>
      </c>
    </row>
    <row r="559" spans="13:14">
      <c r="M559" s="59">
        <v>-0.158286553</v>
      </c>
      <c r="N559" s="59">
        <v>55.3</v>
      </c>
    </row>
    <row r="560" spans="13:14">
      <c r="M560" s="59">
        <v>-0.15553155399999999</v>
      </c>
      <c r="N560" s="59">
        <v>55.4</v>
      </c>
    </row>
    <row r="561" spans="13:14">
      <c r="M561" s="59">
        <v>-0.15277655500000001</v>
      </c>
      <c r="N561" s="59">
        <v>55.5</v>
      </c>
    </row>
    <row r="562" spans="13:14">
      <c r="M562" s="59">
        <v>-0.151137892</v>
      </c>
      <c r="N562" s="59">
        <v>55.6</v>
      </c>
    </row>
    <row r="563" spans="13:14">
      <c r="M563" s="59">
        <v>-0.15089464899999999</v>
      </c>
      <c r="N563" s="59">
        <v>55.7</v>
      </c>
    </row>
    <row r="564" spans="13:14">
      <c r="M564" s="59">
        <v>-0.15065140599999999</v>
      </c>
      <c r="N564" s="59">
        <v>55.8</v>
      </c>
    </row>
    <row r="565" spans="13:14">
      <c r="M565" s="59">
        <v>-0.14842203600000001</v>
      </c>
      <c r="N565" s="59">
        <v>55.9</v>
      </c>
    </row>
    <row r="566" spans="13:14">
      <c r="M566" s="59">
        <v>-0.14484324000000001</v>
      </c>
      <c r="N566" s="59">
        <v>56</v>
      </c>
    </row>
    <row r="567" spans="13:14">
      <c r="M567" s="59">
        <v>-0.14126444399999999</v>
      </c>
      <c r="N567" s="59">
        <v>56.1</v>
      </c>
    </row>
    <row r="568" spans="13:14">
      <c r="M568" s="59">
        <v>-0.13604448</v>
      </c>
      <c r="N568" s="59">
        <v>56.2</v>
      </c>
    </row>
    <row r="569" spans="13:14">
      <c r="M569" s="59">
        <v>-0.13026702000000001</v>
      </c>
      <c r="N569" s="59">
        <v>56.3</v>
      </c>
    </row>
    <row r="570" spans="13:14">
      <c r="M570" s="59">
        <v>-0.12448956</v>
      </c>
      <c r="N570" s="59">
        <v>56.4</v>
      </c>
    </row>
    <row r="571" spans="13:14">
      <c r="M571" s="59">
        <v>-0.12384344999999999</v>
      </c>
      <c r="N571" s="59">
        <v>56.5</v>
      </c>
    </row>
    <row r="572" spans="13:14">
      <c r="M572" s="59">
        <v>-0.12378378</v>
      </c>
      <c r="N572" s="59">
        <v>56.6</v>
      </c>
    </row>
    <row r="573" spans="13:14">
      <c r="M573" s="59">
        <v>-0.12365651800000001</v>
      </c>
      <c r="N573" s="59">
        <v>56.7</v>
      </c>
    </row>
    <row r="574" spans="13:14">
      <c r="M574" s="59">
        <v>-0.122201272</v>
      </c>
      <c r="N574" s="59">
        <v>56.8</v>
      </c>
    </row>
    <row r="575" spans="13:14">
      <c r="M575" s="59">
        <v>-0.12074602600000001</v>
      </c>
      <c r="N575" s="59">
        <v>56.9</v>
      </c>
    </row>
    <row r="576" spans="13:14">
      <c r="M576" s="59">
        <v>-0.11914637</v>
      </c>
      <c r="N576" s="59">
        <v>57</v>
      </c>
    </row>
    <row r="577" spans="13:14">
      <c r="M577" s="59">
        <v>-0.116967011</v>
      </c>
      <c r="N577" s="59">
        <v>57.1</v>
      </c>
    </row>
    <row r="578" spans="13:14">
      <c r="M578" s="59">
        <v>-0.114787652</v>
      </c>
      <c r="N578" s="59">
        <v>57.2</v>
      </c>
    </row>
    <row r="579" spans="13:14">
      <c r="M579" s="59">
        <v>-0.113372</v>
      </c>
      <c r="N579" s="59">
        <v>57.3</v>
      </c>
    </row>
    <row r="580" spans="13:14">
      <c r="M580" s="59">
        <v>-0.113372</v>
      </c>
      <c r="N580" s="59">
        <v>57.4</v>
      </c>
    </row>
    <row r="581" spans="13:14">
      <c r="M581" s="59">
        <v>-0.113372</v>
      </c>
      <c r="N581" s="59">
        <v>57.5</v>
      </c>
    </row>
    <row r="582" spans="13:14">
      <c r="M582" s="59">
        <v>-0.112465776</v>
      </c>
      <c r="N582" s="59">
        <v>57.6</v>
      </c>
    </row>
    <row r="583" spans="13:14">
      <c r="M583" s="59">
        <v>-0.11065847700000001</v>
      </c>
      <c r="N583" s="59">
        <v>57.7</v>
      </c>
    </row>
    <row r="584" spans="13:14">
      <c r="M584" s="59">
        <v>-0.10885117800000001</v>
      </c>
      <c r="N584" s="59">
        <v>57.8</v>
      </c>
    </row>
    <row r="585" spans="13:14">
      <c r="M585" s="59">
        <v>-0.108223</v>
      </c>
      <c r="N585" s="59">
        <v>57.9</v>
      </c>
    </row>
    <row r="586" spans="13:14">
      <c r="M586" s="59">
        <v>-0.108223</v>
      </c>
      <c r="N586" s="59">
        <v>58</v>
      </c>
    </row>
    <row r="587" spans="13:14">
      <c r="M587" s="59">
        <v>-0.108223</v>
      </c>
      <c r="N587" s="59">
        <v>58.1</v>
      </c>
    </row>
    <row r="588" spans="13:14">
      <c r="M588" s="59">
        <v>-0.10787755</v>
      </c>
      <c r="N588" s="59">
        <v>58.2</v>
      </c>
    </row>
    <row r="589" spans="13:14">
      <c r="M589" s="59">
        <v>-0.107447575</v>
      </c>
      <c r="N589" s="59">
        <v>58.3</v>
      </c>
    </row>
    <row r="590" spans="13:14">
      <c r="M590" s="59">
        <v>-0.1070176</v>
      </c>
      <c r="N590" s="59">
        <v>58.4</v>
      </c>
    </row>
    <row r="591" spans="13:14">
      <c r="M591" s="59">
        <v>-0.105037915</v>
      </c>
      <c r="N591" s="59">
        <v>58.5</v>
      </c>
    </row>
    <row r="592" spans="13:14">
      <c r="M592" s="59">
        <v>-0.102984214</v>
      </c>
      <c r="N592" s="59">
        <v>58.6</v>
      </c>
    </row>
    <row r="593" spans="13:14">
      <c r="M593" s="59">
        <v>-0.10107218599999999</v>
      </c>
      <c r="N593" s="59">
        <v>58.7</v>
      </c>
    </row>
    <row r="594" spans="13:14">
      <c r="M594" s="59">
        <v>-0.100362464</v>
      </c>
      <c r="N594" s="59">
        <v>58.8</v>
      </c>
    </row>
    <row r="595" spans="13:14">
      <c r="M595" s="59">
        <v>-9.9652742000000002E-2</v>
      </c>
      <c r="N595" s="59">
        <v>58.9</v>
      </c>
    </row>
    <row r="596" spans="13:14">
      <c r="M596" s="59">
        <v>-9.8815580000000097E-2</v>
      </c>
      <c r="N596" s="59">
        <v>59</v>
      </c>
    </row>
    <row r="597" spans="13:14">
      <c r="M597" s="59">
        <v>-9.7608842000000001E-2</v>
      </c>
      <c r="N597" s="59">
        <v>59.1</v>
      </c>
    </row>
    <row r="598" spans="13:14">
      <c r="M598" s="59">
        <v>-9.6402104000000002E-2</v>
      </c>
      <c r="N598" s="59">
        <v>59.2</v>
      </c>
    </row>
    <row r="599" spans="13:14">
      <c r="M599" s="59">
        <v>-9.5537135999999995E-2</v>
      </c>
      <c r="N599" s="59">
        <v>59.3</v>
      </c>
    </row>
    <row r="600" spans="13:14">
      <c r="M600" s="59">
        <v>-9.5169288000000005E-2</v>
      </c>
      <c r="N600" s="59">
        <v>59.4</v>
      </c>
    </row>
    <row r="601" spans="13:14">
      <c r="M601" s="59">
        <v>-9.4801440000000001E-2</v>
      </c>
      <c r="N601" s="59">
        <v>59.5</v>
      </c>
    </row>
    <row r="602" spans="13:14">
      <c r="M602" s="59">
        <v>-9.3881852000000002E-2</v>
      </c>
      <c r="N602" s="59">
        <v>59.6</v>
      </c>
    </row>
    <row r="603" spans="13:14">
      <c r="M603" s="59">
        <v>-9.2525939000000001E-2</v>
      </c>
      <c r="N603" s="59">
        <v>59.7</v>
      </c>
    </row>
    <row r="604" spans="13:14">
      <c r="M604" s="59">
        <v>-9.1170026000000001E-2</v>
      </c>
      <c r="N604" s="59">
        <v>59.8</v>
      </c>
    </row>
    <row r="605" spans="13:14">
      <c r="M605" s="59">
        <v>-8.1830426000000206E-2</v>
      </c>
      <c r="N605" s="59">
        <v>59.9</v>
      </c>
    </row>
    <row r="606" spans="13:14">
      <c r="M606" s="59">
        <v>-6.9220400000000196E-2</v>
      </c>
      <c r="N606" s="59">
        <v>60</v>
      </c>
    </row>
    <row r="607" spans="13:14">
      <c r="M607" s="59">
        <v>-5.6610374000000199E-2</v>
      </c>
      <c r="N607" s="59">
        <v>60.1</v>
      </c>
    </row>
    <row r="608" spans="13:14">
      <c r="M608" s="59">
        <v>-5.4550415999999997E-2</v>
      </c>
      <c r="N608" s="59">
        <v>60.2</v>
      </c>
    </row>
    <row r="609" spans="13:14">
      <c r="M609" s="59">
        <v>-5.4202224E-2</v>
      </c>
      <c r="N609" s="59">
        <v>60.3</v>
      </c>
    </row>
    <row r="610" spans="13:14">
      <c r="M610" s="59">
        <v>-5.3772476000000201E-2</v>
      </c>
      <c r="N610" s="59">
        <v>60.4</v>
      </c>
    </row>
    <row r="611" spans="13:14">
      <c r="M611" s="59">
        <v>-4.62677450000002E-2</v>
      </c>
      <c r="N611" s="59">
        <v>60.5</v>
      </c>
    </row>
    <row r="612" spans="13:14">
      <c r="M612" s="59">
        <v>-3.87630140000002E-2</v>
      </c>
      <c r="N612" s="59">
        <v>60.6</v>
      </c>
    </row>
    <row r="613" spans="13:14">
      <c r="M613" s="59">
        <v>-3.2236859E-2</v>
      </c>
      <c r="N613" s="59">
        <v>60.7</v>
      </c>
    </row>
    <row r="614" spans="13:14">
      <c r="M614" s="59">
        <v>-3.0758096000000099E-2</v>
      </c>
      <c r="N614" s="59">
        <v>60.8</v>
      </c>
    </row>
    <row r="615" spans="13:14">
      <c r="M615" s="59">
        <v>-2.9279333000000098E-2</v>
      </c>
      <c r="N615" s="59">
        <v>60.9</v>
      </c>
    </row>
    <row r="616" spans="13:14">
      <c r="M616" s="59">
        <v>-2.77676800000001E-2</v>
      </c>
      <c r="N616" s="59">
        <v>61</v>
      </c>
    </row>
    <row r="617" spans="13:14">
      <c r="M617" s="59">
        <v>-2.6183968000000099E-2</v>
      </c>
      <c r="N617" s="59">
        <v>61.1</v>
      </c>
    </row>
    <row r="618" spans="13:14">
      <c r="M618" s="59">
        <v>-2.4600256000000102E-2</v>
      </c>
      <c r="N618" s="59">
        <v>61.2</v>
      </c>
    </row>
    <row r="619" spans="13:14">
      <c r="M619" s="59">
        <v>-2.2263973000000201E-2</v>
      </c>
      <c r="N619" s="59">
        <v>61.3</v>
      </c>
    </row>
    <row r="620" spans="13:14">
      <c r="M620" s="59">
        <v>-1.9059693999999901E-2</v>
      </c>
      <c r="N620" s="59">
        <v>61.4</v>
      </c>
    </row>
    <row r="621" spans="13:14">
      <c r="M621" s="59">
        <v>-1.5855414999999901E-2</v>
      </c>
      <c r="N621" s="59">
        <v>61.5</v>
      </c>
    </row>
    <row r="622" spans="13:14">
      <c r="M622" s="59">
        <v>-1.30809759999999E-2</v>
      </c>
      <c r="N622" s="59">
        <v>61.6</v>
      </c>
    </row>
    <row r="623" spans="13:14">
      <c r="M623" s="59">
        <v>-1.0575186999999899E-2</v>
      </c>
      <c r="N623" s="59">
        <v>61.7</v>
      </c>
    </row>
    <row r="624" spans="13:14">
      <c r="M624" s="59">
        <v>-8.0693979999999603E-3</v>
      </c>
      <c r="N624" s="59">
        <v>61.8</v>
      </c>
    </row>
    <row r="625" spans="13:14">
      <c r="M625" s="59">
        <v>-6.8604579999999903E-3</v>
      </c>
      <c r="N625" s="59">
        <v>61.9</v>
      </c>
    </row>
    <row r="626" spans="13:14">
      <c r="M626" s="59">
        <v>-6.04683999999999E-3</v>
      </c>
      <c r="N626" s="59">
        <v>62</v>
      </c>
    </row>
    <row r="627" spans="13:14">
      <c r="M627" s="59">
        <v>-5.2332219999999896E-3</v>
      </c>
      <c r="N627" s="59">
        <v>62.1</v>
      </c>
    </row>
    <row r="628" spans="13:14">
      <c r="M628" s="59">
        <v>1.45882800000006E-3</v>
      </c>
      <c r="N628" s="59">
        <v>62.2</v>
      </c>
    </row>
    <row r="629" spans="13:14">
      <c r="M629" s="59">
        <v>8.6803020000000407E-3</v>
      </c>
      <c r="N629" s="59">
        <v>62.3</v>
      </c>
    </row>
    <row r="630" spans="13:14">
      <c r="M630" s="59">
        <v>1.5447528E-2</v>
      </c>
      <c r="N630" s="59">
        <v>62.4</v>
      </c>
    </row>
    <row r="631" spans="13:14">
      <c r="M631" s="59">
        <v>1.6025625000000002E-2</v>
      </c>
      <c r="N631" s="59">
        <v>62.5</v>
      </c>
    </row>
    <row r="632" spans="13:14">
      <c r="M632" s="59">
        <v>1.6603722000000001E-2</v>
      </c>
      <c r="N632" s="59">
        <v>62.6</v>
      </c>
    </row>
    <row r="633" spans="13:14">
      <c r="M633" s="59">
        <v>1.7600468000000001E-2</v>
      </c>
      <c r="N633" s="59">
        <v>62.7</v>
      </c>
    </row>
    <row r="634" spans="13:14">
      <c r="M634" s="59">
        <v>2.0086952000000002E-2</v>
      </c>
      <c r="N634" s="59">
        <v>62.8</v>
      </c>
    </row>
    <row r="635" spans="13:14">
      <c r="M635" s="59">
        <v>2.2573435999999999E-2</v>
      </c>
      <c r="N635" s="59">
        <v>62.9</v>
      </c>
    </row>
    <row r="636" spans="13:14">
      <c r="M636" s="59">
        <v>2.7031889999999899E-2</v>
      </c>
      <c r="N636" s="59">
        <v>63</v>
      </c>
    </row>
    <row r="637" spans="13:14">
      <c r="M637" s="59">
        <v>3.4842692999999897E-2</v>
      </c>
      <c r="N637" s="59">
        <v>63.1</v>
      </c>
    </row>
    <row r="638" spans="13:14">
      <c r="M638" s="59">
        <v>4.2653495999999902E-2</v>
      </c>
      <c r="N638" s="59">
        <v>63.2</v>
      </c>
    </row>
    <row r="639" spans="13:14">
      <c r="M639" s="59">
        <v>4.6640697000000002E-2</v>
      </c>
      <c r="N639" s="59">
        <v>63.3</v>
      </c>
    </row>
    <row r="640" spans="13:14">
      <c r="M640" s="59">
        <v>4.7117706000000002E-2</v>
      </c>
      <c r="N640" s="59">
        <v>63.4</v>
      </c>
    </row>
    <row r="641" spans="13:14">
      <c r="M641" s="59">
        <v>4.7594715000000003E-2</v>
      </c>
      <c r="N641" s="59">
        <v>63.5</v>
      </c>
    </row>
    <row r="642" spans="13:14">
      <c r="M642" s="59">
        <v>4.8223707999999997E-2</v>
      </c>
      <c r="N642" s="59">
        <v>63.6</v>
      </c>
    </row>
    <row r="643" spans="13:14">
      <c r="M643" s="59">
        <v>4.8926760999999999E-2</v>
      </c>
      <c r="N643" s="59">
        <v>63.7</v>
      </c>
    </row>
    <row r="644" spans="13:14">
      <c r="M644" s="59">
        <v>4.9629814000000001E-2</v>
      </c>
      <c r="N644" s="59">
        <v>63.8</v>
      </c>
    </row>
    <row r="645" spans="13:14">
      <c r="M645" s="59">
        <v>5.1217207000000098E-2</v>
      </c>
      <c r="N645" s="59">
        <v>63.9</v>
      </c>
    </row>
    <row r="646" spans="13:14">
      <c r="M646" s="59">
        <v>5.2994320000000102E-2</v>
      </c>
      <c r="N646" s="59">
        <v>64</v>
      </c>
    </row>
    <row r="647" spans="13:14">
      <c r="M647" s="59">
        <v>5.4771433000000098E-2</v>
      </c>
      <c r="N647" s="59">
        <v>64.099999999999994</v>
      </c>
    </row>
    <row r="648" spans="13:14">
      <c r="M648" s="59">
        <v>5.7529402000000097E-2</v>
      </c>
      <c r="N648" s="59">
        <v>64.2</v>
      </c>
    </row>
    <row r="649" spans="13:14">
      <c r="M649" s="59">
        <v>6.0313183000000103E-2</v>
      </c>
      <c r="N649" s="59">
        <v>64.3</v>
      </c>
    </row>
    <row r="650" spans="13:14">
      <c r="M650" s="59">
        <v>6.2756932000000001E-2</v>
      </c>
      <c r="N650" s="59">
        <v>64.400000000000006</v>
      </c>
    </row>
    <row r="651" spans="13:14">
      <c r="M651" s="59">
        <v>6.2828184999999995E-2</v>
      </c>
      <c r="N651" s="59">
        <v>64.5</v>
      </c>
    </row>
    <row r="652" spans="13:14">
      <c r="M652" s="59">
        <v>6.2899438000000002E-2</v>
      </c>
      <c r="N652" s="59">
        <v>64.599999999999994</v>
      </c>
    </row>
    <row r="653" spans="13:14">
      <c r="M653" s="59">
        <v>6.3080883000000004E-2</v>
      </c>
      <c r="N653" s="59">
        <v>64.7</v>
      </c>
    </row>
    <row r="654" spans="13:14">
      <c r="M654" s="59">
        <v>6.3550871999999994E-2</v>
      </c>
      <c r="N654" s="59">
        <v>64.8</v>
      </c>
    </row>
    <row r="655" spans="13:14">
      <c r="M655" s="59">
        <v>6.4020860999999998E-2</v>
      </c>
      <c r="N655" s="59">
        <v>64.900000000000006</v>
      </c>
    </row>
    <row r="656" spans="13:14">
      <c r="M656" s="59">
        <v>6.6168150000000106E-2</v>
      </c>
      <c r="N656" s="59">
        <v>65</v>
      </c>
    </row>
    <row r="657" spans="13:14">
      <c r="M657" s="59">
        <v>7.0563021000000101E-2</v>
      </c>
      <c r="N657" s="59">
        <v>65.099999999999994</v>
      </c>
    </row>
    <row r="658" spans="13:14">
      <c r="M658" s="59">
        <v>7.4957892000000095E-2</v>
      </c>
      <c r="N658" s="59">
        <v>65.2</v>
      </c>
    </row>
    <row r="659" spans="13:14">
      <c r="M659" s="59">
        <v>8.0341779000000099E-2</v>
      </c>
      <c r="N659" s="59">
        <v>65.3</v>
      </c>
    </row>
    <row r="660" spans="13:14">
      <c r="M660" s="59">
        <v>8.6446722000000004E-2</v>
      </c>
      <c r="N660" s="59">
        <v>65.400000000000006</v>
      </c>
    </row>
    <row r="661" spans="13:14">
      <c r="M661" s="59">
        <v>9.2551665000000005E-2</v>
      </c>
      <c r="N661" s="59">
        <v>65.5</v>
      </c>
    </row>
    <row r="662" spans="13:14">
      <c r="M662" s="59">
        <v>0.101992032</v>
      </c>
      <c r="N662" s="59">
        <v>65.599999999999994</v>
      </c>
    </row>
    <row r="663" spans="13:14">
      <c r="M663" s="59">
        <v>0.11267015399999999</v>
      </c>
      <c r="N663" s="59">
        <v>65.7</v>
      </c>
    </row>
    <row r="664" spans="13:14">
      <c r="M664" s="59">
        <v>0.12334827600000001</v>
      </c>
      <c r="N664" s="59">
        <v>65.8</v>
      </c>
    </row>
    <row r="665" spans="13:14">
      <c r="M665" s="59">
        <v>0.12518096400000001</v>
      </c>
      <c r="N665" s="59">
        <v>65.900000000000006</v>
      </c>
    </row>
    <row r="666" spans="13:14">
      <c r="M666" s="59">
        <v>0.12581136000000001</v>
      </c>
      <c r="N666" s="59">
        <v>66</v>
      </c>
    </row>
    <row r="667" spans="13:14">
      <c r="M667" s="59">
        <v>0.12647024600000001</v>
      </c>
      <c r="N667" s="59">
        <v>66.099999999999994</v>
      </c>
    </row>
    <row r="668" spans="13:14">
      <c r="M668" s="59">
        <v>0.12800973199999999</v>
      </c>
      <c r="N668" s="59">
        <v>66.2</v>
      </c>
    </row>
    <row r="669" spans="13:14">
      <c r="M669" s="59">
        <v>0.12954921799999999</v>
      </c>
      <c r="N669" s="59">
        <v>66.3</v>
      </c>
    </row>
    <row r="670" spans="13:14">
      <c r="M670" s="59">
        <v>0.13083046400000001</v>
      </c>
      <c r="N670" s="59">
        <v>66.400000000000006</v>
      </c>
    </row>
    <row r="671" spans="13:14">
      <c r="M671" s="59">
        <v>0.130953665</v>
      </c>
      <c r="N671" s="59">
        <v>66.5</v>
      </c>
    </row>
    <row r="672" spans="13:14">
      <c r="M672" s="59">
        <v>0.13107686599999999</v>
      </c>
      <c r="N672" s="59">
        <v>66.599999999999994</v>
      </c>
    </row>
    <row r="673" spans="13:14">
      <c r="M673" s="59">
        <v>0.131989466</v>
      </c>
      <c r="N673" s="59">
        <v>66.7</v>
      </c>
    </row>
    <row r="674" spans="13:14">
      <c r="M674" s="59">
        <v>0.13448086400000001</v>
      </c>
      <c r="N674" s="59">
        <v>66.8</v>
      </c>
    </row>
    <row r="675" spans="13:14">
      <c r="M675" s="59">
        <v>0.13697226200000001</v>
      </c>
      <c r="N675" s="59">
        <v>66.900000000000006</v>
      </c>
    </row>
    <row r="676" spans="13:14">
      <c r="M676" s="59">
        <v>0.13913964000000001</v>
      </c>
      <c r="N676" s="59">
        <v>67</v>
      </c>
    </row>
    <row r="677" spans="13:14">
      <c r="M677" s="59">
        <v>0.14096203199999999</v>
      </c>
      <c r="N677" s="59">
        <v>67.099999999999994</v>
      </c>
    </row>
    <row r="678" spans="13:14">
      <c r="M678" s="59">
        <v>0.14278442399999999</v>
      </c>
      <c r="N678" s="59">
        <v>67.2</v>
      </c>
    </row>
    <row r="679" spans="13:14">
      <c r="M679" s="59">
        <v>0.14553159700000001</v>
      </c>
      <c r="N679" s="59">
        <v>67.3</v>
      </c>
    </row>
    <row r="680" spans="13:14">
      <c r="M680" s="59">
        <v>0.14880958599999999</v>
      </c>
      <c r="N680" s="59">
        <v>67.400000000000006</v>
      </c>
    </row>
    <row r="681" spans="13:14">
      <c r="M681" s="59">
        <v>0.152087575</v>
      </c>
      <c r="N681" s="59">
        <v>67.5</v>
      </c>
    </row>
    <row r="682" spans="13:14">
      <c r="M682" s="59">
        <v>0.15700334799999999</v>
      </c>
      <c r="N682" s="59">
        <v>67.599999999999994</v>
      </c>
    </row>
    <row r="683" spans="13:14">
      <c r="M683" s="59">
        <v>0.162364171</v>
      </c>
      <c r="N683" s="59">
        <v>67.7</v>
      </c>
    </row>
    <row r="684" spans="13:14">
      <c r="M684" s="59">
        <v>0.16772499399999999</v>
      </c>
      <c r="N684" s="59">
        <v>67.8</v>
      </c>
    </row>
    <row r="685" spans="13:14">
      <c r="M685" s="59">
        <v>0.16806099999999999</v>
      </c>
      <c r="N685" s="59">
        <v>67.900000000000006</v>
      </c>
    </row>
    <row r="686" spans="13:14">
      <c r="M686" s="59">
        <v>0.16806099999999999</v>
      </c>
      <c r="N686" s="59">
        <v>68</v>
      </c>
    </row>
    <row r="687" spans="13:14">
      <c r="M687" s="59">
        <v>0.168239684</v>
      </c>
      <c r="N687" s="59">
        <v>68.099999999999994</v>
      </c>
    </row>
    <row r="688" spans="13:14">
      <c r="M688" s="59">
        <v>0.17026284799999999</v>
      </c>
      <c r="N688" s="59">
        <v>68.2</v>
      </c>
    </row>
    <row r="689" spans="13:14">
      <c r="M689" s="59">
        <v>0.17228601199999999</v>
      </c>
      <c r="N689" s="59">
        <v>68.3</v>
      </c>
    </row>
    <row r="690" spans="13:14">
      <c r="M690" s="59">
        <v>0.17465895200000001</v>
      </c>
      <c r="N690" s="59">
        <v>68.400000000000006</v>
      </c>
    </row>
    <row r="691" spans="13:14">
      <c r="M691" s="59">
        <v>0.17814368</v>
      </c>
      <c r="N691" s="59">
        <v>68.5</v>
      </c>
    </row>
    <row r="692" spans="13:14">
      <c r="M692" s="59">
        <v>0.18162840799999999</v>
      </c>
      <c r="N692" s="59">
        <v>68.599999999999994</v>
      </c>
    </row>
    <row r="693" spans="13:14">
      <c r="M693" s="59">
        <v>0.183815335</v>
      </c>
      <c r="N693" s="59">
        <v>68.7</v>
      </c>
    </row>
    <row r="694" spans="13:14">
      <c r="M694" s="59">
        <v>0.18397504000000001</v>
      </c>
      <c r="N694" s="59">
        <v>68.8</v>
      </c>
    </row>
    <row r="695" spans="13:14">
      <c r="M695" s="59">
        <v>0.18413474499999999</v>
      </c>
      <c r="N695" s="59">
        <v>68.900000000000006</v>
      </c>
    </row>
    <row r="696" spans="13:14">
      <c r="M696" s="59">
        <v>0.18571831</v>
      </c>
      <c r="N696" s="59">
        <v>69</v>
      </c>
    </row>
    <row r="697" spans="13:14">
      <c r="M697" s="59">
        <v>0.18850840899999999</v>
      </c>
      <c r="N697" s="59">
        <v>69.099999999999994</v>
      </c>
    </row>
    <row r="698" spans="13:14">
      <c r="M698" s="59">
        <v>0.19129850800000001</v>
      </c>
      <c r="N698" s="59">
        <v>69.2</v>
      </c>
    </row>
    <row r="699" spans="13:14">
      <c r="M699" s="59">
        <v>0.19311271899999999</v>
      </c>
      <c r="N699" s="59">
        <v>69.3</v>
      </c>
    </row>
    <row r="700" spans="13:14">
      <c r="M700" s="59">
        <v>0.194493202</v>
      </c>
      <c r="N700" s="59">
        <v>69.400000000000006</v>
      </c>
    </row>
    <row r="701" spans="13:14">
      <c r="M701" s="59">
        <v>0.19587368499999999</v>
      </c>
      <c r="N701" s="59">
        <v>69.5</v>
      </c>
    </row>
    <row r="702" spans="13:14">
      <c r="M702" s="59">
        <v>0.19764311200000001</v>
      </c>
      <c r="N702" s="59">
        <v>69.599999999999994</v>
      </c>
    </row>
    <row r="703" spans="13:14">
      <c r="M703" s="59">
        <v>0.19948480900000001</v>
      </c>
      <c r="N703" s="59">
        <v>69.7</v>
      </c>
    </row>
    <row r="704" spans="13:14">
      <c r="M704" s="59">
        <v>0.20132650599999999</v>
      </c>
      <c r="N704" s="59">
        <v>69.8</v>
      </c>
    </row>
    <row r="705" spans="13:14">
      <c r="M705" s="59">
        <v>0.20400301100000001</v>
      </c>
      <c r="N705" s="59">
        <v>69.900000000000006</v>
      </c>
    </row>
    <row r="706" spans="13:14">
      <c r="M706" s="59">
        <v>0.20668429999999999</v>
      </c>
      <c r="N706" s="59">
        <v>70</v>
      </c>
    </row>
    <row r="707" spans="13:14">
      <c r="M707" s="59">
        <v>0.209026133</v>
      </c>
      <c r="N707" s="59">
        <v>70.099999999999994</v>
      </c>
    </row>
    <row r="708" spans="13:14">
      <c r="M708" s="59">
        <v>0.209371166</v>
      </c>
      <c r="N708" s="59">
        <v>70.2</v>
      </c>
    </row>
    <row r="709" spans="13:14">
      <c r="M709" s="59">
        <v>0.20971619899999999</v>
      </c>
      <c r="N709" s="59">
        <v>70.3</v>
      </c>
    </row>
    <row r="710" spans="13:14">
      <c r="M710" s="59">
        <v>0.211149384</v>
      </c>
      <c r="N710" s="59">
        <v>70.400000000000006</v>
      </c>
    </row>
    <row r="711" spans="13:14">
      <c r="M711" s="59">
        <v>0.21516693000000001</v>
      </c>
      <c r="N711" s="59">
        <v>70.5</v>
      </c>
    </row>
    <row r="712" spans="13:14">
      <c r="M712" s="59">
        <v>0.21918447599999999</v>
      </c>
      <c r="N712" s="59">
        <v>70.599999999999994</v>
      </c>
    </row>
    <row r="713" spans="13:14">
      <c r="M713" s="59">
        <v>0.224379208</v>
      </c>
      <c r="N713" s="59">
        <v>70.7</v>
      </c>
    </row>
    <row r="714" spans="13:14">
      <c r="M714" s="59">
        <v>0.231028552</v>
      </c>
      <c r="N714" s="59">
        <v>70.8</v>
      </c>
    </row>
    <row r="715" spans="13:14">
      <c r="M715" s="59">
        <v>0.237677896</v>
      </c>
      <c r="N715" s="59">
        <v>70.900000000000006</v>
      </c>
    </row>
    <row r="716" spans="13:14">
      <c r="M716" s="59">
        <v>0.24034900000000001</v>
      </c>
      <c r="N716" s="59">
        <v>71</v>
      </c>
    </row>
    <row r="717" spans="13:14">
      <c r="M717" s="59">
        <v>0.24034900000000001</v>
      </c>
      <c r="N717" s="59">
        <v>71.099999999999994</v>
      </c>
    </row>
    <row r="718" spans="13:14">
      <c r="M718" s="59">
        <v>0.24034900000000001</v>
      </c>
      <c r="N718" s="59">
        <v>71.2</v>
      </c>
    </row>
    <row r="719" spans="13:14">
      <c r="M719" s="59">
        <v>0.24240276699999999</v>
      </c>
      <c r="N719" s="59">
        <v>71.3</v>
      </c>
    </row>
    <row r="720" spans="13:14">
      <c r="M720" s="59">
        <v>0.24514372600000001</v>
      </c>
      <c r="N720" s="59">
        <v>71.400000000000006</v>
      </c>
    </row>
    <row r="721" spans="13:14">
      <c r="M721" s="59">
        <v>0.24788468499999999</v>
      </c>
      <c r="N721" s="59">
        <v>71.5</v>
      </c>
    </row>
    <row r="722" spans="13:14">
      <c r="M722" s="59">
        <v>0.25182928799999998</v>
      </c>
      <c r="N722" s="59">
        <v>71.599999999999994</v>
      </c>
    </row>
    <row r="723" spans="13:14">
      <c r="M723" s="59">
        <v>0.255907206</v>
      </c>
      <c r="N723" s="59">
        <v>71.7</v>
      </c>
    </row>
    <row r="724" spans="13:14">
      <c r="M724" s="59">
        <v>0.259959726</v>
      </c>
      <c r="N724" s="59">
        <v>71.8</v>
      </c>
    </row>
    <row r="725" spans="13:14">
      <c r="M725" s="59">
        <v>0.26354238299999999</v>
      </c>
      <c r="N725" s="59">
        <v>71.900000000000006</v>
      </c>
    </row>
    <row r="726" spans="13:14">
      <c r="M726" s="59">
        <v>0.26712503999999998</v>
      </c>
      <c r="N726" s="59">
        <v>72</v>
      </c>
    </row>
    <row r="727" spans="13:14">
      <c r="M727" s="59">
        <v>0.27101974200000001</v>
      </c>
      <c r="N727" s="59">
        <v>72.099999999999994</v>
      </c>
    </row>
    <row r="728" spans="13:14">
      <c r="M728" s="59">
        <v>0.27614504400000001</v>
      </c>
      <c r="N728" s="59">
        <v>72.2</v>
      </c>
    </row>
    <row r="729" spans="13:14">
      <c r="M729" s="59">
        <v>0.281270346</v>
      </c>
      <c r="N729" s="59">
        <v>72.3</v>
      </c>
    </row>
    <row r="730" spans="13:14">
      <c r="M730" s="59">
        <v>0.28540972399999998</v>
      </c>
      <c r="N730" s="59">
        <v>72.400000000000006</v>
      </c>
    </row>
    <row r="731" spans="13:14">
      <c r="M731" s="59">
        <v>0.28774422500000002</v>
      </c>
      <c r="N731" s="59">
        <v>72.5</v>
      </c>
    </row>
    <row r="732" spans="13:14">
      <c r="M732" s="59">
        <v>0.29007872600000001</v>
      </c>
      <c r="N732" s="59">
        <v>72.599999999999994</v>
      </c>
    </row>
    <row r="733" spans="13:14">
      <c r="M733" s="59">
        <v>0.29475263600000001</v>
      </c>
      <c r="N733" s="59">
        <v>72.7</v>
      </c>
    </row>
    <row r="734" spans="13:14">
      <c r="M734" s="59">
        <v>0.301726304</v>
      </c>
      <c r="N734" s="59">
        <v>72.8</v>
      </c>
    </row>
    <row r="735" spans="13:14">
      <c r="M735" s="59">
        <v>0.30869997199999999</v>
      </c>
      <c r="N735" s="59">
        <v>72.900000000000006</v>
      </c>
    </row>
    <row r="736" spans="13:14">
      <c r="M736" s="59">
        <v>0.31219143999999999</v>
      </c>
      <c r="N736" s="59">
        <v>73</v>
      </c>
    </row>
    <row r="737" spans="13:14">
      <c r="M737" s="59">
        <v>0.31385096800000001</v>
      </c>
      <c r="N737" s="59">
        <v>73.099999999999994</v>
      </c>
    </row>
    <row r="738" spans="13:14">
      <c r="M738" s="59">
        <v>0.31551049599999997</v>
      </c>
      <c r="N738" s="59">
        <v>73.2</v>
      </c>
    </row>
    <row r="739" spans="13:14">
      <c r="M739" s="59">
        <v>0.31625282100000002</v>
      </c>
      <c r="N739" s="59">
        <v>73.3</v>
      </c>
    </row>
    <row r="740" spans="13:14">
      <c r="M740" s="59">
        <v>0.31677475799999999</v>
      </c>
      <c r="N740" s="59">
        <v>73.400000000000006</v>
      </c>
    </row>
    <row r="741" spans="13:14">
      <c r="M741" s="59">
        <v>0.31729669500000002</v>
      </c>
      <c r="N741" s="59">
        <v>73.5</v>
      </c>
    </row>
    <row r="742" spans="13:14">
      <c r="M742" s="59">
        <v>0.32292717599999998</v>
      </c>
      <c r="N742" s="59">
        <v>73.599999999999994</v>
      </c>
    </row>
    <row r="743" spans="13:14">
      <c r="M743" s="59">
        <v>0.32878571699999998</v>
      </c>
      <c r="N743" s="59">
        <v>73.7</v>
      </c>
    </row>
    <row r="744" spans="13:14">
      <c r="M744" s="59">
        <v>0.334228462</v>
      </c>
      <c r="N744" s="59">
        <v>73.8</v>
      </c>
    </row>
    <row r="745" spans="13:14">
      <c r="M745" s="59">
        <v>0.33624636099999999</v>
      </c>
      <c r="N745" s="59">
        <v>73.900000000000006</v>
      </c>
    </row>
    <row r="746" spans="13:14">
      <c r="M746" s="59">
        <v>0.33826425999999998</v>
      </c>
      <c r="N746" s="59">
        <v>74</v>
      </c>
    </row>
    <row r="747" spans="13:14">
      <c r="M747" s="59">
        <v>0.33995337599999997</v>
      </c>
      <c r="N747" s="59">
        <v>74.099999999999994</v>
      </c>
    </row>
    <row r="748" spans="13:14">
      <c r="M748" s="59">
        <v>0.34070311199999997</v>
      </c>
      <c r="N748" s="59">
        <v>74.2</v>
      </c>
    </row>
    <row r="749" spans="13:14">
      <c r="M749" s="59">
        <v>0.34145284799999998</v>
      </c>
      <c r="N749" s="59">
        <v>74.3</v>
      </c>
    </row>
    <row r="750" spans="13:14">
      <c r="M750" s="59">
        <v>0.34473972000000003</v>
      </c>
      <c r="N750" s="59">
        <v>74.400000000000006</v>
      </c>
    </row>
    <row r="751" spans="13:14">
      <c r="M751" s="59">
        <v>0.35167372499999999</v>
      </c>
      <c r="N751" s="59">
        <v>74.5</v>
      </c>
    </row>
    <row r="752" spans="13:14">
      <c r="M752" s="59">
        <v>0.35860773000000001</v>
      </c>
      <c r="N752" s="59">
        <v>74.599999999999994</v>
      </c>
    </row>
    <row r="753" spans="13:14">
      <c r="M753" s="59">
        <v>0.36777965499999998</v>
      </c>
      <c r="N753" s="59">
        <v>74.7</v>
      </c>
    </row>
    <row r="754" spans="13:14">
      <c r="M754" s="59">
        <v>0.37870102</v>
      </c>
      <c r="N754" s="59">
        <v>74.8</v>
      </c>
    </row>
    <row r="755" spans="13:14">
      <c r="M755" s="59">
        <v>0.38962238500000002</v>
      </c>
      <c r="N755" s="59">
        <v>74.900000000000006</v>
      </c>
    </row>
    <row r="756" spans="13:14">
      <c r="M756" s="59">
        <v>0.39295524999999998</v>
      </c>
      <c r="N756" s="59">
        <v>75</v>
      </c>
    </row>
    <row r="757" spans="13:14">
      <c r="M757" s="59">
        <v>0.39322236100000002</v>
      </c>
      <c r="N757" s="59">
        <v>75.099999999999994</v>
      </c>
    </row>
    <row r="758" spans="13:14">
      <c r="M758" s="59">
        <v>0.39348947200000001</v>
      </c>
      <c r="N758" s="59">
        <v>75.2</v>
      </c>
    </row>
    <row r="759" spans="13:14">
      <c r="M759" s="59">
        <v>0.398503987</v>
      </c>
      <c r="N759" s="59">
        <v>75.3</v>
      </c>
    </row>
    <row r="760" spans="13:14">
      <c r="M760" s="59">
        <v>0.404270566</v>
      </c>
      <c r="N760" s="59">
        <v>75.400000000000006</v>
      </c>
    </row>
    <row r="761" spans="13:14">
      <c r="M761" s="59">
        <v>0.410021525</v>
      </c>
      <c r="N761" s="59">
        <v>75.5</v>
      </c>
    </row>
    <row r="762" spans="13:14">
      <c r="M762" s="59">
        <v>0.41469158</v>
      </c>
      <c r="N762" s="59">
        <v>75.599999999999994</v>
      </c>
    </row>
    <row r="763" spans="13:14">
      <c r="M763" s="59">
        <v>0.41936163500000001</v>
      </c>
      <c r="N763" s="59">
        <v>75.7</v>
      </c>
    </row>
    <row r="764" spans="13:14">
      <c r="M764" s="59">
        <v>0.42344832599999999</v>
      </c>
      <c r="N764" s="59">
        <v>75.8</v>
      </c>
    </row>
    <row r="765" spans="13:14">
      <c r="M765" s="59">
        <v>0.42458802299999998</v>
      </c>
      <c r="N765" s="59">
        <v>75.900000000000006</v>
      </c>
    </row>
    <row r="766" spans="13:14">
      <c r="M766" s="59">
        <v>0.42572771999999998</v>
      </c>
      <c r="N766" s="59">
        <v>76</v>
      </c>
    </row>
    <row r="767" spans="13:14">
      <c r="M767" s="59">
        <v>0.42663465</v>
      </c>
      <c r="N767" s="59">
        <v>76.099999999999994</v>
      </c>
    </row>
    <row r="768" spans="13:14">
      <c r="M768" s="59">
        <v>0.42703829999999998</v>
      </c>
      <c r="N768" s="59">
        <v>76.2</v>
      </c>
    </row>
    <row r="769" spans="13:14">
      <c r="M769" s="59">
        <v>0.42744195000000001</v>
      </c>
      <c r="N769" s="59">
        <v>76.3</v>
      </c>
    </row>
    <row r="770" spans="13:14">
      <c r="M770" s="59">
        <v>0.43053077200000001</v>
      </c>
      <c r="N770" s="59">
        <v>76.400000000000006</v>
      </c>
    </row>
    <row r="771" spans="13:14">
      <c r="M771" s="59">
        <v>0.436681345</v>
      </c>
      <c r="N771" s="59">
        <v>76.5</v>
      </c>
    </row>
    <row r="772" spans="13:14">
      <c r="M772" s="59">
        <v>0.44283191799999999</v>
      </c>
      <c r="N772" s="59">
        <v>76.599999999999994</v>
      </c>
    </row>
    <row r="773" spans="13:14">
      <c r="M773" s="59">
        <v>0.44518954799999999</v>
      </c>
      <c r="N773" s="59">
        <v>76.7</v>
      </c>
    </row>
    <row r="774" spans="13:14">
      <c r="M774" s="59">
        <v>0.44520499200000002</v>
      </c>
      <c r="N774" s="59">
        <v>76.8</v>
      </c>
    </row>
    <row r="775" spans="13:14">
      <c r="M775" s="59">
        <v>0.445220436</v>
      </c>
      <c r="N775" s="59">
        <v>76.900000000000006</v>
      </c>
    </row>
    <row r="776" spans="13:14">
      <c r="M776" s="59">
        <v>0.45300890999999899</v>
      </c>
      <c r="N776" s="59">
        <v>77</v>
      </c>
    </row>
    <row r="777" spans="13:14">
      <c r="M777" s="59">
        <v>0.463129292999999</v>
      </c>
      <c r="N777" s="59">
        <v>77.099999999999994</v>
      </c>
    </row>
    <row r="778" spans="13:14">
      <c r="M778" s="59">
        <v>0.47324967599999901</v>
      </c>
      <c r="N778" s="59">
        <v>77.2</v>
      </c>
    </row>
    <row r="779" spans="13:14">
      <c r="M779" s="59">
        <v>0.47408671600000002</v>
      </c>
      <c r="N779" s="59">
        <v>77.3</v>
      </c>
    </row>
    <row r="780" spans="13:14">
      <c r="M780" s="59">
        <v>0.47411900800000001</v>
      </c>
      <c r="N780" s="59">
        <v>77.400000000000006</v>
      </c>
    </row>
    <row r="781" spans="13:14">
      <c r="M781" s="59">
        <v>0.47449187500000001</v>
      </c>
      <c r="N781" s="59">
        <v>77.5</v>
      </c>
    </row>
    <row r="782" spans="13:14">
      <c r="M782" s="59">
        <v>0.47930583999999998</v>
      </c>
      <c r="N782" s="59">
        <v>77.599999999999994</v>
      </c>
    </row>
    <row r="783" spans="13:14">
      <c r="M783" s="59">
        <v>0.48411980500000001</v>
      </c>
      <c r="N783" s="59">
        <v>77.7</v>
      </c>
    </row>
    <row r="784" spans="13:14">
      <c r="M784" s="59">
        <v>0.48794831799999999</v>
      </c>
      <c r="N784" s="59">
        <v>77.8</v>
      </c>
    </row>
    <row r="785" spans="13:14">
      <c r="M785" s="59">
        <v>0.48832774899999998</v>
      </c>
      <c r="N785" s="59">
        <v>77.900000000000006</v>
      </c>
    </row>
    <row r="786" spans="13:14">
      <c r="M786" s="59">
        <v>0.48870718000000002</v>
      </c>
      <c r="N786" s="59">
        <v>78</v>
      </c>
    </row>
    <row r="787" spans="13:14">
      <c r="M787" s="59">
        <v>0.49198826100000098</v>
      </c>
      <c r="N787" s="59">
        <v>78.099999999999994</v>
      </c>
    </row>
    <row r="788" spans="13:14">
      <c r="M788" s="59">
        <v>0.50014234200000096</v>
      </c>
      <c r="N788" s="59">
        <v>78.2</v>
      </c>
    </row>
    <row r="789" spans="13:14">
      <c r="M789" s="59">
        <v>0.508296423000001</v>
      </c>
      <c r="N789" s="59">
        <v>78.3</v>
      </c>
    </row>
    <row r="790" spans="13:14">
      <c r="M790" s="59">
        <v>0.51251824000000001</v>
      </c>
      <c r="N790" s="59">
        <v>78.400000000000006</v>
      </c>
    </row>
    <row r="791" spans="13:14">
      <c r="M791" s="59">
        <v>0.51317109999999999</v>
      </c>
      <c r="N791" s="59">
        <v>78.5</v>
      </c>
    </row>
    <row r="792" spans="13:14">
      <c r="M792" s="59">
        <v>0.51382395999999997</v>
      </c>
      <c r="N792" s="59">
        <v>78.599999999999994</v>
      </c>
    </row>
    <row r="793" spans="13:14">
      <c r="M793" s="59">
        <v>0.51607846599999996</v>
      </c>
      <c r="N793" s="59">
        <v>78.7</v>
      </c>
    </row>
    <row r="794" spans="13:14">
      <c r="M794" s="59">
        <v>0.519103384</v>
      </c>
      <c r="N794" s="59">
        <v>78.8</v>
      </c>
    </row>
    <row r="795" spans="13:14">
      <c r="M795" s="59">
        <v>0.52212830200000004</v>
      </c>
      <c r="N795" s="59">
        <v>78.900000000000006</v>
      </c>
    </row>
    <row r="796" spans="13:14">
      <c r="M796" s="59">
        <v>0.52479390999999997</v>
      </c>
      <c r="N796" s="59">
        <v>79</v>
      </c>
    </row>
    <row r="797" spans="13:14">
      <c r="M797" s="59">
        <v>0.52738393900000002</v>
      </c>
      <c r="N797" s="59">
        <v>79.099999999999994</v>
      </c>
    </row>
    <row r="798" spans="13:14">
      <c r="M798" s="59">
        <v>0.52997396799999996</v>
      </c>
      <c r="N798" s="59">
        <v>79.2</v>
      </c>
    </row>
    <row r="799" spans="13:14">
      <c r="M799" s="59">
        <v>0.537626677</v>
      </c>
      <c r="N799" s="59">
        <v>79.3</v>
      </c>
    </row>
    <row r="800" spans="13:14">
      <c r="M800" s="59">
        <v>0.54539746600000005</v>
      </c>
      <c r="N800" s="59">
        <v>79.400000000000006</v>
      </c>
    </row>
    <row r="801" spans="13:14">
      <c r="M801" s="59">
        <v>0.55254149500000005</v>
      </c>
      <c r="N801" s="59">
        <v>79.5</v>
      </c>
    </row>
    <row r="802" spans="13:14">
      <c r="M802" s="59">
        <v>0.55542355600000004</v>
      </c>
      <c r="N802" s="59">
        <v>79.599999999999994</v>
      </c>
    </row>
    <row r="803" spans="13:14">
      <c r="M803" s="59">
        <v>0.55830561700000003</v>
      </c>
      <c r="N803" s="59">
        <v>79.7</v>
      </c>
    </row>
    <row r="804" spans="13:14">
      <c r="M804" s="59">
        <v>0.56154057599999996</v>
      </c>
      <c r="N804" s="59">
        <v>79.8</v>
      </c>
    </row>
    <row r="805" spans="13:14">
      <c r="M805" s="59">
        <v>0.56568658800000005</v>
      </c>
      <c r="N805" s="59">
        <v>79.900000000000006</v>
      </c>
    </row>
    <row r="806" spans="13:14">
      <c r="M806" s="59">
        <v>0.56983260000000002</v>
      </c>
      <c r="N806" s="59">
        <v>80</v>
      </c>
    </row>
    <row r="807" spans="13:14">
      <c r="M807" s="59">
        <v>0.57386445600000002</v>
      </c>
      <c r="N807" s="59">
        <v>80.099999999999994</v>
      </c>
    </row>
    <row r="808" spans="13:14">
      <c r="M808" s="59">
        <v>0.57774511200000001</v>
      </c>
      <c r="N808" s="59">
        <v>80.2</v>
      </c>
    </row>
    <row r="809" spans="13:14">
      <c r="M809" s="59">
        <v>0.58162576799999999</v>
      </c>
      <c r="N809" s="59">
        <v>80.3</v>
      </c>
    </row>
    <row r="810" spans="13:14">
      <c r="M810" s="59">
        <v>0.58374814799999997</v>
      </c>
      <c r="N810" s="59">
        <v>80.400000000000006</v>
      </c>
    </row>
    <row r="811" spans="13:14">
      <c r="M811" s="59">
        <v>0.58460353499999995</v>
      </c>
      <c r="N811" s="59">
        <v>80.5</v>
      </c>
    </row>
    <row r="812" spans="13:14">
      <c r="M812" s="59">
        <v>0.58545892200000005</v>
      </c>
      <c r="N812" s="59">
        <v>80.599999999999994</v>
      </c>
    </row>
    <row r="813" spans="13:14">
      <c r="M813" s="59">
        <v>0.59900162800000001</v>
      </c>
      <c r="N813" s="59">
        <v>80.7</v>
      </c>
    </row>
    <row r="814" spans="13:14">
      <c r="M814" s="59">
        <v>0.61718483199999996</v>
      </c>
      <c r="N814" s="59">
        <v>80.8</v>
      </c>
    </row>
    <row r="815" spans="13:14">
      <c r="M815" s="59">
        <v>0.63536803600000002</v>
      </c>
      <c r="N815" s="59">
        <v>80.900000000000006</v>
      </c>
    </row>
    <row r="816" spans="13:14">
      <c r="M816" s="59">
        <v>0.63807820999999998</v>
      </c>
      <c r="N816" s="59">
        <v>81</v>
      </c>
    </row>
    <row r="817" spans="13:14">
      <c r="M817" s="59">
        <v>0.63874195099999997</v>
      </c>
      <c r="N817" s="59">
        <v>81.099999999999994</v>
      </c>
    </row>
    <row r="818" spans="13:14">
      <c r="M818" s="59">
        <v>0.63952811600000004</v>
      </c>
      <c r="N818" s="59">
        <v>81.2</v>
      </c>
    </row>
    <row r="819" spans="13:14">
      <c r="M819" s="59">
        <v>0.64377275899999997</v>
      </c>
      <c r="N819" s="59">
        <v>81.3</v>
      </c>
    </row>
    <row r="820" spans="13:14">
      <c r="M820" s="59">
        <v>0.64801740200000002</v>
      </c>
      <c r="N820" s="59">
        <v>81.400000000000006</v>
      </c>
    </row>
    <row r="821" spans="13:14">
      <c r="M821" s="59">
        <v>0.65225652000000001</v>
      </c>
      <c r="N821" s="59">
        <v>81.5</v>
      </c>
    </row>
    <row r="822" spans="13:14">
      <c r="M822" s="59">
        <v>0.65647132799999997</v>
      </c>
      <c r="N822" s="59">
        <v>81.599999999999994</v>
      </c>
    </row>
    <row r="823" spans="13:14">
      <c r="M823" s="59">
        <v>0.66068613600000003</v>
      </c>
      <c r="N823" s="59">
        <v>81.7</v>
      </c>
    </row>
    <row r="824" spans="13:14">
      <c r="M824" s="59">
        <v>0.67043302000000005</v>
      </c>
      <c r="N824" s="59">
        <v>81.8</v>
      </c>
    </row>
    <row r="825" spans="13:14">
      <c r="M825" s="59">
        <v>0.69110340999999997</v>
      </c>
      <c r="N825" s="59">
        <v>81.900000000000006</v>
      </c>
    </row>
    <row r="826" spans="13:14">
      <c r="M826" s="59">
        <v>0.71177380000000301</v>
      </c>
      <c r="N826" s="59">
        <v>82</v>
      </c>
    </row>
    <row r="827" spans="13:14">
      <c r="M827" s="59">
        <v>0.72378115899999995</v>
      </c>
      <c r="N827" s="59">
        <v>82.1</v>
      </c>
    </row>
    <row r="828" spans="13:14">
      <c r="M828" s="59">
        <v>0.726669538</v>
      </c>
      <c r="N828" s="59">
        <v>82.2</v>
      </c>
    </row>
    <row r="829" spans="13:14">
      <c r="M829" s="59">
        <v>0.72955791699999994</v>
      </c>
      <c r="N829" s="59">
        <v>82.3</v>
      </c>
    </row>
    <row r="830" spans="13:14">
      <c r="M830" s="59">
        <v>0.73586207200000098</v>
      </c>
      <c r="N830" s="59">
        <v>82.4</v>
      </c>
    </row>
    <row r="831" spans="13:14">
      <c r="M831" s="59">
        <v>0.74410285000000098</v>
      </c>
      <c r="N831" s="59">
        <v>82.5</v>
      </c>
    </row>
    <row r="832" spans="13:14">
      <c r="M832" s="59">
        <v>0.75234362800000099</v>
      </c>
      <c r="N832" s="59">
        <v>82.6</v>
      </c>
    </row>
    <row r="833" spans="13:14">
      <c r="M833" s="59">
        <v>0.75431645000000003</v>
      </c>
      <c r="N833" s="59">
        <v>82.7</v>
      </c>
    </row>
    <row r="834" spans="13:14">
      <c r="M834" s="59">
        <v>0.75461480000000003</v>
      </c>
      <c r="N834" s="59">
        <v>82.8</v>
      </c>
    </row>
    <row r="835" spans="13:14">
      <c r="M835" s="59">
        <v>0.75491315000000003</v>
      </c>
      <c r="N835" s="59">
        <v>82.9</v>
      </c>
    </row>
    <row r="836" spans="13:14">
      <c r="M836" s="59">
        <v>0.76207814000000096</v>
      </c>
      <c r="N836" s="59">
        <v>83</v>
      </c>
    </row>
    <row r="837" spans="13:14">
      <c r="M837" s="59">
        <v>0.76968009800000103</v>
      </c>
      <c r="N837" s="59">
        <v>83.1</v>
      </c>
    </row>
    <row r="838" spans="13:14">
      <c r="M838" s="59">
        <v>0.77751261600000099</v>
      </c>
      <c r="N838" s="59">
        <v>83.2</v>
      </c>
    </row>
    <row r="839" spans="13:14">
      <c r="M839" s="59">
        <v>0.78764352899999901</v>
      </c>
      <c r="N839" s="59">
        <v>83.3</v>
      </c>
    </row>
    <row r="840" spans="13:14">
      <c r="M840" s="59">
        <v>0.79777444199999903</v>
      </c>
      <c r="N840" s="59">
        <v>83.4</v>
      </c>
    </row>
    <row r="841" spans="13:14">
      <c r="M841" s="59">
        <v>0.80579395499999995</v>
      </c>
      <c r="N841" s="59">
        <v>83.5</v>
      </c>
    </row>
    <row r="842" spans="13:14">
      <c r="M842" s="59">
        <v>0.80720602799999996</v>
      </c>
      <c r="N842" s="59">
        <v>83.6</v>
      </c>
    </row>
    <row r="843" spans="13:14">
      <c r="M843" s="59">
        <v>0.80861810099999998</v>
      </c>
      <c r="N843" s="59">
        <v>83.7</v>
      </c>
    </row>
    <row r="844" spans="13:14">
      <c r="M844" s="59">
        <v>0.81021909599999997</v>
      </c>
      <c r="N844" s="59">
        <v>83.8</v>
      </c>
    </row>
    <row r="845" spans="13:14">
      <c r="M845" s="59">
        <v>0.812111688</v>
      </c>
      <c r="N845" s="59">
        <v>83.9</v>
      </c>
    </row>
    <row r="846" spans="13:14">
      <c r="M846" s="59">
        <v>0.81400428000000002</v>
      </c>
      <c r="N846" s="59">
        <v>84</v>
      </c>
    </row>
    <row r="847" spans="13:14">
      <c r="M847" s="59">
        <v>0.81753717999999997</v>
      </c>
      <c r="N847" s="59">
        <v>84.1</v>
      </c>
    </row>
    <row r="848" spans="13:14">
      <c r="M848" s="59">
        <v>0.82244415999999998</v>
      </c>
      <c r="N848" s="59">
        <v>84.2</v>
      </c>
    </row>
    <row r="849" spans="13:14">
      <c r="M849" s="59">
        <v>0.82735113999999998</v>
      </c>
      <c r="N849" s="59">
        <v>84.3</v>
      </c>
    </row>
    <row r="850" spans="13:14">
      <c r="M850" s="59">
        <v>0.83124210399999998</v>
      </c>
      <c r="N850" s="59">
        <v>84.4</v>
      </c>
    </row>
    <row r="851" spans="13:14">
      <c r="M851" s="59">
        <v>0.83468752000000002</v>
      </c>
      <c r="N851" s="59">
        <v>84.5</v>
      </c>
    </row>
    <row r="852" spans="13:14">
      <c r="M852" s="59">
        <v>0.83813293600000005</v>
      </c>
      <c r="N852" s="59">
        <v>84.6</v>
      </c>
    </row>
    <row r="853" spans="13:14">
      <c r="M853" s="59">
        <v>0.840606568</v>
      </c>
      <c r="N853" s="59">
        <v>84.7</v>
      </c>
    </row>
    <row r="854" spans="13:14">
      <c r="M854" s="59">
        <v>0.84290351200000002</v>
      </c>
      <c r="N854" s="59">
        <v>84.8</v>
      </c>
    </row>
    <row r="855" spans="13:14">
      <c r="M855" s="59">
        <v>0.84520045600000004</v>
      </c>
      <c r="N855" s="59">
        <v>84.9</v>
      </c>
    </row>
    <row r="856" spans="13:14">
      <c r="M856" s="59">
        <v>0.86318439999999796</v>
      </c>
      <c r="N856" s="59">
        <v>85</v>
      </c>
    </row>
    <row r="857" spans="13:14">
      <c r="M857" s="59">
        <v>0.88121316399999805</v>
      </c>
      <c r="N857" s="59">
        <v>85.1</v>
      </c>
    </row>
    <row r="858" spans="13:14">
      <c r="M858" s="59">
        <v>0.89773990800000003</v>
      </c>
      <c r="N858" s="59">
        <v>85.2</v>
      </c>
    </row>
    <row r="859" spans="13:14">
      <c r="M859" s="59">
        <v>0.905630037000001</v>
      </c>
      <c r="N859" s="59">
        <v>85.3</v>
      </c>
    </row>
    <row r="860" spans="13:14">
      <c r="M860" s="59">
        <v>0.91352016600000097</v>
      </c>
      <c r="N860" s="59">
        <v>85.4</v>
      </c>
    </row>
    <row r="861" spans="13:14">
      <c r="M861" s="59">
        <v>0.92688783000000097</v>
      </c>
      <c r="N861" s="59">
        <v>85.5</v>
      </c>
    </row>
    <row r="862" spans="13:14">
      <c r="M862" s="59">
        <v>0.95308857600000096</v>
      </c>
      <c r="N862" s="59">
        <v>85.6</v>
      </c>
    </row>
    <row r="863" spans="13:14">
      <c r="M863" s="59">
        <v>0.97928932200000096</v>
      </c>
      <c r="N863" s="59">
        <v>85.7</v>
      </c>
    </row>
    <row r="864" spans="13:14">
      <c r="M864" s="59">
        <v>0.99427538599999998</v>
      </c>
      <c r="N864" s="59">
        <v>85.8</v>
      </c>
    </row>
    <row r="865" spans="13:14">
      <c r="M865" s="59">
        <v>0.99556250300000004</v>
      </c>
      <c r="N865" s="59">
        <v>85.9</v>
      </c>
    </row>
    <row r="866" spans="13:14">
      <c r="M866" s="59">
        <v>0.99684961999999999</v>
      </c>
      <c r="N866" s="59">
        <v>86</v>
      </c>
    </row>
    <row r="867" spans="13:14">
      <c r="M867" s="59">
        <v>0.99944451499999998</v>
      </c>
      <c r="N867" s="59">
        <v>86.1</v>
      </c>
    </row>
    <row r="868" spans="13:14">
      <c r="M868" s="59">
        <v>1.0029071300000001</v>
      </c>
      <c r="N868" s="59">
        <v>86.2</v>
      </c>
    </row>
    <row r="869" spans="13:14">
      <c r="M869" s="59">
        <v>1.006369745</v>
      </c>
      <c r="N869" s="59">
        <v>86.3</v>
      </c>
    </row>
    <row r="870" spans="13:14">
      <c r="M870" s="59">
        <v>1.0124245759999999</v>
      </c>
      <c r="N870" s="59">
        <v>86.4</v>
      </c>
    </row>
    <row r="871" spans="13:14">
      <c r="M871" s="59">
        <v>1.01933366</v>
      </c>
      <c r="N871" s="59">
        <v>86.5</v>
      </c>
    </row>
    <row r="872" spans="13:14">
      <c r="M872" s="59">
        <v>1.0262427439999999</v>
      </c>
      <c r="N872" s="59">
        <v>86.6</v>
      </c>
    </row>
    <row r="873" spans="13:14">
      <c r="M873" s="59">
        <v>1.0464712169999999</v>
      </c>
      <c r="N873" s="59">
        <v>86.7</v>
      </c>
    </row>
    <row r="874" spans="13:14">
      <c r="M874" s="59">
        <v>1.0681282679999999</v>
      </c>
      <c r="N874" s="59">
        <v>86.8</v>
      </c>
    </row>
    <row r="875" spans="13:14">
      <c r="M875" s="59">
        <v>1.0888219429999999</v>
      </c>
      <c r="N875" s="59">
        <v>86.9</v>
      </c>
    </row>
    <row r="876" spans="13:14">
      <c r="M876" s="59">
        <v>1.0926818899999999</v>
      </c>
      <c r="N876" s="59">
        <v>87</v>
      </c>
    </row>
    <row r="877" spans="13:14">
      <c r="M877" s="59">
        <v>1.096541837</v>
      </c>
      <c r="N877" s="59">
        <v>87.1</v>
      </c>
    </row>
    <row r="878" spans="13:14">
      <c r="M878" s="59">
        <v>1.103176808</v>
      </c>
      <c r="N878" s="59">
        <v>87.2</v>
      </c>
    </row>
    <row r="879" spans="13:14">
      <c r="M879" s="59">
        <v>1.120564997</v>
      </c>
      <c r="N879" s="59">
        <v>87.3</v>
      </c>
    </row>
    <row r="880" spans="13:14">
      <c r="M880" s="59">
        <v>1.1379531860000001</v>
      </c>
      <c r="N880" s="59">
        <v>87.4</v>
      </c>
    </row>
    <row r="881" spans="13:14">
      <c r="M881" s="59">
        <v>1.15342525</v>
      </c>
      <c r="N881" s="59">
        <v>87.5</v>
      </c>
    </row>
    <row r="882" spans="13:14">
      <c r="M882" s="59">
        <v>1.16543296</v>
      </c>
      <c r="N882" s="59">
        <v>87.6</v>
      </c>
    </row>
    <row r="883" spans="13:14">
      <c r="M883" s="59">
        <v>1.17744067</v>
      </c>
      <c r="N883" s="59">
        <v>87.7</v>
      </c>
    </row>
    <row r="884" spans="13:14">
      <c r="M884" s="59">
        <v>1.1847498919999999</v>
      </c>
      <c r="N884" s="59">
        <v>87.8</v>
      </c>
    </row>
    <row r="885" spans="13:14">
      <c r="M885" s="59">
        <v>1.187492606</v>
      </c>
      <c r="N885" s="59">
        <v>87.9</v>
      </c>
    </row>
    <row r="886" spans="13:14">
      <c r="M886" s="59">
        <v>1.19023532</v>
      </c>
      <c r="N886" s="59">
        <v>88</v>
      </c>
    </row>
    <row r="887" spans="13:14">
      <c r="M887" s="59">
        <v>1.1944448839999999</v>
      </c>
      <c r="N887" s="59">
        <v>88.1</v>
      </c>
    </row>
    <row r="888" spans="13:14">
      <c r="M888" s="59">
        <v>1.199416448</v>
      </c>
      <c r="N888" s="59">
        <v>88.2</v>
      </c>
    </row>
    <row r="889" spans="13:14">
      <c r="M889" s="59">
        <v>1.2043880119999999</v>
      </c>
      <c r="N889" s="59">
        <v>88.3</v>
      </c>
    </row>
    <row r="890" spans="13:14">
      <c r="M890" s="59">
        <v>1.2102064640000001</v>
      </c>
      <c r="N890" s="59">
        <v>88.4</v>
      </c>
    </row>
    <row r="891" spans="13:14">
      <c r="M891" s="59">
        <v>1.2162247100000001</v>
      </c>
      <c r="N891" s="59">
        <v>88.5</v>
      </c>
    </row>
    <row r="892" spans="13:14">
      <c r="M892" s="59">
        <v>1.2222429560000001</v>
      </c>
      <c r="N892" s="59">
        <v>88.6</v>
      </c>
    </row>
    <row r="893" spans="13:14">
      <c r="M893" s="59">
        <v>1.2298845309999999</v>
      </c>
      <c r="N893" s="59">
        <v>88.7</v>
      </c>
    </row>
    <row r="894" spans="13:14">
      <c r="M894" s="59">
        <v>1.2375935440000001</v>
      </c>
      <c r="N894" s="59">
        <v>88.8</v>
      </c>
    </row>
    <row r="895" spans="13:14">
      <c r="M895" s="59">
        <v>1.2463491609999999</v>
      </c>
      <c r="N895" s="59">
        <v>88.9</v>
      </c>
    </row>
    <row r="896" spans="13:14">
      <c r="M896" s="59">
        <v>1.26347761</v>
      </c>
      <c r="N896" s="59">
        <v>89</v>
      </c>
    </row>
    <row r="897" spans="13:14">
      <c r="M897" s="59">
        <v>1.2806060589999999</v>
      </c>
      <c r="N897" s="59">
        <v>89.1</v>
      </c>
    </row>
    <row r="898" spans="13:14">
      <c r="M898" s="59">
        <v>1.2940763120000001</v>
      </c>
      <c r="N898" s="59">
        <v>89.2</v>
      </c>
    </row>
    <row r="899" spans="13:14">
      <c r="M899" s="59">
        <v>1.2972479480000001</v>
      </c>
      <c r="N899" s="59">
        <v>89.3</v>
      </c>
    </row>
    <row r="900" spans="13:14">
      <c r="M900" s="59">
        <v>1.3004195839999999</v>
      </c>
      <c r="N900" s="59">
        <v>89.4</v>
      </c>
    </row>
    <row r="901" spans="13:14">
      <c r="M901" s="59">
        <v>1.30471062</v>
      </c>
      <c r="N901" s="59">
        <v>89.5</v>
      </c>
    </row>
    <row r="902" spans="13:14">
      <c r="M902" s="59">
        <v>1.310591976</v>
      </c>
      <c r="N902" s="59">
        <v>89.6</v>
      </c>
    </row>
    <row r="903" spans="13:14">
      <c r="M903" s="59">
        <v>1.3164733319999999</v>
      </c>
      <c r="N903" s="59">
        <v>89.7</v>
      </c>
    </row>
    <row r="904" spans="13:14">
      <c r="M904" s="59">
        <v>1.327919082</v>
      </c>
      <c r="N904" s="59">
        <v>89.8</v>
      </c>
    </row>
    <row r="905" spans="13:14">
      <c r="M905" s="59">
        <v>1.343664591</v>
      </c>
      <c r="N905" s="59">
        <v>89.9</v>
      </c>
    </row>
    <row r="906" spans="13:14">
      <c r="M906" s="59">
        <v>1.3594101000000001</v>
      </c>
      <c r="N906" s="59">
        <v>90</v>
      </c>
    </row>
    <row r="907" spans="13:14">
      <c r="M907" s="59">
        <v>1.365949933</v>
      </c>
      <c r="N907" s="59">
        <v>90.1</v>
      </c>
    </row>
    <row r="908" spans="13:14">
      <c r="M908" s="59">
        <v>1.368822166</v>
      </c>
      <c r="N908" s="59">
        <v>90.2</v>
      </c>
    </row>
    <row r="909" spans="13:14">
      <c r="M909" s="59">
        <v>1.3716943989999999</v>
      </c>
      <c r="N909" s="59">
        <v>90.3</v>
      </c>
    </row>
    <row r="910" spans="13:14">
      <c r="M910" s="59">
        <v>1.3744468560000001</v>
      </c>
      <c r="N910" s="59">
        <v>90.4</v>
      </c>
    </row>
    <row r="911" spans="13:14">
      <c r="M911" s="59">
        <v>1.3771807949999999</v>
      </c>
      <c r="N911" s="59">
        <v>90.5</v>
      </c>
    </row>
    <row r="912" spans="13:14">
      <c r="M912" s="59">
        <v>1.3806247380000001</v>
      </c>
      <c r="N912" s="59">
        <v>90.6</v>
      </c>
    </row>
    <row r="913" spans="13:14">
      <c r="M913" s="59">
        <v>1.4248939110000001</v>
      </c>
      <c r="N913" s="59">
        <v>90.7</v>
      </c>
    </row>
    <row r="914" spans="13:14">
      <c r="M914" s="59">
        <v>1.4691630840000001</v>
      </c>
      <c r="N914" s="59">
        <v>90.8</v>
      </c>
    </row>
    <row r="915" spans="13:14">
      <c r="M915" s="59">
        <v>1.508791671</v>
      </c>
      <c r="N915" s="59">
        <v>90.9</v>
      </c>
    </row>
    <row r="916" spans="13:14">
      <c r="M916" s="59">
        <v>1.52545329</v>
      </c>
      <c r="N916" s="59">
        <v>91</v>
      </c>
    </row>
    <row r="917" spans="13:14">
      <c r="M917" s="59">
        <v>1.5421149089999999</v>
      </c>
      <c r="N917" s="59">
        <v>91.1</v>
      </c>
    </row>
    <row r="918" spans="13:14">
      <c r="M918" s="59">
        <v>1.5564884800000001</v>
      </c>
      <c r="N918" s="59">
        <v>91.2</v>
      </c>
    </row>
    <row r="919" spans="13:14">
      <c r="M919" s="59">
        <v>1.56597952</v>
      </c>
      <c r="N919" s="59">
        <v>91.3</v>
      </c>
    </row>
    <row r="920" spans="13:14">
      <c r="M920" s="59">
        <v>1.5754705600000001</v>
      </c>
      <c r="N920" s="59">
        <v>91.4</v>
      </c>
    </row>
    <row r="921" spans="13:14">
      <c r="M921" s="59">
        <v>1.5858276849999999</v>
      </c>
      <c r="N921" s="59">
        <v>91.5</v>
      </c>
    </row>
    <row r="922" spans="13:14">
      <c r="M922" s="59">
        <v>1.5971611240000001</v>
      </c>
      <c r="N922" s="59">
        <v>91.6</v>
      </c>
    </row>
    <row r="923" spans="13:14">
      <c r="M923" s="59">
        <v>1.608494563</v>
      </c>
      <c r="N923" s="59">
        <v>91.7</v>
      </c>
    </row>
    <row r="924" spans="13:14">
      <c r="M924" s="59">
        <v>1.6500340819999999</v>
      </c>
      <c r="N924" s="59">
        <v>91.8</v>
      </c>
    </row>
    <row r="925" spans="13:14">
      <c r="M925" s="59">
        <v>1.7100020810000001</v>
      </c>
      <c r="N925" s="59">
        <v>91.9</v>
      </c>
    </row>
    <row r="926" spans="13:14">
      <c r="M926" s="59">
        <v>1.76997008</v>
      </c>
      <c r="N926" s="59">
        <v>92</v>
      </c>
    </row>
    <row r="927" spans="13:14">
      <c r="M927" s="59">
        <v>1.7879631600000001</v>
      </c>
      <c r="N927" s="59">
        <v>92.1</v>
      </c>
    </row>
    <row r="928" spans="13:14">
      <c r="M928" s="59">
        <v>1.79356512</v>
      </c>
      <c r="N928" s="59">
        <v>92.2</v>
      </c>
    </row>
    <row r="929" spans="13:14">
      <c r="M929" s="59">
        <v>1.7991670799999999</v>
      </c>
      <c r="N929" s="59">
        <v>92.3</v>
      </c>
    </row>
    <row r="930" spans="13:14">
      <c r="M930" s="59">
        <v>1.8026060159999999</v>
      </c>
      <c r="N930" s="59">
        <v>92.4</v>
      </c>
    </row>
    <row r="931" spans="13:14">
      <c r="M931" s="59">
        <v>1.8058647000000001</v>
      </c>
      <c r="N931" s="59">
        <v>92.5</v>
      </c>
    </row>
    <row r="932" spans="13:14">
      <c r="M932" s="59">
        <v>1.8094984860000001</v>
      </c>
      <c r="N932" s="59">
        <v>92.6</v>
      </c>
    </row>
    <row r="933" spans="13:14">
      <c r="M933" s="59">
        <v>1.817821047</v>
      </c>
      <c r="N933" s="59">
        <v>92.7</v>
      </c>
    </row>
    <row r="934" spans="13:14">
      <c r="M934" s="59">
        <v>1.826143608</v>
      </c>
      <c r="N934" s="59">
        <v>92.8</v>
      </c>
    </row>
    <row r="935" spans="13:14">
      <c r="M935" s="59">
        <v>1.835025489</v>
      </c>
      <c r="N935" s="59">
        <v>92.9</v>
      </c>
    </row>
    <row r="936" spans="13:14">
      <c r="M936" s="59">
        <v>1.8458331299999999</v>
      </c>
      <c r="N936" s="59">
        <v>93</v>
      </c>
    </row>
    <row r="937" spans="13:14">
      <c r="M937" s="59">
        <v>1.8566407709999999</v>
      </c>
      <c r="N937" s="59">
        <v>93.1</v>
      </c>
    </row>
    <row r="938" spans="13:14">
      <c r="M938" s="59">
        <v>1.8635457</v>
      </c>
      <c r="N938" s="59">
        <v>93.2</v>
      </c>
    </row>
    <row r="939" spans="13:14">
      <c r="M939" s="59">
        <v>1.8639756750000001</v>
      </c>
      <c r="N939" s="59">
        <v>93.3</v>
      </c>
    </row>
    <row r="940" spans="13:14">
      <c r="M940" s="59">
        <v>1.8644056499999999</v>
      </c>
      <c r="N940" s="59">
        <v>93.4</v>
      </c>
    </row>
    <row r="941" spans="13:14">
      <c r="M941" s="59">
        <v>1.8752226350000001</v>
      </c>
      <c r="N941" s="59">
        <v>93.5</v>
      </c>
    </row>
    <row r="942" spans="13:14">
      <c r="M942" s="59">
        <v>1.895359856</v>
      </c>
      <c r="N942" s="59">
        <v>93.6</v>
      </c>
    </row>
    <row r="943" spans="13:14">
      <c r="M943" s="59">
        <v>1.9154970769999999</v>
      </c>
      <c r="N943" s="59">
        <v>93.7</v>
      </c>
    </row>
    <row r="944" spans="13:14">
      <c r="M944" s="59">
        <v>1.9597403659999999</v>
      </c>
      <c r="N944" s="59">
        <v>93.8</v>
      </c>
    </row>
    <row r="945" spans="13:14">
      <c r="M945" s="59">
        <v>2.0154289730000001</v>
      </c>
      <c r="N945" s="59">
        <v>93.9</v>
      </c>
    </row>
    <row r="946" spans="13:14">
      <c r="M946" s="59">
        <v>2.0711175800000001</v>
      </c>
      <c r="N946" s="59">
        <v>94</v>
      </c>
    </row>
    <row r="947" spans="13:14">
      <c r="M947" s="59">
        <v>2.090469599</v>
      </c>
      <c r="N947" s="59">
        <v>94.1</v>
      </c>
    </row>
    <row r="948" spans="13:14">
      <c r="M948" s="59">
        <v>2.1023295380000002</v>
      </c>
      <c r="N948" s="59">
        <v>94.2</v>
      </c>
    </row>
    <row r="949" spans="13:14">
      <c r="M949" s="59">
        <v>2.114189477</v>
      </c>
      <c r="N949" s="59">
        <v>94.3</v>
      </c>
    </row>
    <row r="950" spans="13:14">
      <c r="M950" s="59">
        <v>2.1236221519999998</v>
      </c>
      <c r="N950" s="59">
        <v>94.4</v>
      </c>
    </row>
    <row r="951" spans="13:14">
      <c r="M951" s="59">
        <v>2.1330054349999998</v>
      </c>
      <c r="N951" s="59">
        <v>94.5</v>
      </c>
    </row>
    <row r="952" spans="13:14">
      <c r="M952" s="59">
        <v>2.1436174700000001</v>
      </c>
      <c r="N952" s="59">
        <v>94.6</v>
      </c>
    </row>
    <row r="953" spans="13:14">
      <c r="M953" s="59">
        <v>2.162376665</v>
      </c>
      <c r="N953" s="59">
        <v>94.7</v>
      </c>
    </row>
    <row r="954" spans="13:14">
      <c r="M954" s="59">
        <v>2.1811358599999999</v>
      </c>
      <c r="N954" s="59">
        <v>94.8</v>
      </c>
    </row>
    <row r="955" spans="13:14">
      <c r="M955" s="59">
        <v>2.1999301010000001</v>
      </c>
      <c r="N955" s="59">
        <v>94.9</v>
      </c>
    </row>
    <row r="956" spans="13:14">
      <c r="M956" s="59">
        <v>2.2188135500000001</v>
      </c>
      <c r="N956" s="59">
        <v>95</v>
      </c>
    </row>
    <row r="957" spans="13:14">
      <c r="M957" s="59">
        <v>2.2376969990000002</v>
      </c>
      <c r="N957" s="59">
        <v>95.1</v>
      </c>
    </row>
    <row r="958" spans="13:14">
      <c r="M958" s="59">
        <v>2.2487000080000001</v>
      </c>
      <c r="N958" s="59">
        <v>95.2</v>
      </c>
    </row>
    <row r="959" spans="13:14">
      <c r="M959" s="59">
        <v>2.249385862</v>
      </c>
      <c r="N959" s="59">
        <v>95.3</v>
      </c>
    </row>
    <row r="960" spans="13:14">
      <c r="M960" s="59">
        <v>2.2500717159999999</v>
      </c>
      <c r="N960" s="59">
        <v>95.4</v>
      </c>
    </row>
    <row r="961" spans="13:14">
      <c r="M961" s="59">
        <v>2.2607609549999998</v>
      </c>
      <c r="N961" s="59">
        <v>95.5</v>
      </c>
    </row>
    <row r="962" spans="13:14">
      <c r="M962" s="59">
        <v>2.2785745560000001</v>
      </c>
      <c r="N962" s="59">
        <v>95.6</v>
      </c>
    </row>
    <row r="963" spans="13:14">
      <c r="M963" s="59">
        <v>2.296388157</v>
      </c>
      <c r="N963" s="59">
        <v>95.7</v>
      </c>
    </row>
    <row r="964" spans="13:14">
      <c r="M964" s="59">
        <v>2.3031557459999998</v>
      </c>
      <c r="N964" s="59">
        <v>95.8</v>
      </c>
    </row>
    <row r="965" spans="13:14">
      <c r="M965" s="59">
        <v>2.3059416330000002</v>
      </c>
      <c r="N965" s="59">
        <v>95.9</v>
      </c>
    </row>
    <row r="966" spans="13:14">
      <c r="M966" s="59">
        <v>2.3087275200000001</v>
      </c>
      <c r="N966" s="59">
        <v>96</v>
      </c>
    </row>
    <row r="967" spans="13:14">
      <c r="M967" s="59">
        <v>2.332791405</v>
      </c>
      <c r="N967" s="59">
        <v>96.1</v>
      </c>
    </row>
    <row r="968" spans="13:14">
      <c r="M968" s="59">
        <v>2.3595920100000001</v>
      </c>
      <c r="N968" s="59">
        <v>96.2</v>
      </c>
    </row>
    <row r="969" spans="13:14">
      <c r="M969" s="59">
        <v>2.3861344739999999</v>
      </c>
      <c r="N969" s="59">
        <v>96.3</v>
      </c>
    </row>
    <row r="970" spans="13:14">
      <c r="M970" s="59">
        <v>2.405965272</v>
      </c>
      <c r="N970" s="59">
        <v>96.4</v>
      </c>
    </row>
    <row r="971" spans="13:14">
      <c r="M971" s="59">
        <v>2.4257960700000001</v>
      </c>
      <c r="N971" s="59">
        <v>96.5</v>
      </c>
    </row>
    <row r="972" spans="13:14">
      <c r="M972" s="59">
        <v>2.444989836</v>
      </c>
      <c r="N972" s="59">
        <v>96.6</v>
      </c>
    </row>
    <row r="973" spans="13:14">
      <c r="M973" s="59">
        <v>2.4614327820000002</v>
      </c>
      <c r="N973" s="59">
        <v>96.7</v>
      </c>
    </row>
    <row r="974" spans="13:14">
      <c r="M974" s="59">
        <v>2.4778757279999999</v>
      </c>
      <c r="N974" s="59">
        <v>96.8</v>
      </c>
    </row>
    <row r="975" spans="13:14">
      <c r="M975" s="59">
        <v>2.4971983550000001</v>
      </c>
      <c r="N975" s="59">
        <v>96.9</v>
      </c>
    </row>
    <row r="976" spans="13:14">
      <c r="M976" s="59">
        <v>2.52213515</v>
      </c>
      <c r="N976" s="59">
        <v>97</v>
      </c>
    </row>
    <row r="977" spans="13:14">
      <c r="M977" s="59">
        <v>2.5470719449999999</v>
      </c>
      <c r="N977" s="59">
        <v>97.1</v>
      </c>
    </row>
    <row r="978" spans="13:14">
      <c r="M978" s="59">
        <v>2.5697044560000002</v>
      </c>
      <c r="N978" s="59">
        <v>97.2</v>
      </c>
    </row>
    <row r="979" spans="13:14">
      <c r="M979" s="59">
        <v>2.5899389039999998</v>
      </c>
      <c r="N979" s="59">
        <v>97.3</v>
      </c>
    </row>
    <row r="980" spans="13:14">
      <c r="M980" s="59">
        <v>2.6101733519999999</v>
      </c>
      <c r="N980" s="59">
        <v>97.4</v>
      </c>
    </row>
    <row r="981" spans="13:14">
      <c r="M981" s="59">
        <v>2.6272292249999998</v>
      </c>
      <c r="N981" s="59">
        <v>97.5</v>
      </c>
    </row>
    <row r="982" spans="13:14">
      <c r="M982" s="59">
        <v>2.6425050959999998</v>
      </c>
      <c r="N982" s="59">
        <v>97.6</v>
      </c>
    </row>
    <row r="983" spans="13:14">
      <c r="M983" s="59">
        <v>2.6577809669999999</v>
      </c>
      <c r="N983" s="59">
        <v>97.7</v>
      </c>
    </row>
    <row r="984" spans="13:14">
      <c r="M984" s="59">
        <v>2.7045097579999999</v>
      </c>
      <c r="N984" s="59">
        <v>97.8</v>
      </c>
    </row>
    <row r="985" spans="13:14">
      <c r="M985" s="59">
        <v>2.7594977690000002</v>
      </c>
      <c r="N985" s="59">
        <v>97.9</v>
      </c>
    </row>
    <row r="986" spans="13:14">
      <c r="M986" s="59">
        <v>2.81448578</v>
      </c>
      <c r="N986" s="59">
        <v>98</v>
      </c>
    </row>
    <row r="987" spans="13:14">
      <c r="M987" s="59">
        <v>2.8632109400000001</v>
      </c>
      <c r="N987" s="59">
        <v>98.1</v>
      </c>
    </row>
    <row r="988" spans="13:14">
      <c r="M988" s="59">
        <v>2.91155768</v>
      </c>
      <c r="N988" s="59">
        <v>98.2</v>
      </c>
    </row>
    <row r="989" spans="13:14">
      <c r="M989" s="59">
        <v>2.9561556530000002</v>
      </c>
      <c r="N989" s="59">
        <v>98.3</v>
      </c>
    </row>
    <row r="990" spans="13:14">
      <c r="M990" s="59">
        <v>2.9646291439999999</v>
      </c>
      <c r="N990" s="59">
        <v>98.4</v>
      </c>
    </row>
    <row r="991" spans="13:14">
      <c r="M991" s="59">
        <v>2.973102635</v>
      </c>
      <c r="N991" s="59">
        <v>98.5</v>
      </c>
    </row>
    <row r="992" spans="13:14">
      <c r="M992" s="59">
        <v>3.010410034</v>
      </c>
      <c r="N992" s="59">
        <v>98.6</v>
      </c>
    </row>
    <row r="993" spans="13:14">
      <c r="M993" s="59">
        <v>3.1365661029999998</v>
      </c>
      <c r="N993" s="59">
        <v>98.7</v>
      </c>
    </row>
    <row r="994" spans="13:14">
      <c r="M994" s="59">
        <v>3.2627221720000001</v>
      </c>
      <c r="N994" s="59">
        <v>98.8</v>
      </c>
    </row>
    <row r="995" spans="13:14">
      <c r="M995" s="59">
        <v>3.352429522</v>
      </c>
      <c r="N995" s="59">
        <v>98.9</v>
      </c>
    </row>
    <row r="996" spans="13:14">
      <c r="M996" s="59">
        <v>3.3865460199999999</v>
      </c>
      <c r="N996" s="59">
        <v>99</v>
      </c>
    </row>
    <row r="997" spans="13:14">
      <c r="M997" s="59">
        <v>3.4206625179999999</v>
      </c>
      <c r="N997" s="59">
        <v>99.1</v>
      </c>
    </row>
    <row r="998" spans="13:14">
      <c r="M998" s="59">
        <v>3.4598520399999999</v>
      </c>
      <c r="N998" s="59">
        <v>99.2</v>
      </c>
    </row>
    <row r="999" spans="13:14">
      <c r="M999" s="59">
        <v>3.5032426600000002</v>
      </c>
      <c r="N999" s="59">
        <v>99.3</v>
      </c>
    </row>
    <row r="1000" spans="13:14">
      <c r="M1000" s="59">
        <v>3.54663328</v>
      </c>
      <c r="N1000" s="59">
        <v>99.4</v>
      </c>
    </row>
    <row r="1001" spans="13:14">
      <c r="M1001" s="59">
        <v>3.6943079050000001</v>
      </c>
      <c r="N1001" s="59">
        <v>99.5</v>
      </c>
    </row>
    <row r="1002" spans="13:14">
      <c r="M1002" s="59">
        <v>3.8871013240000001</v>
      </c>
      <c r="N1002" s="59">
        <v>99.6</v>
      </c>
    </row>
    <row r="1003" spans="13:14">
      <c r="M1003" s="59">
        <v>4.0798947429999997</v>
      </c>
      <c r="N1003" s="59">
        <v>99.7</v>
      </c>
    </row>
    <row r="1004" spans="13:14">
      <c r="M1004" s="59">
        <v>4.1102006820000003</v>
      </c>
      <c r="N1004" s="59">
        <v>99.8</v>
      </c>
    </row>
    <row r="1005" spans="13:14">
      <c r="M1005" s="59">
        <v>4.1116078409999997</v>
      </c>
      <c r="N1005" s="59">
        <v>99.9</v>
      </c>
    </row>
    <row r="1006" spans="13:14">
      <c r="M1006" s="59">
        <v>4.1130149999999999</v>
      </c>
      <c r="N1006" s="59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8"/>
  <sheetViews>
    <sheetView workbookViewId="0">
      <selection activeCell="L37" sqref="L37"/>
    </sheetView>
  </sheetViews>
  <sheetFormatPr baseColWidth="10" defaultRowHeight="15.5"/>
  <cols>
    <col min="1" max="1" width="10.6640625" customWidth="1"/>
    <col min="7" max="7" width="18.6640625" customWidth="1"/>
  </cols>
  <sheetData>
    <row r="1" spans="1:16">
      <c r="A1" s="2" t="s">
        <v>4</v>
      </c>
      <c r="J1" s="5"/>
      <c r="L1" s="2" t="s">
        <v>13</v>
      </c>
    </row>
    <row r="2" spans="1:16">
      <c r="A2" s="2"/>
      <c r="J2" s="5"/>
      <c r="L2" s="2"/>
    </row>
    <row r="3" spans="1:16">
      <c r="A3" s="23" t="s">
        <v>18</v>
      </c>
      <c r="G3" s="21">
        <f>SQRT(TMTB!J6)</f>
        <v>0</v>
      </c>
      <c r="J3" s="5"/>
    </row>
    <row r="4" spans="1:16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16">
      <c r="J5" s="5"/>
      <c r="L5">
        <f>TMTB!M6</f>
        <v>-1.6320269999999999</v>
      </c>
      <c r="M5">
        <f>TMTB!N6</f>
        <v>0</v>
      </c>
      <c r="O5">
        <f>ABS(L5-TMTB!$C$34)</f>
        <v>1.5199847457657418</v>
      </c>
      <c r="P5">
        <f>M5</f>
        <v>0</v>
      </c>
    </row>
    <row r="6" spans="1:16">
      <c r="A6" s="2" t="s">
        <v>28</v>
      </c>
      <c r="J6" s="5"/>
      <c r="L6">
        <f>TMTB!M7</f>
        <v>-1.570550052</v>
      </c>
      <c r="M6">
        <f>TMTB!N7</f>
        <v>0.1</v>
      </c>
      <c r="O6">
        <f>ABS(L6-TMTB!$C$34)</f>
        <v>1.4585077977657419</v>
      </c>
      <c r="P6">
        <f t="shared" ref="P6:P70" si="0">M6</f>
        <v>0.1</v>
      </c>
    </row>
    <row r="7" spans="1:16">
      <c r="J7" s="5"/>
      <c r="L7">
        <f>TMTB!M8</f>
        <v>-1.5090731040000001</v>
      </c>
      <c r="M7">
        <f>TMTB!N8</f>
        <v>0.2</v>
      </c>
      <c r="O7">
        <f>ABS(L7-TMTB!$C$34)</f>
        <v>1.397030849765742</v>
      </c>
      <c r="P7">
        <f t="shared" si="0"/>
        <v>0.2</v>
      </c>
    </row>
    <row r="8" spans="1:16">
      <c r="A8" t="s">
        <v>16</v>
      </c>
      <c r="B8">
        <f>TMTB!C27</f>
        <v>-16.515673590144388</v>
      </c>
      <c r="J8" s="5"/>
    </row>
    <row r="9" spans="1:16">
      <c r="J9" s="5"/>
      <c r="L9">
        <f>TMTB!M9</f>
        <v>-1.454696778</v>
      </c>
      <c r="M9">
        <f>TMTB!N9</f>
        <v>0.3</v>
      </c>
      <c r="O9">
        <f>ABS(L9-TMTB!$C$34)</f>
        <v>1.3426545237657419</v>
      </c>
      <c r="P9">
        <f t="shared" si="0"/>
        <v>0.3</v>
      </c>
    </row>
    <row r="10" spans="1:16">
      <c r="B10" t="str">
        <f>RAVLT_Learning!J10</f>
        <v>Residual variance</v>
      </c>
      <c r="C10" t="str">
        <f>RAVLT_Learning!I10</f>
        <v>Predicted test score</v>
      </c>
      <c r="J10" s="5"/>
      <c r="L10">
        <f>TMTB!M10</f>
        <v>-1.4402447039999999</v>
      </c>
      <c r="M10">
        <f>TMTB!N10</f>
        <v>0.4</v>
      </c>
      <c r="O10">
        <f>ABS(L10-TMTB!$C$34)</f>
        <v>1.3282024497657419</v>
      </c>
      <c r="P10">
        <f t="shared" si="0"/>
        <v>0.4</v>
      </c>
    </row>
    <row r="11" spans="1:16">
      <c r="B11">
        <f>TMTB!J11</f>
        <v>0</v>
      </c>
      <c r="C11">
        <f>TMTB!I11</f>
        <v>0</v>
      </c>
      <c r="J11" s="5"/>
      <c r="L11">
        <f>TMTB!M11</f>
        <v>-1.4257926299999999</v>
      </c>
      <c r="M11">
        <f>TMTB!N11</f>
        <v>0.5</v>
      </c>
      <c r="O11">
        <f>ABS(L11-TMTB!$C$34)</f>
        <v>1.3137503757657418</v>
      </c>
      <c r="P11">
        <f t="shared" si="0"/>
        <v>0.5</v>
      </c>
    </row>
    <row r="12" spans="1:16">
      <c r="B12">
        <f>TMTB!J12</f>
        <v>0</v>
      </c>
      <c r="C12">
        <f>TMTB!I12</f>
        <v>0</v>
      </c>
      <c r="J12" s="5"/>
      <c r="L12">
        <f>TMTB!M12</f>
        <v>-1.410220984</v>
      </c>
      <c r="M12">
        <f>TMTB!N12</f>
        <v>0.6</v>
      </c>
      <c r="O12">
        <f>ABS(L12-TMTB!$C$34)</f>
        <v>1.2981787297657419</v>
      </c>
      <c r="P12">
        <f t="shared" si="0"/>
        <v>0.6</v>
      </c>
    </row>
    <row r="13" spans="1:16">
      <c r="B13">
        <f>TMTB!J13</f>
        <v>0</v>
      </c>
      <c r="C13">
        <f>TMTB!I13</f>
        <v>0</v>
      </c>
      <c r="J13" s="5"/>
      <c r="L13">
        <f>TMTB!M13</f>
        <v>-1.3920616480000001</v>
      </c>
      <c r="M13">
        <f>TMTB!N13</f>
        <v>0.7</v>
      </c>
      <c r="O13">
        <f>ABS(L13-TMTB!$C$34)</f>
        <v>1.280019393765742</v>
      </c>
      <c r="P13">
        <f t="shared" si="0"/>
        <v>0.7</v>
      </c>
    </row>
    <row r="14" spans="1:16">
      <c r="B14">
        <f>TMTB!J14</f>
        <v>0</v>
      </c>
      <c r="C14">
        <f>TMTB!I14</f>
        <v>0</v>
      </c>
      <c r="J14" s="5"/>
      <c r="L14">
        <f>TMTB!M14</f>
        <v>-1.373902312</v>
      </c>
      <c r="M14">
        <f>TMTB!N14</f>
        <v>0.8</v>
      </c>
      <c r="O14">
        <f>ABS(L14-TMTB!$C$34)</f>
        <v>1.2618600577657419</v>
      </c>
      <c r="P14">
        <f t="shared" si="0"/>
        <v>0.8</v>
      </c>
    </row>
    <row r="15" spans="1:16">
      <c r="B15">
        <f>TMTB!J15</f>
        <v>0</v>
      </c>
      <c r="C15">
        <f>TMTB!I15</f>
        <v>0</v>
      </c>
      <c r="J15" s="5"/>
      <c r="L15">
        <f>TMTB!M15</f>
        <v>-1.363786309</v>
      </c>
      <c r="M15">
        <f>TMTB!N15</f>
        <v>0.9</v>
      </c>
      <c r="O15">
        <f>ABS(L15-TMTB!$C$34)</f>
        <v>1.2517440547657419</v>
      </c>
      <c r="P15">
        <f t="shared" si="0"/>
        <v>0.9</v>
      </c>
    </row>
    <row r="16" spans="1:16">
      <c r="B16">
        <f>TMTB!J16</f>
        <v>0</v>
      </c>
      <c r="C16">
        <f>TMTB!I16</f>
        <v>0</v>
      </c>
      <c r="J16" s="5"/>
      <c r="L16">
        <f>TMTB!M16</f>
        <v>-1.36338301</v>
      </c>
      <c r="M16">
        <f>TMTB!N16</f>
        <v>1</v>
      </c>
      <c r="O16">
        <f>ABS(L16-TMTB!$C$34)</f>
        <v>1.2513407557657419</v>
      </c>
      <c r="P16">
        <f t="shared" si="0"/>
        <v>1</v>
      </c>
    </row>
    <row r="17" spans="1:16">
      <c r="B17">
        <f>TMTB!J17</f>
        <v>0</v>
      </c>
      <c r="C17">
        <f>TMTB!I17</f>
        <v>0</v>
      </c>
      <c r="J17" s="5"/>
      <c r="L17">
        <f>TMTB!M17</f>
        <v>-1.3629797109999999</v>
      </c>
      <c r="M17">
        <f>TMTB!N17</f>
        <v>1.1000000000000001</v>
      </c>
      <c r="O17">
        <f>ABS(L17-TMTB!$C$34)</f>
        <v>1.2509374567657419</v>
      </c>
      <c r="P17">
        <f t="shared" si="0"/>
        <v>1.1000000000000001</v>
      </c>
    </row>
    <row r="18" spans="1:16">
      <c r="B18">
        <f>TMTB!J18</f>
        <v>0</v>
      </c>
      <c r="C18">
        <f>TMTB!I18</f>
        <v>0</v>
      </c>
      <c r="J18" s="5"/>
      <c r="L18">
        <f>TMTB!M18</f>
        <v>-1.355472928</v>
      </c>
      <c r="M18">
        <f>TMTB!N18</f>
        <v>1.2</v>
      </c>
      <c r="O18">
        <f>ABS(L18-TMTB!$C$34)</f>
        <v>1.2434306737657419</v>
      </c>
      <c r="P18">
        <f t="shared" si="0"/>
        <v>1.2</v>
      </c>
    </row>
    <row r="19" spans="1:16">
      <c r="B19">
        <f>TMTB!J19</f>
        <v>0</v>
      </c>
      <c r="C19">
        <f>TMTB!I19</f>
        <v>0</v>
      </c>
      <c r="J19" s="5"/>
      <c r="L19">
        <f>TMTB!M19</f>
        <v>-1.343308672</v>
      </c>
      <c r="M19">
        <f>TMTB!N19</f>
        <v>1.3</v>
      </c>
      <c r="O19">
        <f>ABS(L19-TMTB!$C$34)</f>
        <v>1.231266417765742</v>
      </c>
      <c r="P19">
        <f t="shared" si="0"/>
        <v>1.3</v>
      </c>
    </row>
    <row r="20" spans="1:16">
      <c r="B20">
        <f>TMTB!J20</f>
        <v>0</v>
      </c>
      <c r="C20">
        <f>TMTB!I20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TMTB!M20</f>
        <v>-1.3311444160000001</v>
      </c>
      <c r="M20">
        <f>TMTB!N20</f>
        <v>1.4</v>
      </c>
      <c r="O20">
        <f>ABS(L20-TMTB!$C$34)</f>
        <v>1.219102161765742</v>
      </c>
      <c r="P20">
        <f t="shared" si="0"/>
        <v>1.4</v>
      </c>
    </row>
    <row r="21" spans="1:16">
      <c r="B21">
        <f>TMTB!J21</f>
        <v>0</v>
      </c>
      <c r="C21">
        <f>TMTB!I21</f>
        <v>0</v>
      </c>
      <c r="E21" t="s">
        <v>38</v>
      </c>
      <c r="G21" s="21">
        <f>SQRT(G20)</f>
        <v>0</v>
      </c>
      <c r="J21" s="5"/>
      <c r="L21">
        <f>TMTB!M21</f>
        <v>-1.3274227949999999</v>
      </c>
      <c r="M21">
        <f>TMTB!N21</f>
        <v>1.5</v>
      </c>
      <c r="O21">
        <f>ABS(L21-TMTB!$C$34)</f>
        <v>1.2153805407657419</v>
      </c>
      <c r="P21">
        <f t="shared" si="0"/>
        <v>1.5</v>
      </c>
    </row>
    <row r="22" spans="1:16">
      <c r="B22">
        <f>TMTB!J22</f>
        <v>0</v>
      </c>
      <c r="C22">
        <f>TMTB!I22</f>
        <v>0</v>
      </c>
      <c r="J22" s="5"/>
      <c r="L22">
        <f>TMTB!M22</f>
        <v>-1.326441048</v>
      </c>
      <c r="M22">
        <f>TMTB!N22</f>
        <v>1.6</v>
      </c>
      <c r="O22">
        <f>ABS(L22-TMTB!$C$34)</f>
        <v>1.2143987937657419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TMTB!M23</f>
        <v>-1.325459301</v>
      </c>
      <c r="M23">
        <f>TMTB!N23</f>
        <v>1.7</v>
      </c>
      <c r="O23">
        <f>ABS(L23-TMTB!$C$34)</f>
        <v>1.2134170467657419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TMTB!M24</f>
        <v>-1.3047685499999999</v>
      </c>
      <c r="M24">
        <f>TMTB!N24</f>
        <v>1.8</v>
      </c>
      <c r="O24">
        <f>ABS(L24-TMTB!$C$34)</f>
        <v>1.1927262957657419</v>
      </c>
      <c r="P24">
        <f t="shared" si="0"/>
        <v>1.8</v>
      </c>
    </row>
    <row r="25" spans="1:16">
      <c r="A25" s="2" t="s">
        <v>27</v>
      </c>
      <c r="J25" s="5"/>
      <c r="L25">
        <f>TMTB!M25</f>
        <v>-1.282032525</v>
      </c>
      <c r="M25">
        <f>TMTB!N25</f>
        <v>1.9</v>
      </c>
      <c r="O25">
        <f>ABS(L25-TMTB!$C$34)</f>
        <v>1.1699902707657419</v>
      </c>
      <c r="P25">
        <f t="shared" si="0"/>
        <v>1.9</v>
      </c>
    </row>
    <row r="26" spans="1:16">
      <c r="H26" s="1"/>
      <c r="J26" s="5"/>
      <c r="L26">
        <f>TMTB!M26</f>
        <v>-1.2604238000000001</v>
      </c>
      <c r="M26">
        <f>TMTB!N26</f>
        <v>2</v>
      </c>
      <c r="O26">
        <f>ABS(L26-TMTB!$C$34)</f>
        <v>1.148381545765742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J27" s="5"/>
      <c r="L27">
        <f>TMTB!M27</f>
        <v>-1.2574718899999999</v>
      </c>
      <c r="M27">
        <f>TMTB!N27</f>
        <v>2.1</v>
      </c>
      <c r="O27">
        <f>ABS(L27-TMTB!$C$34)</f>
        <v>1.1454296357657419</v>
      </c>
      <c r="P27">
        <f t="shared" si="0"/>
        <v>2.1</v>
      </c>
    </row>
    <row r="28" spans="1:16">
      <c r="A28" t="str">
        <f>TMTB!I27</f>
        <v>(Intercept)</v>
      </c>
      <c r="B28">
        <f>TMTB!J27</f>
        <v>13730.002955588399</v>
      </c>
      <c r="C28">
        <v>1</v>
      </c>
      <c r="D28">
        <f>B28*C28</f>
        <v>13730.002955588399</v>
      </c>
      <c r="J28" s="5"/>
      <c r="L28">
        <f>TMTB!M28</f>
        <v>-1.25451998</v>
      </c>
      <c r="M28">
        <f>TMTB!N28</f>
        <v>2.2000000000000002</v>
      </c>
      <c r="O28">
        <f>ABS(L28-TMTB!$C$34)</f>
        <v>1.1424777257657419</v>
      </c>
      <c r="P28">
        <f t="shared" si="0"/>
        <v>2.2000000000000002</v>
      </c>
    </row>
    <row r="29" spans="1:16">
      <c r="A29" t="str">
        <f>TMTB!I28</f>
        <v>Pred.Y</v>
      </c>
      <c r="B29">
        <f>TMTB!J28</f>
        <v>-413.09290100276598</v>
      </c>
      <c r="C29">
        <f>B8</f>
        <v>-16.515673590144388</v>
      </c>
      <c r="D29">
        <f t="shared" ref="D29:D33" si="1">B29*C29</f>
        <v>6822.5075153675125</v>
      </c>
      <c r="J29" s="5"/>
      <c r="L29">
        <f>TMTB!M29</f>
        <v>-1.250831354</v>
      </c>
      <c r="M29">
        <f>TMTB!N29</f>
        <v>2.2999999999999998</v>
      </c>
      <c r="O29">
        <f>ABS(L29-TMTB!$C$34)</f>
        <v>1.1387890997657419</v>
      </c>
      <c r="P29">
        <f t="shared" si="0"/>
        <v>2.2999999999999998</v>
      </c>
    </row>
    <row r="30" spans="1:16">
      <c r="A30" t="str">
        <f>TMTB!I29</f>
        <v>Pred.Y.2</v>
      </c>
      <c r="B30">
        <f>TMTB!J29</f>
        <v>4.1126815317572101</v>
      </c>
      <c r="C30">
        <f>B8^2</f>
        <v>272.76747413619285</v>
      </c>
      <c r="D30">
        <f t="shared" si="1"/>
        <v>1121.8057533439828</v>
      </c>
      <c r="J30" s="5"/>
      <c r="L30">
        <f>TMTB!M30</f>
        <v>-1.2443371519999999</v>
      </c>
      <c r="M30">
        <f>TMTB!N30</f>
        <v>2.4</v>
      </c>
      <c r="O30">
        <f>ABS(L30-TMTB!$C$34)</f>
        <v>1.1322948977657419</v>
      </c>
      <c r="P30">
        <f t="shared" si="0"/>
        <v>2.4</v>
      </c>
    </row>
    <row r="31" spans="1:16">
      <c r="A31" t="str">
        <f>TMTB!I30</f>
        <v>Pred.Y.3</v>
      </c>
      <c r="B31">
        <f>TMTB!J30</f>
        <v>-1.2018306444996E-2</v>
      </c>
      <c r="C31">
        <f>B8^3</f>
        <v>-4504.9385688415123</v>
      </c>
      <c r="D31">
        <f t="shared" si="1"/>
        <v>54.141732236218999</v>
      </c>
      <c r="J31" s="5"/>
      <c r="L31">
        <f>TMTB!M31</f>
        <v>-1.2378429500000001</v>
      </c>
      <c r="M31">
        <f>TMTB!N31</f>
        <v>2.5</v>
      </c>
      <c r="O31">
        <f>ABS(L31-TMTB!$C$34)</f>
        <v>1.125800695765742</v>
      </c>
      <c r="P31">
        <f t="shared" si="0"/>
        <v>2.5</v>
      </c>
    </row>
    <row r="32" spans="1:16">
      <c r="A32">
        <f>TMTB!I31</f>
        <v>0</v>
      </c>
      <c r="B32">
        <f>TMTB!J31</f>
        <v>0</v>
      </c>
      <c r="C32">
        <f>B8^4</f>
        <v>74402.094946638637</v>
      </c>
      <c r="D32">
        <f t="shared" si="1"/>
        <v>0</v>
      </c>
      <c r="J32" s="5"/>
      <c r="L32">
        <f>TMTB!M32</f>
        <v>-1.232009492</v>
      </c>
      <c r="M32">
        <f>TMTB!N32</f>
        <v>2.6</v>
      </c>
      <c r="O32">
        <f>ABS(L32-TMTB!$C$34)</f>
        <v>1.1199672377657419</v>
      </c>
      <c r="P32">
        <f t="shared" si="0"/>
        <v>2.6</v>
      </c>
    </row>
    <row r="33" spans="1:16">
      <c r="A33">
        <f>TMTB!I32</f>
        <v>0</v>
      </c>
      <c r="B33">
        <f>TMTB!J32</f>
        <v>0</v>
      </c>
      <c r="C33">
        <f>B8^5</f>
        <v>-1228800.7145616149</v>
      </c>
      <c r="D33">
        <f t="shared" si="1"/>
        <v>0</v>
      </c>
      <c r="J33" s="5"/>
      <c r="L33">
        <f>TMTB!M33</f>
        <v>-1.227355934</v>
      </c>
      <c r="M33">
        <f>TMTB!N33</f>
        <v>2.7</v>
      </c>
      <c r="O33">
        <f>ABS(L33-TMTB!$C$34)</f>
        <v>1.1153136797657419</v>
      </c>
      <c r="P33">
        <f t="shared" si="0"/>
        <v>2.7</v>
      </c>
    </row>
    <row r="34" spans="1:16">
      <c r="G34" s="21">
        <f>SQRT(D35)</f>
        <v>147.40575957721637</v>
      </c>
      <c r="J34" s="5"/>
      <c r="L34">
        <f>TMTB!M34</f>
        <v>-1.222702376</v>
      </c>
      <c r="M34">
        <f>TMTB!N34</f>
        <v>2.8</v>
      </c>
      <c r="O34">
        <f>ABS(L34-TMTB!$C$34)</f>
        <v>1.1106601217657419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21728.457956536113</v>
      </c>
      <c r="E35" s="18"/>
      <c r="F35" s="18"/>
      <c r="G35" s="18"/>
      <c r="H35" s="18"/>
      <c r="I35" s="18"/>
      <c r="J35" s="19"/>
      <c r="L35">
        <f>TMTB!M35</f>
        <v>-1.2201875099999999</v>
      </c>
      <c r="M35">
        <f>TMTB!N35</f>
        <v>2.9</v>
      </c>
      <c r="O35">
        <f>ABS(L35-TMTB!$C$34)</f>
        <v>1.1081452557657419</v>
      </c>
      <c r="P35">
        <f t="shared" si="0"/>
        <v>2.9</v>
      </c>
    </row>
    <row r="36" spans="1:16">
      <c r="J36" s="5"/>
      <c r="L36">
        <f>TMTB!M36</f>
        <v>-1.2197277</v>
      </c>
      <c r="M36">
        <f>TMTB!N36</f>
        <v>3</v>
      </c>
      <c r="O36">
        <f>ABS(L36-TMTB!$C$34)</f>
        <v>1.1076854457657419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TMTB!M37</f>
        <v>-1.21926789</v>
      </c>
      <c r="M37">
        <f>TMTB!N37</f>
        <v>3.1</v>
      </c>
      <c r="O37">
        <f>ABS(L37-TMTB!$C$34)</f>
        <v>1.107225635765742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0</v>
      </c>
      <c r="E38" s="24"/>
      <c r="F38" s="24"/>
      <c r="G38" s="2" t="s">
        <v>21</v>
      </c>
      <c r="H38" s="2"/>
      <c r="I38" s="2">
        <f>IF(D41=1, G3+G21+G34, )</f>
        <v>147.40575957721637</v>
      </c>
      <c r="J38" s="5"/>
      <c r="L38">
        <f>TMTB!M38</f>
        <v>-1.2124969839999999</v>
      </c>
      <c r="M38">
        <f>TMTB!N38</f>
        <v>3.2</v>
      </c>
      <c r="O38">
        <f>ABS(L38-TMTB!$C$34)</f>
        <v>1.1004547297657419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TMTB!M39</f>
        <v>-1.202488921</v>
      </c>
      <c r="M39">
        <f>TMTB!N39</f>
        <v>3.3</v>
      </c>
      <c r="O39">
        <f>ABS(L39-TMTB!$C$34)</f>
        <v>1.090446666765742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1</v>
      </c>
      <c r="E40" s="24"/>
      <c r="F40" s="24"/>
      <c r="J40" s="5"/>
      <c r="L40">
        <f>TMTB!M40</f>
        <v>-1.1924808579999999</v>
      </c>
      <c r="M40">
        <f>TMTB!N40</f>
        <v>3.4</v>
      </c>
      <c r="O40">
        <f>ABS(L40-TMTB!$C$34)</f>
        <v>1.0804386037657419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TMTB!M41</f>
        <v>-1.17668587</v>
      </c>
      <c r="M41">
        <f>TMTB!N41</f>
        <v>3.5</v>
      </c>
      <c r="O41">
        <f>ABS(L41-TMTB!$C$34)</f>
        <v>1.064643615765742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TMTB!M42</f>
        <v>-1.1595507519999999</v>
      </c>
      <c r="M42">
        <f>TMTB!N42</f>
        <v>3.6</v>
      </c>
      <c r="O42">
        <f>ABS(L42-TMTB!$C$34)</f>
        <v>1.0475084977657418</v>
      </c>
      <c r="P42">
        <f t="shared" si="0"/>
        <v>3.6</v>
      </c>
    </row>
    <row r="43" spans="1:16">
      <c r="A43" s="22"/>
      <c r="J43" s="5"/>
      <c r="L43">
        <f>TMTB!M43</f>
        <v>-1.142415634</v>
      </c>
      <c r="M43">
        <f>TMTB!N43</f>
        <v>3.7</v>
      </c>
      <c r="O43">
        <f>ABS(L43-TMTB!$C$34)</f>
        <v>1.0303733797657419</v>
      </c>
      <c r="P43">
        <f t="shared" si="0"/>
        <v>3.7</v>
      </c>
    </row>
    <row r="44" spans="1:16">
      <c r="J44" s="5"/>
      <c r="L44">
        <f>TMTB!M44</f>
        <v>-1.1410177960000001</v>
      </c>
      <c r="M44">
        <f>TMTB!N44</f>
        <v>3.8</v>
      </c>
      <c r="O44">
        <f>ABS(L44-TMTB!$C$34)</f>
        <v>1.028975541765742</v>
      </c>
      <c r="P44">
        <f t="shared" si="0"/>
        <v>3.8</v>
      </c>
    </row>
    <row r="45" spans="1:16">
      <c r="J45" s="5"/>
      <c r="L45">
        <f>TMTB!M45</f>
        <v>-1.140225238</v>
      </c>
      <c r="M45">
        <f>TMTB!N45</f>
        <v>3.9</v>
      </c>
      <c r="O45">
        <f>ABS(L45-TMTB!$C$34)</f>
        <v>1.0281829837657419</v>
      </c>
      <c r="P45">
        <f t="shared" si="0"/>
        <v>3.9</v>
      </c>
    </row>
    <row r="46" spans="1:16">
      <c r="J46" s="5"/>
      <c r="L46">
        <f>TMTB!M46</f>
        <v>-1.1391129200000001</v>
      </c>
      <c r="M46">
        <f>TMTB!N46</f>
        <v>4</v>
      </c>
      <c r="O46">
        <f>ABS(L46-TMTB!$C$34)</f>
        <v>1.027070665765742</v>
      </c>
      <c r="P46">
        <f t="shared" si="0"/>
        <v>4</v>
      </c>
    </row>
    <row r="47" spans="1:16">
      <c r="J47" s="5"/>
      <c r="L47">
        <f>TMTB!M47</f>
        <v>-1.135514468</v>
      </c>
      <c r="M47">
        <f>TMTB!N47</f>
        <v>4.0999999999999996</v>
      </c>
      <c r="O47">
        <f>ABS(L47-TMTB!$C$34)</f>
        <v>1.0234722137657419</v>
      </c>
      <c r="P47">
        <f t="shared" si="0"/>
        <v>4.0999999999999996</v>
      </c>
    </row>
    <row r="48" spans="1:16">
      <c r="J48" s="5"/>
      <c r="L48">
        <f>TMTB!M48</f>
        <v>-1.1319160159999999</v>
      </c>
      <c r="M48">
        <f>TMTB!N48</f>
        <v>4.2</v>
      </c>
      <c r="O48">
        <f>ABS(L48-TMTB!$C$34)</f>
        <v>1.0198737617657418</v>
      </c>
      <c r="P48">
        <f t="shared" si="0"/>
        <v>4.2</v>
      </c>
    </row>
    <row r="49" spans="10:16">
      <c r="J49" s="5"/>
      <c r="L49">
        <f>TMTB!M49</f>
        <v>-1.127291123</v>
      </c>
      <c r="M49">
        <f>TMTB!N49</f>
        <v>4.3</v>
      </c>
      <c r="O49">
        <f>ABS(L49-TMTB!$C$34)</f>
        <v>1.0152488687657419</v>
      </c>
      <c r="P49">
        <f t="shared" si="0"/>
        <v>4.3</v>
      </c>
    </row>
    <row r="50" spans="10:16">
      <c r="J50" s="5"/>
      <c r="L50">
        <f>TMTB!M50</f>
        <v>-1.119818684</v>
      </c>
      <c r="M50">
        <f>TMTB!N50</f>
        <v>4.4000000000000004</v>
      </c>
      <c r="O50">
        <f>ABS(L50-TMTB!$C$34)</f>
        <v>1.0077764297657419</v>
      </c>
      <c r="P50">
        <f t="shared" si="0"/>
        <v>4.4000000000000004</v>
      </c>
    </row>
    <row r="51" spans="10:16">
      <c r="J51" s="5"/>
      <c r="L51">
        <f>TMTB!M51</f>
        <v>-1.1123462449999999</v>
      </c>
      <c r="M51">
        <f>TMTB!N51</f>
        <v>4.5</v>
      </c>
      <c r="O51">
        <f>ABS(L51-TMTB!$C$34)</f>
        <v>1.0003039907657418</v>
      </c>
      <c r="P51">
        <f t="shared" si="0"/>
        <v>4.5</v>
      </c>
    </row>
    <row r="52" spans="10:16">
      <c r="J52" s="5"/>
      <c r="L52">
        <f>TMTB!M52</f>
        <v>-1.1052913660000001</v>
      </c>
      <c r="M52">
        <f>TMTB!N52</f>
        <v>4.5999999999999996</v>
      </c>
      <c r="O52">
        <f>ABS(L52-TMTB!$C$34)</f>
        <v>0.99324911176574215</v>
      </c>
      <c r="P52">
        <f t="shared" si="0"/>
        <v>4.5999999999999996</v>
      </c>
    </row>
    <row r="53" spans="10:16">
      <c r="J53" s="5"/>
      <c r="L53">
        <f>TMTB!M53</f>
        <v>-1.098822787</v>
      </c>
      <c r="M53">
        <f>TMTB!N53</f>
        <v>4.7</v>
      </c>
      <c r="O53">
        <f>ABS(L53-TMTB!$C$34)</f>
        <v>0.98678053276574207</v>
      </c>
      <c r="P53">
        <f t="shared" si="0"/>
        <v>4.7</v>
      </c>
    </row>
    <row r="54" spans="10:16">
      <c r="J54" s="5"/>
      <c r="L54">
        <f>TMTB!M54</f>
        <v>-1.0923542079999999</v>
      </c>
      <c r="M54">
        <f>TMTB!N54</f>
        <v>4.8</v>
      </c>
      <c r="O54">
        <f>ABS(L54-TMTB!$C$34)</f>
        <v>0.98031195376574198</v>
      </c>
      <c r="P54">
        <f t="shared" si="0"/>
        <v>4.8</v>
      </c>
    </row>
    <row r="55" spans="10:16">
      <c r="J55" s="5"/>
      <c r="L55">
        <f>TMTB!M55</f>
        <v>-1.085104753</v>
      </c>
      <c r="M55">
        <f>TMTB!N55</f>
        <v>4.9000000000000004</v>
      </c>
      <c r="O55">
        <f>ABS(L55-TMTB!$C$34)</f>
        <v>0.97306249876574202</v>
      </c>
      <c r="P55">
        <f t="shared" si="0"/>
        <v>4.9000000000000004</v>
      </c>
    </row>
    <row r="56" spans="10:16">
      <c r="J56" s="5"/>
      <c r="L56">
        <f>TMTB!M56</f>
        <v>-1.07725885</v>
      </c>
      <c r="M56">
        <f>TMTB!N56</f>
        <v>5</v>
      </c>
      <c r="O56">
        <f>ABS(L56-TMTB!$C$34)</f>
        <v>0.96521659576574204</v>
      </c>
      <c r="P56">
        <f t="shared" si="0"/>
        <v>5</v>
      </c>
    </row>
    <row r="57" spans="10:16">
      <c r="J57" s="5"/>
      <c r="L57">
        <f>TMTB!M57</f>
        <v>-1.069412947</v>
      </c>
      <c r="M57">
        <f>TMTB!N57</f>
        <v>5.0999999999999996</v>
      </c>
      <c r="O57">
        <f>ABS(L57-TMTB!$C$34)</f>
        <v>0.95737069276574205</v>
      </c>
      <c r="P57">
        <f t="shared" si="0"/>
        <v>5.0999999999999996</v>
      </c>
    </row>
    <row r="58" spans="10:16">
      <c r="J58" s="5"/>
      <c r="L58">
        <f>TMTB!M58</f>
        <v>-1.0626864279999999</v>
      </c>
      <c r="M58">
        <f>TMTB!N58</f>
        <v>5.2</v>
      </c>
      <c r="O58">
        <f>ABS(L58-TMTB!$C$34)</f>
        <v>0.95064417376574195</v>
      </c>
      <c r="P58">
        <f t="shared" si="0"/>
        <v>5.2</v>
      </c>
    </row>
    <row r="59" spans="10:16">
      <c r="J59" s="5"/>
      <c r="L59">
        <f>TMTB!M59</f>
        <v>-1.056399667</v>
      </c>
      <c r="M59">
        <f>TMTB!N59</f>
        <v>5.3</v>
      </c>
      <c r="O59">
        <f>ABS(L59-TMTB!$C$34)</f>
        <v>0.94435741276574203</v>
      </c>
      <c r="P59">
        <f t="shared" si="0"/>
        <v>5.3</v>
      </c>
    </row>
    <row r="60" spans="10:16">
      <c r="J60" s="5"/>
      <c r="L60">
        <f>TMTB!M60</f>
        <v>-1.0501129060000001</v>
      </c>
      <c r="M60">
        <f>TMTB!N60</f>
        <v>5.4</v>
      </c>
      <c r="O60">
        <f>ABS(L60-TMTB!$C$34)</f>
        <v>0.93807065176574211</v>
      </c>
      <c r="P60">
        <f t="shared" si="0"/>
        <v>5.4</v>
      </c>
    </row>
    <row r="61" spans="10:16">
      <c r="J61" s="5"/>
      <c r="L61">
        <f>TMTB!M61</f>
        <v>-1.0489376399999999</v>
      </c>
      <c r="M61">
        <f>TMTB!N61</f>
        <v>5.5</v>
      </c>
      <c r="O61">
        <f>ABS(L61-TMTB!$C$34)</f>
        <v>0.93689538576574194</v>
      </c>
      <c r="P61">
        <f t="shared" si="0"/>
        <v>5.5</v>
      </c>
    </row>
    <row r="62" spans="10:16">
      <c r="J62" s="5"/>
      <c r="L62">
        <f>TMTB!M62</f>
        <v>-1.048533288</v>
      </c>
      <c r="M62">
        <f>TMTB!N62</f>
        <v>5.6</v>
      </c>
      <c r="O62">
        <f>ABS(L62-TMTB!$C$34)</f>
        <v>0.93649103376574205</v>
      </c>
      <c r="P62">
        <f t="shared" si="0"/>
        <v>5.6</v>
      </c>
    </row>
    <row r="63" spans="10:16">
      <c r="J63" s="5"/>
      <c r="L63">
        <f>TMTB!M63</f>
        <v>-1.0480721099999999</v>
      </c>
      <c r="M63">
        <f>TMTB!N63</f>
        <v>5.7</v>
      </c>
      <c r="O63">
        <f>ABS(L63-TMTB!$C$34)</f>
        <v>0.93602985576574194</v>
      </c>
      <c r="P63">
        <f t="shared" si="0"/>
        <v>5.7</v>
      </c>
    </row>
    <row r="64" spans="10:16">
      <c r="J64" s="5"/>
      <c r="L64">
        <f>TMTB!M64</f>
        <v>-1.04481834</v>
      </c>
      <c r="M64">
        <f>TMTB!N64</f>
        <v>5.8</v>
      </c>
      <c r="O64">
        <f>ABS(L64-TMTB!$C$34)</f>
        <v>0.932776085765742</v>
      </c>
      <c r="P64">
        <f t="shared" si="0"/>
        <v>5.8</v>
      </c>
    </row>
    <row r="65" spans="10:16">
      <c r="J65" s="5"/>
      <c r="L65">
        <f>TMTB!M65</f>
        <v>-1.04156457</v>
      </c>
      <c r="M65">
        <f>TMTB!N65</f>
        <v>5.9</v>
      </c>
      <c r="O65">
        <f>ABS(L65-TMTB!$C$34)</f>
        <v>0.92952231576574207</v>
      </c>
      <c r="P65">
        <f t="shared" si="0"/>
        <v>5.9</v>
      </c>
    </row>
    <row r="66" spans="10:16">
      <c r="J66" s="5"/>
      <c r="L66">
        <f>TMTB!M66</f>
        <v>-1.03883736</v>
      </c>
      <c r="M66">
        <f>TMTB!N66</f>
        <v>6</v>
      </c>
      <c r="O66">
        <f>ABS(L66-TMTB!$C$34)</f>
        <v>0.92679510576574209</v>
      </c>
      <c r="P66">
        <f t="shared" si="0"/>
        <v>6</v>
      </c>
    </row>
    <row r="67" spans="10:16">
      <c r="J67" s="5"/>
      <c r="L67">
        <f>TMTB!M67</f>
        <v>-1.0386639660000001</v>
      </c>
      <c r="M67">
        <f>TMTB!N67</f>
        <v>6.1</v>
      </c>
      <c r="O67">
        <f>ABS(L67-TMTB!$C$34)</f>
        <v>0.92662171176574215</v>
      </c>
      <c r="P67">
        <f t="shared" si="0"/>
        <v>6.1</v>
      </c>
    </row>
    <row r="68" spans="10:16">
      <c r="J68" s="5"/>
      <c r="L68">
        <f>TMTB!M68</f>
        <v>-1.0384905719999999</v>
      </c>
      <c r="M68">
        <f>TMTB!N68</f>
        <v>6.2</v>
      </c>
      <c r="O68">
        <f>ABS(L68-TMTB!$C$34)</f>
        <v>0.92644831776574199</v>
      </c>
      <c r="P68">
        <f t="shared" si="0"/>
        <v>6.2</v>
      </c>
    </row>
    <row r="69" spans="10:16">
      <c r="J69" s="5"/>
      <c r="L69">
        <f>TMTB!M69</f>
        <v>-1.038373</v>
      </c>
      <c r="M69">
        <f>TMTB!N69</f>
        <v>6.3</v>
      </c>
      <c r="O69">
        <f>ABS(L69-TMTB!$C$34)</f>
        <v>0.92633074576574204</v>
      </c>
      <c r="P69">
        <f t="shared" si="0"/>
        <v>6.3</v>
      </c>
    </row>
    <row r="70" spans="10:16">
      <c r="J70" s="5"/>
      <c r="L70">
        <f>TMTB!M70</f>
        <v>-1.038373</v>
      </c>
      <c r="M70">
        <f>TMTB!N70</f>
        <v>6.4</v>
      </c>
      <c r="O70">
        <f>ABS(L70-TMTB!$C$34)</f>
        <v>0.92633074576574204</v>
      </c>
      <c r="P70">
        <f t="shared" si="0"/>
        <v>6.4</v>
      </c>
    </row>
    <row r="71" spans="10:16">
      <c r="J71" s="5"/>
      <c r="L71">
        <f>TMTB!M71</f>
        <v>-1.038373</v>
      </c>
      <c r="M71">
        <f>TMTB!N71</f>
        <v>6.5</v>
      </c>
      <c r="O71">
        <f>ABS(L71-TMTB!$C$34)</f>
        <v>0.92633074576574204</v>
      </c>
      <c r="P71">
        <f t="shared" ref="P71:P134" si="2">M71</f>
        <v>6.5</v>
      </c>
    </row>
    <row r="72" spans="10:16">
      <c r="J72" s="5"/>
      <c r="L72">
        <f>TMTB!M72</f>
        <v>-1.0369737859999999</v>
      </c>
      <c r="M72">
        <f>TMTB!N72</f>
        <v>6.6</v>
      </c>
      <c r="O72">
        <f>ABS(L72-TMTB!$C$34)</f>
        <v>0.92493153176574194</v>
      </c>
      <c r="P72">
        <f t="shared" si="2"/>
        <v>6.6</v>
      </c>
    </row>
    <row r="73" spans="10:16">
      <c r="J73" s="5"/>
      <c r="L73">
        <f>TMTB!M73</f>
        <v>-1.0340152069999999</v>
      </c>
      <c r="M73">
        <f>TMTB!N73</f>
        <v>6.7</v>
      </c>
      <c r="O73">
        <f>ABS(L73-TMTB!$C$34)</f>
        <v>0.92197295276574198</v>
      </c>
      <c r="P73">
        <f t="shared" si="2"/>
        <v>6.7</v>
      </c>
    </row>
    <row r="74" spans="10:16">
      <c r="J74" s="5"/>
      <c r="L74">
        <f>TMTB!M74</f>
        <v>-1.031056628</v>
      </c>
      <c r="M74">
        <f>TMTB!N74</f>
        <v>6.8</v>
      </c>
      <c r="O74">
        <f>ABS(L74-TMTB!$C$34)</f>
        <v>0.91901437376574202</v>
      </c>
      <c r="P74">
        <f t="shared" si="2"/>
        <v>6.8</v>
      </c>
    </row>
    <row r="75" spans="10:16">
      <c r="J75" s="5"/>
      <c r="L75">
        <f>TMTB!M75</f>
        <v>-1.027965335</v>
      </c>
      <c r="M75">
        <f>TMTB!N75</f>
        <v>6.9</v>
      </c>
      <c r="O75">
        <f>ABS(L75-TMTB!$C$34)</f>
        <v>0.91592308076574203</v>
      </c>
      <c r="P75">
        <f t="shared" si="2"/>
        <v>6.9</v>
      </c>
    </row>
    <row r="76" spans="10:16">
      <c r="J76" s="5"/>
      <c r="L76">
        <f>TMTB!M76</f>
        <v>-1.0247940499999999</v>
      </c>
      <c r="M76">
        <f>TMTB!N76</f>
        <v>7</v>
      </c>
      <c r="O76">
        <f>ABS(L76-TMTB!$C$34)</f>
        <v>0.91275179576574195</v>
      </c>
      <c r="P76">
        <f t="shared" si="2"/>
        <v>7</v>
      </c>
    </row>
    <row r="77" spans="10:16">
      <c r="J77" s="5"/>
      <c r="L77">
        <f>TMTB!M77</f>
        <v>-1.021622765</v>
      </c>
      <c r="M77">
        <f>TMTB!N77</f>
        <v>7.1</v>
      </c>
      <c r="O77">
        <f>ABS(L77-TMTB!$C$34)</f>
        <v>0.90958051076574209</v>
      </c>
      <c r="P77">
        <f t="shared" si="2"/>
        <v>7.1</v>
      </c>
    </row>
    <row r="78" spans="10:16">
      <c r="J78" s="5"/>
      <c r="L78">
        <f>TMTB!M78</f>
        <v>-1.0195430160000001</v>
      </c>
      <c r="M78">
        <f>TMTB!N78</f>
        <v>7.2</v>
      </c>
      <c r="O78">
        <f>ABS(L78-TMTB!$C$34)</f>
        <v>0.90750076176574213</v>
      </c>
      <c r="P78">
        <f t="shared" si="2"/>
        <v>7.2</v>
      </c>
    </row>
    <row r="79" spans="10:16">
      <c r="J79" s="5"/>
      <c r="L79">
        <f>TMTB!M79</f>
        <v>-1.017780294</v>
      </c>
      <c r="M79">
        <f>TMTB!N79</f>
        <v>7.3</v>
      </c>
      <c r="O79">
        <f>ABS(L79-TMTB!$C$34)</f>
        <v>0.90573803976574208</v>
      </c>
      <c r="P79">
        <f t="shared" si="2"/>
        <v>7.3</v>
      </c>
    </row>
    <row r="80" spans="10:16">
      <c r="J80" s="5"/>
      <c r="L80">
        <f>TMTB!M80</f>
        <v>-1.016017572</v>
      </c>
      <c r="M80">
        <f>TMTB!N80</f>
        <v>7.4</v>
      </c>
      <c r="O80">
        <f>ABS(L80-TMTB!$C$34)</f>
        <v>0.90397531776574203</v>
      </c>
      <c r="P80">
        <f t="shared" si="2"/>
        <v>7.4</v>
      </c>
    </row>
    <row r="81" spans="10:16">
      <c r="J81" s="5"/>
      <c r="L81">
        <f>TMTB!M81</f>
        <v>-1.003103125</v>
      </c>
      <c r="M81">
        <f>TMTB!N81</f>
        <v>7.5</v>
      </c>
      <c r="O81">
        <f>ABS(L81-TMTB!$C$34)</f>
        <v>0.89106087076574203</v>
      </c>
      <c r="P81">
        <f t="shared" si="2"/>
        <v>7.5</v>
      </c>
    </row>
    <row r="82" spans="10:16">
      <c r="J82" s="5"/>
      <c r="L82">
        <f>TMTB!M82</f>
        <v>-0.98929654</v>
      </c>
      <c r="M82">
        <f>TMTB!N82</f>
        <v>7.6</v>
      </c>
      <c r="O82">
        <f>ABS(L82-TMTB!$C$34)</f>
        <v>0.87725428576574205</v>
      </c>
      <c r="P82">
        <f t="shared" si="2"/>
        <v>7.6</v>
      </c>
    </row>
    <row r="83" spans="10:16">
      <c r="J83" s="5"/>
      <c r="L83">
        <f>TMTB!M83</f>
        <v>-0.97648774000000005</v>
      </c>
      <c r="M83">
        <f>TMTB!N83</f>
        <v>7.7</v>
      </c>
      <c r="O83">
        <f>ABS(L83-TMTB!$C$34)</f>
        <v>0.86444548576574209</v>
      </c>
      <c r="P83">
        <f t="shared" si="2"/>
        <v>7.7</v>
      </c>
    </row>
    <row r="84" spans="10:16">
      <c r="J84" s="5"/>
      <c r="L84">
        <f>TMTB!M84</f>
        <v>-0.97565236</v>
      </c>
      <c r="M84">
        <f>TMTB!N84</f>
        <v>7.8</v>
      </c>
      <c r="O84">
        <f>ABS(L84-TMTB!$C$34)</f>
        <v>0.86361010576574204</v>
      </c>
      <c r="P84">
        <f t="shared" si="2"/>
        <v>7.8</v>
      </c>
    </row>
    <row r="85" spans="10:16">
      <c r="J85" s="5"/>
      <c r="L85">
        <f>TMTB!M85</f>
        <v>-0.97481698000000006</v>
      </c>
      <c r="M85">
        <f>TMTB!N85</f>
        <v>7.9</v>
      </c>
      <c r="O85">
        <f>ABS(L85-TMTB!$C$34)</f>
        <v>0.8627747257657421</v>
      </c>
      <c r="P85">
        <f t="shared" si="2"/>
        <v>7.9</v>
      </c>
    </row>
    <row r="86" spans="10:16">
      <c r="J86" s="5"/>
      <c r="L86">
        <f>TMTB!M86</f>
        <v>-0.97383304000000004</v>
      </c>
      <c r="M86">
        <f>TMTB!N86</f>
        <v>8</v>
      </c>
      <c r="O86">
        <f>ABS(L86-TMTB!$C$34)</f>
        <v>0.86179078576574208</v>
      </c>
      <c r="P86">
        <f t="shared" si="2"/>
        <v>8</v>
      </c>
    </row>
    <row r="87" spans="10:16">
      <c r="J87" s="5"/>
      <c r="L87">
        <f>TMTB!M87</f>
        <v>-0.97234585299999998</v>
      </c>
      <c r="M87">
        <f>TMTB!N87</f>
        <v>8.1</v>
      </c>
      <c r="O87">
        <f>ABS(L87-TMTB!$C$34)</f>
        <v>0.86030359876574203</v>
      </c>
      <c r="P87">
        <f t="shared" si="2"/>
        <v>8.1</v>
      </c>
    </row>
    <row r="88" spans="10:16">
      <c r="J88" s="5"/>
      <c r="L88">
        <f>TMTB!M88</f>
        <v>-0.97085866600000004</v>
      </c>
      <c r="M88">
        <f>TMTB!N88</f>
        <v>8.1999999999999993</v>
      </c>
      <c r="O88">
        <f>ABS(L88-TMTB!$C$34)</f>
        <v>0.85881641176574208</v>
      </c>
      <c r="P88">
        <f t="shared" si="2"/>
        <v>8.1999999999999993</v>
      </c>
    </row>
    <row r="89" spans="10:16">
      <c r="J89" s="5"/>
      <c r="L89">
        <f>TMTB!M89</f>
        <v>-0.969544246</v>
      </c>
      <c r="M89">
        <f>TMTB!N89</f>
        <v>8.3000000000000007</v>
      </c>
      <c r="O89">
        <f>ABS(L89-TMTB!$C$34)</f>
        <v>0.85750199176574204</v>
      </c>
      <c r="P89">
        <f t="shared" si="2"/>
        <v>8.3000000000000007</v>
      </c>
    </row>
    <row r="90" spans="10:16">
      <c r="J90" s="5"/>
      <c r="L90">
        <f>TMTB!M90</f>
        <v>-0.96851300799999995</v>
      </c>
      <c r="M90">
        <f>TMTB!N90</f>
        <v>8.4</v>
      </c>
      <c r="O90">
        <f>ABS(L90-TMTB!$C$34)</f>
        <v>0.856470753765742</v>
      </c>
      <c r="P90">
        <f t="shared" si="2"/>
        <v>8.4</v>
      </c>
    </row>
    <row r="91" spans="10:16">
      <c r="J91" s="5"/>
      <c r="L91">
        <f>TMTB!M91</f>
        <v>-0.96748177000000002</v>
      </c>
      <c r="M91">
        <f>TMTB!N91</f>
        <v>8.5</v>
      </c>
      <c r="O91">
        <f>ABS(L91-TMTB!$C$34)</f>
        <v>0.85543951576574206</v>
      </c>
      <c r="P91">
        <f t="shared" si="2"/>
        <v>8.5</v>
      </c>
    </row>
    <row r="92" spans="10:16">
      <c r="J92" s="5"/>
      <c r="L92">
        <f>TMTB!M92</f>
        <v>-0.96519186999999995</v>
      </c>
      <c r="M92">
        <f>TMTB!N92</f>
        <v>8.6</v>
      </c>
      <c r="O92">
        <f>ABS(L92-TMTB!$C$34)</f>
        <v>0.853149615765742</v>
      </c>
      <c r="P92">
        <f t="shared" si="2"/>
        <v>8.6</v>
      </c>
    </row>
    <row r="93" spans="10:16">
      <c r="J93" s="5"/>
      <c r="L93">
        <f>TMTB!M93</f>
        <v>-0.96178541500000003</v>
      </c>
      <c r="M93">
        <f>TMTB!N93</f>
        <v>8.6999999999999993</v>
      </c>
      <c r="O93">
        <f>ABS(L93-TMTB!$C$34)</f>
        <v>0.84974316076574208</v>
      </c>
      <c r="P93">
        <f t="shared" si="2"/>
        <v>8.6999999999999993</v>
      </c>
    </row>
    <row r="94" spans="10:16">
      <c r="J94" s="5"/>
      <c r="L94">
        <f>TMTB!M94</f>
        <v>-0.95837896</v>
      </c>
      <c r="M94">
        <f>TMTB!N94</f>
        <v>8.8000000000000007</v>
      </c>
      <c r="O94">
        <f>ABS(L94-TMTB!$C$34)</f>
        <v>0.84633670576574205</v>
      </c>
      <c r="P94">
        <f t="shared" si="2"/>
        <v>8.8000000000000007</v>
      </c>
    </row>
    <row r="95" spans="10:16">
      <c r="J95" s="5"/>
      <c r="L95">
        <f>TMTB!M95</f>
        <v>-0.95727646499999997</v>
      </c>
      <c r="M95">
        <f>TMTB!N95</f>
        <v>8.9</v>
      </c>
      <c r="O95">
        <f>ABS(L95-TMTB!$C$34)</f>
        <v>0.84523421076574201</v>
      </c>
      <c r="P95">
        <f t="shared" si="2"/>
        <v>8.9</v>
      </c>
    </row>
    <row r="96" spans="10:16">
      <c r="J96" s="5"/>
      <c r="L96">
        <f>TMTB!M96</f>
        <v>-0.95725364999999996</v>
      </c>
      <c r="M96">
        <f>TMTB!N96</f>
        <v>9</v>
      </c>
      <c r="O96">
        <f>ABS(L96-TMTB!$C$34)</f>
        <v>0.845211395765742</v>
      </c>
      <c r="P96">
        <f t="shared" si="2"/>
        <v>9</v>
      </c>
    </row>
    <row r="97" spans="10:16">
      <c r="J97" s="5"/>
      <c r="L97">
        <f>TMTB!M97</f>
        <v>-0.95723083499999995</v>
      </c>
      <c r="M97">
        <f>TMTB!N97</f>
        <v>9.1</v>
      </c>
      <c r="O97">
        <f>ABS(L97-TMTB!$C$34)</f>
        <v>0.84518858076574199</v>
      </c>
      <c r="P97">
        <f t="shared" si="2"/>
        <v>9.1</v>
      </c>
    </row>
    <row r="98" spans="10:16">
      <c r="J98" s="5"/>
      <c r="L98">
        <f>TMTB!M98</f>
        <v>-0.957214444</v>
      </c>
      <c r="M98">
        <f>TMTB!N98</f>
        <v>9.1999999999999993</v>
      </c>
      <c r="O98">
        <f>ABS(L98-TMTB!$C$34)</f>
        <v>0.84517218976574204</v>
      </c>
      <c r="P98">
        <f t="shared" si="2"/>
        <v>9.1999999999999993</v>
      </c>
    </row>
    <row r="99" spans="10:16">
      <c r="J99" s="5"/>
      <c r="L99">
        <f>TMTB!M99</f>
        <v>-0.95719935099999998</v>
      </c>
      <c r="M99">
        <f>TMTB!N99</f>
        <v>9.3000000000000007</v>
      </c>
      <c r="O99">
        <f>ABS(L99-TMTB!$C$34)</f>
        <v>0.84515709676574202</v>
      </c>
      <c r="P99">
        <f t="shared" si="2"/>
        <v>9.3000000000000007</v>
      </c>
    </row>
    <row r="100" spans="10:16">
      <c r="J100" s="5"/>
      <c r="L100">
        <f>TMTB!M100</f>
        <v>-0.95718425799999995</v>
      </c>
      <c r="M100">
        <f>TMTB!N100</f>
        <v>9.4</v>
      </c>
      <c r="O100">
        <f>ABS(L100-TMTB!$C$34)</f>
        <v>0.845142003765742</v>
      </c>
      <c r="P100">
        <f t="shared" si="2"/>
        <v>9.4</v>
      </c>
    </row>
    <row r="101" spans="10:16">
      <c r="J101" s="5"/>
      <c r="L101">
        <f>TMTB!M101</f>
        <v>-0.95498255499999996</v>
      </c>
      <c r="M101">
        <f>TMTB!N101</f>
        <v>9.5</v>
      </c>
      <c r="O101">
        <f>ABS(L101-TMTB!$C$34)</f>
        <v>0.842940300765742</v>
      </c>
      <c r="P101">
        <f t="shared" si="2"/>
        <v>9.5</v>
      </c>
    </row>
    <row r="102" spans="10:16">
      <c r="J102" s="5"/>
      <c r="L102">
        <f>TMTB!M102</f>
        <v>-0.95274282399999999</v>
      </c>
      <c r="M102">
        <f>TMTB!N102</f>
        <v>9.6</v>
      </c>
      <c r="O102">
        <f>ABS(L102-TMTB!$C$34)</f>
        <v>0.84070056976574203</v>
      </c>
      <c r="P102">
        <f t="shared" si="2"/>
        <v>9.6</v>
      </c>
    </row>
    <row r="103" spans="10:16">
      <c r="J103" s="5"/>
      <c r="L103">
        <f>TMTB!M103</f>
        <v>-0.95076102900000004</v>
      </c>
      <c r="M103">
        <f>TMTB!N103</f>
        <v>9.6999999999999993</v>
      </c>
      <c r="O103">
        <f>ABS(L103-TMTB!$C$34)</f>
        <v>0.83871877476574208</v>
      </c>
      <c r="P103">
        <f t="shared" si="2"/>
        <v>9.6999999999999993</v>
      </c>
    </row>
    <row r="104" spans="10:16">
      <c r="J104" s="5"/>
      <c r="L104">
        <f>TMTB!M104</f>
        <v>-0.95044758600000001</v>
      </c>
      <c r="M104">
        <f>TMTB!N104</f>
        <v>9.8000000000000007</v>
      </c>
      <c r="O104">
        <f>ABS(L104-TMTB!$C$34)</f>
        <v>0.83840533176574206</v>
      </c>
      <c r="P104">
        <f t="shared" si="2"/>
        <v>9.8000000000000007</v>
      </c>
    </row>
    <row r="105" spans="10:16">
      <c r="J105" s="5"/>
      <c r="L105">
        <f>TMTB!M105</f>
        <v>-0.95013414299999999</v>
      </c>
      <c r="M105">
        <f>TMTB!N105</f>
        <v>9.9</v>
      </c>
      <c r="O105">
        <f>ABS(L105-TMTB!$C$34)</f>
        <v>0.83809188876574203</v>
      </c>
      <c r="P105">
        <f t="shared" si="2"/>
        <v>9.9</v>
      </c>
    </row>
    <row r="106" spans="10:16">
      <c r="J106" s="5"/>
      <c r="L106">
        <f>TMTB!M106</f>
        <v>-0.9496462</v>
      </c>
      <c r="M106">
        <f>TMTB!N106</f>
        <v>10</v>
      </c>
      <c r="O106">
        <f>ABS(L106-TMTB!$C$34)</f>
        <v>0.83760394576574204</v>
      </c>
      <c r="P106">
        <f t="shared" si="2"/>
        <v>10</v>
      </c>
    </row>
    <row r="107" spans="10:16">
      <c r="J107" s="5"/>
      <c r="L107">
        <f>TMTB!M107</f>
        <v>-0.94872026200000004</v>
      </c>
      <c r="M107">
        <f>TMTB!N107</f>
        <v>10.1</v>
      </c>
      <c r="O107">
        <f>ABS(L107-TMTB!$C$34)</f>
        <v>0.83667800776574208</v>
      </c>
      <c r="P107">
        <f t="shared" si="2"/>
        <v>10.1</v>
      </c>
    </row>
    <row r="108" spans="10:16">
      <c r="J108" s="5"/>
      <c r="L108">
        <f>TMTB!M108</f>
        <v>-0.94779432399999997</v>
      </c>
      <c r="M108">
        <f>TMTB!N108</f>
        <v>10.199999999999999</v>
      </c>
      <c r="O108">
        <f>ABS(L108-TMTB!$C$34)</f>
        <v>0.83575206976574201</v>
      </c>
      <c r="P108">
        <f t="shared" si="2"/>
        <v>10.199999999999999</v>
      </c>
    </row>
    <row r="109" spans="10:16">
      <c r="J109" s="5"/>
      <c r="L109">
        <f>TMTB!M109</f>
        <v>-0.94482767199999995</v>
      </c>
      <c r="M109">
        <f>TMTB!N109</f>
        <v>10.3</v>
      </c>
      <c r="O109">
        <f>ABS(L109-TMTB!$C$34)</f>
        <v>0.832785417765742</v>
      </c>
      <c r="P109">
        <f t="shared" si="2"/>
        <v>10.3</v>
      </c>
    </row>
    <row r="110" spans="10:16">
      <c r="J110" s="5"/>
      <c r="L110">
        <f>TMTB!M110</f>
        <v>-0.939220096</v>
      </c>
      <c r="M110">
        <f>TMTB!N110</f>
        <v>10.4</v>
      </c>
      <c r="O110">
        <f>ABS(L110-TMTB!$C$34)</f>
        <v>0.82717784176574205</v>
      </c>
      <c r="P110">
        <f t="shared" si="2"/>
        <v>10.4</v>
      </c>
    </row>
    <row r="111" spans="10:16">
      <c r="J111" s="5"/>
      <c r="L111">
        <f>TMTB!M111</f>
        <v>-0.93361251999999995</v>
      </c>
      <c r="M111">
        <f>TMTB!N111</f>
        <v>10.5</v>
      </c>
      <c r="O111">
        <f>ABS(L111-TMTB!$C$34)</f>
        <v>0.82157026576574199</v>
      </c>
      <c r="P111">
        <f t="shared" si="2"/>
        <v>10.5</v>
      </c>
    </row>
    <row r="112" spans="10:16">
      <c r="J112" s="5"/>
      <c r="L112">
        <f>TMTB!M112</f>
        <v>-0.93113429000000003</v>
      </c>
      <c r="M112">
        <f>TMTB!N112</f>
        <v>10.6</v>
      </c>
      <c r="O112">
        <f>ABS(L112-TMTB!$C$34)</f>
        <v>0.81909203576574208</v>
      </c>
      <c r="P112">
        <f t="shared" si="2"/>
        <v>10.6</v>
      </c>
    </row>
    <row r="113" spans="10:16">
      <c r="J113" s="5"/>
      <c r="L113">
        <f>TMTB!M113</f>
        <v>-0.93085875500000004</v>
      </c>
      <c r="M113">
        <f>TMTB!N113</f>
        <v>10.7</v>
      </c>
      <c r="O113">
        <f>ABS(L113-TMTB!$C$34)</f>
        <v>0.81881650076574208</v>
      </c>
      <c r="P113">
        <f t="shared" si="2"/>
        <v>10.7</v>
      </c>
    </row>
    <row r="114" spans="10:16">
      <c r="J114" s="5"/>
      <c r="L114">
        <f>TMTB!M114</f>
        <v>-0.93058322000000004</v>
      </c>
      <c r="M114">
        <f>TMTB!N114</f>
        <v>10.8</v>
      </c>
      <c r="O114">
        <f>ABS(L114-TMTB!$C$34)</f>
        <v>0.81854096576574209</v>
      </c>
      <c r="P114">
        <f t="shared" si="2"/>
        <v>10.8</v>
      </c>
    </row>
    <row r="115" spans="10:16">
      <c r="J115" s="5"/>
      <c r="L115">
        <f>TMTB!M115</f>
        <v>-0.92705801200000004</v>
      </c>
      <c r="M115">
        <f>TMTB!N115</f>
        <v>10.9</v>
      </c>
      <c r="O115">
        <f>ABS(L115-TMTB!$C$34)</f>
        <v>0.81501575776574209</v>
      </c>
      <c r="P115">
        <f t="shared" si="2"/>
        <v>10.9</v>
      </c>
    </row>
    <row r="116" spans="10:16">
      <c r="J116" s="5"/>
      <c r="L116">
        <f>TMTB!M116</f>
        <v>-0.92237848</v>
      </c>
      <c r="M116">
        <f>TMTB!N116</f>
        <v>11</v>
      </c>
      <c r="O116">
        <f>ABS(L116-TMTB!$C$34)</f>
        <v>0.81033622576574205</v>
      </c>
      <c r="P116">
        <f t="shared" si="2"/>
        <v>11</v>
      </c>
    </row>
    <row r="117" spans="10:16">
      <c r="J117" s="5"/>
      <c r="L117">
        <f>TMTB!M117</f>
        <v>-0.91769894799999996</v>
      </c>
      <c r="M117">
        <f>TMTB!N117</f>
        <v>11.1</v>
      </c>
      <c r="O117">
        <f>ABS(L117-TMTB!$C$34)</f>
        <v>0.805656693765742</v>
      </c>
      <c r="P117">
        <f t="shared" si="2"/>
        <v>11.1</v>
      </c>
    </row>
    <row r="118" spans="10:16">
      <c r="J118" s="5"/>
      <c r="L118">
        <f>TMTB!M118</f>
        <v>-0.91706168799999999</v>
      </c>
      <c r="M118">
        <f>TMTB!N118</f>
        <v>11.2</v>
      </c>
      <c r="O118">
        <f>ABS(L118-TMTB!$C$34)</f>
        <v>0.80501943376574203</v>
      </c>
      <c r="P118">
        <f t="shared" si="2"/>
        <v>11.2</v>
      </c>
    </row>
    <row r="119" spans="10:16">
      <c r="J119" s="5"/>
      <c r="L119">
        <f>TMTB!M119</f>
        <v>-0.91692971199999995</v>
      </c>
      <c r="M119">
        <f>TMTB!N119</f>
        <v>11.3</v>
      </c>
      <c r="O119">
        <f>ABS(L119-TMTB!$C$34)</f>
        <v>0.804887457765742</v>
      </c>
      <c r="P119">
        <f t="shared" si="2"/>
        <v>11.3</v>
      </c>
    </row>
    <row r="120" spans="10:16">
      <c r="J120" s="5"/>
      <c r="L120">
        <f>TMTB!M120</f>
        <v>-0.91678100600000001</v>
      </c>
      <c r="M120">
        <f>TMTB!N120</f>
        <v>11.4</v>
      </c>
      <c r="O120">
        <f>ABS(L120-TMTB!$C$34)</f>
        <v>0.80473875176574206</v>
      </c>
      <c r="P120">
        <f t="shared" si="2"/>
        <v>11.4</v>
      </c>
    </row>
    <row r="121" spans="10:16">
      <c r="J121" s="5"/>
      <c r="L121">
        <f>TMTB!M121</f>
        <v>-0.91622958499999996</v>
      </c>
      <c r="M121">
        <f>TMTB!N121</f>
        <v>11.5</v>
      </c>
      <c r="O121">
        <f>ABS(L121-TMTB!$C$34)</f>
        <v>0.804187330765742</v>
      </c>
      <c r="P121">
        <f t="shared" si="2"/>
        <v>11.5</v>
      </c>
    </row>
    <row r="122" spans="10:16">
      <c r="J122" s="5"/>
      <c r="L122">
        <f>TMTB!M122</f>
        <v>-0.91567816400000002</v>
      </c>
      <c r="M122">
        <f>TMTB!N122</f>
        <v>11.6</v>
      </c>
      <c r="O122">
        <f>ABS(L122-TMTB!$C$34)</f>
        <v>0.80363590976574206</v>
      </c>
      <c r="P122">
        <f t="shared" si="2"/>
        <v>11.6</v>
      </c>
    </row>
    <row r="123" spans="10:16">
      <c r="J123" s="5"/>
      <c r="L123">
        <f>TMTB!M123</f>
        <v>-0.91489914400000005</v>
      </c>
      <c r="M123">
        <f>TMTB!N123</f>
        <v>11.7</v>
      </c>
      <c r="O123">
        <f>ABS(L123-TMTB!$C$34)</f>
        <v>0.8028568897657421</v>
      </c>
      <c r="P123">
        <f t="shared" si="2"/>
        <v>11.7</v>
      </c>
    </row>
    <row r="124" spans="10:16">
      <c r="J124" s="5"/>
      <c r="L124">
        <f>TMTB!M124</f>
        <v>-0.91315537599999996</v>
      </c>
      <c r="M124">
        <f>TMTB!N124</f>
        <v>11.8</v>
      </c>
      <c r="O124">
        <f>ABS(L124-TMTB!$C$34)</f>
        <v>0.80111312176574201</v>
      </c>
      <c r="P124">
        <f t="shared" si="2"/>
        <v>11.8</v>
      </c>
    </row>
    <row r="125" spans="10:16">
      <c r="J125" s="5"/>
      <c r="L125">
        <f>TMTB!M125</f>
        <v>-0.91141160799999998</v>
      </c>
      <c r="M125">
        <f>TMTB!N125</f>
        <v>11.9</v>
      </c>
      <c r="O125">
        <f>ABS(L125-TMTB!$C$34)</f>
        <v>0.79936935376574203</v>
      </c>
      <c r="P125">
        <f t="shared" si="2"/>
        <v>11.9</v>
      </c>
    </row>
    <row r="126" spans="10:16">
      <c r="J126" s="5"/>
      <c r="L126">
        <f>TMTB!M126</f>
        <v>-0.91005027999999999</v>
      </c>
      <c r="M126">
        <f>TMTB!N126</f>
        <v>12</v>
      </c>
      <c r="O126">
        <f>ABS(L126-TMTB!$C$34)</f>
        <v>0.79800802576574204</v>
      </c>
      <c r="P126">
        <f t="shared" si="2"/>
        <v>12</v>
      </c>
    </row>
    <row r="127" spans="10:16">
      <c r="J127" s="5"/>
      <c r="L127">
        <f>TMTB!M127</f>
        <v>-0.90942514900000004</v>
      </c>
      <c r="M127">
        <f>TMTB!N127</f>
        <v>12.1</v>
      </c>
      <c r="O127">
        <f>ABS(L127-TMTB!$C$34)</f>
        <v>0.79738289476574209</v>
      </c>
      <c r="P127">
        <f t="shared" si="2"/>
        <v>12.1</v>
      </c>
    </row>
    <row r="128" spans="10:16">
      <c r="J128" s="5"/>
      <c r="L128">
        <f>TMTB!M128</f>
        <v>-0.90880001799999999</v>
      </c>
      <c r="M128">
        <f>TMTB!N128</f>
        <v>12.2</v>
      </c>
      <c r="O128">
        <f>ABS(L128-TMTB!$C$34)</f>
        <v>0.79675776376574203</v>
      </c>
      <c r="P128">
        <f t="shared" si="2"/>
        <v>12.2</v>
      </c>
    </row>
    <row r="129" spans="10:16">
      <c r="J129" s="5"/>
      <c r="L129">
        <f>TMTB!M129</f>
        <v>-0.90821709900000003</v>
      </c>
      <c r="M129">
        <f>TMTB!N129</f>
        <v>12.3</v>
      </c>
      <c r="O129">
        <f>ABS(L129-TMTB!$C$34)</f>
        <v>0.79617484476574207</v>
      </c>
      <c r="P129">
        <f t="shared" si="2"/>
        <v>12.3</v>
      </c>
    </row>
    <row r="130" spans="10:16">
      <c r="J130" s="5"/>
      <c r="L130">
        <f>TMTB!M130</f>
        <v>-0.90767761199999997</v>
      </c>
      <c r="M130">
        <f>TMTB!N130</f>
        <v>12.4</v>
      </c>
      <c r="O130">
        <f>ABS(L130-TMTB!$C$34)</f>
        <v>0.79563535776574201</v>
      </c>
      <c r="P130">
        <f t="shared" si="2"/>
        <v>12.4</v>
      </c>
    </row>
    <row r="131" spans="10:16">
      <c r="J131" s="5"/>
      <c r="L131">
        <f>TMTB!M131</f>
        <v>-0.90713812500000002</v>
      </c>
      <c r="M131">
        <f>TMTB!N131</f>
        <v>12.5</v>
      </c>
      <c r="O131">
        <f>ABS(L131-TMTB!$C$34)</f>
        <v>0.79509587076574206</v>
      </c>
      <c r="P131">
        <f t="shared" si="2"/>
        <v>12.5</v>
      </c>
    </row>
    <row r="132" spans="10:16">
      <c r="J132" s="5"/>
      <c r="L132">
        <f>TMTB!M132</f>
        <v>-0.90502228799999995</v>
      </c>
      <c r="M132">
        <f>TMTB!N132</f>
        <v>12.6</v>
      </c>
      <c r="O132">
        <f>ABS(L132-TMTB!$C$34)</f>
        <v>0.792980033765742</v>
      </c>
      <c r="P132">
        <f t="shared" si="2"/>
        <v>12.6</v>
      </c>
    </row>
    <row r="133" spans="10:16">
      <c r="J133" s="5"/>
      <c r="L133">
        <f>TMTB!M133</f>
        <v>-0.90203457600000003</v>
      </c>
      <c r="M133">
        <f>TMTB!N133</f>
        <v>12.7</v>
      </c>
      <c r="O133">
        <f>ABS(L133-TMTB!$C$34)</f>
        <v>0.78999232176574208</v>
      </c>
      <c r="P133">
        <f t="shared" si="2"/>
        <v>12.7</v>
      </c>
    </row>
    <row r="134" spans="10:16">
      <c r="J134" s="5"/>
      <c r="L134">
        <f>TMTB!M134</f>
        <v>-0.899046864</v>
      </c>
      <c r="M134">
        <f>TMTB!N134</f>
        <v>12.8</v>
      </c>
      <c r="O134">
        <f>ABS(L134-TMTB!$C$34)</f>
        <v>0.78700460976574205</v>
      </c>
      <c r="P134">
        <f t="shared" si="2"/>
        <v>12.8</v>
      </c>
    </row>
    <row r="135" spans="10:16">
      <c r="J135" s="5"/>
      <c r="L135">
        <f>TMTB!M135</f>
        <v>-0.89624161800000002</v>
      </c>
      <c r="M135">
        <f>TMTB!N135</f>
        <v>12.9</v>
      </c>
      <c r="O135">
        <f>ABS(L135-TMTB!$C$34)</f>
        <v>0.78419936376574206</v>
      </c>
      <c r="P135">
        <f t="shared" ref="P135:P198" si="3">M135</f>
        <v>12.9</v>
      </c>
    </row>
    <row r="136" spans="10:16">
      <c r="J136" s="5"/>
      <c r="L136">
        <f>TMTB!M136</f>
        <v>-0.89348346000000001</v>
      </c>
      <c r="M136">
        <f>TMTB!N136</f>
        <v>13</v>
      </c>
      <c r="O136">
        <f>ABS(L136-TMTB!$C$34)</f>
        <v>0.78144120576574205</v>
      </c>
      <c r="P136">
        <f t="shared" si="3"/>
        <v>13</v>
      </c>
    </row>
    <row r="137" spans="10:16">
      <c r="J137" s="5"/>
      <c r="L137">
        <f>TMTB!M137</f>
        <v>-0.890725302</v>
      </c>
      <c r="M137">
        <f>TMTB!N137</f>
        <v>13.1</v>
      </c>
      <c r="O137">
        <f>ABS(L137-TMTB!$C$34)</f>
        <v>0.77868304776574204</v>
      </c>
      <c r="P137">
        <f t="shared" si="3"/>
        <v>13.1</v>
      </c>
    </row>
    <row r="138" spans="10:16">
      <c r="J138" s="5"/>
      <c r="L138">
        <f>TMTB!M138</f>
        <v>-0.88902888000000002</v>
      </c>
      <c r="M138">
        <f>TMTB!N138</f>
        <v>13.2</v>
      </c>
      <c r="O138">
        <f>ABS(L138-TMTB!$C$34)</f>
        <v>0.77698662576574207</v>
      </c>
      <c r="P138">
        <f t="shared" si="3"/>
        <v>13.2</v>
      </c>
    </row>
    <row r="139" spans="10:16">
      <c r="J139" s="5"/>
      <c r="L139">
        <f>TMTB!M139</f>
        <v>-0.88739321999999998</v>
      </c>
      <c r="M139">
        <f>TMTB!N139</f>
        <v>13.3</v>
      </c>
      <c r="O139">
        <f>ABS(L139-TMTB!$C$34)</f>
        <v>0.77535096576574203</v>
      </c>
      <c r="P139">
        <f t="shared" si="3"/>
        <v>13.3</v>
      </c>
    </row>
    <row r="140" spans="10:16">
      <c r="J140" s="5"/>
      <c r="L140">
        <f>TMTB!M140</f>
        <v>-0.88584419199999997</v>
      </c>
      <c r="M140">
        <f>TMTB!N140</f>
        <v>13.4</v>
      </c>
      <c r="O140">
        <f>ABS(L140-TMTB!$C$34)</f>
        <v>0.77380193776574202</v>
      </c>
      <c r="P140">
        <f t="shared" si="3"/>
        <v>13.4</v>
      </c>
    </row>
    <row r="141" spans="10:16">
      <c r="J141" s="5"/>
      <c r="L141">
        <f>TMTB!M141</f>
        <v>-0.88510288000000004</v>
      </c>
      <c r="M141">
        <f>TMTB!N141</f>
        <v>13.5</v>
      </c>
      <c r="O141">
        <f>ABS(L141-TMTB!$C$34)</f>
        <v>0.77306062576574208</v>
      </c>
      <c r="P141">
        <f t="shared" si="3"/>
        <v>13.5</v>
      </c>
    </row>
    <row r="142" spans="10:16">
      <c r="J142" s="5"/>
      <c r="L142">
        <f>TMTB!M142</f>
        <v>-0.88436156799999999</v>
      </c>
      <c r="M142">
        <f>TMTB!N142</f>
        <v>13.6</v>
      </c>
      <c r="O142">
        <f>ABS(L142-TMTB!$C$34)</f>
        <v>0.77231931376574203</v>
      </c>
      <c r="P142">
        <f t="shared" si="3"/>
        <v>13.6</v>
      </c>
    </row>
    <row r="143" spans="10:16">
      <c r="J143" s="5"/>
      <c r="L143">
        <f>TMTB!M143</f>
        <v>-0.88349053899999996</v>
      </c>
      <c r="M143">
        <f>TMTB!N143</f>
        <v>13.7</v>
      </c>
      <c r="O143">
        <f>ABS(L143-TMTB!$C$34)</f>
        <v>0.77144828476574201</v>
      </c>
      <c r="P143">
        <f t="shared" si="3"/>
        <v>13.7</v>
      </c>
    </row>
    <row r="144" spans="10:16">
      <c r="J144" s="5"/>
      <c r="L144">
        <f>TMTB!M144</f>
        <v>-0.88222588599999996</v>
      </c>
      <c r="M144">
        <f>TMTB!N144</f>
        <v>13.8</v>
      </c>
      <c r="O144">
        <f>ABS(L144-TMTB!$C$34)</f>
        <v>0.77018363176574201</v>
      </c>
      <c r="P144">
        <f t="shared" si="3"/>
        <v>13.8</v>
      </c>
    </row>
    <row r="145" spans="10:16">
      <c r="J145" s="5"/>
      <c r="L145">
        <f>TMTB!M145</f>
        <v>-0.88096123299999995</v>
      </c>
      <c r="M145">
        <f>TMTB!N145</f>
        <v>13.9</v>
      </c>
      <c r="O145">
        <f>ABS(L145-TMTB!$C$34)</f>
        <v>0.768918978765742</v>
      </c>
      <c r="P145">
        <f t="shared" si="3"/>
        <v>13.9</v>
      </c>
    </row>
    <row r="146" spans="10:16">
      <c r="J146" s="5"/>
      <c r="L146">
        <f>TMTB!M146</f>
        <v>-0.87876907999999998</v>
      </c>
      <c r="M146">
        <f>TMTB!N146</f>
        <v>14</v>
      </c>
      <c r="O146">
        <f>ABS(L146-TMTB!$C$34)</f>
        <v>0.76672682576574203</v>
      </c>
      <c r="P146">
        <f t="shared" si="3"/>
        <v>14</v>
      </c>
    </row>
    <row r="147" spans="10:16">
      <c r="J147" s="5"/>
      <c r="L147">
        <f>TMTB!M147</f>
        <v>-0.87517905200000001</v>
      </c>
      <c r="M147">
        <f>TMTB!N147</f>
        <v>14.1</v>
      </c>
      <c r="O147">
        <f>ABS(L147-TMTB!$C$34)</f>
        <v>0.76313679776574206</v>
      </c>
      <c r="P147">
        <f t="shared" si="3"/>
        <v>14.1</v>
      </c>
    </row>
    <row r="148" spans="10:16">
      <c r="J148" s="5"/>
      <c r="L148">
        <f>TMTB!M148</f>
        <v>-0.87158902400000005</v>
      </c>
      <c r="M148">
        <f>TMTB!N148</f>
        <v>14.2</v>
      </c>
      <c r="O148">
        <f>ABS(L148-TMTB!$C$34)</f>
        <v>0.75954676976574209</v>
      </c>
      <c r="P148">
        <f t="shared" si="3"/>
        <v>14.2</v>
      </c>
    </row>
    <row r="149" spans="10:16">
      <c r="J149" s="5"/>
      <c r="L149">
        <f>TMTB!M149</f>
        <v>-0.86950188699999997</v>
      </c>
      <c r="M149">
        <f>TMTB!N149</f>
        <v>14.3</v>
      </c>
      <c r="O149">
        <f>ABS(L149-TMTB!$C$34)</f>
        <v>0.75745963276574202</v>
      </c>
      <c r="P149">
        <f t="shared" si="3"/>
        <v>14.3</v>
      </c>
    </row>
    <row r="150" spans="10:16">
      <c r="J150" s="5"/>
      <c r="L150">
        <f>TMTB!M150</f>
        <v>-0.86864509599999995</v>
      </c>
      <c r="M150">
        <f>TMTB!N150</f>
        <v>14.4</v>
      </c>
      <c r="O150">
        <f>ABS(L150-TMTB!$C$34)</f>
        <v>0.756602841765742</v>
      </c>
      <c r="P150">
        <f t="shared" si="3"/>
        <v>14.4</v>
      </c>
    </row>
    <row r="151" spans="10:16">
      <c r="J151" s="5"/>
      <c r="L151">
        <f>TMTB!M151</f>
        <v>-0.86778830500000004</v>
      </c>
      <c r="M151">
        <f>TMTB!N151</f>
        <v>14.5</v>
      </c>
      <c r="O151">
        <f>ABS(L151-TMTB!$C$34)</f>
        <v>0.75574605076574208</v>
      </c>
      <c r="P151">
        <f t="shared" si="3"/>
        <v>14.5</v>
      </c>
    </row>
    <row r="152" spans="10:16">
      <c r="J152" s="5"/>
      <c r="L152">
        <f>TMTB!M152</f>
        <v>-0.86690469999999997</v>
      </c>
      <c r="M152">
        <f>TMTB!N152</f>
        <v>14.6</v>
      </c>
      <c r="O152">
        <f>ABS(L152-TMTB!$C$34)</f>
        <v>0.75486244576574202</v>
      </c>
      <c r="P152">
        <f t="shared" si="3"/>
        <v>14.6</v>
      </c>
    </row>
    <row r="153" spans="10:16">
      <c r="J153" s="5"/>
      <c r="L153">
        <f>TMTB!M153</f>
        <v>-0.86600964999999996</v>
      </c>
      <c r="M153">
        <f>TMTB!N153</f>
        <v>14.7</v>
      </c>
      <c r="O153">
        <f>ABS(L153-TMTB!$C$34)</f>
        <v>0.75396739576574201</v>
      </c>
      <c r="P153">
        <f t="shared" si="3"/>
        <v>14.7</v>
      </c>
    </row>
    <row r="154" spans="10:16">
      <c r="J154" s="5"/>
      <c r="L154">
        <f>TMTB!M154</f>
        <v>-0.86511459999999996</v>
      </c>
      <c r="M154">
        <f>TMTB!N154</f>
        <v>14.8</v>
      </c>
      <c r="O154">
        <f>ABS(L154-TMTB!$C$34)</f>
        <v>0.753072345765742</v>
      </c>
      <c r="P154">
        <f t="shared" si="3"/>
        <v>14.8</v>
      </c>
    </row>
    <row r="155" spans="10:16">
      <c r="J155" s="5"/>
      <c r="L155">
        <f>TMTB!M155</f>
        <v>-0.86416363699999998</v>
      </c>
      <c r="M155">
        <f>TMTB!N155</f>
        <v>14.9</v>
      </c>
      <c r="O155">
        <f>ABS(L155-TMTB!$C$34)</f>
        <v>0.75212138276574203</v>
      </c>
      <c r="P155">
        <f t="shared" si="3"/>
        <v>14.9</v>
      </c>
    </row>
    <row r="156" spans="10:16">
      <c r="J156" s="5"/>
      <c r="L156">
        <f>TMTB!M156</f>
        <v>-0.86320295000000002</v>
      </c>
      <c r="M156">
        <f>TMTB!N156</f>
        <v>15</v>
      </c>
      <c r="O156">
        <f>ABS(L156-TMTB!$C$34)</f>
        <v>0.75116069576574207</v>
      </c>
      <c r="P156">
        <f t="shared" si="3"/>
        <v>15</v>
      </c>
    </row>
    <row r="157" spans="10:16">
      <c r="J157" s="5"/>
      <c r="L157">
        <f>TMTB!M157</f>
        <v>-0.86224416400000004</v>
      </c>
      <c r="M157">
        <f>TMTB!N157</f>
        <v>15.1</v>
      </c>
      <c r="O157">
        <f>ABS(L157-TMTB!$C$34)</f>
        <v>0.75020190976574208</v>
      </c>
      <c r="P157">
        <f t="shared" si="3"/>
        <v>15.1</v>
      </c>
    </row>
    <row r="158" spans="10:16">
      <c r="J158" s="5"/>
      <c r="L158">
        <f>TMTB!M158</f>
        <v>-0.86195072800000005</v>
      </c>
      <c r="M158">
        <f>TMTB!N158</f>
        <v>15.2</v>
      </c>
      <c r="O158">
        <f>ABS(L158-TMTB!$C$34)</f>
        <v>0.7499084737657421</v>
      </c>
      <c r="P158">
        <f t="shared" si="3"/>
        <v>15.2</v>
      </c>
    </row>
    <row r="159" spans="10:16">
      <c r="J159" s="5"/>
      <c r="L159">
        <f>TMTB!M159</f>
        <v>-0.86165729199999996</v>
      </c>
      <c r="M159">
        <f>TMTB!N159</f>
        <v>15.3</v>
      </c>
      <c r="O159">
        <f>ABS(L159-TMTB!$C$34)</f>
        <v>0.74961503776574201</v>
      </c>
      <c r="P159">
        <f t="shared" si="3"/>
        <v>15.3</v>
      </c>
    </row>
    <row r="160" spans="10:16">
      <c r="J160" s="5"/>
      <c r="L160">
        <f>TMTB!M160</f>
        <v>-0.860516218</v>
      </c>
      <c r="M160">
        <f>TMTB!N160</f>
        <v>15.4</v>
      </c>
      <c r="O160">
        <f>ABS(L160-TMTB!$C$34)</f>
        <v>0.74847396376574205</v>
      </c>
      <c r="P160">
        <f t="shared" si="3"/>
        <v>15.4</v>
      </c>
    </row>
    <row r="161" spans="10:16">
      <c r="J161" s="5"/>
      <c r="L161">
        <f>TMTB!M161</f>
        <v>-0.85471313500000001</v>
      </c>
      <c r="M161">
        <f>TMTB!N161</f>
        <v>15.5</v>
      </c>
      <c r="O161">
        <f>ABS(L161-TMTB!$C$34)</f>
        <v>0.74267088076574206</v>
      </c>
      <c r="P161">
        <f t="shared" si="3"/>
        <v>15.5</v>
      </c>
    </row>
    <row r="162" spans="10:16">
      <c r="J162" s="5"/>
      <c r="L162">
        <f>TMTB!M162</f>
        <v>-0.84891005200000003</v>
      </c>
      <c r="M162">
        <f>TMTB!N162</f>
        <v>15.6</v>
      </c>
      <c r="O162">
        <f>ABS(L162-TMTB!$C$34)</f>
        <v>0.73686779776574207</v>
      </c>
      <c r="P162">
        <f t="shared" si="3"/>
        <v>15.6</v>
      </c>
    </row>
    <row r="163" spans="10:16">
      <c r="J163" s="5"/>
      <c r="L163">
        <f>TMTB!M163</f>
        <v>-0.84464423799999999</v>
      </c>
      <c r="M163">
        <f>TMTB!N163</f>
        <v>15.7</v>
      </c>
      <c r="O163">
        <f>ABS(L163-TMTB!$C$34)</f>
        <v>0.73260198376574204</v>
      </c>
      <c r="P163">
        <f t="shared" si="3"/>
        <v>15.7</v>
      </c>
    </row>
    <row r="164" spans="10:16">
      <c r="J164" s="5"/>
      <c r="L164">
        <f>TMTB!M164</f>
        <v>-0.84388397199999998</v>
      </c>
      <c r="M164">
        <f>TMTB!N164</f>
        <v>15.8</v>
      </c>
      <c r="O164">
        <f>ABS(L164-TMTB!$C$34)</f>
        <v>0.73184171776574203</v>
      </c>
      <c r="P164">
        <f t="shared" si="3"/>
        <v>15.8</v>
      </c>
    </row>
    <row r="165" spans="10:16">
      <c r="J165" s="5"/>
      <c r="L165">
        <f>TMTB!M165</f>
        <v>-0.84312370599999997</v>
      </c>
      <c r="M165">
        <f>TMTB!N165</f>
        <v>15.9</v>
      </c>
      <c r="O165">
        <f>ABS(L165-TMTB!$C$34)</f>
        <v>0.73108145176574202</v>
      </c>
      <c r="P165">
        <f t="shared" si="3"/>
        <v>15.9</v>
      </c>
    </row>
    <row r="166" spans="10:16">
      <c r="J166" s="5"/>
      <c r="L166">
        <f>TMTB!M166</f>
        <v>-0.84226824</v>
      </c>
      <c r="M166">
        <f>TMTB!N166</f>
        <v>16</v>
      </c>
      <c r="O166">
        <f>ABS(L166-TMTB!$C$34)</f>
        <v>0.73022598576574205</v>
      </c>
      <c r="P166">
        <f t="shared" si="3"/>
        <v>16</v>
      </c>
    </row>
    <row r="167" spans="10:16">
      <c r="J167" s="5"/>
      <c r="L167">
        <f>TMTB!M167</f>
        <v>-0.84129912900000003</v>
      </c>
      <c r="M167">
        <f>TMTB!N167</f>
        <v>16.100000000000001</v>
      </c>
      <c r="O167">
        <f>ABS(L167-TMTB!$C$34)</f>
        <v>0.72925687476574208</v>
      </c>
      <c r="P167">
        <f t="shared" si="3"/>
        <v>16.100000000000001</v>
      </c>
    </row>
    <row r="168" spans="10:16">
      <c r="J168" s="5"/>
      <c r="L168">
        <f>TMTB!M168</f>
        <v>-0.84033001799999996</v>
      </c>
      <c r="M168">
        <f>TMTB!N168</f>
        <v>16.2</v>
      </c>
      <c r="O168">
        <f>ABS(L168-TMTB!$C$34)</f>
        <v>0.728287763765742</v>
      </c>
      <c r="P168">
        <f t="shared" si="3"/>
        <v>16.2</v>
      </c>
    </row>
    <row r="169" spans="10:16">
      <c r="J169" s="5"/>
      <c r="L169">
        <f>TMTB!M169</f>
        <v>-0.83900732700000002</v>
      </c>
      <c r="M169">
        <f>TMTB!N169</f>
        <v>16.3</v>
      </c>
      <c r="O169">
        <f>ABS(L169-TMTB!$C$34)</f>
        <v>0.72696507276574207</v>
      </c>
      <c r="P169">
        <f t="shared" si="3"/>
        <v>16.3</v>
      </c>
    </row>
    <row r="170" spans="10:16">
      <c r="J170" s="5"/>
      <c r="L170">
        <f>TMTB!M170</f>
        <v>-0.83745555599999999</v>
      </c>
      <c r="M170">
        <f>TMTB!N170</f>
        <v>16.399999999999999</v>
      </c>
      <c r="O170">
        <f>ABS(L170-TMTB!$C$34)</f>
        <v>0.72541330176574204</v>
      </c>
      <c r="P170">
        <f t="shared" si="3"/>
        <v>16.399999999999999</v>
      </c>
    </row>
    <row r="171" spans="10:16">
      <c r="J171" s="5"/>
      <c r="L171">
        <f>TMTB!M171</f>
        <v>-0.83590378499999995</v>
      </c>
      <c r="M171">
        <f>TMTB!N171</f>
        <v>16.5</v>
      </c>
      <c r="O171">
        <f>ABS(L171-TMTB!$C$34)</f>
        <v>0.723861530765742</v>
      </c>
      <c r="P171">
        <f t="shared" si="3"/>
        <v>16.5</v>
      </c>
    </row>
    <row r="172" spans="10:16">
      <c r="J172" s="5"/>
      <c r="L172">
        <f>TMTB!M172</f>
        <v>-0.82949112999999997</v>
      </c>
      <c r="M172">
        <f>TMTB!N172</f>
        <v>16.600000000000001</v>
      </c>
      <c r="O172">
        <f>ABS(L172-TMTB!$C$34)</f>
        <v>0.71744887576574201</v>
      </c>
      <c r="P172">
        <f t="shared" si="3"/>
        <v>16.600000000000001</v>
      </c>
    </row>
    <row r="173" spans="10:16">
      <c r="J173" s="5"/>
      <c r="L173">
        <f>TMTB!M173</f>
        <v>-0.82152518500000005</v>
      </c>
      <c r="M173">
        <f>TMTB!N173</f>
        <v>16.7</v>
      </c>
      <c r="O173">
        <f>ABS(L173-TMTB!$C$34)</f>
        <v>0.70948293076574209</v>
      </c>
      <c r="P173">
        <f t="shared" si="3"/>
        <v>16.7</v>
      </c>
    </row>
    <row r="174" spans="10:16">
      <c r="J174" s="5"/>
      <c r="L174">
        <f>TMTB!M174</f>
        <v>-0.81355924000000002</v>
      </c>
      <c r="M174">
        <f>TMTB!N174</f>
        <v>16.8</v>
      </c>
      <c r="O174">
        <f>ABS(L174-TMTB!$C$34)</f>
        <v>0.70151698576574206</v>
      </c>
      <c r="P174">
        <f t="shared" si="3"/>
        <v>16.8</v>
      </c>
    </row>
    <row r="175" spans="10:16">
      <c r="J175" s="5"/>
      <c r="L175">
        <f>TMTB!M175</f>
        <v>-0.81082489499999999</v>
      </c>
      <c r="M175">
        <f>TMTB!N175</f>
        <v>16.899999999999999</v>
      </c>
      <c r="O175">
        <f>ABS(L175-TMTB!$C$34)</f>
        <v>0.69878264076574204</v>
      </c>
      <c r="P175">
        <f t="shared" si="3"/>
        <v>16.899999999999999</v>
      </c>
    </row>
    <row r="176" spans="10:16">
      <c r="J176" s="5"/>
      <c r="L176">
        <f>TMTB!M176</f>
        <v>-0.80861534999999995</v>
      </c>
      <c r="M176">
        <f>TMTB!N176</f>
        <v>17</v>
      </c>
      <c r="O176">
        <f>ABS(L176-TMTB!$C$34)</f>
        <v>0.696573095765742</v>
      </c>
      <c r="P176">
        <f t="shared" si="3"/>
        <v>17</v>
      </c>
    </row>
    <row r="177" spans="10:16">
      <c r="J177" s="5"/>
      <c r="L177">
        <f>TMTB!M177</f>
        <v>-0.80632951200000003</v>
      </c>
      <c r="M177">
        <f>TMTB!N177</f>
        <v>17.100000000000001</v>
      </c>
      <c r="O177">
        <f>ABS(L177-TMTB!$C$34)</f>
        <v>0.69428725776574207</v>
      </c>
      <c r="P177">
        <f t="shared" si="3"/>
        <v>17.100000000000001</v>
      </c>
    </row>
    <row r="178" spans="10:16">
      <c r="J178" s="5"/>
      <c r="L178">
        <f>TMTB!M178</f>
        <v>-0.80284478400000003</v>
      </c>
      <c r="M178">
        <f>TMTB!N178</f>
        <v>17.2</v>
      </c>
      <c r="O178">
        <f>ABS(L178-TMTB!$C$34)</f>
        <v>0.69080252976574208</v>
      </c>
      <c r="P178">
        <f t="shared" si="3"/>
        <v>17.2</v>
      </c>
    </row>
    <row r="179" spans="10:16">
      <c r="J179" s="5"/>
      <c r="L179">
        <f>TMTB!M179</f>
        <v>-0.79936005600000004</v>
      </c>
      <c r="M179">
        <f>TMTB!N179</f>
        <v>17.3</v>
      </c>
      <c r="O179">
        <f>ABS(L179-TMTB!$C$34)</f>
        <v>0.68731780176574209</v>
      </c>
      <c r="P179">
        <f t="shared" si="3"/>
        <v>17.3</v>
      </c>
    </row>
    <row r="180" spans="10:16">
      <c r="J180" s="5"/>
      <c r="L180">
        <f>TMTB!M180</f>
        <v>-0.79658587599999997</v>
      </c>
      <c r="M180">
        <f>TMTB!N180</f>
        <v>17.399999999999999</v>
      </c>
      <c r="O180">
        <f>ABS(L180-TMTB!$C$34)</f>
        <v>0.68454362176574202</v>
      </c>
      <c r="P180">
        <f t="shared" si="3"/>
        <v>17.399999999999999</v>
      </c>
    </row>
    <row r="181" spans="10:16">
      <c r="J181" s="5"/>
      <c r="L181">
        <f>TMTB!M181</f>
        <v>-0.79647144999999997</v>
      </c>
      <c r="M181">
        <f>TMTB!N181</f>
        <v>17.5</v>
      </c>
      <c r="O181">
        <f>ABS(L181-TMTB!$C$34)</f>
        <v>0.68442919576574202</v>
      </c>
      <c r="P181">
        <f t="shared" si="3"/>
        <v>17.5</v>
      </c>
    </row>
    <row r="182" spans="10:16">
      <c r="J182" s="5"/>
      <c r="L182">
        <f>TMTB!M182</f>
        <v>-0.79635702399999997</v>
      </c>
      <c r="M182">
        <f>TMTB!N182</f>
        <v>17.600000000000001</v>
      </c>
      <c r="O182">
        <f>ABS(L182-TMTB!$C$34)</f>
        <v>0.68431476976574201</v>
      </c>
      <c r="P182">
        <f t="shared" si="3"/>
        <v>17.600000000000001</v>
      </c>
    </row>
    <row r="183" spans="10:16">
      <c r="J183" s="5"/>
      <c r="L183">
        <f>TMTB!M183</f>
        <v>-0.79524437800000003</v>
      </c>
      <c r="M183">
        <f>TMTB!N183</f>
        <v>17.7</v>
      </c>
      <c r="O183">
        <f>ABS(L183-TMTB!$C$34)</f>
        <v>0.68320212376574208</v>
      </c>
      <c r="P183">
        <f t="shared" si="3"/>
        <v>17.7</v>
      </c>
    </row>
    <row r="184" spans="10:16">
      <c r="J184" s="5"/>
      <c r="L184">
        <f>TMTB!M184</f>
        <v>-0.792371092</v>
      </c>
      <c r="M184">
        <f>TMTB!N184</f>
        <v>17.8</v>
      </c>
      <c r="O184">
        <f>ABS(L184-TMTB!$C$34)</f>
        <v>0.68032883776574204</v>
      </c>
      <c r="P184">
        <f t="shared" si="3"/>
        <v>17.8</v>
      </c>
    </row>
    <row r="185" spans="10:16">
      <c r="J185" s="5"/>
      <c r="L185">
        <f>TMTB!M185</f>
        <v>-0.78949780599999997</v>
      </c>
      <c r="M185">
        <f>TMTB!N185</f>
        <v>17.899999999999999</v>
      </c>
      <c r="O185">
        <f>ABS(L185-TMTB!$C$34)</f>
        <v>0.67745555176574201</v>
      </c>
      <c r="P185">
        <f t="shared" si="3"/>
        <v>17.899999999999999</v>
      </c>
    </row>
    <row r="186" spans="10:16">
      <c r="J186" s="5"/>
      <c r="L186">
        <f>TMTB!M186</f>
        <v>-0.78661588000000005</v>
      </c>
      <c r="M186">
        <f>TMTB!N186</f>
        <v>18</v>
      </c>
      <c r="O186">
        <f>ABS(L186-TMTB!$C$34)</f>
        <v>0.67457362576574209</v>
      </c>
      <c r="P186">
        <f t="shared" si="3"/>
        <v>18</v>
      </c>
    </row>
    <row r="187" spans="10:16">
      <c r="J187" s="5"/>
      <c r="L187">
        <f>TMTB!M187</f>
        <v>-0.783725746</v>
      </c>
      <c r="M187">
        <f>TMTB!N187</f>
        <v>18.100000000000001</v>
      </c>
      <c r="O187">
        <f>ABS(L187-TMTB!$C$34)</f>
        <v>0.67168349176574205</v>
      </c>
      <c r="P187">
        <f t="shared" si="3"/>
        <v>18.100000000000001</v>
      </c>
    </row>
    <row r="188" spans="10:16">
      <c r="J188" s="5"/>
      <c r="L188">
        <f>TMTB!M188</f>
        <v>-0.78083561199999996</v>
      </c>
      <c r="M188">
        <f>TMTB!N188</f>
        <v>18.2</v>
      </c>
      <c r="O188">
        <f>ABS(L188-TMTB!$C$34)</f>
        <v>0.668793357765742</v>
      </c>
      <c r="P188">
        <f t="shared" si="3"/>
        <v>18.2</v>
      </c>
    </row>
    <row r="189" spans="10:16">
      <c r="J189" s="5"/>
      <c r="L189">
        <f>TMTB!M189</f>
        <v>-0.77844456399999995</v>
      </c>
      <c r="M189">
        <f>TMTB!N189</f>
        <v>18.3</v>
      </c>
      <c r="O189">
        <f>ABS(L189-TMTB!$C$34)</f>
        <v>0.666402309765742</v>
      </c>
      <c r="P189">
        <f t="shared" si="3"/>
        <v>18.3</v>
      </c>
    </row>
    <row r="190" spans="10:16">
      <c r="J190" s="5"/>
      <c r="L190">
        <f>TMTB!M190</f>
        <v>-0.77630627200000002</v>
      </c>
      <c r="M190">
        <f>TMTB!N190</f>
        <v>18.399999999999999</v>
      </c>
      <c r="O190">
        <f>ABS(L190-TMTB!$C$34)</f>
        <v>0.66426401776574207</v>
      </c>
      <c r="P190">
        <f t="shared" si="3"/>
        <v>18.399999999999999</v>
      </c>
    </row>
    <row r="191" spans="10:16">
      <c r="J191" s="5"/>
      <c r="L191">
        <f>TMTB!M191</f>
        <v>-0.77416797999999998</v>
      </c>
      <c r="M191">
        <f>TMTB!N191</f>
        <v>18.5</v>
      </c>
      <c r="O191">
        <f>ABS(L191-TMTB!$C$34)</f>
        <v>0.66212572576574202</v>
      </c>
      <c r="P191">
        <f t="shared" si="3"/>
        <v>18.5</v>
      </c>
    </row>
    <row r="192" spans="10:16">
      <c r="J192" s="5"/>
      <c r="L192">
        <f>TMTB!M192</f>
        <v>-0.77314394399999997</v>
      </c>
      <c r="M192">
        <f>TMTB!N192</f>
        <v>18.600000000000001</v>
      </c>
      <c r="O192">
        <f>ABS(L192-TMTB!$C$34)</f>
        <v>0.66110168976574202</v>
      </c>
      <c r="P192">
        <f t="shared" si="3"/>
        <v>18.600000000000001</v>
      </c>
    </row>
    <row r="193" spans="10:16">
      <c r="J193" s="5"/>
      <c r="L193">
        <f>TMTB!M193</f>
        <v>-0.77237314800000001</v>
      </c>
      <c r="M193">
        <f>TMTB!N193</f>
        <v>18.7</v>
      </c>
      <c r="O193">
        <f>ABS(L193-TMTB!$C$34)</f>
        <v>0.66033089376574206</v>
      </c>
      <c r="P193">
        <f t="shared" si="3"/>
        <v>18.7</v>
      </c>
    </row>
    <row r="194" spans="10:16">
      <c r="J194" s="5"/>
      <c r="L194">
        <f>TMTB!M194</f>
        <v>-0.77160235200000005</v>
      </c>
      <c r="M194">
        <f>TMTB!N194</f>
        <v>18.8</v>
      </c>
      <c r="O194">
        <f>ABS(L194-TMTB!$C$34)</f>
        <v>0.65956009776574209</v>
      </c>
      <c r="P194">
        <f t="shared" si="3"/>
        <v>18.8</v>
      </c>
    </row>
    <row r="195" spans="10:16">
      <c r="J195" s="5"/>
      <c r="L195">
        <f>TMTB!M195</f>
        <v>-0.77122208400000003</v>
      </c>
      <c r="M195">
        <f>TMTB!N195</f>
        <v>18.899999999999999</v>
      </c>
      <c r="O195">
        <f>ABS(L195-TMTB!$C$34)</f>
        <v>0.65917982976574208</v>
      </c>
      <c r="P195">
        <f t="shared" si="3"/>
        <v>18.899999999999999</v>
      </c>
    </row>
    <row r="196" spans="10:16">
      <c r="J196" s="5"/>
      <c r="L196">
        <f>TMTB!M196</f>
        <v>-0.77085563999999995</v>
      </c>
      <c r="M196">
        <f>TMTB!N196</f>
        <v>19</v>
      </c>
      <c r="O196">
        <f>ABS(L196-TMTB!$C$34)</f>
        <v>0.658813385765742</v>
      </c>
      <c r="P196">
        <f t="shared" si="3"/>
        <v>19</v>
      </c>
    </row>
    <row r="197" spans="10:16">
      <c r="J197" s="5"/>
      <c r="L197">
        <f>TMTB!M197</f>
        <v>-0.77026476200000005</v>
      </c>
      <c r="M197">
        <f>TMTB!N197</f>
        <v>19.100000000000001</v>
      </c>
      <c r="O197">
        <f>ABS(L197-TMTB!$C$34)</f>
        <v>0.65822250776574209</v>
      </c>
      <c r="P197">
        <f t="shared" si="3"/>
        <v>19.100000000000001</v>
      </c>
    </row>
    <row r="198" spans="10:16">
      <c r="J198" s="5"/>
      <c r="L198">
        <f>TMTB!M198</f>
        <v>-0.76797694400000005</v>
      </c>
      <c r="M198">
        <f>TMTB!N198</f>
        <v>19.2</v>
      </c>
      <c r="O198">
        <f>ABS(L198-TMTB!$C$34)</f>
        <v>0.6559346897657421</v>
      </c>
      <c r="P198">
        <f t="shared" si="3"/>
        <v>19.2</v>
      </c>
    </row>
    <row r="199" spans="10:16">
      <c r="J199" s="5"/>
      <c r="L199">
        <f>TMTB!M199</f>
        <v>-0.76568912600000005</v>
      </c>
      <c r="M199">
        <f>TMTB!N199</f>
        <v>19.3</v>
      </c>
      <c r="O199">
        <f>ABS(L199-TMTB!$C$34)</f>
        <v>0.6536468717657421</v>
      </c>
      <c r="P199">
        <f t="shared" ref="P199:P262" si="4">M199</f>
        <v>19.3</v>
      </c>
    </row>
    <row r="200" spans="10:16">
      <c r="J200" s="5"/>
      <c r="L200">
        <f>TMTB!M200</f>
        <v>-0.76379563800000005</v>
      </c>
      <c r="M200">
        <f>TMTB!N200</f>
        <v>19.399999999999999</v>
      </c>
      <c r="O200">
        <f>ABS(L200-TMTB!$C$34)</f>
        <v>0.6517533837657421</v>
      </c>
      <c r="P200">
        <f t="shared" si="4"/>
        <v>19.399999999999999</v>
      </c>
    </row>
    <row r="201" spans="10:16">
      <c r="J201" s="5"/>
      <c r="L201">
        <f>TMTB!M201</f>
        <v>-0.76298026500000005</v>
      </c>
      <c r="M201">
        <f>TMTB!N201</f>
        <v>19.5</v>
      </c>
      <c r="O201">
        <f>ABS(L201-TMTB!$C$34)</f>
        <v>0.65093801076574209</v>
      </c>
      <c r="P201">
        <f t="shared" si="4"/>
        <v>19.5</v>
      </c>
    </row>
    <row r="202" spans="10:16">
      <c r="J202" s="5"/>
      <c r="L202">
        <f>TMTB!M202</f>
        <v>-0.76216489200000004</v>
      </c>
      <c r="M202">
        <f>TMTB!N202</f>
        <v>19.600000000000001</v>
      </c>
      <c r="O202">
        <f>ABS(L202-TMTB!$C$34)</f>
        <v>0.65012263776574208</v>
      </c>
      <c r="P202">
        <f t="shared" si="4"/>
        <v>19.600000000000001</v>
      </c>
    </row>
    <row r="203" spans="10:16">
      <c r="J203" s="5"/>
      <c r="L203">
        <f>TMTB!M203</f>
        <v>-0.76075387500000002</v>
      </c>
      <c r="M203">
        <f>TMTB!N203</f>
        <v>19.7</v>
      </c>
      <c r="O203">
        <f>ABS(L203-TMTB!$C$34)</f>
        <v>0.64871162076574207</v>
      </c>
      <c r="P203">
        <f t="shared" si="4"/>
        <v>19.7</v>
      </c>
    </row>
    <row r="204" spans="10:16">
      <c r="J204" s="5"/>
      <c r="L204">
        <f>TMTB!M204</f>
        <v>-0.75851625</v>
      </c>
      <c r="M204">
        <f>TMTB!N204</f>
        <v>19.8</v>
      </c>
      <c r="O204">
        <f>ABS(L204-TMTB!$C$34)</f>
        <v>0.64647399576574205</v>
      </c>
      <c r="P204">
        <f t="shared" si="4"/>
        <v>19.8</v>
      </c>
    </row>
    <row r="205" spans="10:16">
      <c r="J205" s="5"/>
      <c r="L205">
        <f>TMTB!M205</f>
        <v>-0.75627862499999998</v>
      </c>
      <c r="M205">
        <f>TMTB!N205</f>
        <v>19.899999999999999</v>
      </c>
      <c r="O205">
        <f>ABS(L205-TMTB!$C$34)</f>
        <v>0.64423637076574203</v>
      </c>
      <c r="P205">
        <f t="shared" si="4"/>
        <v>19.899999999999999</v>
      </c>
    </row>
    <row r="206" spans="10:16">
      <c r="J206" s="5"/>
      <c r="L206">
        <f>TMTB!M206</f>
        <v>-0.75509300000000001</v>
      </c>
      <c r="M206">
        <f>TMTB!N206</f>
        <v>20</v>
      </c>
      <c r="O206">
        <f>ABS(L206-TMTB!$C$34)</f>
        <v>0.64305074576574206</v>
      </c>
      <c r="P206">
        <f t="shared" si="4"/>
        <v>20</v>
      </c>
    </row>
    <row r="207" spans="10:16">
      <c r="J207" s="5"/>
      <c r="L207">
        <f>TMTB!M207</f>
        <v>-0.75470163499999998</v>
      </c>
      <c r="M207">
        <f>TMTB!N207</f>
        <v>20.100000000000001</v>
      </c>
      <c r="O207">
        <f>ABS(L207-TMTB!$C$34)</f>
        <v>0.64265938076574203</v>
      </c>
      <c r="P207">
        <f t="shared" si="4"/>
        <v>20.100000000000001</v>
      </c>
    </row>
    <row r="208" spans="10:16">
      <c r="J208" s="5"/>
      <c r="L208">
        <f>TMTB!M208</f>
        <v>-0.75431026999999995</v>
      </c>
      <c r="M208">
        <f>TMTB!N208</f>
        <v>20.2</v>
      </c>
      <c r="O208">
        <f>ABS(L208-TMTB!$C$34)</f>
        <v>0.642268015765742</v>
      </c>
      <c r="P208">
        <f t="shared" si="4"/>
        <v>20.2</v>
      </c>
    </row>
    <row r="209" spans="10:16">
      <c r="J209" s="5"/>
      <c r="L209">
        <f>TMTB!M209</f>
        <v>-0.75394749400000005</v>
      </c>
      <c r="M209">
        <f>TMTB!N209</f>
        <v>20.3</v>
      </c>
      <c r="O209">
        <f>ABS(L209-TMTB!$C$34)</f>
        <v>0.6419052397657421</v>
      </c>
      <c r="P209">
        <f t="shared" si="4"/>
        <v>20.3</v>
      </c>
    </row>
    <row r="210" spans="10:16">
      <c r="J210" s="5"/>
      <c r="L210">
        <f>TMTB!M210</f>
        <v>-0.75359579200000004</v>
      </c>
      <c r="M210">
        <f>TMTB!N210</f>
        <v>20.399999999999999</v>
      </c>
      <c r="O210">
        <f>ABS(L210-TMTB!$C$34)</f>
        <v>0.64155353776574209</v>
      </c>
      <c r="P210">
        <f t="shared" si="4"/>
        <v>20.399999999999999</v>
      </c>
    </row>
    <row r="211" spans="10:16">
      <c r="J211" s="5"/>
      <c r="L211">
        <f>TMTB!M211</f>
        <v>-0.75324409000000003</v>
      </c>
      <c r="M211">
        <f>TMTB!N211</f>
        <v>20.5</v>
      </c>
      <c r="O211">
        <f>ABS(L211-TMTB!$C$34)</f>
        <v>0.64120183576574208</v>
      </c>
      <c r="P211">
        <f t="shared" si="4"/>
        <v>20.5</v>
      </c>
    </row>
    <row r="212" spans="10:16">
      <c r="J212" s="5"/>
      <c r="L212">
        <f>TMTB!M212</f>
        <v>-0.75055332399999997</v>
      </c>
      <c r="M212">
        <f>TMTB!N212</f>
        <v>20.6</v>
      </c>
      <c r="O212">
        <f>ABS(L212-TMTB!$C$34)</f>
        <v>0.63851106976574201</v>
      </c>
      <c r="P212">
        <f t="shared" si="4"/>
        <v>20.6</v>
      </c>
    </row>
    <row r="213" spans="10:16">
      <c r="J213" s="5"/>
      <c r="L213">
        <f>TMTB!M213</f>
        <v>-0.74751857799999999</v>
      </c>
      <c r="M213">
        <f>TMTB!N213</f>
        <v>20.7</v>
      </c>
      <c r="O213">
        <f>ABS(L213-TMTB!$C$34)</f>
        <v>0.63547632376574203</v>
      </c>
      <c r="P213">
        <f t="shared" si="4"/>
        <v>20.7</v>
      </c>
    </row>
    <row r="214" spans="10:16">
      <c r="J214" s="5"/>
      <c r="L214">
        <f>TMTB!M214</f>
        <v>-0.74452679200000005</v>
      </c>
      <c r="M214">
        <f>TMTB!N214</f>
        <v>20.8</v>
      </c>
      <c r="O214">
        <f>ABS(L214-TMTB!$C$34)</f>
        <v>0.63248453776574209</v>
      </c>
      <c r="P214">
        <f t="shared" si="4"/>
        <v>20.8</v>
      </c>
    </row>
    <row r="215" spans="10:16">
      <c r="J215" s="5"/>
      <c r="L215">
        <f>TMTB!M215</f>
        <v>-0.743376916</v>
      </c>
      <c r="M215">
        <f>TMTB!N215</f>
        <v>20.9</v>
      </c>
      <c r="O215">
        <f>ABS(L215-TMTB!$C$34)</f>
        <v>0.63133466176574204</v>
      </c>
      <c r="P215">
        <f t="shared" si="4"/>
        <v>20.9</v>
      </c>
    </row>
    <row r="216" spans="10:16">
      <c r="J216" s="5"/>
      <c r="L216">
        <f>TMTB!M216</f>
        <v>-0.74222703999999995</v>
      </c>
      <c r="M216">
        <f>TMTB!N216</f>
        <v>21</v>
      </c>
      <c r="O216">
        <f>ABS(L216-TMTB!$C$34)</f>
        <v>0.63018478576574199</v>
      </c>
      <c r="P216">
        <f t="shared" si="4"/>
        <v>21</v>
      </c>
    </row>
    <row r="217" spans="10:16">
      <c r="J217" s="5"/>
      <c r="L217">
        <f>TMTB!M217</f>
        <v>-0.741209534</v>
      </c>
      <c r="M217">
        <f>TMTB!N217</f>
        <v>21.1</v>
      </c>
      <c r="O217">
        <f>ABS(L217-TMTB!$C$34)</f>
        <v>0.62916727976574205</v>
      </c>
      <c r="P217">
        <f t="shared" si="4"/>
        <v>21.1</v>
      </c>
    </row>
    <row r="218" spans="10:16">
      <c r="J218" s="5"/>
      <c r="L218">
        <f>TMTB!M218</f>
        <v>-0.740821328</v>
      </c>
      <c r="M218">
        <f>TMTB!N218</f>
        <v>21.2</v>
      </c>
      <c r="O218">
        <f>ABS(L218-TMTB!$C$34)</f>
        <v>0.62877907376574205</v>
      </c>
      <c r="P218">
        <f t="shared" si="4"/>
        <v>21.2</v>
      </c>
    </row>
    <row r="219" spans="10:16">
      <c r="J219" s="5"/>
      <c r="L219">
        <f>TMTB!M219</f>
        <v>-0.740433122</v>
      </c>
      <c r="M219">
        <f>TMTB!N219</f>
        <v>21.3</v>
      </c>
      <c r="O219">
        <f>ABS(L219-TMTB!$C$34)</f>
        <v>0.62839086776574204</v>
      </c>
      <c r="P219">
        <f t="shared" si="4"/>
        <v>21.3</v>
      </c>
    </row>
    <row r="220" spans="10:16">
      <c r="J220" s="5"/>
      <c r="L220">
        <f>TMTB!M220</f>
        <v>-0.73893364399999995</v>
      </c>
      <c r="M220">
        <f>TMTB!N220</f>
        <v>21.4</v>
      </c>
      <c r="O220">
        <f>ABS(L220-TMTB!$C$34)</f>
        <v>0.62689138976574199</v>
      </c>
      <c r="P220">
        <f t="shared" si="4"/>
        <v>21.4</v>
      </c>
    </row>
    <row r="221" spans="10:16">
      <c r="J221" s="5"/>
      <c r="L221">
        <f>TMTB!M221</f>
        <v>-0.73512389</v>
      </c>
      <c r="M221">
        <f>TMTB!N221</f>
        <v>21.5</v>
      </c>
      <c r="O221">
        <f>ABS(L221-TMTB!$C$34)</f>
        <v>0.62308163576574205</v>
      </c>
      <c r="P221">
        <f t="shared" si="4"/>
        <v>21.5</v>
      </c>
    </row>
    <row r="222" spans="10:16">
      <c r="J222" s="5"/>
      <c r="L222">
        <f>TMTB!M222</f>
        <v>-0.73131413599999995</v>
      </c>
      <c r="M222">
        <f>TMTB!N222</f>
        <v>21.6</v>
      </c>
      <c r="O222">
        <f>ABS(L222-TMTB!$C$34)</f>
        <v>0.61927188176574199</v>
      </c>
      <c r="P222">
        <f t="shared" si="4"/>
        <v>21.6</v>
      </c>
    </row>
    <row r="223" spans="10:16">
      <c r="J223" s="5"/>
      <c r="L223">
        <f>TMTB!M223</f>
        <v>-0.72923650600000001</v>
      </c>
      <c r="M223">
        <f>TMTB!N223</f>
        <v>21.7</v>
      </c>
      <c r="O223">
        <f>ABS(L223-TMTB!$C$34)</f>
        <v>0.61719425176574205</v>
      </c>
      <c r="P223">
        <f t="shared" si="4"/>
        <v>21.7</v>
      </c>
    </row>
    <row r="224" spans="10:16">
      <c r="J224" s="5"/>
      <c r="L224">
        <f>TMTB!M224</f>
        <v>-0.72906732399999996</v>
      </c>
      <c r="M224">
        <f>TMTB!N224</f>
        <v>21.8</v>
      </c>
      <c r="O224">
        <f>ABS(L224-TMTB!$C$34)</f>
        <v>0.61702506976574201</v>
      </c>
      <c r="P224">
        <f t="shared" si="4"/>
        <v>21.8</v>
      </c>
    </row>
    <row r="225" spans="10:16">
      <c r="J225" s="5"/>
      <c r="L225">
        <f>TMTB!M225</f>
        <v>-0.72889814200000003</v>
      </c>
      <c r="M225">
        <f>TMTB!N225</f>
        <v>21.9</v>
      </c>
      <c r="O225">
        <f>ABS(L225-TMTB!$C$34)</f>
        <v>0.61685588776574207</v>
      </c>
      <c r="P225">
        <f t="shared" si="4"/>
        <v>21.9</v>
      </c>
    </row>
    <row r="226" spans="10:16">
      <c r="J226" s="5"/>
      <c r="L226">
        <f>TMTB!M226</f>
        <v>-0.72875029999999996</v>
      </c>
      <c r="M226">
        <f>TMTB!N226</f>
        <v>22</v>
      </c>
      <c r="O226">
        <f>ABS(L226-TMTB!$C$34)</f>
        <v>0.61670804576574201</v>
      </c>
      <c r="P226">
        <f t="shared" si="4"/>
        <v>22</v>
      </c>
    </row>
    <row r="227" spans="10:16">
      <c r="J227" s="5"/>
      <c r="L227">
        <f>TMTB!M227</f>
        <v>-0.72861516500000001</v>
      </c>
      <c r="M227">
        <f>TMTB!N227</f>
        <v>22.1</v>
      </c>
      <c r="O227">
        <f>ABS(L227-TMTB!$C$34)</f>
        <v>0.61657291076574205</v>
      </c>
      <c r="P227">
        <f t="shared" si="4"/>
        <v>22.1</v>
      </c>
    </row>
    <row r="228" spans="10:16">
      <c r="J228" s="5"/>
      <c r="L228">
        <f>TMTB!M228</f>
        <v>-0.72848002999999995</v>
      </c>
      <c r="M228">
        <f>TMTB!N228</f>
        <v>22.2</v>
      </c>
      <c r="O228">
        <f>ABS(L228-TMTB!$C$34)</f>
        <v>0.61643777576574199</v>
      </c>
      <c r="P228">
        <f t="shared" si="4"/>
        <v>22.2</v>
      </c>
    </row>
    <row r="229" spans="10:16">
      <c r="J229" s="5"/>
      <c r="L229">
        <f>TMTB!M229</f>
        <v>-0.727068347</v>
      </c>
      <c r="M229">
        <f>TMTB!N229</f>
        <v>22.3</v>
      </c>
      <c r="O229">
        <f>ABS(L229-TMTB!$C$34)</f>
        <v>0.61502609276574205</v>
      </c>
      <c r="P229">
        <f t="shared" si="4"/>
        <v>22.3</v>
      </c>
    </row>
    <row r="230" spans="10:16">
      <c r="J230" s="5"/>
      <c r="L230">
        <f>TMTB!M230</f>
        <v>-0.72529193599999997</v>
      </c>
      <c r="M230">
        <f>TMTB!N230</f>
        <v>22.4</v>
      </c>
      <c r="O230">
        <f>ABS(L230-TMTB!$C$34)</f>
        <v>0.61324968176574202</v>
      </c>
      <c r="P230">
        <f t="shared" si="4"/>
        <v>22.4</v>
      </c>
    </row>
    <row r="231" spans="10:16">
      <c r="J231" s="5"/>
      <c r="L231">
        <f>TMTB!M231</f>
        <v>-0.72351552500000005</v>
      </c>
      <c r="M231">
        <f>TMTB!N231</f>
        <v>22.5</v>
      </c>
      <c r="O231">
        <f>ABS(L231-TMTB!$C$34)</f>
        <v>0.61147327076574209</v>
      </c>
      <c r="P231">
        <f t="shared" si="4"/>
        <v>22.5</v>
      </c>
    </row>
    <row r="232" spans="10:16">
      <c r="J232" s="5"/>
      <c r="L232">
        <f>TMTB!M232</f>
        <v>-0.720616696</v>
      </c>
      <c r="M232">
        <f>TMTB!N232</f>
        <v>22.6</v>
      </c>
      <c r="O232">
        <f>ABS(L232-TMTB!$C$34)</f>
        <v>0.60857444176574205</v>
      </c>
      <c r="P232">
        <f t="shared" si="4"/>
        <v>22.6</v>
      </c>
    </row>
    <row r="233" spans="10:16">
      <c r="J233" s="5"/>
      <c r="L233">
        <f>TMTB!M233</f>
        <v>-0.71763179200000005</v>
      </c>
      <c r="M233">
        <f>TMTB!N233</f>
        <v>22.7</v>
      </c>
      <c r="O233">
        <f>ABS(L233-TMTB!$C$34)</f>
        <v>0.60558953776574209</v>
      </c>
      <c r="P233">
        <f t="shared" si="4"/>
        <v>22.7</v>
      </c>
    </row>
    <row r="234" spans="10:16">
      <c r="J234" s="5"/>
      <c r="L234">
        <f>TMTB!M234</f>
        <v>-0.71483241600000003</v>
      </c>
      <c r="M234">
        <f>TMTB!N234</f>
        <v>22.8</v>
      </c>
      <c r="O234">
        <f>ABS(L234-TMTB!$C$34)</f>
        <v>0.60279016176574207</v>
      </c>
      <c r="P234">
        <f t="shared" si="4"/>
        <v>22.8</v>
      </c>
    </row>
    <row r="235" spans="10:16">
      <c r="J235" s="5"/>
      <c r="L235">
        <f>TMTB!M235</f>
        <v>-0.71417323799999999</v>
      </c>
      <c r="M235">
        <f>TMTB!N235</f>
        <v>22.9</v>
      </c>
      <c r="O235">
        <f>ABS(L235-TMTB!$C$34)</f>
        <v>0.60213098376574203</v>
      </c>
      <c r="P235">
        <f t="shared" si="4"/>
        <v>22.9</v>
      </c>
    </row>
    <row r="236" spans="10:16">
      <c r="J236" s="5"/>
      <c r="L236">
        <f>TMTB!M236</f>
        <v>-0.71351405999999995</v>
      </c>
      <c r="M236">
        <f>TMTB!N236</f>
        <v>23</v>
      </c>
      <c r="O236">
        <f>ABS(L236-TMTB!$C$34)</f>
        <v>0.601471805765742</v>
      </c>
      <c r="P236">
        <f t="shared" si="4"/>
        <v>23</v>
      </c>
    </row>
    <row r="237" spans="10:16">
      <c r="J237" s="5"/>
      <c r="L237">
        <f>TMTB!M237</f>
        <v>-0.71286711300000005</v>
      </c>
      <c r="M237">
        <f>TMTB!N237</f>
        <v>23.1</v>
      </c>
      <c r="O237">
        <f>ABS(L237-TMTB!$C$34)</f>
        <v>0.6008248587657421</v>
      </c>
      <c r="P237">
        <f t="shared" si="4"/>
        <v>23.1</v>
      </c>
    </row>
    <row r="238" spans="10:16">
      <c r="J238" s="5"/>
      <c r="L238">
        <f>TMTB!M238</f>
        <v>-0.71226093599999996</v>
      </c>
      <c r="M238">
        <f>TMTB!N238</f>
        <v>23.2</v>
      </c>
      <c r="O238">
        <f>ABS(L238-TMTB!$C$34)</f>
        <v>0.600218681765742</v>
      </c>
      <c r="P238">
        <f t="shared" si="4"/>
        <v>23.2</v>
      </c>
    </row>
    <row r="239" spans="10:16">
      <c r="J239" s="5"/>
      <c r="L239">
        <f>TMTB!M239</f>
        <v>-0.71165475899999997</v>
      </c>
      <c r="M239">
        <f>TMTB!N239</f>
        <v>23.3</v>
      </c>
      <c r="O239">
        <f>ABS(L239-TMTB!$C$34)</f>
        <v>0.59961250476574202</v>
      </c>
      <c r="P239">
        <f t="shared" si="4"/>
        <v>23.3</v>
      </c>
    </row>
    <row r="240" spans="10:16">
      <c r="J240" s="5"/>
      <c r="L240">
        <f>TMTB!M240</f>
        <v>-0.71115591600000005</v>
      </c>
      <c r="M240">
        <f>TMTB!N240</f>
        <v>23.4</v>
      </c>
      <c r="O240">
        <f>ABS(L240-TMTB!$C$34)</f>
        <v>0.5991136617657421</v>
      </c>
      <c r="P240">
        <f t="shared" si="4"/>
        <v>23.4</v>
      </c>
    </row>
    <row r="241" spans="10:16">
      <c r="J241" s="5"/>
      <c r="L241">
        <f>TMTB!M241</f>
        <v>-0.71083088999999999</v>
      </c>
      <c r="M241">
        <f>TMTB!N241</f>
        <v>23.5</v>
      </c>
      <c r="O241">
        <f>ABS(L241-TMTB!$C$34)</f>
        <v>0.59878863576574204</v>
      </c>
      <c r="P241">
        <f t="shared" si="4"/>
        <v>23.5</v>
      </c>
    </row>
    <row r="242" spans="10:16">
      <c r="J242" s="5"/>
      <c r="L242">
        <f>TMTB!M242</f>
        <v>-0.71050586400000004</v>
      </c>
      <c r="M242">
        <f>TMTB!N242</f>
        <v>23.6</v>
      </c>
      <c r="O242">
        <f>ABS(L242-TMTB!$C$34)</f>
        <v>0.59846360976574209</v>
      </c>
      <c r="P242">
        <f t="shared" si="4"/>
        <v>23.6</v>
      </c>
    </row>
    <row r="243" spans="10:16">
      <c r="J243" s="5"/>
      <c r="L243">
        <f>TMTB!M243</f>
        <v>-0.70828708900000004</v>
      </c>
      <c r="M243">
        <f>TMTB!N243</f>
        <v>23.7</v>
      </c>
      <c r="O243">
        <f>ABS(L243-TMTB!$C$34)</f>
        <v>0.59624483476574208</v>
      </c>
      <c r="P243">
        <f t="shared" si="4"/>
        <v>23.7</v>
      </c>
    </row>
    <row r="244" spans="10:16">
      <c r="J244" s="5"/>
      <c r="L244">
        <f>TMTB!M244</f>
        <v>-0.70440748600000003</v>
      </c>
      <c r="M244">
        <f>TMTB!N244</f>
        <v>23.8</v>
      </c>
      <c r="O244">
        <f>ABS(L244-TMTB!$C$34)</f>
        <v>0.59236523176574207</v>
      </c>
      <c r="P244">
        <f t="shared" si="4"/>
        <v>23.8</v>
      </c>
    </row>
    <row r="245" spans="10:16">
      <c r="J245" s="5"/>
      <c r="L245">
        <f>TMTB!M245</f>
        <v>-0.70052788300000002</v>
      </c>
      <c r="M245">
        <f>TMTB!N245</f>
        <v>23.9</v>
      </c>
      <c r="O245">
        <f>ABS(L245-TMTB!$C$34)</f>
        <v>0.58848562876574206</v>
      </c>
      <c r="P245">
        <f t="shared" si="4"/>
        <v>23.9</v>
      </c>
    </row>
    <row r="246" spans="10:16">
      <c r="J246" s="5"/>
      <c r="L246">
        <f>TMTB!M246</f>
        <v>-0.69866620000000002</v>
      </c>
      <c r="M246">
        <f>TMTB!N246</f>
        <v>24</v>
      </c>
      <c r="O246">
        <f>ABS(L246-TMTB!$C$34)</f>
        <v>0.58662394576574206</v>
      </c>
      <c r="P246">
        <f t="shared" si="4"/>
        <v>24</v>
      </c>
    </row>
    <row r="247" spans="10:16">
      <c r="J247" s="5"/>
      <c r="L247">
        <f>TMTB!M247</f>
        <v>-0.69773780500000004</v>
      </c>
      <c r="M247">
        <f>TMTB!N247</f>
        <v>24.1</v>
      </c>
      <c r="O247">
        <f>ABS(L247-TMTB!$C$34)</f>
        <v>0.58569555076574209</v>
      </c>
      <c r="P247">
        <f t="shared" si="4"/>
        <v>24.1</v>
      </c>
    </row>
    <row r="248" spans="10:16">
      <c r="J248" s="5"/>
      <c r="L248">
        <f>TMTB!M248</f>
        <v>-0.69680940999999996</v>
      </c>
      <c r="M248">
        <f>TMTB!N248</f>
        <v>24.2</v>
      </c>
      <c r="O248">
        <f>ABS(L248-TMTB!$C$34)</f>
        <v>0.58476715576574201</v>
      </c>
      <c r="P248">
        <f t="shared" si="4"/>
        <v>24.2</v>
      </c>
    </row>
    <row r="249" spans="10:16">
      <c r="J249" s="5"/>
      <c r="L249">
        <f>TMTB!M249</f>
        <v>-0.69474241699999995</v>
      </c>
      <c r="M249">
        <f>TMTB!N249</f>
        <v>24.3</v>
      </c>
      <c r="O249">
        <f>ABS(L249-TMTB!$C$34)</f>
        <v>0.58270016276574199</v>
      </c>
      <c r="P249">
        <f t="shared" si="4"/>
        <v>24.3</v>
      </c>
    </row>
    <row r="250" spans="10:16">
      <c r="J250" s="5"/>
      <c r="L250">
        <f>TMTB!M250</f>
        <v>-0.69245003599999999</v>
      </c>
      <c r="M250">
        <f>TMTB!N250</f>
        <v>24.4</v>
      </c>
      <c r="O250">
        <f>ABS(L250-TMTB!$C$34)</f>
        <v>0.58040778176574204</v>
      </c>
      <c r="P250">
        <f t="shared" si="4"/>
        <v>24.4</v>
      </c>
    </row>
    <row r="251" spans="10:16">
      <c r="J251" s="5"/>
      <c r="L251">
        <f>TMTB!M251</f>
        <v>-0.69015765500000004</v>
      </c>
      <c r="M251">
        <f>TMTB!N251</f>
        <v>24.5</v>
      </c>
      <c r="O251">
        <f>ABS(L251-TMTB!$C$34)</f>
        <v>0.57811540076574208</v>
      </c>
      <c r="P251">
        <f t="shared" si="4"/>
        <v>24.5</v>
      </c>
    </row>
    <row r="252" spans="10:16">
      <c r="J252" s="5"/>
      <c r="L252">
        <f>TMTB!M252</f>
        <v>-0.68856350200000005</v>
      </c>
      <c r="M252">
        <f>TMTB!N252</f>
        <v>24.6</v>
      </c>
      <c r="O252">
        <f>ABS(L252-TMTB!$C$34)</f>
        <v>0.5765212477657421</v>
      </c>
      <c r="P252">
        <f t="shared" si="4"/>
        <v>24.6</v>
      </c>
    </row>
    <row r="253" spans="10:16">
      <c r="J253" s="5"/>
      <c r="L253">
        <f>TMTB!M253</f>
        <v>-0.68697943900000003</v>
      </c>
      <c r="M253">
        <f>TMTB!N253</f>
        <v>24.7</v>
      </c>
      <c r="O253">
        <f>ABS(L253-TMTB!$C$34)</f>
        <v>0.57493718476574207</v>
      </c>
      <c r="P253">
        <f t="shared" si="4"/>
        <v>24.7</v>
      </c>
    </row>
    <row r="254" spans="10:16">
      <c r="J254" s="5"/>
      <c r="L254">
        <f>TMTB!M254</f>
        <v>-0.68474046399999999</v>
      </c>
      <c r="M254">
        <f>TMTB!N254</f>
        <v>24.8</v>
      </c>
      <c r="O254">
        <f>ABS(L254-TMTB!$C$34)</f>
        <v>0.57269820976574204</v>
      </c>
      <c r="P254">
        <f t="shared" si="4"/>
        <v>24.8</v>
      </c>
    </row>
    <row r="255" spans="10:16">
      <c r="J255" s="5"/>
      <c r="L255">
        <f>TMTB!M255</f>
        <v>-0.67836735699999995</v>
      </c>
      <c r="M255">
        <f>TMTB!N255</f>
        <v>24.9</v>
      </c>
      <c r="O255">
        <f>ABS(L255-TMTB!$C$34)</f>
        <v>0.56632510276574199</v>
      </c>
      <c r="P255">
        <f t="shared" si="4"/>
        <v>24.9</v>
      </c>
    </row>
    <row r="256" spans="10:16">
      <c r="J256" s="5"/>
      <c r="L256">
        <f>TMTB!M256</f>
        <v>-0.67199425000000002</v>
      </c>
      <c r="M256">
        <f>TMTB!N256</f>
        <v>25</v>
      </c>
      <c r="O256">
        <f>ABS(L256-TMTB!$C$34)</f>
        <v>0.55995199576574206</v>
      </c>
      <c r="P256">
        <f t="shared" si="4"/>
        <v>25</v>
      </c>
    </row>
    <row r="257" spans="10:16">
      <c r="J257" s="5"/>
      <c r="L257">
        <f>TMTB!M257</f>
        <v>-0.66730925699999999</v>
      </c>
      <c r="M257">
        <f>TMTB!N257</f>
        <v>25.1</v>
      </c>
      <c r="O257">
        <f>ABS(L257-TMTB!$C$34)</f>
        <v>0.55526700276574203</v>
      </c>
      <c r="P257">
        <f t="shared" si="4"/>
        <v>25.1</v>
      </c>
    </row>
    <row r="258" spans="10:16">
      <c r="J258" s="5"/>
      <c r="L258">
        <f>TMTB!M258</f>
        <v>-0.66680276400000005</v>
      </c>
      <c r="M258">
        <f>TMTB!N258</f>
        <v>25.2</v>
      </c>
      <c r="O258">
        <f>ABS(L258-TMTB!$C$34)</f>
        <v>0.55476050976574209</v>
      </c>
      <c r="P258">
        <f t="shared" si="4"/>
        <v>25.2</v>
      </c>
    </row>
    <row r="259" spans="10:16">
      <c r="J259" s="5"/>
      <c r="L259">
        <f>TMTB!M259</f>
        <v>-0.666296271</v>
      </c>
      <c r="M259">
        <f>TMTB!N259</f>
        <v>25.3</v>
      </c>
      <c r="O259">
        <f>ABS(L259-TMTB!$C$34)</f>
        <v>0.55425401676574204</v>
      </c>
      <c r="P259">
        <f t="shared" si="4"/>
        <v>25.3</v>
      </c>
    </row>
    <row r="260" spans="10:16">
      <c r="J260" s="5"/>
      <c r="L260">
        <f>TMTB!M260</f>
        <v>-0.66595717600000004</v>
      </c>
      <c r="M260">
        <f>TMTB!N260</f>
        <v>25.4</v>
      </c>
      <c r="O260">
        <f>ABS(L260-TMTB!$C$34)</f>
        <v>0.55391492176574209</v>
      </c>
      <c r="P260">
        <f t="shared" si="4"/>
        <v>25.4</v>
      </c>
    </row>
    <row r="261" spans="10:16">
      <c r="J261" s="5"/>
      <c r="L261">
        <f>TMTB!M261</f>
        <v>-0.66583221999999997</v>
      </c>
      <c r="M261">
        <f>TMTB!N261</f>
        <v>25.5</v>
      </c>
      <c r="O261">
        <f>ABS(L261-TMTB!$C$34)</f>
        <v>0.55378996576574202</v>
      </c>
      <c r="P261">
        <f t="shared" si="4"/>
        <v>25.5</v>
      </c>
    </row>
    <row r="262" spans="10:16">
      <c r="J262" s="5"/>
      <c r="L262">
        <f>TMTB!M262</f>
        <v>-0.66570726400000002</v>
      </c>
      <c r="M262">
        <f>TMTB!N262</f>
        <v>25.6</v>
      </c>
      <c r="O262">
        <f>ABS(L262-TMTB!$C$34)</f>
        <v>0.55366500976574207</v>
      </c>
      <c r="P262">
        <f t="shared" si="4"/>
        <v>25.6</v>
      </c>
    </row>
    <row r="263" spans="10:16">
      <c r="J263" s="5"/>
      <c r="L263">
        <f>TMTB!M263</f>
        <v>-0.66466012299999999</v>
      </c>
      <c r="M263">
        <f>TMTB!N263</f>
        <v>25.7</v>
      </c>
      <c r="O263">
        <f>ABS(L263-TMTB!$C$34)</f>
        <v>0.55261786876574204</v>
      </c>
      <c r="P263">
        <f t="shared" ref="P263:P326" si="5">M263</f>
        <v>25.7</v>
      </c>
    </row>
    <row r="264" spans="10:16">
      <c r="J264" s="5"/>
      <c r="L264">
        <f>TMTB!M264</f>
        <v>-0.66297146200000001</v>
      </c>
      <c r="M264">
        <f>TMTB!N264</f>
        <v>25.8</v>
      </c>
      <c r="O264">
        <f>ABS(L264-TMTB!$C$34)</f>
        <v>0.55092920776574206</v>
      </c>
      <c r="P264">
        <f t="shared" si="5"/>
        <v>25.8</v>
      </c>
    </row>
    <row r="265" spans="10:16">
      <c r="J265" s="5"/>
      <c r="L265">
        <f>TMTB!M265</f>
        <v>-0.66128280100000003</v>
      </c>
      <c r="M265">
        <f>TMTB!N265</f>
        <v>25.9</v>
      </c>
      <c r="O265">
        <f>ABS(L265-TMTB!$C$34)</f>
        <v>0.54924054676574208</v>
      </c>
      <c r="P265">
        <f t="shared" si="5"/>
        <v>25.9</v>
      </c>
    </row>
    <row r="266" spans="10:16">
      <c r="J266" s="5"/>
      <c r="L266">
        <f>TMTB!M266</f>
        <v>-0.65871404</v>
      </c>
      <c r="M266">
        <f>TMTB!N266</f>
        <v>26</v>
      </c>
      <c r="O266">
        <f>ABS(L266-TMTB!$C$34)</f>
        <v>0.54667178576574205</v>
      </c>
      <c r="P266">
        <f t="shared" si="5"/>
        <v>26</v>
      </c>
    </row>
    <row r="267" spans="10:16">
      <c r="J267" s="5"/>
      <c r="L267">
        <f>TMTB!M267</f>
        <v>-0.65583724399999999</v>
      </c>
      <c r="M267">
        <f>TMTB!N267</f>
        <v>26.1</v>
      </c>
      <c r="O267">
        <f>ABS(L267-TMTB!$C$34)</f>
        <v>0.54379498976574203</v>
      </c>
      <c r="P267">
        <f t="shared" si="5"/>
        <v>26.1</v>
      </c>
    </row>
    <row r="268" spans="10:16">
      <c r="J268" s="5"/>
      <c r="L268">
        <f>TMTB!M268</f>
        <v>-0.65296044799999997</v>
      </c>
      <c r="M268">
        <f>TMTB!N268</f>
        <v>26.2</v>
      </c>
      <c r="O268">
        <f>ABS(L268-TMTB!$C$34)</f>
        <v>0.54091819376574202</v>
      </c>
      <c r="P268">
        <f t="shared" si="5"/>
        <v>26.2</v>
      </c>
    </row>
    <row r="269" spans="10:16">
      <c r="J269" s="5"/>
      <c r="L269">
        <f>TMTB!M269</f>
        <v>-0.65246714699999997</v>
      </c>
      <c r="M269">
        <f>TMTB!N269</f>
        <v>26.3</v>
      </c>
      <c r="O269">
        <f>ABS(L269-TMTB!$C$34)</f>
        <v>0.54042489276574202</v>
      </c>
      <c r="P269">
        <f t="shared" si="5"/>
        <v>26.3</v>
      </c>
    </row>
    <row r="270" spans="10:16">
      <c r="J270" s="5"/>
      <c r="L270">
        <f>TMTB!M270</f>
        <v>-0.65226321600000003</v>
      </c>
      <c r="M270">
        <f>TMTB!N270</f>
        <v>26.4</v>
      </c>
      <c r="O270">
        <f>ABS(L270-TMTB!$C$34)</f>
        <v>0.54022096176574208</v>
      </c>
      <c r="P270">
        <f t="shared" si="5"/>
        <v>26.4</v>
      </c>
    </row>
    <row r="271" spans="10:16">
      <c r="J271" s="5"/>
      <c r="L271">
        <f>TMTB!M271</f>
        <v>-0.65188324499999994</v>
      </c>
      <c r="M271">
        <f>TMTB!N271</f>
        <v>26.5</v>
      </c>
      <c r="O271">
        <f>ABS(L271-TMTB!$C$34)</f>
        <v>0.53984099076574199</v>
      </c>
      <c r="P271">
        <f t="shared" si="5"/>
        <v>26.5</v>
      </c>
    </row>
    <row r="272" spans="10:16">
      <c r="J272" s="5"/>
      <c r="L272">
        <f>TMTB!M272</f>
        <v>-0.64755997799999998</v>
      </c>
      <c r="M272">
        <f>TMTB!N272</f>
        <v>26.6</v>
      </c>
      <c r="O272">
        <f>ABS(L272-TMTB!$C$34)</f>
        <v>0.53551772376574203</v>
      </c>
      <c r="P272">
        <f t="shared" si="5"/>
        <v>26.6</v>
      </c>
    </row>
    <row r="273" spans="10:16">
      <c r="J273" s="5"/>
      <c r="L273">
        <f>TMTB!M273</f>
        <v>-0.64323671100000002</v>
      </c>
      <c r="M273">
        <f>TMTB!N273</f>
        <v>26.7</v>
      </c>
      <c r="O273">
        <f>ABS(L273-TMTB!$C$34)</f>
        <v>0.53119445676574206</v>
      </c>
      <c r="P273">
        <f t="shared" si="5"/>
        <v>26.7</v>
      </c>
    </row>
    <row r="274" spans="10:16">
      <c r="J274" s="5"/>
      <c r="L274">
        <f>TMTB!M274</f>
        <v>-0.63961343599999998</v>
      </c>
      <c r="M274">
        <f>TMTB!N274</f>
        <v>26.8</v>
      </c>
      <c r="O274">
        <f>ABS(L274-TMTB!$C$34)</f>
        <v>0.52757118176574203</v>
      </c>
      <c r="P274">
        <f t="shared" si="5"/>
        <v>26.8</v>
      </c>
    </row>
    <row r="275" spans="10:16">
      <c r="J275" s="5"/>
      <c r="L275">
        <f>TMTB!M275</f>
        <v>-0.63890336299999995</v>
      </c>
      <c r="M275">
        <f>TMTB!N275</f>
        <v>26.9</v>
      </c>
      <c r="O275">
        <f>ABS(L275-TMTB!$C$34)</f>
        <v>0.52686110876574199</v>
      </c>
      <c r="P275">
        <f t="shared" si="5"/>
        <v>26.9</v>
      </c>
    </row>
    <row r="276" spans="10:16">
      <c r="J276" s="5"/>
      <c r="L276">
        <f>TMTB!M276</f>
        <v>-0.63819329000000002</v>
      </c>
      <c r="M276">
        <f>TMTB!N276</f>
        <v>27</v>
      </c>
      <c r="O276">
        <f>ABS(L276-TMTB!$C$34)</f>
        <v>0.52615103576574207</v>
      </c>
      <c r="P276">
        <f t="shared" si="5"/>
        <v>27</v>
      </c>
    </row>
    <row r="277" spans="10:16">
      <c r="J277" s="5"/>
      <c r="L277">
        <f>TMTB!M277</f>
        <v>-0.63741049599999999</v>
      </c>
      <c r="M277">
        <f>TMTB!N277</f>
        <v>27.1</v>
      </c>
      <c r="O277">
        <f>ABS(L277-TMTB!$C$34)</f>
        <v>0.52536824176574204</v>
      </c>
      <c r="P277">
        <f t="shared" si="5"/>
        <v>27.1</v>
      </c>
    </row>
    <row r="278" spans="10:16">
      <c r="J278" s="5"/>
      <c r="L278">
        <f>TMTB!M278</f>
        <v>-0.63648947199999995</v>
      </c>
      <c r="M278">
        <f>TMTB!N278</f>
        <v>27.2</v>
      </c>
      <c r="O278">
        <f>ABS(L278-TMTB!$C$34)</f>
        <v>0.52444721776574199</v>
      </c>
      <c r="P278">
        <f t="shared" si="5"/>
        <v>27.2</v>
      </c>
    </row>
    <row r="279" spans="10:16">
      <c r="J279" s="5"/>
      <c r="L279">
        <f>TMTB!M279</f>
        <v>-0.63556844800000001</v>
      </c>
      <c r="M279">
        <f>TMTB!N279</f>
        <v>27.3</v>
      </c>
      <c r="O279">
        <f>ABS(L279-TMTB!$C$34)</f>
        <v>0.52352619376574205</v>
      </c>
      <c r="P279">
        <f t="shared" si="5"/>
        <v>27.3</v>
      </c>
    </row>
    <row r="280" spans="10:16">
      <c r="J280" s="5"/>
      <c r="L280">
        <f>TMTB!M280</f>
        <v>-0.63440765200000004</v>
      </c>
      <c r="M280">
        <f>TMTB!N280</f>
        <v>27.4</v>
      </c>
      <c r="O280">
        <f>ABS(L280-TMTB!$C$34)</f>
        <v>0.52236539776574209</v>
      </c>
      <c r="P280">
        <f t="shared" si="5"/>
        <v>27.4</v>
      </c>
    </row>
    <row r="281" spans="10:16">
      <c r="J281" s="5"/>
      <c r="L281">
        <f>TMTB!M281</f>
        <v>-0.63300294999999995</v>
      </c>
      <c r="M281">
        <f>TMTB!N281</f>
        <v>27.5</v>
      </c>
      <c r="O281">
        <f>ABS(L281-TMTB!$C$34)</f>
        <v>0.520960695765742</v>
      </c>
      <c r="P281">
        <f t="shared" si="5"/>
        <v>27.5</v>
      </c>
    </row>
    <row r="282" spans="10:16">
      <c r="J282" s="5"/>
      <c r="L282">
        <f>TMTB!M282</f>
        <v>-0.63159824799999997</v>
      </c>
      <c r="M282">
        <f>TMTB!N282</f>
        <v>27.6</v>
      </c>
      <c r="O282">
        <f>ABS(L282-TMTB!$C$34)</f>
        <v>0.51955599376574202</v>
      </c>
      <c r="P282">
        <f t="shared" si="5"/>
        <v>27.6</v>
      </c>
    </row>
    <row r="283" spans="10:16">
      <c r="J283" s="5"/>
      <c r="L283">
        <f>TMTB!M283</f>
        <v>-0.63040215899999996</v>
      </c>
      <c r="M283">
        <f>TMTB!N283</f>
        <v>27.7</v>
      </c>
      <c r="O283">
        <f>ABS(L283-TMTB!$C$34)</f>
        <v>0.51835990476574201</v>
      </c>
      <c r="P283">
        <f t="shared" si="5"/>
        <v>27.7</v>
      </c>
    </row>
    <row r="284" spans="10:16">
      <c r="J284" s="5"/>
      <c r="L284">
        <f>TMTB!M284</f>
        <v>-0.62932002600000003</v>
      </c>
      <c r="M284">
        <f>TMTB!N284</f>
        <v>27.8</v>
      </c>
      <c r="O284">
        <f>ABS(L284-TMTB!$C$34)</f>
        <v>0.51727777176574208</v>
      </c>
      <c r="P284">
        <f t="shared" si="5"/>
        <v>27.8</v>
      </c>
    </row>
    <row r="285" spans="10:16">
      <c r="J285" s="5"/>
      <c r="L285">
        <f>TMTB!M285</f>
        <v>-0.62823789299999999</v>
      </c>
      <c r="M285">
        <f>TMTB!N285</f>
        <v>27.9</v>
      </c>
      <c r="O285">
        <f>ABS(L285-TMTB!$C$34)</f>
        <v>0.51619563876574204</v>
      </c>
      <c r="P285">
        <f t="shared" si="5"/>
        <v>27.9</v>
      </c>
    </row>
    <row r="286" spans="10:16">
      <c r="J286" s="5"/>
      <c r="L286">
        <f>TMTB!M286</f>
        <v>-0.62787059999999995</v>
      </c>
      <c r="M286">
        <f>TMTB!N286</f>
        <v>28</v>
      </c>
      <c r="O286">
        <f>ABS(L286-TMTB!$C$34)</f>
        <v>0.51582834576574199</v>
      </c>
      <c r="P286">
        <f t="shared" si="5"/>
        <v>28</v>
      </c>
    </row>
    <row r="287" spans="10:16">
      <c r="J287" s="5"/>
      <c r="L287">
        <f>TMTB!M287</f>
        <v>-0.62768457</v>
      </c>
      <c r="M287">
        <f>TMTB!N287</f>
        <v>28.1</v>
      </c>
      <c r="O287">
        <f>ABS(L287-TMTB!$C$34)</f>
        <v>0.51564231576574204</v>
      </c>
      <c r="P287">
        <f t="shared" si="5"/>
        <v>28.1</v>
      </c>
    </row>
    <row r="288" spans="10:16">
      <c r="J288" s="5"/>
      <c r="L288">
        <f>TMTB!M288</f>
        <v>-0.62749854000000005</v>
      </c>
      <c r="M288">
        <f>TMTB!N288</f>
        <v>28.2</v>
      </c>
      <c r="O288">
        <f>ABS(L288-TMTB!$C$34)</f>
        <v>0.51545628576574209</v>
      </c>
      <c r="P288">
        <f t="shared" si="5"/>
        <v>28.2</v>
      </c>
    </row>
    <row r="289" spans="10:16">
      <c r="J289" s="5"/>
      <c r="L289">
        <f>TMTB!M289</f>
        <v>-0.62742140099999999</v>
      </c>
      <c r="M289">
        <f>TMTB!N289</f>
        <v>28.3</v>
      </c>
      <c r="O289">
        <f>ABS(L289-TMTB!$C$34)</f>
        <v>0.51537914676574204</v>
      </c>
      <c r="P289">
        <f t="shared" si="5"/>
        <v>28.3</v>
      </c>
    </row>
    <row r="290" spans="10:16">
      <c r="J290" s="5"/>
      <c r="L290">
        <f>TMTB!M290</f>
        <v>-0.627350148</v>
      </c>
      <c r="M290">
        <f>TMTB!N290</f>
        <v>28.4</v>
      </c>
      <c r="O290">
        <f>ABS(L290-TMTB!$C$34)</f>
        <v>0.51530789376574204</v>
      </c>
      <c r="P290">
        <f t="shared" si="5"/>
        <v>28.4</v>
      </c>
    </row>
    <row r="291" spans="10:16">
      <c r="J291" s="5"/>
      <c r="L291">
        <f>TMTB!M291</f>
        <v>-0.62707095999999996</v>
      </c>
      <c r="M291">
        <f>TMTB!N291</f>
        <v>28.5</v>
      </c>
      <c r="O291">
        <f>ABS(L291-TMTB!$C$34)</f>
        <v>0.515028705765742</v>
      </c>
      <c r="P291">
        <f t="shared" si="5"/>
        <v>28.5</v>
      </c>
    </row>
    <row r="292" spans="10:16">
      <c r="J292" s="5"/>
      <c r="L292">
        <f>TMTB!M292</f>
        <v>-0.62491441599999997</v>
      </c>
      <c r="M292">
        <f>TMTB!N292</f>
        <v>28.6</v>
      </c>
      <c r="O292">
        <f>ABS(L292-TMTB!$C$34)</f>
        <v>0.51287216176574202</v>
      </c>
      <c r="P292">
        <f t="shared" si="5"/>
        <v>28.6</v>
      </c>
    </row>
    <row r="293" spans="10:16">
      <c r="J293" s="5"/>
      <c r="L293">
        <f>TMTB!M293</f>
        <v>-0.62275787199999999</v>
      </c>
      <c r="M293">
        <f>TMTB!N293</f>
        <v>28.7</v>
      </c>
      <c r="O293">
        <f>ABS(L293-TMTB!$C$34)</f>
        <v>0.51071561776574204</v>
      </c>
      <c r="P293">
        <f t="shared" si="5"/>
        <v>28.7</v>
      </c>
    </row>
    <row r="294" spans="10:16">
      <c r="J294" s="5"/>
      <c r="L294">
        <f>TMTB!M294</f>
        <v>-0.62104379200000004</v>
      </c>
      <c r="M294">
        <f>TMTB!N294</f>
        <v>28.8</v>
      </c>
      <c r="O294">
        <f>ABS(L294-TMTB!$C$34)</f>
        <v>0.50900153776574208</v>
      </c>
      <c r="P294">
        <f t="shared" si="5"/>
        <v>28.8</v>
      </c>
    </row>
    <row r="295" spans="10:16">
      <c r="J295" s="5"/>
      <c r="L295">
        <f>TMTB!M295</f>
        <v>-0.62065207600000005</v>
      </c>
      <c r="M295">
        <f>TMTB!N295</f>
        <v>28.9</v>
      </c>
      <c r="O295">
        <f>ABS(L295-TMTB!$C$34)</f>
        <v>0.5086098217657421</v>
      </c>
      <c r="P295">
        <f t="shared" si="5"/>
        <v>28.9</v>
      </c>
    </row>
    <row r="296" spans="10:16">
      <c r="J296" s="5"/>
      <c r="L296">
        <f>TMTB!M296</f>
        <v>-0.62026035999999996</v>
      </c>
      <c r="M296">
        <f>TMTB!N296</f>
        <v>29</v>
      </c>
      <c r="O296">
        <f>ABS(L296-TMTB!$C$34)</f>
        <v>0.508218105765742</v>
      </c>
      <c r="P296">
        <f t="shared" si="5"/>
        <v>29</v>
      </c>
    </row>
    <row r="297" spans="10:16">
      <c r="J297" s="5"/>
      <c r="L297">
        <f>TMTB!M297</f>
        <v>-0.61991489200000005</v>
      </c>
      <c r="M297">
        <f>TMTB!N297</f>
        <v>29.1</v>
      </c>
      <c r="O297">
        <f>ABS(L297-TMTB!$C$34)</f>
        <v>0.5078726377657421</v>
      </c>
      <c r="P297">
        <f t="shared" si="5"/>
        <v>29.1</v>
      </c>
    </row>
    <row r="298" spans="10:16">
      <c r="J298" s="5"/>
      <c r="L298">
        <f>TMTB!M298</f>
        <v>-0.61963830399999997</v>
      </c>
      <c r="M298">
        <f>TMTB!N298</f>
        <v>29.2</v>
      </c>
      <c r="O298">
        <f>ABS(L298-TMTB!$C$34)</f>
        <v>0.50759604976574202</v>
      </c>
      <c r="P298">
        <f t="shared" si="5"/>
        <v>29.2</v>
      </c>
    </row>
    <row r="299" spans="10:16">
      <c r="J299" s="5"/>
      <c r="L299">
        <f>TMTB!M299</f>
        <v>-0.61936171600000001</v>
      </c>
      <c r="M299">
        <f>TMTB!N299</f>
        <v>29.3</v>
      </c>
      <c r="O299">
        <f>ABS(L299-TMTB!$C$34)</f>
        <v>0.50731946176574205</v>
      </c>
      <c r="P299">
        <f t="shared" si="5"/>
        <v>29.3</v>
      </c>
    </row>
    <row r="300" spans="10:16">
      <c r="J300" s="5"/>
      <c r="L300">
        <f>TMTB!M300</f>
        <v>-0.61815295800000003</v>
      </c>
      <c r="M300">
        <f>TMTB!N300</f>
        <v>29.4</v>
      </c>
      <c r="O300">
        <f>ABS(L300-TMTB!$C$34)</f>
        <v>0.50611070376574208</v>
      </c>
      <c r="P300">
        <f t="shared" si="5"/>
        <v>29.4</v>
      </c>
    </row>
    <row r="301" spans="10:16">
      <c r="J301" s="5"/>
      <c r="L301">
        <f>TMTB!M301</f>
        <v>-0.61618981500000003</v>
      </c>
      <c r="M301">
        <f>TMTB!N301</f>
        <v>29.5</v>
      </c>
      <c r="O301">
        <f>ABS(L301-TMTB!$C$34)</f>
        <v>0.50414756076574208</v>
      </c>
      <c r="P301">
        <f t="shared" si="5"/>
        <v>29.5</v>
      </c>
    </row>
    <row r="302" spans="10:16">
      <c r="J302" s="5"/>
      <c r="L302">
        <f>TMTB!M302</f>
        <v>-0.61422667200000003</v>
      </c>
      <c r="M302">
        <f>TMTB!N302</f>
        <v>29.6</v>
      </c>
      <c r="O302">
        <f>ABS(L302-TMTB!$C$34)</f>
        <v>0.50218441776574207</v>
      </c>
      <c r="P302">
        <f t="shared" si="5"/>
        <v>29.6</v>
      </c>
    </row>
    <row r="303" spans="10:16">
      <c r="J303" s="5"/>
      <c r="L303">
        <f>TMTB!M303</f>
        <v>-0.612478666</v>
      </c>
      <c r="M303">
        <f>TMTB!N303</f>
        <v>29.7</v>
      </c>
      <c r="O303">
        <f>ABS(L303-TMTB!$C$34)</f>
        <v>0.50043641176574205</v>
      </c>
      <c r="P303">
        <f t="shared" si="5"/>
        <v>29.7</v>
      </c>
    </row>
    <row r="304" spans="10:16">
      <c r="J304" s="5"/>
      <c r="L304">
        <f>TMTB!M304</f>
        <v>-0.61082124400000004</v>
      </c>
      <c r="M304">
        <f>TMTB!N304</f>
        <v>29.8</v>
      </c>
      <c r="O304">
        <f>ABS(L304-TMTB!$C$34)</f>
        <v>0.49877898976574203</v>
      </c>
      <c r="P304">
        <f t="shared" si="5"/>
        <v>29.8</v>
      </c>
    </row>
    <row r="305" spans="10:16">
      <c r="J305" s="5"/>
      <c r="L305">
        <f>TMTB!M305</f>
        <v>-0.60916382199999997</v>
      </c>
      <c r="M305">
        <f>TMTB!N305</f>
        <v>29.9</v>
      </c>
      <c r="O305">
        <f>ABS(L305-TMTB!$C$34)</f>
        <v>0.49712156776574196</v>
      </c>
      <c r="P305">
        <f t="shared" si="5"/>
        <v>29.9</v>
      </c>
    </row>
    <row r="306" spans="10:16">
      <c r="J306" s="5"/>
      <c r="L306">
        <f>TMTB!M306</f>
        <v>-0.60719080000000003</v>
      </c>
      <c r="M306">
        <f>TMTB!N306</f>
        <v>30</v>
      </c>
      <c r="O306">
        <f>ABS(L306-TMTB!$C$34)</f>
        <v>0.49514854576574202</v>
      </c>
      <c r="P306">
        <f t="shared" si="5"/>
        <v>30</v>
      </c>
    </row>
    <row r="307" spans="10:16">
      <c r="J307" s="5"/>
      <c r="L307">
        <f>TMTB!M307</f>
        <v>-0.60516412600000002</v>
      </c>
      <c r="M307">
        <f>TMTB!N307</f>
        <v>30.1</v>
      </c>
      <c r="O307">
        <f>ABS(L307-TMTB!$C$34)</f>
        <v>0.49312187176574201</v>
      </c>
      <c r="P307">
        <f t="shared" si="5"/>
        <v>30.1</v>
      </c>
    </row>
    <row r="308" spans="10:16">
      <c r="J308" s="5"/>
      <c r="L308">
        <f>TMTB!M308</f>
        <v>-0.60314900000000005</v>
      </c>
      <c r="M308">
        <f>TMTB!N308</f>
        <v>30.2</v>
      </c>
      <c r="O308">
        <f>ABS(L308-TMTB!$C$34)</f>
        <v>0.49110674576574204</v>
      </c>
      <c r="P308">
        <f t="shared" si="5"/>
        <v>30.2</v>
      </c>
    </row>
    <row r="309" spans="10:16">
      <c r="J309" s="5"/>
      <c r="L309">
        <f>TMTB!M309</f>
        <v>-0.60314900000000005</v>
      </c>
      <c r="M309">
        <f>TMTB!N309</f>
        <v>30.3</v>
      </c>
      <c r="O309">
        <f>ABS(L309-TMTB!$C$34)</f>
        <v>0.49110674576574204</v>
      </c>
      <c r="P309">
        <f t="shared" si="5"/>
        <v>30.3</v>
      </c>
    </row>
    <row r="310" spans="10:16">
      <c r="J310" s="5"/>
      <c r="L310">
        <f>TMTB!M310</f>
        <v>-0.60314900000000005</v>
      </c>
      <c r="M310">
        <f>TMTB!N310</f>
        <v>30.4</v>
      </c>
      <c r="O310">
        <f>ABS(L310-TMTB!$C$34)</f>
        <v>0.49110674576574204</v>
      </c>
      <c r="P310">
        <f t="shared" si="5"/>
        <v>30.4</v>
      </c>
    </row>
    <row r="311" spans="10:16">
      <c r="J311" s="5"/>
      <c r="L311">
        <f>TMTB!M311</f>
        <v>-0.60293026500000002</v>
      </c>
      <c r="M311">
        <f>TMTB!N311</f>
        <v>30.5</v>
      </c>
      <c r="O311">
        <f>ABS(L311-TMTB!$C$34)</f>
        <v>0.49088801076574201</v>
      </c>
      <c r="P311">
        <f t="shared" si="5"/>
        <v>30.5</v>
      </c>
    </row>
    <row r="312" spans="10:16">
      <c r="J312" s="5"/>
      <c r="L312">
        <f>TMTB!M312</f>
        <v>-0.601534338</v>
      </c>
      <c r="M312">
        <f>TMTB!N312</f>
        <v>30.6</v>
      </c>
      <c r="O312">
        <f>ABS(L312-TMTB!$C$34)</f>
        <v>0.48949208376574199</v>
      </c>
      <c r="P312">
        <f t="shared" si="5"/>
        <v>30.6</v>
      </c>
    </row>
    <row r="313" spans="10:16">
      <c r="J313" s="5"/>
      <c r="L313">
        <f>TMTB!M313</f>
        <v>-0.60013841099999998</v>
      </c>
      <c r="M313">
        <f>TMTB!N313</f>
        <v>30.7</v>
      </c>
      <c r="O313">
        <f>ABS(L313-TMTB!$C$34)</f>
        <v>0.48809615676574197</v>
      </c>
      <c r="P313">
        <f t="shared" si="5"/>
        <v>30.7</v>
      </c>
    </row>
    <row r="314" spans="10:16">
      <c r="J314" s="5"/>
      <c r="L314">
        <f>TMTB!M314</f>
        <v>-0.59872714800000004</v>
      </c>
      <c r="M314">
        <f>TMTB!N314</f>
        <v>30.8</v>
      </c>
      <c r="O314">
        <f>ABS(L314-TMTB!$C$34)</f>
        <v>0.48668489376574203</v>
      </c>
      <c r="P314">
        <f t="shared" si="5"/>
        <v>30.8</v>
      </c>
    </row>
    <row r="315" spans="10:16">
      <c r="J315" s="5"/>
      <c r="L315">
        <f>TMTB!M315</f>
        <v>-0.597281379</v>
      </c>
      <c r="M315">
        <f>TMTB!N315</f>
        <v>30.9</v>
      </c>
      <c r="O315">
        <f>ABS(L315-TMTB!$C$34)</f>
        <v>0.48523912476574199</v>
      </c>
      <c r="P315">
        <f t="shared" si="5"/>
        <v>30.9</v>
      </c>
    </row>
    <row r="316" spans="10:16">
      <c r="J316" s="5"/>
      <c r="L316">
        <f>TMTB!M316</f>
        <v>-0.59583560999999996</v>
      </c>
      <c r="M316">
        <f>TMTB!N316</f>
        <v>31</v>
      </c>
      <c r="O316">
        <f>ABS(L316-TMTB!$C$34)</f>
        <v>0.48379335576574195</v>
      </c>
      <c r="P316">
        <f t="shared" si="5"/>
        <v>31</v>
      </c>
    </row>
    <row r="317" spans="10:16">
      <c r="J317" s="5"/>
      <c r="L317">
        <f>TMTB!M317</f>
        <v>-0.59264862600000001</v>
      </c>
      <c r="M317">
        <f>TMTB!N317</f>
        <v>31.1</v>
      </c>
      <c r="O317">
        <f>ABS(L317-TMTB!$C$34)</f>
        <v>0.480606371765742</v>
      </c>
      <c r="P317">
        <f t="shared" si="5"/>
        <v>31.1</v>
      </c>
    </row>
    <row r="318" spans="10:16">
      <c r="J318" s="5"/>
      <c r="L318">
        <f>TMTB!M318</f>
        <v>-0.58740679200000001</v>
      </c>
      <c r="M318">
        <f>TMTB!N318</f>
        <v>31.2</v>
      </c>
      <c r="O318">
        <f>ABS(L318-TMTB!$C$34)</f>
        <v>0.475364537765742</v>
      </c>
      <c r="P318">
        <f t="shared" si="5"/>
        <v>31.2</v>
      </c>
    </row>
    <row r="319" spans="10:16">
      <c r="J319" s="5"/>
      <c r="L319">
        <f>TMTB!M319</f>
        <v>-0.58216495800000001</v>
      </c>
      <c r="M319">
        <f>TMTB!N319</f>
        <v>31.3</v>
      </c>
      <c r="O319">
        <f>ABS(L319-TMTB!$C$34)</f>
        <v>0.470122703765742</v>
      </c>
      <c r="P319">
        <f t="shared" si="5"/>
        <v>31.3</v>
      </c>
    </row>
    <row r="320" spans="10:16">
      <c r="J320" s="5"/>
      <c r="L320">
        <f>TMTB!M320</f>
        <v>-0.57985171400000002</v>
      </c>
      <c r="M320">
        <f>TMTB!N320</f>
        <v>31.4</v>
      </c>
      <c r="O320">
        <f>ABS(L320-TMTB!$C$34)</f>
        <v>0.46780945976574201</v>
      </c>
      <c r="P320">
        <f t="shared" si="5"/>
        <v>31.4</v>
      </c>
    </row>
    <row r="321" spans="10:16">
      <c r="J321" s="5"/>
      <c r="L321">
        <f>TMTB!M321</f>
        <v>-0.57941331500000004</v>
      </c>
      <c r="M321">
        <f>TMTB!N321</f>
        <v>31.5</v>
      </c>
      <c r="O321">
        <f>ABS(L321-TMTB!$C$34)</f>
        <v>0.46737106076574203</v>
      </c>
      <c r="P321">
        <f t="shared" si="5"/>
        <v>31.5</v>
      </c>
    </row>
    <row r="322" spans="10:16">
      <c r="J322" s="5"/>
      <c r="L322">
        <f>TMTB!M322</f>
        <v>-0.57897491599999995</v>
      </c>
      <c r="M322">
        <f>TMTB!N322</f>
        <v>31.6</v>
      </c>
      <c r="O322">
        <f>ABS(L322-TMTB!$C$34)</f>
        <v>0.46693266176574194</v>
      </c>
      <c r="P322">
        <f t="shared" si="5"/>
        <v>31.6</v>
      </c>
    </row>
    <row r="323" spans="10:16">
      <c r="J323" s="5"/>
      <c r="L323">
        <f>TMTB!M323</f>
        <v>-0.57600909499999997</v>
      </c>
      <c r="M323">
        <f>TMTB!N323</f>
        <v>31.7</v>
      </c>
      <c r="O323">
        <f>ABS(L323-TMTB!$C$34)</f>
        <v>0.46396684076574196</v>
      </c>
      <c r="P323">
        <f t="shared" si="5"/>
        <v>31.7</v>
      </c>
    </row>
    <row r="324" spans="10:16">
      <c r="J324" s="5"/>
      <c r="L324">
        <f>TMTB!M324</f>
        <v>-0.57224812999999997</v>
      </c>
      <c r="M324">
        <f>TMTB!N324</f>
        <v>31.8</v>
      </c>
      <c r="O324">
        <f>ABS(L324-TMTB!$C$34)</f>
        <v>0.46020587576574196</v>
      </c>
      <c r="P324">
        <f t="shared" si="5"/>
        <v>31.8</v>
      </c>
    </row>
    <row r="325" spans="10:16">
      <c r="J325" s="5"/>
      <c r="L325">
        <f>TMTB!M325</f>
        <v>-0.56848716499999996</v>
      </c>
      <c r="M325">
        <f>TMTB!N325</f>
        <v>31.9</v>
      </c>
      <c r="O325">
        <f>ABS(L325-TMTB!$C$34)</f>
        <v>0.45644491076574195</v>
      </c>
      <c r="P325">
        <f t="shared" si="5"/>
        <v>31.9</v>
      </c>
    </row>
    <row r="326" spans="10:16">
      <c r="J326" s="5"/>
      <c r="L326">
        <f>TMTB!M326</f>
        <v>-0.56544011999999999</v>
      </c>
      <c r="M326">
        <f>TMTB!N326</f>
        <v>32</v>
      </c>
      <c r="O326">
        <f>ABS(L326-TMTB!$C$34)</f>
        <v>0.45339786576574198</v>
      </c>
      <c r="P326">
        <f t="shared" si="5"/>
        <v>32</v>
      </c>
    </row>
    <row r="327" spans="10:16">
      <c r="J327" s="5"/>
      <c r="L327">
        <f>TMTB!M327</f>
        <v>-0.562462236</v>
      </c>
      <c r="M327">
        <f>TMTB!N327</f>
        <v>32.1</v>
      </c>
      <c r="O327">
        <f>ABS(L327-TMTB!$C$34)</f>
        <v>0.45041998176574199</v>
      </c>
      <c r="P327">
        <f t="shared" ref="P327:P390" si="6">M327</f>
        <v>32.1</v>
      </c>
    </row>
    <row r="328" spans="10:16">
      <c r="J328" s="5"/>
      <c r="L328">
        <f>TMTB!M328</f>
        <v>-0.55953244400000002</v>
      </c>
      <c r="M328">
        <f>TMTB!N328</f>
        <v>32.200000000000003</v>
      </c>
      <c r="O328">
        <f>ABS(L328-TMTB!$C$34)</f>
        <v>0.44749018976574201</v>
      </c>
      <c r="P328">
        <f t="shared" si="6"/>
        <v>32.200000000000003</v>
      </c>
    </row>
    <row r="329" spans="10:16">
      <c r="J329" s="5"/>
      <c r="L329">
        <f>TMTB!M329</f>
        <v>-0.55732184600000001</v>
      </c>
      <c r="M329">
        <f>TMTB!N329</f>
        <v>32.299999999999997</v>
      </c>
      <c r="O329">
        <f>ABS(L329-TMTB!$C$34)</f>
        <v>0.445279591765742</v>
      </c>
      <c r="P329">
        <f t="shared" si="6"/>
        <v>32.299999999999997</v>
      </c>
    </row>
    <row r="330" spans="10:16">
      <c r="J330" s="5"/>
      <c r="L330">
        <f>TMTB!M330</f>
        <v>-0.555111248</v>
      </c>
      <c r="M330">
        <f>TMTB!N330</f>
        <v>32.4</v>
      </c>
      <c r="O330">
        <f>ABS(L330-TMTB!$C$34)</f>
        <v>0.44306899376574199</v>
      </c>
      <c r="P330">
        <f t="shared" si="6"/>
        <v>32.4</v>
      </c>
    </row>
    <row r="331" spans="10:16">
      <c r="J331" s="5"/>
      <c r="L331">
        <f>TMTB!M331</f>
        <v>-0.55329185000000003</v>
      </c>
      <c r="M331">
        <f>TMTB!N331</f>
        <v>32.5</v>
      </c>
      <c r="O331">
        <f>ABS(L331-TMTB!$C$34)</f>
        <v>0.44124959576574202</v>
      </c>
      <c r="P331">
        <f t="shared" si="6"/>
        <v>32.5</v>
      </c>
    </row>
    <row r="332" spans="10:16">
      <c r="J332" s="5"/>
      <c r="L332">
        <f>TMTB!M332</f>
        <v>-0.55291206800000003</v>
      </c>
      <c r="M332">
        <f>TMTB!N332</f>
        <v>32.6</v>
      </c>
      <c r="O332">
        <f>ABS(L332-TMTB!$C$34)</f>
        <v>0.44086981376574202</v>
      </c>
      <c r="P332">
        <f t="shared" si="6"/>
        <v>32.6</v>
      </c>
    </row>
    <row r="333" spans="10:16">
      <c r="J333" s="5"/>
      <c r="L333">
        <f>TMTB!M333</f>
        <v>-0.55253228600000004</v>
      </c>
      <c r="M333">
        <f>TMTB!N333</f>
        <v>32.700000000000003</v>
      </c>
      <c r="O333">
        <f>ABS(L333-TMTB!$C$34)</f>
        <v>0.44049003176574203</v>
      </c>
      <c r="P333">
        <f t="shared" si="6"/>
        <v>32.700000000000003</v>
      </c>
    </row>
    <row r="334" spans="10:16">
      <c r="J334" s="5"/>
      <c r="L334">
        <f>TMTB!M334</f>
        <v>-0.55210693600000005</v>
      </c>
      <c r="M334">
        <f>TMTB!N334</f>
        <v>32.799999999999997</v>
      </c>
      <c r="O334">
        <f>ABS(L334-TMTB!$C$34)</f>
        <v>0.44006468176574204</v>
      </c>
      <c r="P334">
        <f t="shared" si="6"/>
        <v>32.799999999999997</v>
      </c>
    </row>
    <row r="335" spans="10:16">
      <c r="J335" s="5"/>
      <c r="L335">
        <f>TMTB!M335</f>
        <v>-0.55160219799999999</v>
      </c>
      <c r="M335">
        <f>TMTB!N335</f>
        <v>32.9</v>
      </c>
      <c r="O335">
        <f>ABS(L335-TMTB!$C$34)</f>
        <v>0.43955994376574198</v>
      </c>
      <c r="P335">
        <f t="shared" si="6"/>
        <v>32.9</v>
      </c>
    </row>
    <row r="336" spans="10:16">
      <c r="J336" s="5"/>
      <c r="L336">
        <f>TMTB!M336</f>
        <v>-0.55109746000000004</v>
      </c>
      <c r="M336">
        <f>TMTB!N336</f>
        <v>33</v>
      </c>
      <c r="O336">
        <f>ABS(L336-TMTB!$C$34)</f>
        <v>0.43905520576574203</v>
      </c>
      <c r="P336">
        <f t="shared" si="6"/>
        <v>33</v>
      </c>
    </row>
    <row r="337" spans="10:16">
      <c r="J337" s="5"/>
      <c r="L337">
        <f>TMTB!M337</f>
        <v>-0.55024610699999998</v>
      </c>
      <c r="M337">
        <f>TMTB!N337</f>
        <v>33.1</v>
      </c>
      <c r="O337">
        <f>ABS(L337-TMTB!$C$34)</f>
        <v>0.43820385276574197</v>
      </c>
      <c r="P337">
        <f t="shared" si="6"/>
        <v>33.1</v>
      </c>
    </row>
    <row r="338" spans="10:16">
      <c r="J338" s="5"/>
      <c r="L338">
        <f>TMTB!M338</f>
        <v>-0.54906920400000003</v>
      </c>
      <c r="M338">
        <f>TMTB!N338</f>
        <v>33.200000000000003</v>
      </c>
      <c r="O338">
        <f>ABS(L338-TMTB!$C$34)</f>
        <v>0.43702694976574202</v>
      </c>
      <c r="P338">
        <f t="shared" si="6"/>
        <v>33.200000000000003</v>
      </c>
    </row>
    <row r="339" spans="10:16">
      <c r="J339" s="5"/>
      <c r="L339">
        <f>TMTB!M339</f>
        <v>-0.54789230099999997</v>
      </c>
      <c r="M339">
        <f>TMTB!N339</f>
        <v>33.299999999999997</v>
      </c>
      <c r="O339">
        <f>ABS(L339-TMTB!$C$34)</f>
        <v>0.43585004676574196</v>
      </c>
      <c r="P339">
        <f t="shared" si="6"/>
        <v>33.299999999999997</v>
      </c>
    </row>
    <row r="340" spans="10:16">
      <c r="J340" s="5"/>
      <c r="L340">
        <f>TMTB!M340</f>
        <v>-0.54615169200000002</v>
      </c>
      <c r="M340">
        <f>TMTB!N340</f>
        <v>33.4</v>
      </c>
      <c r="O340">
        <f>ABS(L340-TMTB!$C$34)</f>
        <v>0.43410943776574201</v>
      </c>
      <c r="P340">
        <f t="shared" si="6"/>
        <v>33.4</v>
      </c>
    </row>
    <row r="341" spans="10:16">
      <c r="J341" s="5"/>
      <c r="L341">
        <f>TMTB!M341</f>
        <v>-0.54412923000000002</v>
      </c>
      <c r="M341">
        <f>TMTB!N341</f>
        <v>33.5</v>
      </c>
      <c r="O341">
        <f>ABS(L341-TMTB!$C$34)</f>
        <v>0.43208697576574201</v>
      </c>
      <c r="P341">
        <f t="shared" si="6"/>
        <v>33.5</v>
      </c>
    </row>
    <row r="342" spans="10:16">
      <c r="J342" s="5"/>
      <c r="L342">
        <f>TMTB!M342</f>
        <v>-0.54210676800000002</v>
      </c>
      <c r="M342">
        <f>TMTB!N342</f>
        <v>33.6</v>
      </c>
      <c r="O342">
        <f>ABS(L342-TMTB!$C$34)</f>
        <v>0.43006451376574201</v>
      </c>
      <c r="P342">
        <f t="shared" si="6"/>
        <v>33.6</v>
      </c>
    </row>
    <row r="343" spans="10:16">
      <c r="J343" s="5"/>
      <c r="L343">
        <f>TMTB!M343</f>
        <v>-0.54115883399999998</v>
      </c>
      <c r="M343">
        <f>TMTB!N343</f>
        <v>33.700000000000003</v>
      </c>
      <c r="O343">
        <f>ABS(L343-TMTB!$C$34)</f>
        <v>0.42911657976574197</v>
      </c>
      <c r="P343">
        <f t="shared" si="6"/>
        <v>33.700000000000003</v>
      </c>
    </row>
    <row r="344" spans="10:16">
      <c r="J344" s="5"/>
      <c r="L344">
        <f>TMTB!M344</f>
        <v>-0.54045051600000005</v>
      </c>
      <c r="M344">
        <f>TMTB!N344</f>
        <v>33.799999999999997</v>
      </c>
      <c r="O344">
        <f>ABS(L344-TMTB!$C$34)</f>
        <v>0.42840826176574204</v>
      </c>
      <c r="P344">
        <f t="shared" si="6"/>
        <v>33.799999999999997</v>
      </c>
    </row>
    <row r="345" spans="10:16">
      <c r="J345" s="5"/>
      <c r="L345">
        <f>TMTB!M345</f>
        <v>-0.53974219800000001</v>
      </c>
      <c r="M345">
        <f>TMTB!N345</f>
        <v>33.9</v>
      </c>
      <c r="O345">
        <f>ABS(L345-TMTB!$C$34)</f>
        <v>0.427699943765742</v>
      </c>
      <c r="P345">
        <f t="shared" si="6"/>
        <v>33.9</v>
      </c>
    </row>
    <row r="346" spans="10:16">
      <c r="J346" s="5"/>
      <c r="L346">
        <f>TMTB!M346</f>
        <v>-0.53891657999999998</v>
      </c>
      <c r="M346">
        <f>TMTB!N346</f>
        <v>34</v>
      </c>
      <c r="O346">
        <f>ABS(L346-TMTB!$C$34)</f>
        <v>0.42687432576574197</v>
      </c>
      <c r="P346">
        <f t="shared" si="6"/>
        <v>34</v>
      </c>
    </row>
    <row r="347" spans="10:16">
      <c r="J347" s="5"/>
      <c r="L347">
        <f>TMTB!M347</f>
        <v>-0.53808716700000003</v>
      </c>
      <c r="M347">
        <f>TMTB!N347</f>
        <v>34.1</v>
      </c>
      <c r="O347">
        <f>ABS(L347-TMTB!$C$34)</f>
        <v>0.42604491276574202</v>
      </c>
      <c r="P347">
        <f t="shared" si="6"/>
        <v>34.1</v>
      </c>
    </row>
    <row r="348" spans="10:16">
      <c r="J348" s="5"/>
      <c r="L348">
        <f>TMTB!M348</f>
        <v>-0.53713435799999998</v>
      </c>
      <c r="M348">
        <f>TMTB!N348</f>
        <v>34.200000000000003</v>
      </c>
      <c r="O348">
        <f>ABS(L348-TMTB!$C$34)</f>
        <v>0.42509210376574197</v>
      </c>
      <c r="P348">
        <f t="shared" si="6"/>
        <v>34.200000000000003</v>
      </c>
    </row>
    <row r="349" spans="10:16">
      <c r="J349" s="5"/>
      <c r="L349">
        <f>TMTB!M349</f>
        <v>-0.53527370699999999</v>
      </c>
      <c r="M349">
        <f>TMTB!N349</f>
        <v>34.299999999999997</v>
      </c>
      <c r="O349">
        <f>ABS(L349-TMTB!$C$34)</f>
        <v>0.42323145276574198</v>
      </c>
      <c r="P349">
        <f t="shared" si="6"/>
        <v>34.299999999999997</v>
      </c>
    </row>
    <row r="350" spans="10:16">
      <c r="J350" s="5"/>
      <c r="L350">
        <f>TMTB!M350</f>
        <v>-0.533413056</v>
      </c>
      <c r="M350">
        <f>TMTB!N350</f>
        <v>34.4</v>
      </c>
      <c r="O350">
        <f>ABS(L350-TMTB!$C$34)</f>
        <v>0.42137080176574199</v>
      </c>
      <c r="P350">
        <f t="shared" si="6"/>
        <v>34.4</v>
      </c>
    </row>
    <row r="351" spans="10:16">
      <c r="J351" s="5"/>
      <c r="L351">
        <f>TMTB!M351</f>
        <v>-0.53200546000000004</v>
      </c>
      <c r="M351">
        <f>TMTB!N351</f>
        <v>34.5</v>
      </c>
      <c r="O351">
        <f>ABS(L351-TMTB!$C$34)</f>
        <v>0.41996320576574203</v>
      </c>
      <c r="P351">
        <f t="shared" si="6"/>
        <v>34.5</v>
      </c>
    </row>
    <row r="352" spans="10:16">
      <c r="J352" s="5"/>
      <c r="L352">
        <f>TMTB!M352</f>
        <v>-0.53181872799999996</v>
      </c>
      <c r="M352">
        <f>TMTB!N352</f>
        <v>34.6</v>
      </c>
      <c r="O352">
        <f>ABS(L352-TMTB!$C$34)</f>
        <v>0.41977647376574195</v>
      </c>
      <c r="P352">
        <f t="shared" si="6"/>
        <v>34.6</v>
      </c>
    </row>
    <row r="353" spans="10:16">
      <c r="J353" s="5"/>
      <c r="L353">
        <f>TMTB!M353</f>
        <v>-0.531631996</v>
      </c>
      <c r="M353">
        <f>TMTB!N353</f>
        <v>34.700000000000003</v>
      </c>
      <c r="O353">
        <f>ABS(L353-TMTB!$C$34)</f>
        <v>0.41958974176574199</v>
      </c>
      <c r="P353">
        <f t="shared" si="6"/>
        <v>34.700000000000003</v>
      </c>
    </row>
    <row r="354" spans="10:16">
      <c r="J354" s="5"/>
      <c r="L354">
        <f>TMTB!M354</f>
        <v>-0.53114082799999995</v>
      </c>
      <c r="M354">
        <f>TMTB!N354</f>
        <v>34.799999999999997</v>
      </c>
      <c r="O354">
        <f>ABS(L354-TMTB!$C$34)</f>
        <v>0.41909857376574194</v>
      </c>
      <c r="P354">
        <f t="shared" si="6"/>
        <v>34.799999999999997</v>
      </c>
    </row>
    <row r="355" spans="10:16">
      <c r="J355" s="5"/>
      <c r="L355">
        <f>TMTB!M355</f>
        <v>-0.53023208899999996</v>
      </c>
      <c r="M355">
        <f>TMTB!N355</f>
        <v>34.9</v>
      </c>
      <c r="O355">
        <f>ABS(L355-TMTB!$C$34)</f>
        <v>0.41818983476574195</v>
      </c>
      <c r="P355">
        <f t="shared" si="6"/>
        <v>34.9</v>
      </c>
    </row>
    <row r="356" spans="10:16">
      <c r="J356" s="5"/>
      <c r="L356">
        <f>TMTB!M356</f>
        <v>-0.52932334999999997</v>
      </c>
      <c r="M356">
        <f>TMTB!N356</f>
        <v>35</v>
      </c>
      <c r="O356">
        <f>ABS(L356-TMTB!$C$34)</f>
        <v>0.41728109576574196</v>
      </c>
      <c r="P356">
        <f t="shared" si="6"/>
        <v>35</v>
      </c>
    </row>
    <row r="357" spans="10:16">
      <c r="J357" s="5"/>
      <c r="L357">
        <f>TMTB!M357</f>
        <v>-0.52794165800000004</v>
      </c>
      <c r="M357">
        <f>TMTB!N357</f>
        <v>35.1</v>
      </c>
      <c r="O357">
        <f>ABS(L357-TMTB!$C$34)</f>
        <v>0.41589940376574203</v>
      </c>
      <c r="P357">
        <f t="shared" si="6"/>
        <v>35.1</v>
      </c>
    </row>
    <row r="358" spans="10:16">
      <c r="J358" s="5"/>
      <c r="L358">
        <f>TMTB!M358</f>
        <v>-0.52620701599999997</v>
      </c>
      <c r="M358">
        <f>TMTB!N358</f>
        <v>35.200000000000003</v>
      </c>
      <c r="O358">
        <f>ABS(L358-TMTB!$C$34)</f>
        <v>0.41416476176574196</v>
      </c>
      <c r="P358">
        <f t="shared" si="6"/>
        <v>35.200000000000003</v>
      </c>
    </row>
    <row r="359" spans="10:16">
      <c r="J359" s="5"/>
      <c r="L359">
        <f>TMTB!M359</f>
        <v>-0.52447237400000002</v>
      </c>
      <c r="M359">
        <f>TMTB!N359</f>
        <v>35.299999999999997</v>
      </c>
      <c r="O359">
        <f>ABS(L359-TMTB!$C$34)</f>
        <v>0.41243011976574201</v>
      </c>
      <c r="P359">
        <f t="shared" si="6"/>
        <v>35.299999999999997</v>
      </c>
    </row>
    <row r="360" spans="10:16">
      <c r="J360" s="5"/>
      <c r="L360">
        <f>TMTB!M360</f>
        <v>-0.52167982199999996</v>
      </c>
      <c r="M360">
        <f>TMTB!N360</f>
        <v>35.4</v>
      </c>
      <c r="O360">
        <f>ABS(L360-TMTB!$C$34)</f>
        <v>0.40963756776574195</v>
      </c>
      <c r="P360">
        <f t="shared" si="6"/>
        <v>35.4</v>
      </c>
    </row>
    <row r="361" spans="10:16">
      <c r="J361" s="5"/>
      <c r="L361">
        <f>TMTB!M361</f>
        <v>-0.51848326499999997</v>
      </c>
      <c r="M361">
        <f>TMTB!N361</f>
        <v>35.5</v>
      </c>
      <c r="O361">
        <f>ABS(L361-TMTB!$C$34)</f>
        <v>0.40644101076574196</v>
      </c>
      <c r="P361">
        <f t="shared" si="6"/>
        <v>35.5</v>
      </c>
    </row>
    <row r="362" spans="10:16">
      <c r="J362" s="5"/>
      <c r="L362">
        <f>TMTB!M362</f>
        <v>-0.51528670799999998</v>
      </c>
      <c r="M362">
        <f>TMTB!N362</f>
        <v>35.6</v>
      </c>
      <c r="O362">
        <f>ABS(L362-TMTB!$C$34)</f>
        <v>0.40324445376574197</v>
      </c>
      <c r="P362">
        <f t="shared" si="6"/>
        <v>35.6</v>
      </c>
    </row>
    <row r="363" spans="10:16">
      <c r="J363" s="5"/>
      <c r="L363">
        <f>TMTB!M363</f>
        <v>-0.51482275799999999</v>
      </c>
      <c r="M363">
        <f>TMTB!N363</f>
        <v>35.700000000000003</v>
      </c>
      <c r="O363">
        <f>ABS(L363-TMTB!$C$34)</f>
        <v>0.40278050376574198</v>
      </c>
      <c r="P363">
        <f t="shared" si="6"/>
        <v>35.700000000000003</v>
      </c>
    </row>
    <row r="364" spans="10:16">
      <c r="J364" s="5"/>
      <c r="L364">
        <f>TMTB!M364</f>
        <v>-0.51475045200000002</v>
      </c>
      <c r="M364">
        <f>TMTB!N364</f>
        <v>35.799999999999997</v>
      </c>
      <c r="O364">
        <f>ABS(L364-TMTB!$C$34)</f>
        <v>0.40270819776574202</v>
      </c>
      <c r="P364">
        <f t="shared" si="6"/>
        <v>35.799999999999997</v>
      </c>
    </row>
    <row r="365" spans="10:16">
      <c r="J365" s="5"/>
      <c r="L365">
        <f>TMTB!M365</f>
        <v>-0.5146773</v>
      </c>
      <c r="M365">
        <f>TMTB!N365</f>
        <v>35.9</v>
      </c>
      <c r="O365">
        <f>ABS(L365-TMTB!$C$34)</f>
        <v>0.40263504576574199</v>
      </c>
      <c r="P365">
        <f t="shared" si="6"/>
        <v>35.9</v>
      </c>
    </row>
    <row r="366" spans="10:16">
      <c r="J366" s="5"/>
      <c r="L366">
        <f>TMTB!M366</f>
        <v>-0.51457200000000003</v>
      </c>
      <c r="M366">
        <f>TMTB!N366</f>
        <v>36</v>
      </c>
      <c r="O366">
        <f>ABS(L366-TMTB!$C$34)</f>
        <v>0.40252974576574202</v>
      </c>
      <c r="P366">
        <f t="shared" si="6"/>
        <v>36</v>
      </c>
    </row>
    <row r="367" spans="10:16">
      <c r="J367" s="5"/>
      <c r="L367">
        <f>TMTB!M367</f>
        <v>-0.51446670000000005</v>
      </c>
      <c r="M367">
        <f>TMTB!N367</f>
        <v>36.1</v>
      </c>
      <c r="O367">
        <f>ABS(L367-TMTB!$C$34)</f>
        <v>0.40242444576574204</v>
      </c>
      <c r="P367">
        <f t="shared" si="6"/>
        <v>36.1</v>
      </c>
    </row>
    <row r="368" spans="10:16">
      <c r="J368" s="5"/>
      <c r="L368">
        <f>TMTB!M368</f>
        <v>-0.51372218000000003</v>
      </c>
      <c r="M368">
        <f>TMTB!N368</f>
        <v>36.200000000000003</v>
      </c>
      <c r="O368">
        <f>ABS(L368-TMTB!$C$34)</f>
        <v>0.40167992576574202</v>
      </c>
      <c r="P368">
        <f t="shared" si="6"/>
        <v>36.200000000000003</v>
      </c>
    </row>
    <row r="369" spans="10:16">
      <c r="J369" s="5"/>
      <c r="L369">
        <f>TMTB!M369</f>
        <v>-0.50999806999999997</v>
      </c>
      <c r="M369">
        <f>TMTB!N369</f>
        <v>36.299999999999997</v>
      </c>
      <c r="O369">
        <f>ABS(L369-TMTB!$C$34)</f>
        <v>0.39795581576574196</v>
      </c>
      <c r="P369">
        <f t="shared" si="6"/>
        <v>36.299999999999997</v>
      </c>
    </row>
    <row r="370" spans="10:16">
      <c r="J370" s="5"/>
      <c r="L370">
        <f>TMTB!M370</f>
        <v>-0.50627396000000002</v>
      </c>
      <c r="M370">
        <f>TMTB!N370</f>
        <v>36.4</v>
      </c>
      <c r="O370">
        <f>ABS(L370-TMTB!$C$34)</f>
        <v>0.39423170576574201</v>
      </c>
      <c r="P370">
        <f t="shared" si="6"/>
        <v>36.4</v>
      </c>
    </row>
    <row r="371" spans="10:16">
      <c r="J371" s="5"/>
      <c r="L371">
        <f>TMTB!M371</f>
        <v>-0.50277927499999997</v>
      </c>
      <c r="M371">
        <f>TMTB!N371</f>
        <v>36.5</v>
      </c>
      <c r="O371">
        <f>ABS(L371-TMTB!$C$34)</f>
        <v>0.39073702076574196</v>
      </c>
      <c r="P371">
        <f t="shared" si="6"/>
        <v>36.5</v>
      </c>
    </row>
    <row r="372" spans="10:16">
      <c r="J372" s="5"/>
      <c r="L372">
        <f>TMTB!M372</f>
        <v>-0.49975541000000001</v>
      </c>
      <c r="M372">
        <f>TMTB!N372</f>
        <v>36.6</v>
      </c>
      <c r="O372">
        <f>ABS(L372-TMTB!$C$34)</f>
        <v>0.387713155765742</v>
      </c>
      <c r="P372">
        <f t="shared" si="6"/>
        <v>36.6</v>
      </c>
    </row>
    <row r="373" spans="10:16">
      <c r="J373" s="5"/>
      <c r="L373">
        <f>TMTB!M373</f>
        <v>-0.496731545</v>
      </c>
      <c r="M373">
        <f>TMTB!N373</f>
        <v>36.700000000000003</v>
      </c>
      <c r="O373">
        <f>ABS(L373-TMTB!$C$34)</f>
        <v>0.38468929076574199</v>
      </c>
      <c r="P373">
        <f t="shared" si="6"/>
        <v>36.700000000000003</v>
      </c>
    </row>
    <row r="374" spans="10:16">
      <c r="J374" s="5"/>
      <c r="L374">
        <f>TMTB!M374</f>
        <v>-0.49491022400000001</v>
      </c>
      <c r="M374">
        <f>TMTB!N374</f>
        <v>36.799999999999997</v>
      </c>
      <c r="O374">
        <f>ABS(L374-TMTB!$C$34)</f>
        <v>0.382867969765742</v>
      </c>
      <c r="P374">
        <f t="shared" si="6"/>
        <v>36.799999999999997</v>
      </c>
    </row>
    <row r="375" spans="10:16">
      <c r="J375" s="5"/>
      <c r="L375">
        <f>TMTB!M375</f>
        <v>-0.49439881699999999</v>
      </c>
      <c r="M375">
        <f>TMTB!N375</f>
        <v>36.9</v>
      </c>
      <c r="O375">
        <f>ABS(L375-TMTB!$C$34)</f>
        <v>0.38235656276574198</v>
      </c>
      <c r="P375">
        <f t="shared" si="6"/>
        <v>36.9</v>
      </c>
    </row>
    <row r="376" spans="10:16">
      <c r="J376" s="5"/>
      <c r="L376">
        <f>TMTB!M376</f>
        <v>-0.49388741000000003</v>
      </c>
      <c r="M376">
        <f>TMTB!N376</f>
        <v>37</v>
      </c>
      <c r="O376">
        <f>ABS(L376-TMTB!$C$34)</f>
        <v>0.38184515576574202</v>
      </c>
      <c r="P376">
        <f t="shared" si="6"/>
        <v>37</v>
      </c>
    </row>
    <row r="377" spans="10:16">
      <c r="J377" s="5"/>
      <c r="L377">
        <f>TMTB!M377</f>
        <v>-0.492764496</v>
      </c>
      <c r="M377">
        <f>TMTB!N377</f>
        <v>37.1</v>
      </c>
      <c r="O377">
        <f>ABS(L377-TMTB!$C$34)</f>
        <v>0.38072224176574199</v>
      </c>
      <c r="P377">
        <f t="shared" si="6"/>
        <v>37.1</v>
      </c>
    </row>
    <row r="378" spans="10:16">
      <c r="J378" s="5"/>
      <c r="L378">
        <f>TMTB!M378</f>
        <v>-0.49128187200000001</v>
      </c>
      <c r="M378">
        <f>TMTB!N378</f>
        <v>37.200000000000003</v>
      </c>
      <c r="O378">
        <f>ABS(L378-TMTB!$C$34)</f>
        <v>0.379239617765742</v>
      </c>
      <c r="P378">
        <f t="shared" si="6"/>
        <v>37.200000000000003</v>
      </c>
    </row>
    <row r="379" spans="10:16">
      <c r="J379" s="5"/>
      <c r="L379">
        <f>TMTB!M379</f>
        <v>-0.48979924800000002</v>
      </c>
      <c r="M379">
        <f>TMTB!N379</f>
        <v>37.299999999999997</v>
      </c>
      <c r="O379">
        <f>ABS(L379-TMTB!$C$34)</f>
        <v>0.37775699376574201</v>
      </c>
      <c r="P379">
        <f t="shared" si="6"/>
        <v>37.299999999999997</v>
      </c>
    </row>
    <row r="380" spans="10:16">
      <c r="J380" s="5"/>
      <c r="L380">
        <f>TMTB!M380</f>
        <v>-0.48937398999999998</v>
      </c>
      <c r="M380">
        <f>TMTB!N380</f>
        <v>37.4</v>
      </c>
      <c r="O380">
        <f>ABS(L380-TMTB!$C$34)</f>
        <v>0.37733173576574197</v>
      </c>
      <c r="P380">
        <f t="shared" si="6"/>
        <v>37.4</v>
      </c>
    </row>
    <row r="381" spans="10:16">
      <c r="J381" s="5"/>
      <c r="L381">
        <f>TMTB!M381</f>
        <v>-0.489245875</v>
      </c>
      <c r="M381">
        <f>TMTB!N381</f>
        <v>37.5</v>
      </c>
      <c r="O381">
        <f>ABS(L381-TMTB!$C$34)</f>
        <v>0.37720362076574199</v>
      </c>
      <c r="P381">
        <f t="shared" si="6"/>
        <v>37.5</v>
      </c>
    </row>
    <row r="382" spans="10:16">
      <c r="J382" s="5"/>
      <c r="L382">
        <f>TMTB!M382</f>
        <v>-0.48911776000000001</v>
      </c>
      <c r="M382">
        <f>TMTB!N382</f>
        <v>37.6</v>
      </c>
      <c r="O382">
        <f>ABS(L382-TMTB!$C$34)</f>
        <v>0.377075505765742</v>
      </c>
      <c r="P382">
        <f t="shared" si="6"/>
        <v>37.6</v>
      </c>
    </row>
    <row r="383" spans="10:16">
      <c r="J383" s="5"/>
      <c r="L383">
        <f>TMTB!M383</f>
        <v>-0.48910900000000002</v>
      </c>
      <c r="M383">
        <f>TMTB!N383</f>
        <v>37.700000000000003</v>
      </c>
      <c r="O383">
        <f>ABS(L383-TMTB!$C$34)</f>
        <v>0.37706674576574201</v>
      </c>
      <c r="P383">
        <f t="shared" si="6"/>
        <v>37.700000000000003</v>
      </c>
    </row>
    <row r="384" spans="10:16">
      <c r="J384" s="5"/>
      <c r="L384">
        <f>TMTB!M384</f>
        <v>-0.48910900000000002</v>
      </c>
      <c r="M384">
        <f>TMTB!N384</f>
        <v>37.799999999999997</v>
      </c>
      <c r="O384">
        <f>ABS(L384-TMTB!$C$34)</f>
        <v>0.37706674576574201</v>
      </c>
      <c r="P384">
        <f t="shared" si="6"/>
        <v>37.799999999999997</v>
      </c>
    </row>
    <row r="385" spans="10:16">
      <c r="J385" s="5"/>
      <c r="L385">
        <f>TMTB!M385</f>
        <v>-0.48902397199999997</v>
      </c>
      <c r="M385">
        <f>TMTB!N385</f>
        <v>37.9</v>
      </c>
      <c r="O385">
        <f>ABS(L385-TMTB!$C$34)</f>
        <v>0.37698171776574196</v>
      </c>
      <c r="P385">
        <f t="shared" si="6"/>
        <v>37.9</v>
      </c>
    </row>
    <row r="386" spans="10:16">
      <c r="J386" s="5"/>
      <c r="L386">
        <f>TMTB!M386</f>
        <v>-0.48799483999999999</v>
      </c>
      <c r="M386">
        <f>TMTB!N386</f>
        <v>38</v>
      </c>
      <c r="O386">
        <f>ABS(L386-TMTB!$C$34)</f>
        <v>0.37595258576574198</v>
      </c>
      <c r="P386">
        <f t="shared" si="6"/>
        <v>38</v>
      </c>
    </row>
    <row r="387" spans="10:16">
      <c r="J387" s="5"/>
      <c r="L387">
        <f>TMTB!M387</f>
        <v>-0.486965708</v>
      </c>
      <c r="M387">
        <f>TMTB!N387</f>
        <v>38.1</v>
      </c>
      <c r="O387">
        <f>ABS(L387-TMTB!$C$34)</f>
        <v>0.37492345376574199</v>
      </c>
      <c r="P387">
        <f t="shared" si="6"/>
        <v>38.1</v>
      </c>
    </row>
    <row r="388" spans="10:16">
      <c r="J388" s="5"/>
      <c r="L388">
        <f>TMTB!M388</f>
        <v>-0.48513961799999999</v>
      </c>
      <c r="M388">
        <f>TMTB!N388</f>
        <v>38.200000000000003</v>
      </c>
      <c r="O388">
        <f>ABS(L388-TMTB!$C$34)</f>
        <v>0.37309736376574199</v>
      </c>
      <c r="P388">
        <f t="shared" si="6"/>
        <v>38.200000000000003</v>
      </c>
    </row>
    <row r="389" spans="10:16">
      <c r="J389" s="5"/>
      <c r="L389">
        <f>TMTB!M389</f>
        <v>-0.48069911700000001</v>
      </c>
      <c r="M389">
        <f>TMTB!N389</f>
        <v>38.299999999999997</v>
      </c>
      <c r="O389">
        <f>ABS(L389-TMTB!$C$34)</f>
        <v>0.368656862765742</v>
      </c>
      <c r="P389">
        <f t="shared" si="6"/>
        <v>38.299999999999997</v>
      </c>
    </row>
    <row r="390" spans="10:16">
      <c r="J390" s="5"/>
      <c r="L390">
        <f>TMTB!M390</f>
        <v>-0.47625861600000002</v>
      </c>
      <c r="M390">
        <f>TMTB!N390</f>
        <v>38.4</v>
      </c>
      <c r="O390">
        <f>ABS(L390-TMTB!$C$34)</f>
        <v>0.36421636176574201</v>
      </c>
      <c r="P390">
        <f t="shared" si="6"/>
        <v>38.4</v>
      </c>
    </row>
    <row r="391" spans="10:16">
      <c r="J391" s="5"/>
      <c r="L391">
        <f>TMTB!M391</f>
        <v>-0.47329690499999999</v>
      </c>
      <c r="M391">
        <f>TMTB!N391</f>
        <v>38.5</v>
      </c>
      <c r="O391">
        <f>ABS(L391-TMTB!$C$34)</f>
        <v>0.36125465076574198</v>
      </c>
      <c r="P391">
        <f t="shared" ref="P391:P454" si="7">M391</f>
        <v>38.5</v>
      </c>
    </row>
    <row r="392" spans="10:16">
      <c r="J392" s="5"/>
      <c r="L392">
        <f>TMTB!M392</f>
        <v>-0.47270125800000001</v>
      </c>
      <c r="M392">
        <f>TMTB!N392</f>
        <v>38.6</v>
      </c>
      <c r="O392">
        <f>ABS(L392-TMTB!$C$34)</f>
        <v>0.360659003765742</v>
      </c>
      <c r="P392">
        <f t="shared" si="7"/>
        <v>38.6</v>
      </c>
    </row>
    <row r="393" spans="10:16">
      <c r="J393" s="5"/>
      <c r="L393">
        <f>TMTB!M393</f>
        <v>-0.47210561099999998</v>
      </c>
      <c r="M393">
        <f>TMTB!N393</f>
        <v>38.700000000000003</v>
      </c>
      <c r="O393">
        <f>ABS(L393-TMTB!$C$34)</f>
        <v>0.36006335676574197</v>
      </c>
      <c r="P393">
        <f t="shared" si="7"/>
        <v>38.700000000000003</v>
      </c>
    </row>
    <row r="394" spans="10:16">
      <c r="J394" s="5"/>
      <c r="L394">
        <f>TMTB!M394</f>
        <v>-0.471160472</v>
      </c>
      <c r="M394">
        <f>TMTB!N394</f>
        <v>38.799999999999997</v>
      </c>
      <c r="O394">
        <f>ABS(L394-TMTB!$C$34)</f>
        <v>0.35911821776574199</v>
      </c>
      <c r="P394">
        <f t="shared" si="7"/>
        <v>38.799999999999997</v>
      </c>
    </row>
    <row r="395" spans="10:16">
      <c r="J395" s="5"/>
      <c r="L395">
        <f>TMTB!M395</f>
        <v>-0.469912316</v>
      </c>
      <c r="M395">
        <f>TMTB!N395</f>
        <v>38.9</v>
      </c>
      <c r="O395">
        <f>ABS(L395-TMTB!$C$34)</f>
        <v>0.35787006176574199</v>
      </c>
      <c r="P395">
        <f t="shared" si="7"/>
        <v>38.9</v>
      </c>
    </row>
    <row r="396" spans="10:16">
      <c r="J396" s="5"/>
      <c r="L396">
        <f>TMTB!M396</f>
        <v>-0.46866416</v>
      </c>
      <c r="M396">
        <f>TMTB!N396</f>
        <v>39</v>
      </c>
      <c r="O396">
        <f>ABS(L396-TMTB!$C$34)</f>
        <v>0.35662190576574199</v>
      </c>
      <c r="P396">
        <f t="shared" si="7"/>
        <v>39</v>
      </c>
    </row>
    <row r="397" spans="10:16">
      <c r="J397" s="5"/>
      <c r="L397">
        <f>TMTB!M397</f>
        <v>-0.467144638</v>
      </c>
      <c r="M397">
        <f>TMTB!N397</f>
        <v>39.1</v>
      </c>
      <c r="O397">
        <f>ABS(L397-TMTB!$C$34)</f>
        <v>0.35510238376574199</v>
      </c>
      <c r="P397">
        <f t="shared" si="7"/>
        <v>39.1</v>
      </c>
    </row>
    <row r="398" spans="10:16">
      <c r="J398" s="5"/>
      <c r="L398">
        <f>TMTB!M398</f>
        <v>-0.46550125599999997</v>
      </c>
      <c r="M398">
        <f>TMTB!N398</f>
        <v>39.200000000000003</v>
      </c>
      <c r="O398">
        <f>ABS(L398-TMTB!$C$34)</f>
        <v>0.35345900176574196</v>
      </c>
      <c r="P398">
        <f t="shared" si="7"/>
        <v>39.200000000000003</v>
      </c>
    </row>
    <row r="399" spans="10:16">
      <c r="J399" s="5"/>
      <c r="L399">
        <f>TMTB!M399</f>
        <v>-0.463857874</v>
      </c>
      <c r="M399">
        <f>TMTB!N399</f>
        <v>39.299999999999997</v>
      </c>
      <c r="O399">
        <f>ABS(L399-TMTB!$C$34)</f>
        <v>0.35181561976574199</v>
      </c>
      <c r="P399">
        <f t="shared" si="7"/>
        <v>39.299999999999997</v>
      </c>
    </row>
    <row r="400" spans="10:16">
      <c r="J400" s="5"/>
      <c r="L400">
        <f>TMTB!M400</f>
        <v>-0.46246791999999998</v>
      </c>
      <c r="M400">
        <f>TMTB!N400</f>
        <v>39.4</v>
      </c>
      <c r="O400">
        <f>ABS(L400-TMTB!$C$34)</f>
        <v>0.35042566576574197</v>
      </c>
      <c r="P400">
        <f t="shared" si="7"/>
        <v>39.4</v>
      </c>
    </row>
    <row r="401" spans="10:16">
      <c r="J401" s="5"/>
      <c r="L401">
        <f>TMTB!M401</f>
        <v>-0.46112710000000001</v>
      </c>
      <c r="M401">
        <f>TMTB!N401</f>
        <v>39.5</v>
      </c>
      <c r="O401">
        <f>ABS(L401-TMTB!$C$34)</f>
        <v>0.349084845765742</v>
      </c>
      <c r="P401">
        <f t="shared" si="7"/>
        <v>39.5</v>
      </c>
    </row>
    <row r="402" spans="10:16">
      <c r="J402" s="5"/>
      <c r="L402">
        <f>TMTB!M402</f>
        <v>-0.45978627999999999</v>
      </c>
      <c r="M402">
        <f>TMTB!N402</f>
        <v>39.6</v>
      </c>
      <c r="O402">
        <f>ABS(L402-TMTB!$C$34)</f>
        <v>0.34774402576574198</v>
      </c>
      <c r="P402">
        <f t="shared" si="7"/>
        <v>39.6</v>
      </c>
    </row>
    <row r="403" spans="10:16">
      <c r="J403" s="5"/>
      <c r="L403">
        <f>TMTB!M403</f>
        <v>-0.45828063499999999</v>
      </c>
      <c r="M403">
        <f>TMTB!N403</f>
        <v>39.700000000000003</v>
      </c>
      <c r="O403">
        <f>ABS(L403-TMTB!$C$34)</f>
        <v>0.34623838076574198</v>
      </c>
      <c r="P403">
        <f t="shared" si="7"/>
        <v>39.700000000000003</v>
      </c>
    </row>
    <row r="404" spans="10:16">
      <c r="J404" s="5"/>
      <c r="L404">
        <f>TMTB!M404</f>
        <v>-0.45677308999999999</v>
      </c>
      <c r="M404">
        <f>TMTB!N404</f>
        <v>39.799999999999997</v>
      </c>
      <c r="O404">
        <f>ABS(L404-TMTB!$C$34)</f>
        <v>0.34473083576574198</v>
      </c>
      <c r="P404">
        <f t="shared" si="7"/>
        <v>39.799999999999997</v>
      </c>
    </row>
    <row r="405" spans="10:16">
      <c r="J405" s="5"/>
      <c r="L405">
        <f>TMTB!M405</f>
        <v>-0.455341936</v>
      </c>
      <c r="M405">
        <f>TMTB!N405</f>
        <v>39.9</v>
      </c>
      <c r="O405">
        <f>ABS(L405-TMTB!$C$34)</f>
        <v>0.34329968176574199</v>
      </c>
      <c r="P405">
        <f t="shared" si="7"/>
        <v>39.9</v>
      </c>
    </row>
    <row r="406" spans="10:16">
      <c r="J406" s="5"/>
      <c r="L406">
        <f>TMTB!M406</f>
        <v>-0.4543816</v>
      </c>
      <c r="M406">
        <f>TMTB!N406</f>
        <v>40</v>
      </c>
      <c r="O406">
        <f>ABS(L406-TMTB!$C$34)</f>
        <v>0.34233934576574199</v>
      </c>
      <c r="P406">
        <f t="shared" si="7"/>
        <v>40</v>
      </c>
    </row>
    <row r="407" spans="10:16">
      <c r="J407" s="5"/>
      <c r="L407">
        <f>TMTB!M407</f>
        <v>-0.45342126399999999</v>
      </c>
      <c r="M407">
        <f>TMTB!N407</f>
        <v>40.1</v>
      </c>
      <c r="O407">
        <f>ABS(L407-TMTB!$C$34)</f>
        <v>0.34137900976574198</v>
      </c>
      <c r="P407">
        <f t="shared" si="7"/>
        <v>40.1</v>
      </c>
    </row>
    <row r="408" spans="10:16">
      <c r="J408" s="5"/>
      <c r="L408">
        <f>TMTB!M408</f>
        <v>-0.45191430999999999</v>
      </c>
      <c r="M408">
        <f>TMTB!N408</f>
        <v>40.200000000000003</v>
      </c>
      <c r="O408">
        <f>ABS(L408-TMTB!$C$34)</f>
        <v>0.33987205576574198</v>
      </c>
      <c r="P408">
        <f t="shared" si="7"/>
        <v>40.200000000000003</v>
      </c>
    </row>
    <row r="409" spans="10:16">
      <c r="J409" s="5"/>
      <c r="L409">
        <f>TMTB!M409</f>
        <v>-0.44907296499999999</v>
      </c>
      <c r="M409">
        <f>TMTB!N409</f>
        <v>40.299999999999997</v>
      </c>
      <c r="O409">
        <f>ABS(L409-TMTB!$C$34)</f>
        <v>0.33703071076574198</v>
      </c>
      <c r="P409">
        <f t="shared" si="7"/>
        <v>40.299999999999997</v>
      </c>
    </row>
    <row r="410" spans="10:16">
      <c r="J410" s="5"/>
      <c r="L410">
        <f>TMTB!M410</f>
        <v>-0.44623162</v>
      </c>
      <c r="M410">
        <f>TMTB!N410</f>
        <v>40.4</v>
      </c>
      <c r="O410">
        <f>ABS(L410-TMTB!$C$34)</f>
        <v>0.33418936576574199</v>
      </c>
      <c r="P410">
        <f t="shared" si="7"/>
        <v>40.4</v>
      </c>
    </row>
    <row r="411" spans="10:16">
      <c r="J411" s="5"/>
      <c r="L411">
        <f>TMTB!M411</f>
        <v>-0.44320427499999998</v>
      </c>
      <c r="M411">
        <f>TMTB!N411</f>
        <v>40.5</v>
      </c>
      <c r="O411">
        <f>ABS(L411-TMTB!$C$34)</f>
        <v>0.33116202076574197</v>
      </c>
      <c r="P411">
        <f t="shared" si="7"/>
        <v>40.5</v>
      </c>
    </row>
    <row r="412" spans="10:16">
      <c r="J412" s="5"/>
      <c r="L412">
        <f>TMTB!M412</f>
        <v>-0.43994172999999998</v>
      </c>
      <c r="M412">
        <f>TMTB!N412</f>
        <v>40.6</v>
      </c>
      <c r="O412">
        <f>ABS(L412-TMTB!$C$34)</f>
        <v>0.32789947576574197</v>
      </c>
      <c r="P412">
        <f t="shared" si="7"/>
        <v>40.6</v>
      </c>
    </row>
    <row r="413" spans="10:16">
      <c r="J413" s="5"/>
      <c r="L413">
        <f>TMTB!M413</f>
        <v>-0.43667918500000003</v>
      </c>
      <c r="M413">
        <f>TMTB!N413</f>
        <v>40.700000000000003</v>
      </c>
      <c r="O413">
        <f>ABS(L413-TMTB!$C$34)</f>
        <v>0.32463693076574202</v>
      </c>
      <c r="P413">
        <f t="shared" si="7"/>
        <v>40.700000000000003</v>
      </c>
    </row>
    <row r="414" spans="10:16">
      <c r="J414" s="5"/>
      <c r="L414">
        <f>TMTB!M414</f>
        <v>-0.43373737600000001</v>
      </c>
      <c r="M414">
        <f>TMTB!N414</f>
        <v>40.799999999999997</v>
      </c>
      <c r="O414">
        <f>ABS(L414-TMTB!$C$34)</f>
        <v>0.321695121765742</v>
      </c>
      <c r="P414">
        <f t="shared" si="7"/>
        <v>40.799999999999997</v>
      </c>
    </row>
    <row r="415" spans="10:16">
      <c r="J415" s="5"/>
      <c r="L415">
        <f>TMTB!M415</f>
        <v>-0.431016073</v>
      </c>
      <c r="M415">
        <f>TMTB!N415</f>
        <v>40.9</v>
      </c>
      <c r="O415">
        <f>ABS(L415-TMTB!$C$34)</f>
        <v>0.31897381876574199</v>
      </c>
      <c r="P415">
        <f t="shared" si="7"/>
        <v>40.9</v>
      </c>
    </row>
    <row r="416" spans="10:16">
      <c r="J416" s="5"/>
      <c r="L416">
        <f>TMTB!M416</f>
        <v>-0.42829476999999999</v>
      </c>
      <c r="M416">
        <f>TMTB!N416</f>
        <v>41</v>
      </c>
      <c r="O416">
        <f>ABS(L416-TMTB!$C$34)</f>
        <v>0.31625251576574198</v>
      </c>
      <c r="P416">
        <f t="shared" si="7"/>
        <v>41</v>
      </c>
    </row>
    <row r="417" spans="10:16">
      <c r="J417" s="5"/>
      <c r="L417">
        <f>TMTB!M417</f>
        <v>-0.42739159300000001</v>
      </c>
      <c r="M417">
        <f>TMTB!N417</f>
        <v>41.1</v>
      </c>
      <c r="O417">
        <f>ABS(L417-TMTB!$C$34)</f>
        <v>0.315349338765742</v>
      </c>
      <c r="P417">
        <f t="shared" si="7"/>
        <v>41.1</v>
      </c>
    </row>
    <row r="418" spans="10:16">
      <c r="J418" s="5"/>
      <c r="L418">
        <f>TMTB!M418</f>
        <v>-0.427115356</v>
      </c>
      <c r="M418">
        <f>TMTB!N418</f>
        <v>41.2</v>
      </c>
      <c r="O418">
        <f>ABS(L418-TMTB!$C$34)</f>
        <v>0.31507310176574199</v>
      </c>
      <c r="P418">
        <f t="shared" si="7"/>
        <v>41.2</v>
      </c>
    </row>
    <row r="419" spans="10:16">
      <c r="J419" s="5"/>
      <c r="L419">
        <f>TMTB!M419</f>
        <v>-0.42683911899999999</v>
      </c>
      <c r="M419">
        <f>TMTB!N419</f>
        <v>41.3</v>
      </c>
      <c r="O419">
        <f>ABS(L419-TMTB!$C$34)</f>
        <v>0.31479686476574198</v>
      </c>
      <c r="P419">
        <f t="shared" si="7"/>
        <v>41.3</v>
      </c>
    </row>
    <row r="420" spans="10:16">
      <c r="J420" s="5"/>
      <c r="L420">
        <f>TMTB!M420</f>
        <v>-0.42502522399999998</v>
      </c>
      <c r="M420">
        <f>TMTB!N420</f>
        <v>41.4</v>
      </c>
      <c r="O420">
        <f>ABS(L420-TMTB!$C$34)</f>
        <v>0.31298296976574197</v>
      </c>
      <c r="P420">
        <f t="shared" si="7"/>
        <v>41.4</v>
      </c>
    </row>
    <row r="421" spans="10:16">
      <c r="J421" s="5"/>
      <c r="L421">
        <f>TMTB!M421</f>
        <v>-0.42303014</v>
      </c>
      <c r="M421">
        <f>TMTB!N421</f>
        <v>41.5</v>
      </c>
      <c r="O421">
        <f>ABS(L421-TMTB!$C$34)</f>
        <v>0.31098788576574199</v>
      </c>
      <c r="P421">
        <f t="shared" si="7"/>
        <v>41.5</v>
      </c>
    </row>
    <row r="422" spans="10:16">
      <c r="J422" s="5"/>
      <c r="L422">
        <f>TMTB!M422</f>
        <v>-0.42091694400000002</v>
      </c>
      <c r="M422">
        <f>TMTB!N422</f>
        <v>41.6</v>
      </c>
      <c r="O422">
        <f>ABS(L422-TMTB!$C$34)</f>
        <v>0.30887468976574201</v>
      </c>
      <c r="P422">
        <f t="shared" si="7"/>
        <v>41.6</v>
      </c>
    </row>
    <row r="423" spans="10:16">
      <c r="J423" s="5"/>
      <c r="L423">
        <f>TMTB!M423</f>
        <v>-0.41633077800000001</v>
      </c>
      <c r="M423">
        <f>TMTB!N423</f>
        <v>41.7</v>
      </c>
      <c r="O423">
        <f>ABS(L423-TMTB!$C$34)</f>
        <v>0.304288523765742</v>
      </c>
      <c r="P423">
        <f t="shared" si="7"/>
        <v>41.7</v>
      </c>
    </row>
    <row r="424" spans="10:16">
      <c r="J424" s="5"/>
      <c r="L424">
        <f>TMTB!M424</f>
        <v>-0.41174461200000001</v>
      </c>
      <c r="M424">
        <f>TMTB!N424</f>
        <v>41.8</v>
      </c>
      <c r="O424">
        <f>ABS(L424-TMTB!$C$34)</f>
        <v>0.299702357765742</v>
      </c>
      <c r="P424">
        <f t="shared" si="7"/>
        <v>41.8</v>
      </c>
    </row>
    <row r="425" spans="10:16">
      <c r="J425" s="5"/>
      <c r="L425">
        <f>TMTB!M425</f>
        <v>-0.40773342299999998</v>
      </c>
      <c r="M425">
        <f>TMTB!N425</f>
        <v>41.9</v>
      </c>
      <c r="O425">
        <f>ABS(L425-TMTB!$C$34)</f>
        <v>0.29569116876574197</v>
      </c>
      <c r="P425">
        <f t="shared" si="7"/>
        <v>41.9</v>
      </c>
    </row>
    <row r="426" spans="10:16">
      <c r="J426" s="5"/>
      <c r="L426">
        <f>TMTB!M426</f>
        <v>-0.40607214000000003</v>
      </c>
      <c r="M426">
        <f>TMTB!N426</f>
        <v>42</v>
      </c>
      <c r="O426">
        <f>ABS(L426-TMTB!$C$34)</f>
        <v>0.29402988576574202</v>
      </c>
      <c r="P426">
        <f t="shared" si="7"/>
        <v>42</v>
      </c>
    </row>
    <row r="427" spans="10:16">
      <c r="J427" s="5"/>
      <c r="L427">
        <f>TMTB!M427</f>
        <v>-0.40441085700000001</v>
      </c>
      <c r="M427">
        <f>TMTB!N427</f>
        <v>42.1</v>
      </c>
      <c r="O427">
        <f>ABS(L427-TMTB!$C$34)</f>
        <v>0.292368602765742</v>
      </c>
      <c r="P427">
        <f t="shared" si="7"/>
        <v>42.1</v>
      </c>
    </row>
    <row r="428" spans="10:16">
      <c r="J428" s="5"/>
      <c r="L428">
        <f>TMTB!M428</f>
        <v>-0.403266244</v>
      </c>
      <c r="M428">
        <f>TMTB!N428</f>
        <v>42.2</v>
      </c>
      <c r="O428">
        <f>ABS(L428-TMTB!$C$34)</f>
        <v>0.29122398976574199</v>
      </c>
      <c r="P428">
        <f t="shared" si="7"/>
        <v>42.2</v>
      </c>
    </row>
    <row r="429" spans="10:16">
      <c r="J429" s="5"/>
      <c r="L429">
        <f>TMTB!M429</f>
        <v>-0.40309144600000002</v>
      </c>
      <c r="M429">
        <f>TMTB!N429</f>
        <v>42.3</v>
      </c>
      <c r="O429">
        <f>ABS(L429-TMTB!$C$34)</f>
        <v>0.29104919176574201</v>
      </c>
      <c r="P429">
        <f t="shared" si="7"/>
        <v>42.3</v>
      </c>
    </row>
    <row r="430" spans="10:16">
      <c r="J430" s="5"/>
      <c r="L430">
        <f>TMTB!M430</f>
        <v>-0.40291664799999999</v>
      </c>
      <c r="M430">
        <f>TMTB!N430</f>
        <v>42.4</v>
      </c>
      <c r="O430">
        <f>ABS(L430-TMTB!$C$34)</f>
        <v>0.29087439376574198</v>
      </c>
      <c r="P430">
        <f t="shared" si="7"/>
        <v>42.4</v>
      </c>
    </row>
    <row r="431" spans="10:16">
      <c r="J431" s="5"/>
      <c r="L431">
        <f>TMTB!M431</f>
        <v>-0.40253044999999998</v>
      </c>
      <c r="M431">
        <f>TMTB!N431</f>
        <v>42.5</v>
      </c>
      <c r="O431">
        <f>ABS(L431-TMTB!$C$34)</f>
        <v>0.29048819576574197</v>
      </c>
      <c r="P431">
        <f t="shared" si="7"/>
        <v>42.5</v>
      </c>
    </row>
    <row r="432" spans="10:16">
      <c r="J432" s="5"/>
      <c r="L432">
        <f>TMTB!M432</f>
        <v>-0.40193164399999998</v>
      </c>
      <c r="M432">
        <f>TMTB!N432</f>
        <v>42.6</v>
      </c>
      <c r="O432">
        <f>ABS(L432-TMTB!$C$34)</f>
        <v>0.28988938976574197</v>
      </c>
      <c r="P432">
        <f t="shared" si="7"/>
        <v>42.6</v>
      </c>
    </row>
    <row r="433" spans="10:16">
      <c r="J433" s="5"/>
      <c r="L433">
        <f>TMTB!M433</f>
        <v>-0.40133283800000003</v>
      </c>
      <c r="M433">
        <f>TMTB!N433</f>
        <v>42.7</v>
      </c>
      <c r="O433">
        <f>ABS(L433-TMTB!$C$34)</f>
        <v>0.28929058376574202</v>
      </c>
      <c r="P433">
        <f t="shared" si="7"/>
        <v>42.7</v>
      </c>
    </row>
    <row r="434" spans="10:16">
      <c r="J434" s="5"/>
      <c r="L434">
        <f>TMTB!M434</f>
        <v>-0.40082773999999999</v>
      </c>
      <c r="M434">
        <f>TMTB!N434</f>
        <v>42.8</v>
      </c>
      <c r="O434">
        <f>ABS(L434-TMTB!$C$34)</f>
        <v>0.28878548576574198</v>
      </c>
      <c r="P434">
        <f t="shared" si="7"/>
        <v>42.8</v>
      </c>
    </row>
    <row r="435" spans="10:16">
      <c r="J435" s="5"/>
      <c r="L435">
        <f>TMTB!M435</f>
        <v>-0.40037319500000002</v>
      </c>
      <c r="M435">
        <f>TMTB!N435</f>
        <v>42.9</v>
      </c>
      <c r="O435">
        <f>ABS(L435-TMTB!$C$34)</f>
        <v>0.28833094076574201</v>
      </c>
      <c r="P435">
        <f t="shared" si="7"/>
        <v>42.9</v>
      </c>
    </row>
    <row r="436" spans="10:16">
      <c r="J436" s="5"/>
      <c r="L436">
        <f>TMTB!M436</f>
        <v>-0.39991864999999999</v>
      </c>
      <c r="M436">
        <f>TMTB!N436</f>
        <v>43</v>
      </c>
      <c r="O436">
        <f>ABS(L436-TMTB!$C$34)</f>
        <v>0.28787639576574198</v>
      </c>
      <c r="P436">
        <f t="shared" si="7"/>
        <v>43</v>
      </c>
    </row>
    <row r="437" spans="10:16">
      <c r="J437" s="5"/>
      <c r="L437">
        <f>TMTB!M437</f>
        <v>-0.39855450799999997</v>
      </c>
      <c r="M437">
        <f>TMTB!N437</f>
        <v>43.1</v>
      </c>
      <c r="O437">
        <f>ABS(L437-TMTB!$C$34)</f>
        <v>0.28651225376574196</v>
      </c>
      <c r="P437">
        <f t="shared" si="7"/>
        <v>43.1</v>
      </c>
    </row>
    <row r="438" spans="10:16">
      <c r="J438" s="5"/>
      <c r="L438">
        <f>TMTB!M438</f>
        <v>-0.39696377599999999</v>
      </c>
      <c r="M438">
        <f>TMTB!N438</f>
        <v>43.2</v>
      </c>
      <c r="O438">
        <f>ABS(L438-TMTB!$C$34)</f>
        <v>0.28492152176574198</v>
      </c>
      <c r="P438">
        <f t="shared" si="7"/>
        <v>43.2</v>
      </c>
    </row>
    <row r="439" spans="10:16">
      <c r="J439" s="5"/>
      <c r="L439">
        <f>TMTB!M439</f>
        <v>-0.39537304400000001</v>
      </c>
      <c r="M439">
        <f>TMTB!N439</f>
        <v>43.3</v>
      </c>
      <c r="O439">
        <f>ABS(L439-TMTB!$C$34)</f>
        <v>0.283330789765742</v>
      </c>
      <c r="P439">
        <f t="shared" si="7"/>
        <v>43.3</v>
      </c>
    </row>
    <row r="440" spans="10:16">
      <c r="J440" s="5"/>
      <c r="L440">
        <f>TMTB!M440</f>
        <v>-0.39315940199999999</v>
      </c>
      <c r="M440">
        <f>TMTB!N440</f>
        <v>43.4</v>
      </c>
      <c r="O440">
        <f>ABS(L440-TMTB!$C$34)</f>
        <v>0.28111714776574198</v>
      </c>
      <c r="P440">
        <f t="shared" si="7"/>
        <v>43.4</v>
      </c>
    </row>
    <row r="441" spans="10:16">
      <c r="J441" s="5"/>
      <c r="L441">
        <f>TMTB!M441</f>
        <v>-0.39091405499999998</v>
      </c>
      <c r="M441">
        <f>TMTB!N441</f>
        <v>43.5</v>
      </c>
      <c r="O441">
        <f>ABS(L441-TMTB!$C$34)</f>
        <v>0.27887180076574197</v>
      </c>
      <c r="P441">
        <f t="shared" si="7"/>
        <v>43.5</v>
      </c>
    </row>
    <row r="442" spans="10:16">
      <c r="J442" s="5"/>
      <c r="L442">
        <f>TMTB!M442</f>
        <v>-0.38856923999999998</v>
      </c>
      <c r="M442">
        <f>TMTB!N442</f>
        <v>43.6</v>
      </c>
      <c r="O442">
        <f>ABS(L442-TMTB!$C$34)</f>
        <v>0.27652698576574197</v>
      </c>
      <c r="P442">
        <f t="shared" si="7"/>
        <v>43.6</v>
      </c>
    </row>
    <row r="443" spans="10:16">
      <c r="J443" s="5"/>
      <c r="L443">
        <f>TMTB!M443</f>
        <v>-0.38535407999999999</v>
      </c>
      <c r="M443">
        <f>TMTB!N443</f>
        <v>43.7</v>
      </c>
      <c r="O443">
        <f>ABS(L443-TMTB!$C$34)</f>
        <v>0.27331182576574198</v>
      </c>
      <c r="P443">
        <f t="shared" si="7"/>
        <v>43.7</v>
      </c>
    </row>
    <row r="444" spans="10:16">
      <c r="J444" s="5"/>
      <c r="L444">
        <f>TMTB!M444</f>
        <v>-0.38213891999999999</v>
      </c>
      <c r="M444">
        <f>TMTB!N444</f>
        <v>43.8</v>
      </c>
      <c r="O444">
        <f>ABS(L444-TMTB!$C$34)</f>
        <v>0.27009666576574198</v>
      </c>
      <c r="P444">
        <f t="shared" si="7"/>
        <v>43.8</v>
      </c>
    </row>
    <row r="445" spans="10:16">
      <c r="J445" s="5"/>
      <c r="L445">
        <f>TMTB!M445</f>
        <v>-0.379415218</v>
      </c>
      <c r="M445">
        <f>TMTB!N445</f>
        <v>43.9</v>
      </c>
      <c r="O445">
        <f>ABS(L445-TMTB!$C$34)</f>
        <v>0.26737296376574199</v>
      </c>
      <c r="P445">
        <f t="shared" si="7"/>
        <v>43.9</v>
      </c>
    </row>
    <row r="446" spans="10:16">
      <c r="J446" s="5"/>
      <c r="L446">
        <f>TMTB!M446</f>
        <v>-0.37813827999999999</v>
      </c>
      <c r="M446">
        <f>TMTB!N446</f>
        <v>44</v>
      </c>
      <c r="O446">
        <f>ABS(L446-TMTB!$C$34)</f>
        <v>0.26609602576574198</v>
      </c>
      <c r="P446">
        <f t="shared" si="7"/>
        <v>44</v>
      </c>
    </row>
    <row r="447" spans="10:16">
      <c r="J447" s="5"/>
      <c r="L447">
        <f>TMTB!M447</f>
        <v>-0.37686134199999999</v>
      </c>
      <c r="M447">
        <f>TMTB!N447</f>
        <v>44.1</v>
      </c>
      <c r="O447">
        <f>ABS(L447-TMTB!$C$34)</f>
        <v>0.26481908776574198</v>
      </c>
      <c r="P447">
        <f t="shared" si="7"/>
        <v>44.1</v>
      </c>
    </row>
    <row r="448" spans="10:16">
      <c r="J448" s="5"/>
      <c r="L448">
        <f>TMTB!M448</f>
        <v>-0.375996204</v>
      </c>
      <c r="M448">
        <f>TMTB!N448</f>
        <v>44.2</v>
      </c>
      <c r="O448">
        <f>ABS(L448-TMTB!$C$34)</f>
        <v>0.26395394976574199</v>
      </c>
      <c r="P448">
        <f t="shared" si="7"/>
        <v>44.2</v>
      </c>
    </row>
    <row r="449" spans="10:16">
      <c r="J449" s="5"/>
      <c r="L449">
        <f>TMTB!M449</f>
        <v>-0.37573716600000001</v>
      </c>
      <c r="M449">
        <f>TMTB!N449</f>
        <v>44.3</v>
      </c>
      <c r="O449">
        <f>ABS(L449-TMTB!$C$34)</f>
        <v>0.263694911765742</v>
      </c>
      <c r="P449">
        <f t="shared" si="7"/>
        <v>44.3</v>
      </c>
    </row>
    <row r="450" spans="10:16">
      <c r="J450" s="5"/>
      <c r="L450">
        <f>TMTB!M450</f>
        <v>-0.37547812800000002</v>
      </c>
      <c r="M450">
        <f>TMTB!N450</f>
        <v>44.4</v>
      </c>
      <c r="O450">
        <f>ABS(L450-TMTB!$C$34)</f>
        <v>0.26343587376574201</v>
      </c>
      <c r="P450">
        <f t="shared" si="7"/>
        <v>44.4</v>
      </c>
    </row>
    <row r="451" spans="10:16">
      <c r="J451" s="5"/>
      <c r="L451">
        <f>TMTB!M451</f>
        <v>-0.37518984</v>
      </c>
      <c r="M451">
        <f>TMTB!N451</f>
        <v>44.5</v>
      </c>
      <c r="O451">
        <f>ABS(L451-TMTB!$C$34)</f>
        <v>0.26314758576574199</v>
      </c>
      <c r="P451">
        <f t="shared" si="7"/>
        <v>44.5</v>
      </c>
    </row>
    <row r="452" spans="10:16">
      <c r="J452" s="5"/>
      <c r="L452">
        <f>TMTB!M452</f>
        <v>-0.37487815200000002</v>
      </c>
      <c r="M452">
        <f>TMTB!N452</f>
        <v>44.6</v>
      </c>
      <c r="O452">
        <f>ABS(L452-TMTB!$C$34)</f>
        <v>0.26283589776574201</v>
      </c>
      <c r="P452">
        <f t="shared" si="7"/>
        <v>44.6</v>
      </c>
    </row>
    <row r="453" spans="10:16">
      <c r="J453" s="5"/>
      <c r="L453">
        <f>TMTB!M453</f>
        <v>-0.37456646399999999</v>
      </c>
      <c r="M453">
        <f>TMTB!N453</f>
        <v>44.7</v>
      </c>
      <c r="O453">
        <f>ABS(L453-TMTB!$C$34)</f>
        <v>0.26252420976574198</v>
      </c>
      <c r="P453">
        <f t="shared" si="7"/>
        <v>44.7</v>
      </c>
    </row>
    <row r="454" spans="10:16">
      <c r="J454" s="5"/>
      <c r="L454">
        <f>TMTB!M454</f>
        <v>-0.373331472</v>
      </c>
      <c r="M454">
        <f>TMTB!N454</f>
        <v>44.8</v>
      </c>
      <c r="O454">
        <f>ABS(L454-TMTB!$C$34)</f>
        <v>0.26128921776574199</v>
      </c>
      <c r="P454">
        <f t="shared" si="7"/>
        <v>44.8</v>
      </c>
    </row>
    <row r="455" spans="10:16">
      <c r="J455" s="5"/>
      <c r="L455">
        <f>TMTB!M455</f>
        <v>-0.37171301099999998</v>
      </c>
      <c r="M455">
        <f>TMTB!N455</f>
        <v>44.9</v>
      </c>
      <c r="O455">
        <f>ABS(L455-TMTB!$C$34)</f>
        <v>0.25967075676574197</v>
      </c>
      <c r="P455">
        <f t="shared" ref="P455:P518" si="8">M455</f>
        <v>44.9</v>
      </c>
    </row>
    <row r="456" spans="10:16">
      <c r="J456" s="5"/>
      <c r="L456">
        <f>TMTB!M456</f>
        <v>-0.37009455000000002</v>
      </c>
      <c r="M456">
        <f>TMTB!N456</f>
        <v>45</v>
      </c>
      <c r="O456">
        <f>ABS(L456-TMTB!$C$34)</f>
        <v>0.25805229576574201</v>
      </c>
      <c r="P456">
        <f t="shared" si="8"/>
        <v>45</v>
      </c>
    </row>
    <row r="457" spans="10:16">
      <c r="J457" s="5"/>
      <c r="L457">
        <f>TMTB!M457</f>
        <v>-0.36893993000000003</v>
      </c>
      <c r="M457">
        <f>TMTB!N457</f>
        <v>45.1</v>
      </c>
      <c r="O457">
        <f>ABS(L457-TMTB!$C$34)</f>
        <v>0.25689767576574202</v>
      </c>
      <c r="P457">
        <f t="shared" si="8"/>
        <v>45.1</v>
      </c>
    </row>
    <row r="458" spans="10:16">
      <c r="J458" s="5"/>
      <c r="L458">
        <f>TMTB!M458</f>
        <v>-0.36786236</v>
      </c>
      <c r="M458">
        <f>TMTB!N458</f>
        <v>45.2</v>
      </c>
      <c r="O458">
        <f>ABS(L458-TMTB!$C$34)</f>
        <v>0.25582010576574199</v>
      </c>
      <c r="P458">
        <f t="shared" si="8"/>
        <v>45.2</v>
      </c>
    </row>
    <row r="459" spans="10:16">
      <c r="J459" s="5"/>
      <c r="L459">
        <f>TMTB!M459</f>
        <v>-0.36674228599999997</v>
      </c>
      <c r="M459">
        <f>TMTB!N459</f>
        <v>45.3</v>
      </c>
      <c r="O459">
        <f>ABS(L459-TMTB!$C$34)</f>
        <v>0.25470003176574196</v>
      </c>
      <c r="P459">
        <f t="shared" si="8"/>
        <v>45.3</v>
      </c>
    </row>
    <row r="460" spans="10:16">
      <c r="J460" s="5"/>
      <c r="L460">
        <f>TMTB!M460</f>
        <v>-0.36069174799999998</v>
      </c>
      <c r="M460">
        <f>TMTB!N460</f>
        <v>45.4</v>
      </c>
      <c r="O460">
        <f>ABS(L460-TMTB!$C$34)</f>
        <v>0.24864949376574197</v>
      </c>
      <c r="P460">
        <f t="shared" si="8"/>
        <v>45.4</v>
      </c>
    </row>
    <row r="461" spans="10:16">
      <c r="J461" s="5"/>
      <c r="L461">
        <f>TMTB!M461</f>
        <v>-0.35464120999999998</v>
      </c>
      <c r="M461">
        <f>TMTB!N461</f>
        <v>45.5</v>
      </c>
      <c r="O461">
        <f>ABS(L461-TMTB!$C$34)</f>
        <v>0.24259895576574197</v>
      </c>
      <c r="P461">
        <f t="shared" si="8"/>
        <v>45.5</v>
      </c>
    </row>
    <row r="462" spans="10:16">
      <c r="J462" s="5"/>
      <c r="L462">
        <f>TMTB!M462</f>
        <v>-0.34882940000000001</v>
      </c>
      <c r="M462">
        <f>TMTB!N462</f>
        <v>45.6</v>
      </c>
      <c r="O462">
        <f>ABS(L462-TMTB!$C$34)</f>
        <v>0.236787145765742</v>
      </c>
      <c r="P462">
        <f t="shared" si="8"/>
        <v>45.6</v>
      </c>
    </row>
    <row r="463" spans="10:16">
      <c r="J463" s="5"/>
      <c r="L463">
        <f>TMTB!M463</f>
        <v>-0.34427517499999999</v>
      </c>
      <c r="M463">
        <f>TMTB!N463</f>
        <v>45.7</v>
      </c>
      <c r="O463">
        <f>ABS(L463-TMTB!$C$34)</f>
        <v>0.23223292076574198</v>
      </c>
      <c r="P463">
        <f t="shared" si="8"/>
        <v>45.7</v>
      </c>
    </row>
    <row r="464" spans="10:16">
      <c r="J464" s="5"/>
      <c r="L464">
        <f>TMTB!M464</f>
        <v>-0.33972095000000002</v>
      </c>
      <c r="M464">
        <f>TMTB!N464</f>
        <v>45.8</v>
      </c>
      <c r="O464">
        <f>ABS(L464-TMTB!$C$34)</f>
        <v>0.22767869576574201</v>
      </c>
      <c r="P464">
        <f t="shared" si="8"/>
        <v>45.8</v>
      </c>
    </row>
    <row r="465" spans="10:16">
      <c r="J465" s="5"/>
      <c r="L465">
        <f>TMTB!M465</f>
        <v>-0.33566485499999998</v>
      </c>
      <c r="M465">
        <f>TMTB!N465</f>
        <v>45.9</v>
      </c>
      <c r="O465">
        <f>ABS(L465-TMTB!$C$34)</f>
        <v>0.22362260076574197</v>
      </c>
      <c r="P465">
        <f t="shared" si="8"/>
        <v>45.9</v>
      </c>
    </row>
    <row r="466" spans="10:16">
      <c r="J466" s="5"/>
      <c r="L466">
        <f>TMTB!M466</f>
        <v>-0.33271469999999997</v>
      </c>
      <c r="M466">
        <f>TMTB!N466</f>
        <v>46</v>
      </c>
      <c r="O466">
        <f>ABS(L466-TMTB!$C$34)</f>
        <v>0.22067244576574196</v>
      </c>
      <c r="P466">
        <f t="shared" si="8"/>
        <v>46</v>
      </c>
    </row>
    <row r="467" spans="10:16">
      <c r="J467" s="5"/>
      <c r="L467">
        <f>TMTB!M467</f>
        <v>-0.32976454500000002</v>
      </c>
      <c r="M467">
        <f>TMTB!N467</f>
        <v>46.1</v>
      </c>
      <c r="O467">
        <f>ABS(L467-TMTB!$C$34)</f>
        <v>0.21772229076574201</v>
      </c>
      <c r="P467">
        <f t="shared" si="8"/>
        <v>46.1</v>
      </c>
    </row>
    <row r="468" spans="10:16">
      <c r="J468" s="5"/>
      <c r="L468">
        <f>TMTB!M468</f>
        <v>-0.32802129000000002</v>
      </c>
      <c r="M468">
        <f>TMTB!N468</f>
        <v>46.2</v>
      </c>
      <c r="O468">
        <f>ABS(L468-TMTB!$C$34)</f>
        <v>0.21597903576574201</v>
      </c>
      <c r="P468">
        <f t="shared" si="8"/>
        <v>46.2</v>
      </c>
    </row>
    <row r="469" spans="10:16">
      <c r="J469" s="5"/>
      <c r="L469">
        <f>TMTB!M469</f>
        <v>-0.32768608500000002</v>
      </c>
      <c r="M469">
        <f>TMTB!N469</f>
        <v>46.3</v>
      </c>
      <c r="O469">
        <f>ABS(L469-TMTB!$C$34)</f>
        <v>0.21564383076574201</v>
      </c>
      <c r="P469">
        <f t="shared" si="8"/>
        <v>46.3</v>
      </c>
    </row>
    <row r="470" spans="10:16">
      <c r="J470" s="5"/>
      <c r="L470">
        <f>TMTB!M470</f>
        <v>-0.32735088000000001</v>
      </c>
      <c r="M470">
        <f>TMTB!N470</f>
        <v>46.4</v>
      </c>
      <c r="O470">
        <f>ABS(L470-TMTB!$C$34)</f>
        <v>0.215308625765742</v>
      </c>
      <c r="P470">
        <f t="shared" si="8"/>
        <v>46.4</v>
      </c>
    </row>
    <row r="471" spans="10:16">
      <c r="J471" s="5"/>
      <c r="L471">
        <f>TMTB!M471</f>
        <v>-0.32635154</v>
      </c>
      <c r="M471">
        <f>TMTB!N471</f>
        <v>46.5</v>
      </c>
      <c r="O471">
        <f>ABS(L471-TMTB!$C$34)</f>
        <v>0.21430928576574199</v>
      </c>
      <c r="P471">
        <f t="shared" si="8"/>
        <v>46.5</v>
      </c>
    </row>
    <row r="472" spans="10:16">
      <c r="J472" s="5"/>
      <c r="L472">
        <f>TMTB!M472</f>
        <v>-0.324932096</v>
      </c>
      <c r="M472">
        <f>TMTB!N472</f>
        <v>46.6</v>
      </c>
      <c r="O472">
        <f>ABS(L472-TMTB!$C$34)</f>
        <v>0.21288984176574199</v>
      </c>
      <c r="P472">
        <f t="shared" si="8"/>
        <v>46.6</v>
      </c>
    </row>
    <row r="473" spans="10:16">
      <c r="J473" s="5"/>
      <c r="L473">
        <f>TMTB!M473</f>
        <v>-0.32351265200000001</v>
      </c>
      <c r="M473">
        <f>TMTB!N473</f>
        <v>46.7</v>
      </c>
      <c r="O473">
        <f>ABS(L473-TMTB!$C$34)</f>
        <v>0.211470397765742</v>
      </c>
      <c r="P473">
        <f t="shared" si="8"/>
        <v>46.7</v>
      </c>
    </row>
    <row r="474" spans="10:16">
      <c r="J474" s="5"/>
      <c r="L474">
        <f>TMTB!M474</f>
        <v>-0.321314936</v>
      </c>
      <c r="M474">
        <f>TMTB!N474</f>
        <v>46.8</v>
      </c>
      <c r="O474">
        <f>ABS(L474-TMTB!$C$34)</f>
        <v>0.20927268176574199</v>
      </c>
      <c r="P474">
        <f t="shared" si="8"/>
        <v>46.8</v>
      </c>
    </row>
    <row r="475" spans="10:16">
      <c r="J475" s="5"/>
      <c r="L475">
        <f>TMTB!M475</f>
        <v>-0.318876188</v>
      </c>
      <c r="M475">
        <f>TMTB!N475</f>
        <v>46.9</v>
      </c>
      <c r="O475">
        <f>ABS(L475-TMTB!$C$34)</f>
        <v>0.206833933765742</v>
      </c>
      <c r="P475">
        <f t="shared" si="8"/>
        <v>46.9</v>
      </c>
    </row>
    <row r="476" spans="10:16">
      <c r="J476" s="5"/>
      <c r="L476">
        <f>TMTB!M476</f>
        <v>-0.31643744000000001</v>
      </c>
      <c r="M476">
        <f>TMTB!N476</f>
        <v>47</v>
      </c>
      <c r="O476">
        <f>ABS(L476-TMTB!$C$34)</f>
        <v>0.204395185765742</v>
      </c>
      <c r="P476">
        <f t="shared" si="8"/>
        <v>47</v>
      </c>
    </row>
    <row r="477" spans="10:16">
      <c r="J477" s="5"/>
      <c r="L477">
        <f>TMTB!M477</f>
        <v>-0.31613815699999998</v>
      </c>
      <c r="M477">
        <f>TMTB!N477</f>
        <v>47.1</v>
      </c>
      <c r="O477">
        <f>ABS(L477-TMTB!$C$34)</f>
        <v>0.20409590276574197</v>
      </c>
      <c r="P477">
        <f t="shared" si="8"/>
        <v>47.1</v>
      </c>
    </row>
    <row r="478" spans="10:16">
      <c r="J478" s="5"/>
      <c r="L478">
        <f>TMTB!M478</f>
        <v>-0.316038824</v>
      </c>
      <c r="M478">
        <f>TMTB!N478</f>
        <v>47.2</v>
      </c>
      <c r="O478">
        <f>ABS(L478-TMTB!$C$34)</f>
        <v>0.20399656976574199</v>
      </c>
      <c r="P478">
        <f t="shared" si="8"/>
        <v>47.2</v>
      </c>
    </row>
    <row r="479" spans="10:16">
      <c r="J479" s="5"/>
      <c r="L479">
        <f>TMTB!M479</f>
        <v>-0.31594429800000001</v>
      </c>
      <c r="M479">
        <f>TMTB!N479</f>
        <v>47.3</v>
      </c>
      <c r="O479">
        <f>ABS(L479-TMTB!$C$34)</f>
        <v>0.203902043765742</v>
      </c>
      <c r="P479">
        <f t="shared" si="8"/>
        <v>47.3</v>
      </c>
    </row>
    <row r="480" spans="10:16">
      <c r="J480" s="5"/>
      <c r="L480">
        <f>TMTB!M480</f>
        <v>-0.31591832399999997</v>
      </c>
      <c r="M480">
        <f>TMTB!N480</f>
        <v>47.4</v>
      </c>
      <c r="O480">
        <f>ABS(L480-TMTB!$C$34)</f>
        <v>0.20387606976574196</v>
      </c>
      <c r="P480">
        <f t="shared" si="8"/>
        <v>47.4</v>
      </c>
    </row>
    <row r="481" spans="10:16">
      <c r="J481" s="5"/>
      <c r="L481">
        <f>TMTB!M481</f>
        <v>-0.31589234999999999</v>
      </c>
      <c r="M481">
        <f>TMTB!N481</f>
        <v>47.5</v>
      </c>
      <c r="O481">
        <f>ABS(L481-TMTB!$C$34)</f>
        <v>0.20385009576574198</v>
      </c>
      <c r="P481">
        <f t="shared" si="8"/>
        <v>47.5</v>
      </c>
    </row>
    <row r="482" spans="10:16">
      <c r="J482" s="5"/>
      <c r="L482">
        <f>TMTB!M482</f>
        <v>-0.31499480800000002</v>
      </c>
      <c r="M482">
        <f>TMTB!N482</f>
        <v>47.6</v>
      </c>
      <c r="O482">
        <f>ABS(L482-TMTB!$C$34)</f>
        <v>0.20295255376574201</v>
      </c>
      <c r="P482">
        <f t="shared" si="8"/>
        <v>47.6</v>
      </c>
    </row>
    <row r="483" spans="10:16">
      <c r="J483" s="5"/>
      <c r="L483">
        <f>TMTB!M483</f>
        <v>-0.310943566</v>
      </c>
      <c r="M483">
        <f>TMTB!N483</f>
        <v>47.7</v>
      </c>
      <c r="O483">
        <f>ABS(L483-TMTB!$C$34)</f>
        <v>0.19890131176574199</v>
      </c>
      <c r="P483">
        <f t="shared" si="8"/>
        <v>47.7</v>
      </c>
    </row>
    <row r="484" spans="10:16">
      <c r="J484" s="5"/>
      <c r="L484">
        <f>TMTB!M484</f>
        <v>-0.30689232399999999</v>
      </c>
      <c r="M484">
        <f>TMTB!N484</f>
        <v>47.8</v>
      </c>
      <c r="O484">
        <f>ABS(L484-TMTB!$C$34)</f>
        <v>0.19485006976574198</v>
      </c>
      <c r="P484">
        <f t="shared" si="8"/>
        <v>47.8</v>
      </c>
    </row>
    <row r="485" spans="10:16">
      <c r="J485" s="5"/>
      <c r="L485">
        <f>TMTB!M485</f>
        <v>-0.30389127100000002</v>
      </c>
      <c r="M485">
        <f>TMTB!N485</f>
        <v>47.9</v>
      </c>
      <c r="O485">
        <f>ABS(L485-TMTB!$C$34)</f>
        <v>0.19184901676574201</v>
      </c>
      <c r="P485">
        <f t="shared" si="8"/>
        <v>47.9</v>
      </c>
    </row>
    <row r="486" spans="10:16">
      <c r="J486" s="5"/>
      <c r="L486">
        <f>TMTB!M486</f>
        <v>-0.30269752</v>
      </c>
      <c r="M486">
        <f>TMTB!N486</f>
        <v>48</v>
      </c>
      <c r="O486">
        <f>ABS(L486-TMTB!$C$34)</f>
        <v>0.19065526576574199</v>
      </c>
      <c r="P486">
        <f t="shared" si="8"/>
        <v>48</v>
      </c>
    </row>
    <row r="487" spans="10:16">
      <c r="J487" s="5"/>
      <c r="L487">
        <f>TMTB!M487</f>
        <v>-0.30150376899999998</v>
      </c>
      <c r="M487">
        <f>TMTB!N487</f>
        <v>48.1</v>
      </c>
      <c r="O487">
        <f>ABS(L487-TMTB!$C$34)</f>
        <v>0.18946151476574197</v>
      </c>
      <c r="P487">
        <f t="shared" si="8"/>
        <v>48.1</v>
      </c>
    </row>
    <row r="488" spans="10:16">
      <c r="J488" s="5"/>
      <c r="L488">
        <f>TMTB!M488</f>
        <v>-0.30090206400000002</v>
      </c>
      <c r="M488">
        <f>TMTB!N488</f>
        <v>48.2</v>
      </c>
      <c r="O488">
        <f>ABS(L488-TMTB!$C$34)</f>
        <v>0.18885980976574201</v>
      </c>
      <c r="P488">
        <f t="shared" si="8"/>
        <v>48.2</v>
      </c>
    </row>
    <row r="489" spans="10:16">
      <c r="J489" s="5"/>
      <c r="L489">
        <f>TMTB!M489</f>
        <v>-0.300850116</v>
      </c>
      <c r="M489">
        <f>TMTB!N489</f>
        <v>48.3</v>
      </c>
      <c r="O489">
        <f>ABS(L489-TMTB!$C$34)</f>
        <v>0.18880786176574199</v>
      </c>
      <c r="P489">
        <f t="shared" si="8"/>
        <v>48.3</v>
      </c>
    </row>
    <row r="490" spans="10:16">
      <c r="J490" s="5"/>
      <c r="L490">
        <f>TMTB!M490</f>
        <v>-0.30079816799999998</v>
      </c>
      <c r="M490">
        <f>TMTB!N490</f>
        <v>48.4</v>
      </c>
      <c r="O490">
        <f>ABS(L490-TMTB!$C$34)</f>
        <v>0.18875591376574197</v>
      </c>
      <c r="P490">
        <f t="shared" si="8"/>
        <v>48.4</v>
      </c>
    </row>
    <row r="491" spans="10:16">
      <c r="J491" s="5"/>
      <c r="L491">
        <f>TMTB!M491</f>
        <v>-0.29865072500000001</v>
      </c>
      <c r="M491">
        <f>TMTB!N491</f>
        <v>48.5</v>
      </c>
      <c r="O491">
        <f>ABS(L491-TMTB!$C$34)</f>
        <v>0.186608470765742</v>
      </c>
      <c r="P491">
        <f t="shared" si="8"/>
        <v>48.5</v>
      </c>
    </row>
    <row r="492" spans="10:16">
      <c r="J492" s="5"/>
      <c r="L492">
        <f>TMTB!M492</f>
        <v>-0.29546890999999997</v>
      </c>
      <c r="M492">
        <f>TMTB!N492</f>
        <v>48.6</v>
      </c>
      <c r="O492">
        <f>ABS(L492-TMTB!$C$34)</f>
        <v>0.18342665576574196</v>
      </c>
      <c r="P492">
        <f t="shared" si="8"/>
        <v>48.6</v>
      </c>
    </row>
    <row r="493" spans="10:16">
      <c r="J493" s="5"/>
      <c r="L493">
        <f>TMTB!M493</f>
        <v>-0.292287095</v>
      </c>
      <c r="M493">
        <f>TMTB!N493</f>
        <v>48.7</v>
      </c>
      <c r="O493">
        <f>ABS(L493-TMTB!$C$34)</f>
        <v>0.18024484076574199</v>
      </c>
      <c r="P493">
        <f t="shared" si="8"/>
        <v>48.7</v>
      </c>
    </row>
    <row r="494" spans="10:16">
      <c r="J494" s="5"/>
      <c r="L494">
        <f>TMTB!M494</f>
        <v>-0.29081743999999998</v>
      </c>
      <c r="M494">
        <f>TMTB!N494</f>
        <v>48.8</v>
      </c>
      <c r="O494">
        <f>ABS(L494-TMTB!$C$34)</f>
        <v>0.17877518576574197</v>
      </c>
      <c r="P494">
        <f t="shared" si="8"/>
        <v>48.8</v>
      </c>
    </row>
    <row r="495" spans="10:16">
      <c r="J495" s="5"/>
      <c r="L495">
        <f>TMTB!M495</f>
        <v>-0.28972231999999998</v>
      </c>
      <c r="M495">
        <f>TMTB!N495</f>
        <v>48.9</v>
      </c>
      <c r="O495">
        <f>ABS(L495-TMTB!$C$34)</f>
        <v>0.17768006576574197</v>
      </c>
      <c r="P495">
        <f t="shared" si="8"/>
        <v>48.9</v>
      </c>
    </row>
    <row r="496" spans="10:16">
      <c r="J496" s="5"/>
      <c r="L496">
        <f>TMTB!M496</f>
        <v>-0.28862719999999997</v>
      </c>
      <c r="M496">
        <f>TMTB!N496</f>
        <v>49</v>
      </c>
      <c r="O496">
        <f>ABS(L496-TMTB!$C$34)</f>
        <v>0.17658494576574196</v>
      </c>
      <c r="P496">
        <f t="shared" si="8"/>
        <v>49</v>
      </c>
    </row>
    <row r="497" spans="10:16">
      <c r="J497" s="5"/>
      <c r="L497">
        <f>TMTB!M497</f>
        <v>-0.28515565100000001</v>
      </c>
      <c r="M497">
        <f>TMTB!N497</f>
        <v>49.1</v>
      </c>
      <c r="O497">
        <f>ABS(L497-TMTB!$C$34)</f>
        <v>0.173113396765742</v>
      </c>
      <c r="P497">
        <f t="shared" si="8"/>
        <v>49.1</v>
      </c>
    </row>
    <row r="498" spans="10:16">
      <c r="J498" s="5"/>
      <c r="L498">
        <f>TMTB!M498</f>
        <v>-0.28161441199999998</v>
      </c>
      <c r="M498">
        <f>TMTB!N498</f>
        <v>49.2</v>
      </c>
      <c r="O498">
        <f>ABS(L498-TMTB!$C$34)</f>
        <v>0.16957215776574197</v>
      </c>
      <c r="P498">
        <f t="shared" si="8"/>
        <v>49.2</v>
      </c>
    </row>
    <row r="499" spans="10:16">
      <c r="J499" s="5"/>
      <c r="L499">
        <f>TMTB!M499</f>
        <v>-0.27835899400000003</v>
      </c>
      <c r="M499">
        <f>TMTB!N499</f>
        <v>49.3</v>
      </c>
      <c r="O499">
        <f>ABS(L499-TMTB!$C$34)</f>
        <v>0.16631673976574202</v>
      </c>
      <c r="P499">
        <f t="shared" si="8"/>
        <v>49.3</v>
      </c>
    </row>
    <row r="500" spans="10:16">
      <c r="J500" s="5"/>
      <c r="L500">
        <f>TMTB!M500</f>
        <v>-0.277150852</v>
      </c>
      <c r="M500">
        <f>TMTB!N500</f>
        <v>49.4</v>
      </c>
      <c r="O500">
        <f>ABS(L500-TMTB!$C$34)</f>
        <v>0.16510859776574199</v>
      </c>
      <c r="P500">
        <f t="shared" si="8"/>
        <v>49.4</v>
      </c>
    </row>
    <row r="501" spans="10:16">
      <c r="J501" s="5"/>
      <c r="L501">
        <f>TMTB!M501</f>
        <v>-0.27594270999999998</v>
      </c>
      <c r="M501">
        <f>TMTB!N501</f>
        <v>49.5</v>
      </c>
      <c r="O501">
        <f>ABS(L501-TMTB!$C$34)</f>
        <v>0.16390045576574197</v>
      </c>
      <c r="P501">
        <f t="shared" si="8"/>
        <v>49.5</v>
      </c>
    </row>
    <row r="502" spans="10:16">
      <c r="J502" s="5"/>
      <c r="L502">
        <f>TMTB!M502</f>
        <v>-0.274799656</v>
      </c>
      <c r="M502">
        <f>TMTB!N502</f>
        <v>49.6</v>
      </c>
      <c r="O502">
        <f>ABS(L502-TMTB!$C$34)</f>
        <v>0.16275740176574199</v>
      </c>
      <c r="P502">
        <f t="shared" si="8"/>
        <v>49.6</v>
      </c>
    </row>
    <row r="503" spans="10:16">
      <c r="J503" s="5"/>
      <c r="L503">
        <f>TMTB!M503</f>
        <v>-0.27382949200000001</v>
      </c>
      <c r="M503">
        <f>TMTB!N503</f>
        <v>49.7</v>
      </c>
      <c r="O503">
        <f>ABS(L503-TMTB!$C$34)</f>
        <v>0.161787237765742</v>
      </c>
      <c r="P503">
        <f t="shared" si="8"/>
        <v>49.7</v>
      </c>
    </row>
    <row r="504" spans="10:16">
      <c r="J504" s="5"/>
      <c r="L504">
        <f>TMTB!M504</f>
        <v>-0.27285932800000001</v>
      </c>
      <c r="M504">
        <f>TMTB!N504</f>
        <v>49.8</v>
      </c>
      <c r="O504">
        <f>ABS(L504-TMTB!$C$34)</f>
        <v>0.160817073765742</v>
      </c>
      <c r="P504">
        <f t="shared" si="8"/>
        <v>49.8</v>
      </c>
    </row>
    <row r="505" spans="10:16">
      <c r="J505" s="5"/>
      <c r="L505">
        <f>TMTB!M505</f>
        <v>-0.27218165100000002</v>
      </c>
      <c r="M505">
        <f>TMTB!N505</f>
        <v>49.9</v>
      </c>
      <c r="O505">
        <f>ABS(L505-TMTB!$C$34)</f>
        <v>0.16013939676574201</v>
      </c>
      <c r="P505">
        <f t="shared" si="8"/>
        <v>49.9</v>
      </c>
    </row>
    <row r="506" spans="10:16">
      <c r="J506" s="5"/>
      <c r="L506">
        <f>TMTB!M506</f>
        <v>-0.27190049999999999</v>
      </c>
      <c r="M506">
        <f>TMTB!N506</f>
        <v>50</v>
      </c>
      <c r="O506">
        <f>ABS(L506-TMTB!$C$34)</f>
        <v>0.15985824576574198</v>
      </c>
      <c r="P506">
        <f t="shared" si="8"/>
        <v>50</v>
      </c>
    </row>
    <row r="507" spans="10:16">
      <c r="J507" s="5"/>
      <c r="L507">
        <f>TMTB!M507</f>
        <v>-0.27161934900000001</v>
      </c>
      <c r="M507">
        <f>TMTB!N507</f>
        <v>50.1</v>
      </c>
      <c r="O507">
        <f>ABS(L507-TMTB!$C$34)</f>
        <v>0.159577094765742</v>
      </c>
      <c r="P507">
        <f t="shared" si="8"/>
        <v>50.1</v>
      </c>
    </row>
    <row r="508" spans="10:16">
      <c r="J508" s="5"/>
      <c r="L508">
        <f>TMTB!M508</f>
        <v>-0.26953898399999998</v>
      </c>
      <c r="M508">
        <f>TMTB!N508</f>
        <v>50.2</v>
      </c>
      <c r="O508">
        <f>ABS(L508-TMTB!$C$34)</f>
        <v>0.15749672976574197</v>
      </c>
      <c r="P508">
        <f t="shared" si="8"/>
        <v>50.2</v>
      </c>
    </row>
    <row r="509" spans="10:16">
      <c r="J509" s="5"/>
      <c r="L509">
        <f>TMTB!M509</f>
        <v>-0.26613147599999998</v>
      </c>
      <c r="M509">
        <f>TMTB!N509</f>
        <v>50.3</v>
      </c>
      <c r="O509">
        <f>ABS(L509-TMTB!$C$34)</f>
        <v>0.15408922176574197</v>
      </c>
      <c r="P509">
        <f t="shared" si="8"/>
        <v>50.3</v>
      </c>
    </row>
    <row r="510" spans="10:16">
      <c r="J510" s="5"/>
      <c r="L510">
        <f>TMTB!M510</f>
        <v>-0.26272396799999997</v>
      </c>
      <c r="M510">
        <f>TMTB!N510</f>
        <v>50.4</v>
      </c>
      <c r="O510">
        <f>ABS(L510-TMTB!$C$34)</f>
        <v>0.15068171376574196</v>
      </c>
      <c r="P510">
        <f t="shared" si="8"/>
        <v>50.4</v>
      </c>
    </row>
    <row r="511" spans="10:16">
      <c r="J511" s="5"/>
      <c r="L511">
        <f>TMTB!M511</f>
        <v>-0.25914892499999997</v>
      </c>
      <c r="M511">
        <f>TMTB!N511</f>
        <v>50.5</v>
      </c>
      <c r="O511">
        <f>ABS(L511-TMTB!$C$34)</f>
        <v>0.14710667076574196</v>
      </c>
      <c r="P511">
        <f t="shared" si="8"/>
        <v>50.5</v>
      </c>
    </row>
    <row r="512" spans="10:16">
      <c r="J512" s="5"/>
      <c r="L512">
        <f>TMTB!M512</f>
        <v>-0.25551080999999998</v>
      </c>
      <c r="M512">
        <f>TMTB!N512</f>
        <v>50.6</v>
      </c>
      <c r="O512">
        <f>ABS(L512-TMTB!$C$34)</f>
        <v>0.14346855576574197</v>
      </c>
      <c r="P512">
        <f t="shared" si="8"/>
        <v>50.6</v>
      </c>
    </row>
    <row r="513" spans="10:16">
      <c r="J513" s="5"/>
      <c r="L513">
        <f>TMTB!M513</f>
        <v>-0.25187269499999998</v>
      </c>
      <c r="M513">
        <f>TMTB!N513</f>
        <v>50.7</v>
      </c>
      <c r="O513">
        <f>ABS(L513-TMTB!$C$34)</f>
        <v>0.13983044076574197</v>
      </c>
      <c r="P513">
        <f t="shared" si="8"/>
        <v>50.7</v>
      </c>
    </row>
    <row r="514" spans="10:16">
      <c r="J514" s="5"/>
      <c r="L514">
        <f>TMTB!M514</f>
        <v>-0.25085750800000001</v>
      </c>
      <c r="M514">
        <f>TMTB!N514</f>
        <v>50.8</v>
      </c>
      <c r="O514">
        <f>ABS(L514-TMTB!$C$34)</f>
        <v>0.138815253765742</v>
      </c>
      <c r="P514">
        <f t="shared" si="8"/>
        <v>50.8</v>
      </c>
    </row>
    <row r="515" spans="10:16">
      <c r="J515" s="5"/>
      <c r="L515">
        <f>TMTB!M515</f>
        <v>-0.25020850900000002</v>
      </c>
      <c r="M515">
        <f>TMTB!N515</f>
        <v>50.9</v>
      </c>
      <c r="O515">
        <f>ABS(L515-TMTB!$C$34)</f>
        <v>0.13816625476574201</v>
      </c>
      <c r="P515">
        <f t="shared" si="8"/>
        <v>50.9</v>
      </c>
    </row>
    <row r="516" spans="10:16">
      <c r="J516" s="5"/>
      <c r="L516">
        <f>TMTB!M516</f>
        <v>-0.24957799999999999</v>
      </c>
      <c r="M516">
        <f>TMTB!N516</f>
        <v>51</v>
      </c>
      <c r="O516">
        <f>ABS(L516-TMTB!$C$34)</f>
        <v>0.13753574576574201</v>
      </c>
      <c r="P516">
        <f t="shared" si="8"/>
        <v>51</v>
      </c>
    </row>
    <row r="517" spans="10:16">
      <c r="J517" s="5"/>
      <c r="L517">
        <f>TMTB!M517</f>
        <v>-0.24957799999999999</v>
      </c>
      <c r="M517">
        <f>TMTB!N517</f>
        <v>51.1</v>
      </c>
      <c r="O517">
        <f>ABS(L517-TMTB!$C$34)</f>
        <v>0.13753574576574201</v>
      </c>
      <c r="P517">
        <f t="shared" si="8"/>
        <v>51.1</v>
      </c>
    </row>
    <row r="518" spans="10:16">
      <c r="J518" s="5"/>
      <c r="L518">
        <f>TMTB!M518</f>
        <v>-0.24957799999999999</v>
      </c>
      <c r="M518">
        <f>TMTB!N518</f>
        <v>51.2</v>
      </c>
      <c r="O518">
        <f>ABS(L518-TMTB!$C$34)</f>
        <v>0.13753574576574201</v>
      </c>
      <c r="P518">
        <f t="shared" si="8"/>
        <v>51.2</v>
      </c>
    </row>
    <row r="519" spans="10:16">
      <c r="J519" s="5"/>
      <c r="L519">
        <f>TMTB!M519</f>
        <v>-0.24943990399999999</v>
      </c>
      <c r="M519">
        <f>TMTB!N519</f>
        <v>51.3</v>
      </c>
      <c r="O519">
        <f>ABS(L519-TMTB!$C$34)</f>
        <v>0.13739764976574198</v>
      </c>
      <c r="P519">
        <f t="shared" ref="P519:P582" si="9">M519</f>
        <v>51.3</v>
      </c>
    </row>
    <row r="520" spans="10:16">
      <c r="J520" s="5"/>
      <c r="L520">
        <f>TMTB!M520</f>
        <v>-0.24867051200000001</v>
      </c>
      <c r="M520">
        <f>TMTB!N520</f>
        <v>51.4</v>
      </c>
      <c r="O520">
        <f>ABS(L520-TMTB!$C$34)</f>
        <v>0.136628257765742</v>
      </c>
      <c r="P520">
        <f t="shared" si="9"/>
        <v>51.4</v>
      </c>
    </row>
    <row r="521" spans="10:16">
      <c r="J521" s="5"/>
      <c r="L521">
        <f>TMTB!M521</f>
        <v>-0.24790112</v>
      </c>
      <c r="M521">
        <f>TMTB!N521</f>
        <v>51.5</v>
      </c>
      <c r="O521">
        <f>ABS(L521-TMTB!$C$34)</f>
        <v>0.13585886576574202</v>
      </c>
      <c r="P521">
        <f t="shared" si="9"/>
        <v>51.5</v>
      </c>
    </row>
    <row r="522" spans="10:16">
      <c r="J522" s="5"/>
      <c r="L522">
        <f>TMTB!M522</f>
        <v>-0.24717476399999999</v>
      </c>
      <c r="M522">
        <f>TMTB!N522</f>
        <v>51.6</v>
      </c>
      <c r="O522">
        <f>ABS(L522-TMTB!$C$34)</f>
        <v>0.13513250976574198</v>
      </c>
      <c r="P522">
        <f t="shared" si="9"/>
        <v>51.6</v>
      </c>
    </row>
    <row r="523" spans="10:16">
      <c r="J523" s="5"/>
      <c r="L523">
        <f>TMTB!M523</f>
        <v>-0.246535593</v>
      </c>
      <c r="M523">
        <f>TMTB!N523</f>
        <v>51.7</v>
      </c>
      <c r="O523">
        <f>ABS(L523-TMTB!$C$34)</f>
        <v>0.13449333876574199</v>
      </c>
      <c r="P523">
        <f t="shared" si="9"/>
        <v>51.7</v>
      </c>
    </row>
    <row r="524" spans="10:16">
      <c r="J524" s="5"/>
      <c r="L524">
        <f>TMTB!M524</f>
        <v>-0.245896422</v>
      </c>
      <c r="M524">
        <f>TMTB!N524</f>
        <v>51.8</v>
      </c>
      <c r="O524">
        <f>ABS(L524-TMTB!$C$34)</f>
        <v>0.13385416776574199</v>
      </c>
      <c r="P524">
        <f t="shared" si="9"/>
        <v>51.8</v>
      </c>
    </row>
    <row r="525" spans="10:16">
      <c r="J525" s="5"/>
      <c r="L525">
        <f>TMTB!M525</f>
        <v>-0.242638089</v>
      </c>
      <c r="M525">
        <f>TMTB!N525</f>
        <v>51.9</v>
      </c>
      <c r="O525">
        <f>ABS(L525-TMTB!$C$34)</f>
        <v>0.13059583476574199</v>
      </c>
      <c r="P525">
        <f t="shared" si="9"/>
        <v>51.9</v>
      </c>
    </row>
    <row r="526" spans="10:16">
      <c r="J526" s="5"/>
      <c r="L526">
        <f>TMTB!M526</f>
        <v>-0.23655912000000001</v>
      </c>
      <c r="M526">
        <f>TMTB!N526</f>
        <v>52</v>
      </c>
      <c r="O526">
        <f>ABS(L526-TMTB!$C$34)</f>
        <v>0.12451686576574202</v>
      </c>
      <c r="P526">
        <f t="shared" si="9"/>
        <v>52</v>
      </c>
    </row>
    <row r="527" spans="10:16">
      <c r="J527" s="5"/>
      <c r="L527">
        <f>TMTB!M527</f>
        <v>-0.23048015099999999</v>
      </c>
      <c r="M527">
        <f>TMTB!N527</f>
        <v>52.1</v>
      </c>
      <c r="O527">
        <f>ABS(L527-TMTB!$C$34)</f>
        <v>0.118437896765742</v>
      </c>
      <c r="P527">
        <f t="shared" si="9"/>
        <v>52.1</v>
      </c>
    </row>
    <row r="528" spans="10:16">
      <c r="J528" s="5"/>
      <c r="L528">
        <f>TMTB!M528</f>
        <v>-0.226902678</v>
      </c>
      <c r="M528">
        <f>TMTB!N528</f>
        <v>52.2</v>
      </c>
      <c r="O528">
        <f>ABS(L528-TMTB!$C$34)</f>
        <v>0.114860423765742</v>
      </c>
      <c r="P528">
        <f t="shared" si="9"/>
        <v>52.2</v>
      </c>
    </row>
    <row r="529" spans="10:16">
      <c r="J529" s="5"/>
      <c r="L529">
        <f>TMTB!M529</f>
        <v>-0.22477877700000001</v>
      </c>
      <c r="M529">
        <f>TMTB!N529</f>
        <v>52.3</v>
      </c>
      <c r="O529">
        <f>ABS(L529-TMTB!$C$34)</f>
        <v>0.11273652276574202</v>
      </c>
      <c r="P529">
        <f t="shared" si="9"/>
        <v>52.3</v>
      </c>
    </row>
    <row r="530" spans="10:16">
      <c r="J530" s="5"/>
      <c r="L530">
        <f>TMTB!M530</f>
        <v>-0.222654876</v>
      </c>
      <c r="M530">
        <f>TMTB!N530</f>
        <v>52.4</v>
      </c>
      <c r="O530">
        <f>ABS(L530-TMTB!$C$34)</f>
        <v>0.11061262176574201</v>
      </c>
      <c r="P530">
        <f t="shared" si="9"/>
        <v>52.4</v>
      </c>
    </row>
    <row r="531" spans="10:16">
      <c r="J531" s="5"/>
      <c r="L531">
        <f>TMTB!M531</f>
        <v>-0.22091707499999999</v>
      </c>
      <c r="M531">
        <f>TMTB!N531</f>
        <v>52.5</v>
      </c>
      <c r="O531">
        <f>ABS(L531-TMTB!$C$34)</f>
        <v>0.10887482076574199</v>
      </c>
      <c r="P531">
        <f t="shared" si="9"/>
        <v>52.5</v>
      </c>
    </row>
    <row r="532" spans="10:16">
      <c r="J532" s="5"/>
      <c r="L532">
        <f>TMTB!M532</f>
        <v>-0.21928597799999999</v>
      </c>
      <c r="M532">
        <f>TMTB!N532</f>
        <v>52.6</v>
      </c>
      <c r="O532">
        <f>ABS(L532-TMTB!$C$34)</f>
        <v>0.107243723765742</v>
      </c>
      <c r="P532">
        <f t="shared" si="9"/>
        <v>52.6</v>
      </c>
    </row>
    <row r="533" spans="10:16">
      <c r="J533" s="5"/>
      <c r="L533">
        <f>TMTB!M533</f>
        <v>-0.21765488099999999</v>
      </c>
      <c r="M533">
        <f>TMTB!N533</f>
        <v>52.7</v>
      </c>
      <c r="O533">
        <f>ABS(L533-TMTB!$C$34)</f>
        <v>0.105612626765742</v>
      </c>
      <c r="P533">
        <f t="shared" si="9"/>
        <v>52.7</v>
      </c>
    </row>
    <row r="534" spans="10:16">
      <c r="J534" s="5"/>
      <c r="L534">
        <f>TMTB!M534</f>
        <v>-0.21248368000000001</v>
      </c>
      <c r="M534">
        <f>TMTB!N534</f>
        <v>52.8</v>
      </c>
      <c r="O534">
        <f>ABS(L534-TMTB!$C$34)</f>
        <v>0.10044142576574201</v>
      </c>
      <c r="P534">
        <f t="shared" si="9"/>
        <v>52.8</v>
      </c>
    </row>
    <row r="535" spans="10:16">
      <c r="J535" s="5"/>
      <c r="L535">
        <f>TMTB!M535</f>
        <v>-0.20706424000000001</v>
      </c>
      <c r="M535">
        <f>TMTB!N535</f>
        <v>52.9</v>
      </c>
      <c r="O535">
        <f>ABS(L535-TMTB!$C$34)</f>
        <v>9.5021985765742015E-2</v>
      </c>
      <c r="P535">
        <f t="shared" si="9"/>
        <v>52.9</v>
      </c>
    </row>
    <row r="536" spans="10:16">
      <c r="J536" s="5"/>
      <c r="L536">
        <f>TMTB!M536</f>
        <v>-0.20131861000000001</v>
      </c>
      <c r="M536">
        <f>TMTB!N536</f>
        <v>53</v>
      </c>
      <c r="O536">
        <f>ABS(L536-TMTB!$C$34)</f>
        <v>8.9276355765742013E-2</v>
      </c>
      <c r="P536">
        <f t="shared" si="9"/>
        <v>53</v>
      </c>
    </row>
    <row r="537" spans="10:16">
      <c r="J537" s="5"/>
      <c r="L537">
        <f>TMTB!M537</f>
        <v>-0.192082747</v>
      </c>
      <c r="M537">
        <f>TMTB!N537</f>
        <v>53.1</v>
      </c>
      <c r="O537">
        <f>ABS(L537-TMTB!$C$34)</f>
        <v>8.0040492765742002E-2</v>
      </c>
      <c r="P537">
        <f t="shared" si="9"/>
        <v>53.1</v>
      </c>
    </row>
    <row r="538" spans="10:16">
      <c r="J538" s="5"/>
      <c r="L538">
        <f>TMTB!M538</f>
        <v>-0.18284688399999999</v>
      </c>
      <c r="M538">
        <f>TMTB!N538</f>
        <v>53.2</v>
      </c>
      <c r="O538">
        <f>ABS(L538-TMTB!$C$34)</f>
        <v>7.0804629765741992E-2</v>
      </c>
      <c r="P538">
        <f t="shared" si="9"/>
        <v>53.2</v>
      </c>
    </row>
    <row r="539" spans="10:16">
      <c r="J539" s="5"/>
      <c r="L539">
        <f>TMTB!M539</f>
        <v>-0.175706522</v>
      </c>
      <c r="M539">
        <f>TMTB!N539</f>
        <v>53.3</v>
      </c>
      <c r="O539">
        <f>ABS(L539-TMTB!$C$34)</f>
        <v>6.3664267765742008E-2</v>
      </c>
      <c r="P539">
        <f t="shared" si="9"/>
        <v>53.3</v>
      </c>
    </row>
    <row r="540" spans="10:16">
      <c r="J540" s="5"/>
      <c r="L540">
        <f>TMTB!M540</f>
        <v>-0.17533235599999999</v>
      </c>
      <c r="M540">
        <f>TMTB!N540</f>
        <v>53.4</v>
      </c>
      <c r="O540">
        <f>ABS(L540-TMTB!$C$34)</f>
        <v>6.3290101765741999E-2</v>
      </c>
      <c r="P540">
        <f t="shared" si="9"/>
        <v>53.4</v>
      </c>
    </row>
    <row r="541" spans="10:16">
      <c r="J541" s="5"/>
      <c r="L541">
        <f>TMTB!M541</f>
        <v>-0.17495819000000001</v>
      </c>
      <c r="M541">
        <f>TMTB!N541</f>
        <v>53.5</v>
      </c>
      <c r="O541">
        <f>ABS(L541-TMTB!$C$34)</f>
        <v>6.2915935765742018E-2</v>
      </c>
      <c r="P541">
        <f t="shared" si="9"/>
        <v>53.5</v>
      </c>
    </row>
    <row r="542" spans="10:16">
      <c r="J542" s="5"/>
      <c r="L542">
        <f>TMTB!M542</f>
        <v>-0.17393503199999999</v>
      </c>
      <c r="M542">
        <f>TMTB!N542</f>
        <v>53.6</v>
      </c>
      <c r="O542">
        <f>ABS(L542-TMTB!$C$34)</f>
        <v>6.1892777765741994E-2</v>
      </c>
      <c r="P542">
        <f t="shared" si="9"/>
        <v>53.6</v>
      </c>
    </row>
    <row r="543" spans="10:16">
      <c r="J543" s="5"/>
      <c r="L543">
        <f>TMTB!M543</f>
        <v>-0.17188589400000001</v>
      </c>
      <c r="M543">
        <f>TMTB!N543</f>
        <v>53.7</v>
      </c>
      <c r="O543">
        <f>ABS(L543-TMTB!$C$34)</f>
        <v>5.9843639765742015E-2</v>
      </c>
      <c r="P543">
        <f t="shared" si="9"/>
        <v>53.7</v>
      </c>
    </row>
    <row r="544" spans="10:16">
      <c r="J544" s="5"/>
      <c r="L544">
        <f>TMTB!M544</f>
        <v>-0.16983675600000001</v>
      </c>
      <c r="M544">
        <f>TMTB!N544</f>
        <v>53.8</v>
      </c>
      <c r="O544">
        <f>ABS(L544-TMTB!$C$34)</f>
        <v>5.779450176574201E-2</v>
      </c>
      <c r="P544">
        <f t="shared" si="9"/>
        <v>53.8</v>
      </c>
    </row>
    <row r="545" spans="10:16">
      <c r="J545" s="5"/>
      <c r="L545">
        <f>TMTB!M545</f>
        <v>-0.16855136700000001</v>
      </c>
      <c r="M545">
        <f>TMTB!N545</f>
        <v>53.9</v>
      </c>
      <c r="O545">
        <f>ABS(L545-TMTB!$C$34)</f>
        <v>5.6509112765742012E-2</v>
      </c>
      <c r="P545">
        <f t="shared" si="9"/>
        <v>53.9</v>
      </c>
    </row>
    <row r="546" spans="10:16">
      <c r="J546" s="5"/>
      <c r="L546">
        <f>TMTB!M546</f>
        <v>-0.16792061999999999</v>
      </c>
      <c r="M546">
        <f>TMTB!N546</f>
        <v>54</v>
      </c>
      <c r="O546">
        <f>ABS(L546-TMTB!$C$34)</f>
        <v>5.5878365765741997E-2</v>
      </c>
      <c r="P546">
        <f t="shared" si="9"/>
        <v>54</v>
      </c>
    </row>
    <row r="547" spans="10:16">
      <c r="J547" s="5"/>
      <c r="L547">
        <f>TMTB!M547</f>
        <v>-0.16728987300000001</v>
      </c>
      <c r="M547">
        <f>TMTB!N547</f>
        <v>54.1</v>
      </c>
      <c r="O547">
        <f>ABS(L547-TMTB!$C$34)</f>
        <v>5.524761876574201E-2</v>
      </c>
      <c r="P547">
        <f t="shared" si="9"/>
        <v>54.1</v>
      </c>
    </row>
    <row r="548" spans="10:16">
      <c r="J548" s="5"/>
      <c r="L548">
        <f>TMTB!M548</f>
        <v>-0.16663734599999999</v>
      </c>
      <c r="M548">
        <f>TMTB!N548</f>
        <v>54.2</v>
      </c>
      <c r="O548">
        <f>ABS(L548-TMTB!$C$34)</f>
        <v>5.4595091765741996E-2</v>
      </c>
      <c r="P548">
        <f t="shared" si="9"/>
        <v>54.2</v>
      </c>
    </row>
    <row r="549" spans="10:16">
      <c r="J549" s="5"/>
      <c r="L549">
        <f>TMTB!M549</f>
        <v>-0.16597500900000001</v>
      </c>
      <c r="M549">
        <f>TMTB!N549</f>
        <v>54.3</v>
      </c>
      <c r="O549">
        <f>ABS(L549-TMTB!$C$34)</f>
        <v>5.3932754765742011E-2</v>
      </c>
      <c r="P549">
        <f t="shared" si="9"/>
        <v>54.3</v>
      </c>
    </row>
    <row r="550" spans="10:16">
      <c r="J550" s="5"/>
      <c r="L550">
        <f>TMTB!M550</f>
        <v>-0.16531267199999999</v>
      </c>
      <c r="M550">
        <f>TMTB!N550</f>
        <v>54.4</v>
      </c>
      <c r="O550">
        <f>ABS(L550-TMTB!$C$34)</f>
        <v>5.3270417765741998E-2</v>
      </c>
      <c r="P550">
        <f t="shared" si="9"/>
        <v>54.4</v>
      </c>
    </row>
    <row r="551" spans="10:16">
      <c r="J551" s="5"/>
      <c r="L551">
        <f>TMTB!M551</f>
        <v>-0.16512499</v>
      </c>
      <c r="M551">
        <f>TMTB!N551</f>
        <v>54.5</v>
      </c>
      <c r="O551">
        <f>ABS(L551-TMTB!$C$34)</f>
        <v>5.3082735765742003E-2</v>
      </c>
      <c r="P551">
        <f t="shared" si="9"/>
        <v>54.5</v>
      </c>
    </row>
    <row r="552" spans="10:16">
      <c r="J552" s="5"/>
      <c r="L552">
        <f>TMTB!M552</f>
        <v>-0.16502741200000001</v>
      </c>
      <c r="M552">
        <f>TMTB!N552</f>
        <v>54.6</v>
      </c>
      <c r="O552">
        <f>ABS(L552-TMTB!$C$34)</f>
        <v>5.2985157765742016E-2</v>
      </c>
      <c r="P552">
        <f t="shared" si="9"/>
        <v>54.6</v>
      </c>
    </row>
    <row r="553" spans="10:16">
      <c r="J553" s="5"/>
      <c r="L553">
        <f>TMTB!M553</f>
        <v>-0.164929834</v>
      </c>
      <c r="M553">
        <f>TMTB!N553</f>
        <v>54.7</v>
      </c>
      <c r="O553">
        <f>ABS(L553-TMTB!$C$34)</f>
        <v>5.2887579765742002E-2</v>
      </c>
      <c r="P553">
        <f t="shared" si="9"/>
        <v>54.7</v>
      </c>
    </row>
    <row r="554" spans="10:16">
      <c r="J554" s="5"/>
      <c r="L554">
        <f>TMTB!M554</f>
        <v>-0.16414008399999999</v>
      </c>
      <c r="M554">
        <f>TMTB!N554</f>
        <v>54.8</v>
      </c>
      <c r="O554">
        <f>ABS(L554-TMTB!$C$34)</f>
        <v>5.2097829765741996E-2</v>
      </c>
      <c r="P554">
        <f t="shared" si="9"/>
        <v>54.8</v>
      </c>
    </row>
    <row r="555" spans="10:16">
      <c r="J555" s="5"/>
      <c r="L555">
        <f>TMTB!M555</f>
        <v>-0.16334436699999999</v>
      </c>
      <c r="M555">
        <f>TMTB!N555</f>
        <v>54.9</v>
      </c>
      <c r="O555">
        <f>ABS(L555-TMTB!$C$34)</f>
        <v>5.1302112765741995E-2</v>
      </c>
      <c r="P555">
        <f t="shared" si="9"/>
        <v>54.9</v>
      </c>
    </row>
    <row r="556" spans="10:16">
      <c r="J556" s="5"/>
      <c r="L556">
        <f>TMTB!M556</f>
        <v>-0.16248365000000001</v>
      </c>
      <c r="M556">
        <f>TMTB!N556</f>
        <v>55</v>
      </c>
      <c r="O556">
        <f>ABS(L556-TMTB!$C$34)</f>
        <v>5.0441395765742011E-2</v>
      </c>
      <c r="P556">
        <f t="shared" si="9"/>
        <v>55</v>
      </c>
    </row>
    <row r="557" spans="10:16">
      <c r="J557" s="5"/>
      <c r="L557">
        <f>TMTB!M557</f>
        <v>-0.16123163300000001</v>
      </c>
      <c r="M557">
        <f>TMTB!N557</f>
        <v>55.1</v>
      </c>
      <c r="O557">
        <f>ABS(L557-TMTB!$C$34)</f>
        <v>4.9189378765742017E-2</v>
      </c>
      <c r="P557">
        <f t="shared" si="9"/>
        <v>55.1</v>
      </c>
    </row>
    <row r="558" spans="10:16">
      <c r="J558" s="5"/>
      <c r="L558">
        <f>TMTB!M558</f>
        <v>-0.15997961599999999</v>
      </c>
      <c r="M558">
        <f>TMTB!N558</f>
        <v>55.2</v>
      </c>
      <c r="O558">
        <f>ABS(L558-TMTB!$C$34)</f>
        <v>4.7937361765741995E-2</v>
      </c>
      <c r="P558">
        <f t="shared" si="9"/>
        <v>55.2</v>
      </c>
    </row>
    <row r="559" spans="10:16">
      <c r="J559" s="5"/>
      <c r="L559">
        <f>TMTB!M559</f>
        <v>-0.158286553</v>
      </c>
      <c r="M559">
        <f>TMTB!N559</f>
        <v>55.3</v>
      </c>
      <c r="O559">
        <f>ABS(L559-TMTB!$C$34)</f>
        <v>4.6244298765742001E-2</v>
      </c>
      <c r="P559">
        <f t="shared" si="9"/>
        <v>55.3</v>
      </c>
    </row>
    <row r="560" spans="10:16">
      <c r="J560" s="5"/>
      <c r="L560">
        <f>TMTB!M560</f>
        <v>-0.15553155399999999</v>
      </c>
      <c r="M560">
        <f>TMTB!N560</f>
        <v>55.4</v>
      </c>
      <c r="O560">
        <f>ABS(L560-TMTB!$C$34)</f>
        <v>4.3489299765741993E-2</v>
      </c>
      <c r="P560">
        <f t="shared" si="9"/>
        <v>55.4</v>
      </c>
    </row>
    <row r="561" spans="10:16">
      <c r="J561" s="5"/>
      <c r="L561">
        <f>TMTB!M561</f>
        <v>-0.15277655500000001</v>
      </c>
      <c r="M561">
        <f>TMTB!N561</f>
        <v>55.5</v>
      </c>
      <c r="O561">
        <f>ABS(L561-TMTB!$C$34)</f>
        <v>4.0734300765742013E-2</v>
      </c>
      <c r="P561">
        <f t="shared" si="9"/>
        <v>55.5</v>
      </c>
    </row>
    <row r="562" spans="10:16">
      <c r="J562" s="5"/>
      <c r="L562">
        <f>TMTB!M562</f>
        <v>-0.151137892</v>
      </c>
      <c r="M562">
        <f>TMTB!N562</f>
        <v>55.6</v>
      </c>
      <c r="O562">
        <f>ABS(L562-TMTB!$C$34)</f>
        <v>3.9095637765742E-2</v>
      </c>
      <c r="P562">
        <f t="shared" si="9"/>
        <v>55.6</v>
      </c>
    </row>
    <row r="563" spans="10:16">
      <c r="J563" s="5"/>
      <c r="L563">
        <f>TMTB!M563</f>
        <v>-0.15089464899999999</v>
      </c>
      <c r="M563">
        <f>TMTB!N563</f>
        <v>55.7</v>
      </c>
      <c r="O563">
        <f>ABS(L563-TMTB!$C$34)</f>
        <v>3.8852394765741996E-2</v>
      </c>
      <c r="P563">
        <f t="shared" si="9"/>
        <v>55.7</v>
      </c>
    </row>
    <row r="564" spans="10:16">
      <c r="J564" s="5"/>
      <c r="L564">
        <f>TMTB!M564</f>
        <v>-0.15065140599999999</v>
      </c>
      <c r="M564">
        <f>TMTB!N564</f>
        <v>55.8</v>
      </c>
      <c r="O564">
        <f>ABS(L564-TMTB!$C$34)</f>
        <v>3.8609151765741992E-2</v>
      </c>
      <c r="P564">
        <f t="shared" si="9"/>
        <v>55.8</v>
      </c>
    </row>
    <row r="565" spans="10:16">
      <c r="J565" s="5"/>
      <c r="L565">
        <f>TMTB!M565</f>
        <v>-0.14842203600000001</v>
      </c>
      <c r="M565">
        <f>TMTB!N565</f>
        <v>55.9</v>
      </c>
      <c r="O565">
        <f>ABS(L565-TMTB!$C$34)</f>
        <v>3.6379781765742011E-2</v>
      </c>
      <c r="P565">
        <f t="shared" si="9"/>
        <v>55.9</v>
      </c>
    </row>
    <row r="566" spans="10:16">
      <c r="J566" s="5"/>
      <c r="L566">
        <f>TMTB!M566</f>
        <v>-0.14484324000000001</v>
      </c>
      <c r="M566">
        <f>TMTB!N566</f>
        <v>56</v>
      </c>
      <c r="O566">
        <f>ABS(L566-TMTB!$C$34)</f>
        <v>3.2800985765742016E-2</v>
      </c>
      <c r="P566">
        <f t="shared" si="9"/>
        <v>56</v>
      </c>
    </row>
    <row r="567" spans="10:16">
      <c r="J567" s="5"/>
      <c r="L567">
        <f>TMTB!M567</f>
        <v>-0.14126444399999999</v>
      </c>
      <c r="M567">
        <f>TMTB!N567</f>
        <v>56.1</v>
      </c>
      <c r="O567">
        <f>ABS(L567-TMTB!$C$34)</f>
        <v>2.9222189765741993E-2</v>
      </c>
      <c r="P567">
        <f t="shared" si="9"/>
        <v>56.1</v>
      </c>
    </row>
    <row r="568" spans="10:16">
      <c r="J568" s="5"/>
      <c r="L568">
        <f>TMTB!M568</f>
        <v>-0.13604448</v>
      </c>
      <c r="M568">
        <f>TMTB!N568</f>
        <v>56.2</v>
      </c>
      <c r="O568">
        <f>ABS(L568-TMTB!$C$34)</f>
        <v>2.4002225765742E-2</v>
      </c>
      <c r="P568">
        <f t="shared" si="9"/>
        <v>56.2</v>
      </c>
    </row>
    <row r="569" spans="10:16">
      <c r="J569" s="5"/>
      <c r="L569">
        <f>TMTB!M569</f>
        <v>-0.13026702000000001</v>
      </c>
      <c r="M569">
        <f>TMTB!N569</f>
        <v>56.3</v>
      </c>
      <c r="O569">
        <f>ABS(L569-TMTB!$C$34)</f>
        <v>1.8224765765742015E-2</v>
      </c>
      <c r="P569">
        <f t="shared" si="9"/>
        <v>56.3</v>
      </c>
    </row>
    <row r="570" spans="10:16">
      <c r="J570" s="5"/>
      <c r="L570">
        <f>TMTB!M570</f>
        <v>-0.12448956</v>
      </c>
      <c r="M570">
        <f>TMTB!N570</f>
        <v>56.4</v>
      </c>
      <c r="O570">
        <f>ABS(L570-TMTB!$C$34)</f>
        <v>1.2447305765742003E-2</v>
      </c>
      <c r="P570">
        <f t="shared" si="9"/>
        <v>56.4</v>
      </c>
    </row>
    <row r="571" spans="10:16">
      <c r="J571" s="5"/>
      <c r="L571">
        <f>TMTB!M571</f>
        <v>-0.12384344999999999</v>
      </c>
      <c r="M571">
        <f>TMTB!N571</f>
        <v>56.5</v>
      </c>
      <c r="O571">
        <f>ABS(L571-TMTB!$C$34)</f>
        <v>1.1801195765741998E-2</v>
      </c>
      <c r="P571">
        <f t="shared" si="9"/>
        <v>56.5</v>
      </c>
    </row>
    <row r="572" spans="10:16">
      <c r="J572" s="5"/>
      <c r="L572">
        <f>TMTB!M572</f>
        <v>-0.12378378</v>
      </c>
      <c r="M572">
        <f>TMTB!N572</f>
        <v>56.6</v>
      </c>
      <c r="O572">
        <f>ABS(L572-TMTB!$C$34)</f>
        <v>1.1741525765742E-2</v>
      </c>
      <c r="P572">
        <f t="shared" si="9"/>
        <v>56.6</v>
      </c>
    </row>
    <row r="573" spans="10:16">
      <c r="J573" s="5"/>
      <c r="L573">
        <f>TMTB!M573</f>
        <v>-0.12365651800000001</v>
      </c>
      <c r="M573">
        <f>TMTB!N573</f>
        <v>56.7</v>
      </c>
      <c r="O573">
        <f>ABS(L573-TMTB!$C$34)</f>
        <v>1.1614263765742011E-2</v>
      </c>
      <c r="P573">
        <f t="shared" si="9"/>
        <v>56.7</v>
      </c>
    </row>
    <row r="574" spans="10:16">
      <c r="J574" s="5"/>
      <c r="L574">
        <f>TMTB!M574</f>
        <v>-0.122201272</v>
      </c>
      <c r="M574">
        <f>TMTB!N574</f>
        <v>56.8</v>
      </c>
      <c r="O574">
        <f>ABS(L574-TMTB!$C$34)</f>
        <v>1.0159017765742004E-2</v>
      </c>
      <c r="P574">
        <f t="shared" si="9"/>
        <v>56.8</v>
      </c>
    </row>
    <row r="575" spans="10:16">
      <c r="J575" s="5"/>
      <c r="L575">
        <f>TMTB!M575</f>
        <v>-0.12074602600000001</v>
      </c>
      <c r="M575">
        <f>TMTB!N575</f>
        <v>56.9</v>
      </c>
      <c r="O575">
        <f>ABS(L575-TMTB!$C$34)</f>
        <v>8.7037717657420105E-3</v>
      </c>
      <c r="P575">
        <f t="shared" si="9"/>
        <v>56.9</v>
      </c>
    </row>
    <row r="576" spans="10:16">
      <c r="J576" s="5"/>
      <c r="L576">
        <f>TMTB!M576</f>
        <v>-0.11914637</v>
      </c>
      <c r="M576">
        <f>TMTB!N576</f>
        <v>57</v>
      </c>
      <c r="O576">
        <f>ABS(L576-TMTB!$C$34)</f>
        <v>7.1041157657420057E-3</v>
      </c>
      <c r="P576">
        <f t="shared" si="9"/>
        <v>57</v>
      </c>
    </row>
    <row r="577" spans="10:16">
      <c r="J577" s="5"/>
      <c r="L577">
        <f>TMTB!M577</f>
        <v>-0.116967011</v>
      </c>
      <c r="M577">
        <f>TMTB!N577</f>
        <v>57.1</v>
      </c>
      <c r="O577">
        <f>ABS(L577-TMTB!$C$34)</f>
        <v>4.9247567657419999E-3</v>
      </c>
      <c r="P577">
        <f t="shared" si="9"/>
        <v>57.1</v>
      </c>
    </row>
    <row r="578" spans="10:16">
      <c r="J578" s="5"/>
      <c r="L578">
        <f>TMTB!M578</f>
        <v>-0.114787652</v>
      </c>
      <c r="M578">
        <f>TMTB!N578</f>
        <v>57.2</v>
      </c>
      <c r="O578">
        <f>ABS(L578-TMTB!$C$34)</f>
        <v>2.7453977657420081E-3</v>
      </c>
      <c r="P578">
        <f t="shared" si="9"/>
        <v>57.2</v>
      </c>
    </row>
    <row r="579" spans="10:16">
      <c r="J579" s="5"/>
      <c r="L579">
        <f>TMTB!M579</f>
        <v>-0.113372</v>
      </c>
      <c r="M579">
        <f>TMTB!N579</f>
        <v>57.3</v>
      </c>
      <c r="O579">
        <f>ABS(L579-TMTB!$C$34)</f>
        <v>1.3297457657420048E-3</v>
      </c>
      <c r="P579">
        <f t="shared" si="9"/>
        <v>57.3</v>
      </c>
    </row>
    <row r="580" spans="10:16">
      <c r="J580" s="5"/>
      <c r="L580">
        <f>TMTB!M580</f>
        <v>-0.113372</v>
      </c>
      <c r="M580">
        <f>TMTB!N580</f>
        <v>57.4</v>
      </c>
      <c r="O580">
        <f>ABS(L580-TMTB!$C$34)</f>
        <v>1.3297457657420048E-3</v>
      </c>
      <c r="P580">
        <f t="shared" si="9"/>
        <v>57.4</v>
      </c>
    </row>
    <row r="581" spans="10:16">
      <c r="J581" s="5"/>
      <c r="L581">
        <f>TMTB!M581</f>
        <v>-0.113372</v>
      </c>
      <c r="M581">
        <f>TMTB!N581</f>
        <v>57.5</v>
      </c>
      <c r="O581">
        <f>ABS(L581-TMTB!$C$34)</f>
        <v>1.3297457657420048E-3</v>
      </c>
      <c r="P581">
        <f t="shared" si="9"/>
        <v>57.5</v>
      </c>
    </row>
    <row r="582" spans="10:16">
      <c r="J582" s="5"/>
      <c r="L582">
        <f>TMTB!M582</f>
        <v>-0.112465776</v>
      </c>
      <c r="M582">
        <f>TMTB!N582</f>
        <v>57.6</v>
      </c>
      <c r="O582">
        <f>ABS(L582-TMTB!$C$34)</f>
        <v>4.2352176574200762E-4</v>
      </c>
      <c r="P582">
        <f t="shared" si="9"/>
        <v>57.6</v>
      </c>
    </row>
    <row r="583" spans="10:16">
      <c r="J583" s="5"/>
      <c r="L583">
        <f>TMTB!M583</f>
        <v>-0.11065847700000001</v>
      </c>
      <c r="M583">
        <f>TMTB!N583</f>
        <v>57.7</v>
      </c>
      <c r="O583">
        <f>ABS(L583-TMTB!$C$34)</f>
        <v>1.3837772342579907E-3</v>
      </c>
      <c r="P583">
        <f t="shared" ref="P583:P646" si="10">M583</f>
        <v>57.7</v>
      </c>
    </row>
    <row r="584" spans="10:16">
      <c r="J584" s="5"/>
      <c r="L584">
        <f>TMTB!M584</f>
        <v>-0.10885117800000001</v>
      </c>
      <c r="M584">
        <f>TMTB!N584</f>
        <v>57.8</v>
      </c>
      <c r="O584">
        <f>ABS(L584-TMTB!$C$34)</f>
        <v>3.191076234257989E-3</v>
      </c>
      <c r="P584">
        <f t="shared" si="10"/>
        <v>57.8</v>
      </c>
    </row>
    <row r="585" spans="10:16">
      <c r="J585" s="5"/>
      <c r="L585">
        <f>TMTB!M585</f>
        <v>-0.108223</v>
      </c>
      <c r="M585">
        <f>TMTB!N585</f>
        <v>57.9</v>
      </c>
      <c r="O585">
        <f>ABS(L585-TMTB!$C$34)</f>
        <v>3.819254234257996E-3</v>
      </c>
      <c r="P585">
        <f t="shared" si="10"/>
        <v>57.9</v>
      </c>
    </row>
    <row r="586" spans="10:16">
      <c r="J586" s="5"/>
      <c r="L586">
        <f>TMTB!M586</f>
        <v>-0.108223</v>
      </c>
      <c r="M586">
        <f>TMTB!N586</f>
        <v>58</v>
      </c>
      <c r="O586">
        <f>ABS(L586-TMTB!$C$34)</f>
        <v>3.819254234257996E-3</v>
      </c>
      <c r="P586">
        <f t="shared" si="10"/>
        <v>58</v>
      </c>
    </row>
    <row r="587" spans="10:16">
      <c r="J587" s="5"/>
      <c r="L587">
        <f>TMTB!M587</f>
        <v>-0.108223</v>
      </c>
      <c r="M587">
        <f>TMTB!N587</f>
        <v>58.1</v>
      </c>
      <c r="O587">
        <f>ABS(L587-TMTB!$C$34)</f>
        <v>3.819254234257996E-3</v>
      </c>
      <c r="P587">
        <f t="shared" si="10"/>
        <v>58.1</v>
      </c>
    </row>
    <row r="588" spans="10:16">
      <c r="J588" s="5"/>
      <c r="L588">
        <f>TMTB!M588</f>
        <v>-0.10787755</v>
      </c>
      <c r="M588">
        <f>TMTB!N588</f>
        <v>58.2</v>
      </c>
      <c r="O588">
        <f>ABS(L588-TMTB!$C$34)</f>
        <v>4.1647042342579932E-3</v>
      </c>
      <c r="P588">
        <f t="shared" si="10"/>
        <v>58.2</v>
      </c>
    </row>
    <row r="589" spans="10:16">
      <c r="J589" s="5"/>
      <c r="L589">
        <f>TMTB!M589</f>
        <v>-0.107447575</v>
      </c>
      <c r="M589">
        <f>TMTB!N589</f>
        <v>58.3</v>
      </c>
      <c r="O589">
        <f>ABS(L589-TMTB!$C$34)</f>
        <v>4.5946792342579923E-3</v>
      </c>
      <c r="P589">
        <f t="shared" si="10"/>
        <v>58.3</v>
      </c>
    </row>
    <row r="590" spans="10:16">
      <c r="J590" s="5"/>
      <c r="L590">
        <f>TMTB!M590</f>
        <v>-0.1070176</v>
      </c>
      <c r="M590">
        <f>TMTB!N590</f>
        <v>58.4</v>
      </c>
      <c r="O590">
        <f>ABS(L590-TMTB!$C$34)</f>
        <v>5.0246542342579914E-3</v>
      </c>
      <c r="P590">
        <f t="shared" si="10"/>
        <v>58.4</v>
      </c>
    </row>
    <row r="591" spans="10:16">
      <c r="J591" s="5"/>
      <c r="L591">
        <f>TMTB!M591</f>
        <v>-0.105037915</v>
      </c>
      <c r="M591">
        <f>TMTB!N591</f>
        <v>58.5</v>
      </c>
      <c r="O591">
        <f>ABS(L591-TMTB!$C$34)</f>
        <v>7.0043392342580002E-3</v>
      </c>
      <c r="P591">
        <f t="shared" si="10"/>
        <v>58.5</v>
      </c>
    </row>
    <row r="592" spans="10:16">
      <c r="J592" s="5"/>
      <c r="L592">
        <f>TMTB!M592</f>
        <v>-0.102984214</v>
      </c>
      <c r="M592">
        <f>TMTB!N592</f>
        <v>58.6</v>
      </c>
      <c r="O592">
        <f>ABS(L592-TMTB!$C$34)</f>
        <v>9.0580402342579913E-3</v>
      </c>
      <c r="P592">
        <f t="shared" si="10"/>
        <v>58.6</v>
      </c>
    </row>
    <row r="593" spans="10:16">
      <c r="J593" s="5"/>
      <c r="L593">
        <f>TMTB!M593</f>
        <v>-0.10107218599999999</v>
      </c>
      <c r="M593">
        <f>TMTB!N593</f>
        <v>58.7</v>
      </c>
      <c r="O593">
        <f>ABS(L593-TMTB!$C$34)</f>
        <v>1.0970068234258001E-2</v>
      </c>
      <c r="P593">
        <f t="shared" si="10"/>
        <v>58.7</v>
      </c>
    </row>
    <row r="594" spans="10:16">
      <c r="J594" s="5"/>
      <c r="L594">
        <f>TMTB!M594</f>
        <v>-0.100362464</v>
      </c>
      <c r="M594">
        <f>TMTB!N594</f>
        <v>58.8</v>
      </c>
      <c r="O594">
        <f>ABS(L594-TMTB!$C$34)</f>
        <v>1.1679790234257997E-2</v>
      </c>
      <c r="P594">
        <f t="shared" si="10"/>
        <v>58.8</v>
      </c>
    </row>
    <row r="595" spans="10:16">
      <c r="J595" s="5"/>
      <c r="L595">
        <f>TMTB!M595</f>
        <v>-9.9652742000000002E-2</v>
      </c>
      <c r="M595">
        <f>TMTB!N595</f>
        <v>58.9</v>
      </c>
      <c r="O595">
        <f>ABS(L595-TMTB!$C$34)</f>
        <v>1.2389512234257993E-2</v>
      </c>
      <c r="P595">
        <f t="shared" si="10"/>
        <v>58.9</v>
      </c>
    </row>
    <row r="596" spans="10:16">
      <c r="J596" s="5"/>
      <c r="L596">
        <f>TMTB!M596</f>
        <v>-9.8815580000000097E-2</v>
      </c>
      <c r="M596">
        <f>TMTB!N596</f>
        <v>59</v>
      </c>
      <c r="O596">
        <f>ABS(L596-TMTB!$C$34)</f>
        <v>1.3226674234257899E-2</v>
      </c>
      <c r="P596">
        <f t="shared" si="10"/>
        <v>59</v>
      </c>
    </row>
    <row r="597" spans="10:16">
      <c r="J597" s="5"/>
      <c r="L597">
        <f>TMTB!M597</f>
        <v>-9.7608842000000001E-2</v>
      </c>
      <c r="M597">
        <f>TMTB!N597</f>
        <v>59.1</v>
      </c>
      <c r="O597">
        <f>ABS(L597-TMTB!$C$34)</f>
        <v>1.4433412234257995E-2</v>
      </c>
      <c r="P597">
        <f t="shared" si="10"/>
        <v>59.1</v>
      </c>
    </row>
    <row r="598" spans="10:16">
      <c r="J598" s="5"/>
      <c r="L598">
        <f>TMTB!M598</f>
        <v>-9.6402104000000002E-2</v>
      </c>
      <c r="M598">
        <f>TMTB!N598</f>
        <v>59.2</v>
      </c>
      <c r="O598">
        <f>ABS(L598-TMTB!$C$34)</f>
        <v>1.5640150234257993E-2</v>
      </c>
      <c r="P598">
        <f t="shared" si="10"/>
        <v>59.2</v>
      </c>
    </row>
    <row r="599" spans="10:16">
      <c r="J599" s="5"/>
      <c r="L599">
        <f>TMTB!M599</f>
        <v>-9.5537135999999995E-2</v>
      </c>
      <c r="M599">
        <f>TMTB!N599</f>
        <v>59.3</v>
      </c>
      <c r="O599">
        <f>ABS(L599-TMTB!$C$34)</f>
        <v>1.6505118234258001E-2</v>
      </c>
      <c r="P599">
        <f t="shared" si="10"/>
        <v>59.3</v>
      </c>
    </row>
    <row r="600" spans="10:16">
      <c r="J600" s="5"/>
      <c r="L600">
        <f>TMTB!M600</f>
        <v>-9.5169288000000005E-2</v>
      </c>
      <c r="M600">
        <f>TMTB!N600</f>
        <v>59.4</v>
      </c>
      <c r="O600">
        <f>ABS(L600-TMTB!$C$34)</f>
        <v>1.6872966234257991E-2</v>
      </c>
      <c r="P600">
        <f t="shared" si="10"/>
        <v>59.4</v>
      </c>
    </row>
    <row r="601" spans="10:16">
      <c r="J601" s="5"/>
      <c r="L601">
        <f>TMTB!M601</f>
        <v>-9.4801440000000001E-2</v>
      </c>
      <c r="M601">
        <f>TMTB!N601</f>
        <v>59.5</v>
      </c>
      <c r="O601">
        <f>ABS(L601-TMTB!$C$34)</f>
        <v>1.7240814234257995E-2</v>
      </c>
      <c r="P601">
        <f t="shared" si="10"/>
        <v>59.5</v>
      </c>
    </row>
    <row r="602" spans="10:16">
      <c r="J602" s="5"/>
      <c r="L602">
        <f>TMTB!M602</f>
        <v>-9.3881852000000002E-2</v>
      </c>
      <c r="M602">
        <f>TMTB!N602</f>
        <v>59.6</v>
      </c>
      <c r="O602">
        <f>ABS(L602-TMTB!$C$34)</f>
        <v>1.8160402234257994E-2</v>
      </c>
      <c r="P602">
        <f t="shared" si="10"/>
        <v>59.6</v>
      </c>
    </row>
    <row r="603" spans="10:16">
      <c r="J603" s="5"/>
      <c r="L603">
        <f>TMTB!M603</f>
        <v>-9.2525939000000001E-2</v>
      </c>
      <c r="M603">
        <f>TMTB!N603</f>
        <v>59.7</v>
      </c>
      <c r="O603">
        <f>ABS(L603-TMTB!$C$34)</f>
        <v>1.9516315234257994E-2</v>
      </c>
      <c r="P603">
        <f t="shared" si="10"/>
        <v>59.7</v>
      </c>
    </row>
    <row r="604" spans="10:16">
      <c r="J604" s="5"/>
      <c r="L604">
        <f>TMTB!M604</f>
        <v>-9.1170026000000001E-2</v>
      </c>
      <c r="M604">
        <f>TMTB!N604</f>
        <v>59.8</v>
      </c>
      <c r="O604">
        <f>ABS(L604-TMTB!$C$34)</f>
        <v>2.0872228234257995E-2</v>
      </c>
      <c r="P604">
        <f t="shared" si="10"/>
        <v>59.8</v>
      </c>
    </row>
    <row r="605" spans="10:16">
      <c r="J605" s="5"/>
      <c r="L605">
        <f>TMTB!M605</f>
        <v>-8.1830426000000206E-2</v>
      </c>
      <c r="M605">
        <f>TMTB!N605</f>
        <v>59.9</v>
      </c>
      <c r="O605">
        <f>ABS(L605-TMTB!$C$34)</f>
        <v>3.021182823425779E-2</v>
      </c>
      <c r="P605">
        <f t="shared" si="10"/>
        <v>59.9</v>
      </c>
    </row>
    <row r="606" spans="10:16">
      <c r="J606" s="5"/>
      <c r="L606">
        <f>TMTB!M606</f>
        <v>-6.9220400000000196E-2</v>
      </c>
      <c r="M606">
        <f>TMTB!N606</f>
        <v>60</v>
      </c>
      <c r="O606">
        <f>ABS(L606-TMTB!$C$34)</f>
        <v>4.28218542342578E-2</v>
      </c>
      <c r="P606">
        <f t="shared" si="10"/>
        <v>60</v>
      </c>
    </row>
    <row r="607" spans="10:16">
      <c r="J607" s="5"/>
      <c r="L607">
        <f>TMTB!M607</f>
        <v>-5.6610374000000199E-2</v>
      </c>
      <c r="M607">
        <f>TMTB!N607</f>
        <v>60.1</v>
      </c>
      <c r="O607">
        <f>ABS(L607-TMTB!$C$34)</f>
        <v>5.5431880234257797E-2</v>
      </c>
      <c r="P607">
        <f t="shared" si="10"/>
        <v>60.1</v>
      </c>
    </row>
    <row r="608" spans="10:16">
      <c r="J608" s="5"/>
      <c r="L608">
        <f>TMTB!M608</f>
        <v>-5.4550415999999997E-2</v>
      </c>
      <c r="M608">
        <f>TMTB!N608</f>
        <v>60.2</v>
      </c>
      <c r="O608">
        <f>ABS(L608-TMTB!$C$34)</f>
        <v>5.7491838234257998E-2</v>
      </c>
      <c r="P608">
        <f t="shared" si="10"/>
        <v>60.2</v>
      </c>
    </row>
    <row r="609" spans="10:16">
      <c r="J609" s="5"/>
      <c r="L609">
        <f>TMTB!M609</f>
        <v>-5.4202224E-2</v>
      </c>
      <c r="M609">
        <f>TMTB!N609</f>
        <v>60.3</v>
      </c>
      <c r="O609">
        <f>ABS(L609-TMTB!$C$34)</f>
        <v>5.7840030234257996E-2</v>
      </c>
      <c r="P609">
        <f t="shared" si="10"/>
        <v>60.3</v>
      </c>
    </row>
    <row r="610" spans="10:16">
      <c r="J610" s="5"/>
      <c r="L610">
        <f>TMTB!M610</f>
        <v>-5.3772476000000201E-2</v>
      </c>
      <c r="M610">
        <f>TMTB!N610</f>
        <v>60.4</v>
      </c>
      <c r="O610">
        <f>ABS(L610-TMTB!$C$34)</f>
        <v>5.8269778234257795E-2</v>
      </c>
      <c r="P610">
        <f t="shared" si="10"/>
        <v>60.4</v>
      </c>
    </row>
    <row r="611" spans="10:16">
      <c r="J611" s="5"/>
      <c r="L611">
        <f>TMTB!M611</f>
        <v>-4.62677450000002E-2</v>
      </c>
      <c r="M611">
        <f>TMTB!N611</f>
        <v>60.5</v>
      </c>
      <c r="O611">
        <f>ABS(L611-TMTB!$C$34)</f>
        <v>6.5774509234257789E-2</v>
      </c>
      <c r="P611">
        <f t="shared" si="10"/>
        <v>60.5</v>
      </c>
    </row>
    <row r="612" spans="10:16">
      <c r="J612" s="5"/>
      <c r="L612">
        <f>TMTB!M612</f>
        <v>-3.87630140000002E-2</v>
      </c>
      <c r="M612">
        <f>TMTB!N612</f>
        <v>60.6</v>
      </c>
      <c r="O612">
        <f>ABS(L612-TMTB!$C$34)</f>
        <v>7.3279240234257803E-2</v>
      </c>
      <c r="P612">
        <f t="shared" si="10"/>
        <v>60.6</v>
      </c>
    </row>
    <row r="613" spans="10:16">
      <c r="J613" s="5"/>
      <c r="L613">
        <f>TMTB!M613</f>
        <v>-3.2236859E-2</v>
      </c>
      <c r="M613">
        <f>TMTB!N613</f>
        <v>60.7</v>
      </c>
      <c r="O613">
        <f>ABS(L613-TMTB!$C$34)</f>
        <v>7.9805395234258003E-2</v>
      </c>
      <c r="P613">
        <f t="shared" si="10"/>
        <v>60.7</v>
      </c>
    </row>
    <row r="614" spans="10:16">
      <c r="J614" s="5"/>
      <c r="L614">
        <f>TMTB!M614</f>
        <v>-3.0758096000000099E-2</v>
      </c>
      <c r="M614">
        <f>TMTB!N614</f>
        <v>60.8</v>
      </c>
      <c r="O614">
        <f>ABS(L614-TMTB!$C$34)</f>
        <v>8.12841582342579E-2</v>
      </c>
      <c r="P614">
        <f t="shared" si="10"/>
        <v>60.8</v>
      </c>
    </row>
    <row r="615" spans="10:16">
      <c r="J615" s="5"/>
      <c r="L615">
        <f>TMTB!M615</f>
        <v>-2.9279333000000098E-2</v>
      </c>
      <c r="M615">
        <f>TMTB!N615</f>
        <v>60.9</v>
      </c>
      <c r="O615">
        <f>ABS(L615-TMTB!$C$34)</f>
        <v>8.2762921234257894E-2</v>
      </c>
      <c r="P615">
        <f t="shared" si="10"/>
        <v>60.9</v>
      </c>
    </row>
    <row r="616" spans="10:16">
      <c r="J616" s="5"/>
      <c r="L616">
        <f>TMTB!M616</f>
        <v>-2.77676800000001E-2</v>
      </c>
      <c r="M616">
        <f>TMTB!N616</f>
        <v>61</v>
      </c>
      <c r="O616">
        <f>ABS(L616-TMTB!$C$34)</f>
        <v>8.4274574234257896E-2</v>
      </c>
      <c r="P616">
        <f t="shared" si="10"/>
        <v>61</v>
      </c>
    </row>
    <row r="617" spans="10:16">
      <c r="J617" s="5"/>
      <c r="L617">
        <f>TMTB!M617</f>
        <v>-2.6183968000000099E-2</v>
      </c>
      <c r="M617">
        <f>TMTB!N617</f>
        <v>61.1</v>
      </c>
      <c r="O617">
        <f>ABS(L617-TMTB!$C$34)</f>
        <v>8.5858286234257897E-2</v>
      </c>
      <c r="P617">
        <f t="shared" si="10"/>
        <v>61.1</v>
      </c>
    </row>
    <row r="618" spans="10:16">
      <c r="J618" s="5"/>
      <c r="L618">
        <f>TMTB!M618</f>
        <v>-2.4600256000000102E-2</v>
      </c>
      <c r="M618">
        <f>TMTB!N618</f>
        <v>61.2</v>
      </c>
      <c r="O618">
        <f>ABS(L618-TMTB!$C$34)</f>
        <v>8.7441998234257898E-2</v>
      </c>
      <c r="P618">
        <f t="shared" si="10"/>
        <v>61.2</v>
      </c>
    </row>
    <row r="619" spans="10:16">
      <c r="J619" s="5"/>
      <c r="L619">
        <f>TMTB!M619</f>
        <v>-2.2263973000000201E-2</v>
      </c>
      <c r="M619">
        <f>TMTB!N619</f>
        <v>61.3</v>
      </c>
      <c r="O619">
        <f>ABS(L619-TMTB!$C$34)</f>
        <v>8.9778281234257795E-2</v>
      </c>
      <c r="P619">
        <f t="shared" si="10"/>
        <v>61.3</v>
      </c>
    </row>
    <row r="620" spans="10:16">
      <c r="J620" s="5"/>
      <c r="L620">
        <f>TMTB!M620</f>
        <v>-1.9059693999999901E-2</v>
      </c>
      <c r="M620">
        <f>TMTB!N620</f>
        <v>61.4</v>
      </c>
      <c r="O620">
        <f>ABS(L620-TMTB!$C$34)</f>
        <v>9.2982560234258091E-2</v>
      </c>
      <c r="P620">
        <f t="shared" si="10"/>
        <v>61.4</v>
      </c>
    </row>
    <row r="621" spans="10:16">
      <c r="J621" s="5"/>
      <c r="L621">
        <f>TMTB!M621</f>
        <v>-1.5855414999999901E-2</v>
      </c>
      <c r="M621">
        <f>TMTB!N621</f>
        <v>61.5</v>
      </c>
      <c r="O621">
        <f>ABS(L621-TMTB!$C$34)</f>
        <v>9.6186839234258095E-2</v>
      </c>
      <c r="P621">
        <f t="shared" si="10"/>
        <v>61.5</v>
      </c>
    </row>
    <row r="622" spans="10:16">
      <c r="J622" s="5"/>
      <c r="L622">
        <f>TMTB!M622</f>
        <v>-1.30809759999999E-2</v>
      </c>
      <c r="M622">
        <f>TMTB!N622</f>
        <v>61.6</v>
      </c>
      <c r="O622">
        <f>ABS(L622-TMTB!$C$34)</f>
        <v>9.8961278234258099E-2</v>
      </c>
      <c r="P622">
        <f t="shared" si="10"/>
        <v>61.6</v>
      </c>
    </row>
    <row r="623" spans="10:16">
      <c r="J623" s="5"/>
      <c r="L623">
        <f>TMTB!M623</f>
        <v>-1.0575186999999899E-2</v>
      </c>
      <c r="M623">
        <f>TMTB!N623</f>
        <v>61.7</v>
      </c>
      <c r="O623">
        <f>ABS(L623-TMTB!$C$34)</f>
        <v>0.10146706723425809</v>
      </c>
      <c r="P623">
        <f t="shared" si="10"/>
        <v>61.7</v>
      </c>
    </row>
    <row r="624" spans="10:16">
      <c r="J624" s="5"/>
      <c r="L624">
        <f>TMTB!M624</f>
        <v>-8.0693979999999603E-3</v>
      </c>
      <c r="M624">
        <f>TMTB!N624</f>
        <v>61.8</v>
      </c>
      <c r="O624">
        <f>ABS(L624-TMTB!$C$34)</f>
        <v>0.10397285623425803</v>
      </c>
      <c r="P624">
        <f t="shared" si="10"/>
        <v>61.8</v>
      </c>
    </row>
    <row r="625" spans="10:16">
      <c r="J625" s="5"/>
      <c r="L625">
        <f>TMTB!M625</f>
        <v>-6.8604579999999903E-3</v>
      </c>
      <c r="M625">
        <f>TMTB!N625</f>
        <v>61.9</v>
      </c>
      <c r="O625">
        <f>ABS(L625-TMTB!$C$34)</f>
        <v>0.10518179623425801</v>
      </c>
      <c r="P625">
        <f t="shared" si="10"/>
        <v>61.9</v>
      </c>
    </row>
    <row r="626" spans="10:16">
      <c r="J626" s="5"/>
      <c r="L626">
        <f>TMTB!M626</f>
        <v>-6.04683999999999E-3</v>
      </c>
      <c r="M626">
        <f>TMTB!N626</f>
        <v>62</v>
      </c>
      <c r="O626">
        <f>ABS(L626-TMTB!$C$34)</f>
        <v>0.10599541423425801</v>
      </c>
      <c r="P626">
        <f t="shared" si="10"/>
        <v>62</v>
      </c>
    </row>
    <row r="627" spans="10:16">
      <c r="J627" s="5"/>
      <c r="L627">
        <f>TMTB!M627</f>
        <v>-5.2332219999999896E-3</v>
      </c>
      <c r="M627">
        <f>TMTB!N627</f>
        <v>62.1</v>
      </c>
      <c r="O627">
        <f>ABS(L627-TMTB!$C$34)</f>
        <v>0.106809032234258</v>
      </c>
      <c r="P627">
        <f t="shared" si="10"/>
        <v>62.1</v>
      </c>
    </row>
    <row r="628" spans="10:16">
      <c r="J628" s="5"/>
      <c r="L628">
        <f>TMTB!M628</f>
        <v>1.45882800000006E-3</v>
      </c>
      <c r="M628">
        <f>TMTB!N628</f>
        <v>62.2</v>
      </c>
      <c r="O628">
        <f>ABS(L628-TMTB!$C$34)</f>
        <v>0.11350108223425806</v>
      </c>
      <c r="P628">
        <f t="shared" si="10"/>
        <v>62.2</v>
      </c>
    </row>
    <row r="629" spans="10:16">
      <c r="J629" s="5"/>
      <c r="L629">
        <f>TMTB!M629</f>
        <v>8.6803020000000407E-3</v>
      </c>
      <c r="M629">
        <f>TMTB!N629</f>
        <v>62.3</v>
      </c>
      <c r="O629">
        <f>ABS(L629-TMTB!$C$34)</f>
        <v>0.12072255623425804</v>
      </c>
      <c r="P629">
        <f t="shared" si="10"/>
        <v>62.3</v>
      </c>
    </row>
    <row r="630" spans="10:16">
      <c r="J630" s="5"/>
      <c r="L630">
        <f>TMTB!M630</f>
        <v>1.5447528E-2</v>
      </c>
      <c r="M630">
        <f>TMTB!N630</f>
        <v>62.4</v>
      </c>
      <c r="O630">
        <f>ABS(L630-TMTB!$C$34)</f>
        <v>0.127489782234258</v>
      </c>
      <c r="P630">
        <f t="shared" si="10"/>
        <v>62.4</v>
      </c>
    </row>
    <row r="631" spans="10:16">
      <c r="J631" s="5"/>
      <c r="L631">
        <f>TMTB!M631</f>
        <v>1.6025625000000002E-2</v>
      </c>
      <c r="M631">
        <f>TMTB!N631</f>
        <v>62.5</v>
      </c>
      <c r="O631">
        <f>ABS(L631-TMTB!$C$34)</f>
        <v>0.128067879234258</v>
      </c>
      <c r="P631">
        <f t="shared" si="10"/>
        <v>62.5</v>
      </c>
    </row>
    <row r="632" spans="10:16">
      <c r="J632" s="5"/>
      <c r="L632">
        <f>TMTB!M632</f>
        <v>1.6603722000000001E-2</v>
      </c>
      <c r="M632">
        <f>TMTB!N632</f>
        <v>62.6</v>
      </c>
      <c r="O632">
        <f>ABS(L632-TMTB!$C$34)</f>
        <v>0.128645976234258</v>
      </c>
      <c r="P632">
        <f t="shared" si="10"/>
        <v>62.6</v>
      </c>
    </row>
    <row r="633" spans="10:16">
      <c r="J633" s="5"/>
      <c r="L633">
        <f>TMTB!M633</f>
        <v>1.7600468000000001E-2</v>
      </c>
      <c r="M633">
        <f>TMTB!N633</f>
        <v>62.7</v>
      </c>
      <c r="O633">
        <f>ABS(L633-TMTB!$C$34)</f>
        <v>0.12964272223425799</v>
      </c>
      <c r="P633">
        <f t="shared" si="10"/>
        <v>62.7</v>
      </c>
    </row>
    <row r="634" spans="10:16">
      <c r="J634" s="5"/>
      <c r="L634">
        <f>TMTB!M634</f>
        <v>2.0086952000000002E-2</v>
      </c>
      <c r="M634">
        <f>TMTB!N634</f>
        <v>62.8</v>
      </c>
      <c r="O634">
        <f>ABS(L634-TMTB!$C$34)</f>
        <v>0.132129206234258</v>
      </c>
      <c r="P634">
        <f t="shared" si="10"/>
        <v>62.8</v>
      </c>
    </row>
    <row r="635" spans="10:16">
      <c r="J635" s="5"/>
      <c r="L635">
        <f>TMTB!M635</f>
        <v>2.2573435999999999E-2</v>
      </c>
      <c r="M635">
        <f>TMTB!N635</f>
        <v>62.9</v>
      </c>
      <c r="O635">
        <f>ABS(L635-TMTB!$C$34)</f>
        <v>0.13461569023425798</v>
      </c>
      <c r="P635">
        <f t="shared" si="10"/>
        <v>62.9</v>
      </c>
    </row>
    <row r="636" spans="10:16">
      <c r="J636" s="5"/>
      <c r="L636">
        <f>TMTB!M636</f>
        <v>2.7031889999999899E-2</v>
      </c>
      <c r="M636">
        <f>TMTB!N636</f>
        <v>63</v>
      </c>
      <c r="O636">
        <f>ABS(L636-TMTB!$C$34)</f>
        <v>0.1390741442342579</v>
      </c>
      <c r="P636">
        <f t="shared" si="10"/>
        <v>63</v>
      </c>
    </row>
    <row r="637" spans="10:16">
      <c r="J637" s="5"/>
      <c r="L637">
        <f>TMTB!M637</f>
        <v>3.4842692999999897E-2</v>
      </c>
      <c r="M637">
        <f>TMTB!N637</f>
        <v>63.1</v>
      </c>
      <c r="O637">
        <f>ABS(L637-TMTB!$C$34)</f>
        <v>0.14688494723425788</v>
      </c>
      <c r="P637">
        <f t="shared" si="10"/>
        <v>63.1</v>
      </c>
    </row>
    <row r="638" spans="10:16">
      <c r="J638" s="5"/>
      <c r="L638">
        <f>TMTB!M638</f>
        <v>4.2653495999999902E-2</v>
      </c>
      <c r="M638">
        <f>TMTB!N638</f>
        <v>63.2</v>
      </c>
      <c r="O638">
        <f>ABS(L638-TMTB!$C$34)</f>
        <v>0.15469575023425791</v>
      </c>
      <c r="P638">
        <f t="shared" si="10"/>
        <v>63.2</v>
      </c>
    </row>
    <row r="639" spans="10:16">
      <c r="J639" s="5"/>
      <c r="L639">
        <f>TMTB!M639</f>
        <v>4.6640697000000002E-2</v>
      </c>
      <c r="M639">
        <f>TMTB!N639</f>
        <v>63.3</v>
      </c>
      <c r="O639">
        <f>ABS(L639-TMTB!$C$34)</f>
        <v>0.15868295123425799</v>
      </c>
      <c r="P639">
        <f t="shared" si="10"/>
        <v>63.3</v>
      </c>
    </row>
    <row r="640" spans="10:16">
      <c r="J640" s="5"/>
      <c r="L640">
        <f>TMTB!M640</f>
        <v>4.7117706000000002E-2</v>
      </c>
      <c r="M640">
        <f>TMTB!N640</f>
        <v>63.4</v>
      </c>
      <c r="O640">
        <f>ABS(L640-TMTB!$C$34)</f>
        <v>0.15915996023425799</v>
      </c>
      <c r="P640">
        <f t="shared" si="10"/>
        <v>63.4</v>
      </c>
    </row>
    <row r="641" spans="10:16">
      <c r="J641" s="5"/>
      <c r="L641">
        <f>TMTB!M641</f>
        <v>4.7594715000000003E-2</v>
      </c>
      <c r="M641">
        <f>TMTB!N641</f>
        <v>63.5</v>
      </c>
      <c r="O641">
        <f>ABS(L641-TMTB!$C$34)</f>
        <v>0.15963696923425799</v>
      </c>
      <c r="P641">
        <f t="shared" si="10"/>
        <v>63.5</v>
      </c>
    </row>
    <row r="642" spans="10:16">
      <c r="J642" s="5"/>
      <c r="L642">
        <f>TMTB!M642</f>
        <v>4.8223707999999997E-2</v>
      </c>
      <c r="M642">
        <f>TMTB!N642</f>
        <v>63.6</v>
      </c>
      <c r="O642">
        <f>ABS(L642-TMTB!$C$34)</f>
        <v>0.16026596223425799</v>
      </c>
      <c r="P642">
        <f t="shared" si="10"/>
        <v>63.6</v>
      </c>
    </row>
    <row r="643" spans="10:16">
      <c r="J643" s="5"/>
      <c r="L643">
        <f>TMTB!M643</f>
        <v>4.8926760999999999E-2</v>
      </c>
      <c r="M643">
        <f>TMTB!N643</f>
        <v>63.7</v>
      </c>
      <c r="O643">
        <f>ABS(L643-TMTB!$C$34)</f>
        <v>0.16096901523425799</v>
      </c>
      <c r="P643">
        <f t="shared" si="10"/>
        <v>63.7</v>
      </c>
    </row>
    <row r="644" spans="10:16">
      <c r="J644" s="5"/>
      <c r="L644">
        <f>TMTB!M644</f>
        <v>4.9629814000000001E-2</v>
      </c>
      <c r="M644">
        <f>TMTB!N644</f>
        <v>63.8</v>
      </c>
      <c r="O644">
        <f>ABS(L644-TMTB!$C$34)</f>
        <v>0.161672068234258</v>
      </c>
      <c r="P644">
        <f t="shared" si="10"/>
        <v>63.8</v>
      </c>
    </row>
    <row r="645" spans="10:16">
      <c r="J645" s="5"/>
      <c r="L645">
        <f>TMTB!M645</f>
        <v>5.1217207000000098E-2</v>
      </c>
      <c r="M645">
        <f>TMTB!N645</f>
        <v>63.9</v>
      </c>
      <c r="O645">
        <f>ABS(L645-TMTB!$C$34)</f>
        <v>0.16325946123425811</v>
      </c>
      <c r="P645">
        <f t="shared" si="10"/>
        <v>63.9</v>
      </c>
    </row>
    <row r="646" spans="10:16">
      <c r="J646" s="5"/>
      <c r="L646">
        <f>TMTB!M646</f>
        <v>5.2994320000000102E-2</v>
      </c>
      <c r="M646">
        <f>TMTB!N646</f>
        <v>64</v>
      </c>
      <c r="O646">
        <f>ABS(L646-TMTB!$C$34)</f>
        <v>0.1650365742342581</v>
      </c>
      <c r="P646">
        <f t="shared" si="10"/>
        <v>64</v>
      </c>
    </row>
    <row r="647" spans="10:16">
      <c r="J647" s="5"/>
      <c r="L647">
        <f>TMTB!M647</f>
        <v>5.4771433000000098E-2</v>
      </c>
      <c r="M647">
        <f>TMTB!N647</f>
        <v>64.099999999999994</v>
      </c>
      <c r="O647">
        <f>ABS(L647-TMTB!$C$34)</f>
        <v>0.1668136872342581</v>
      </c>
      <c r="P647">
        <f t="shared" ref="P647:P710" si="11">M647</f>
        <v>64.099999999999994</v>
      </c>
    </row>
    <row r="648" spans="10:16">
      <c r="J648" s="5"/>
      <c r="L648">
        <f>TMTB!M648</f>
        <v>5.7529402000000097E-2</v>
      </c>
      <c r="M648">
        <f>TMTB!N648</f>
        <v>64.2</v>
      </c>
      <c r="O648">
        <f>ABS(L648-TMTB!$C$34)</f>
        <v>0.1695716562342581</v>
      </c>
      <c r="P648">
        <f t="shared" si="11"/>
        <v>64.2</v>
      </c>
    </row>
    <row r="649" spans="10:16">
      <c r="J649" s="5"/>
      <c r="L649">
        <f>TMTB!M649</f>
        <v>6.0313183000000103E-2</v>
      </c>
      <c r="M649">
        <f>TMTB!N649</f>
        <v>64.3</v>
      </c>
      <c r="O649">
        <f>ABS(L649-TMTB!$C$34)</f>
        <v>0.17235543723425811</v>
      </c>
      <c r="P649">
        <f t="shared" si="11"/>
        <v>64.3</v>
      </c>
    </row>
    <row r="650" spans="10:16">
      <c r="J650" s="5"/>
      <c r="L650">
        <f>TMTB!M650</f>
        <v>6.2756932000000001E-2</v>
      </c>
      <c r="M650">
        <f>TMTB!N650</f>
        <v>64.400000000000006</v>
      </c>
      <c r="O650">
        <f>ABS(L650-TMTB!$C$34)</f>
        <v>0.174799186234258</v>
      </c>
      <c r="P650">
        <f t="shared" si="11"/>
        <v>64.400000000000006</v>
      </c>
    </row>
    <row r="651" spans="10:16">
      <c r="J651" s="5"/>
      <c r="L651">
        <f>TMTB!M651</f>
        <v>6.2828184999999995E-2</v>
      </c>
      <c r="M651">
        <f>TMTB!N651</f>
        <v>64.5</v>
      </c>
      <c r="O651">
        <f>ABS(L651-TMTB!$C$34)</f>
        <v>0.17487043923425799</v>
      </c>
      <c r="P651">
        <f t="shared" si="11"/>
        <v>64.5</v>
      </c>
    </row>
    <row r="652" spans="10:16">
      <c r="J652" s="5"/>
      <c r="L652">
        <f>TMTB!M652</f>
        <v>6.2899438000000002E-2</v>
      </c>
      <c r="M652">
        <f>TMTB!N652</f>
        <v>64.599999999999994</v>
      </c>
      <c r="O652">
        <f>ABS(L652-TMTB!$C$34)</f>
        <v>0.17494169223425798</v>
      </c>
      <c r="P652">
        <f t="shared" si="11"/>
        <v>64.599999999999994</v>
      </c>
    </row>
    <row r="653" spans="10:16">
      <c r="J653" s="5"/>
      <c r="L653">
        <f>TMTB!M653</f>
        <v>6.3080883000000004E-2</v>
      </c>
      <c r="M653">
        <f>TMTB!N653</f>
        <v>64.7</v>
      </c>
      <c r="O653">
        <f>ABS(L653-TMTB!$C$34)</f>
        <v>0.17512313723425799</v>
      </c>
      <c r="P653">
        <f t="shared" si="11"/>
        <v>64.7</v>
      </c>
    </row>
    <row r="654" spans="10:16">
      <c r="J654" s="5"/>
      <c r="L654">
        <f>TMTB!M654</f>
        <v>6.3550871999999994E-2</v>
      </c>
      <c r="M654">
        <f>TMTB!N654</f>
        <v>64.8</v>
      </c>
      <c r="O654">
        <f>ABS(L654-TMTB!$C$34)</f>
        <v>0.17559312623425799</v>
      </c>
      <c r="P654">
        <f t="shared" si="11"/>
        <v>64.8</v>
      </c>
    </row>
    <row r="655" spans="10:16">
      <c r="J655" s="5"/>
      <c r="L655">
        <f>TMTB!M655</f>
        <v>6.4020860999999998E-2</v>
      </c>
      <c r="M655">
        <f>TMTB!N655</f>
        <v>64.900000000000006</v>
      </c>
      <c r="O655">
        <f>ABS(L655-TMTB!$C$34)</f>
        <v>0.17606311523425799</v>
      </c>
      <c r="P655">
        <f t="shared" si="11"/>
        <v>64.900000000000006</v>
      </c>
    </row>
    <row r="656" spans="10:16">
      <c r="J656" s="5"/>
      <c r="L656">
        <f>TMTB!M656</f>
        <v>6.6168150000000106E-2</v>
      </c>
      <c r="M656">
        <f>TMTB!N656</f>
        <v>65</v>
      </c>
      <c r="O656">
        <f>ABS(L656-TMTB!$C$34)</f>
        <v>0.1782104042342581</v>
      </c>
      <c r="P656">
        <f t="shared" si="11"/>
        <v>65</v>
      </c>
    </row>
    <row r="657" spans="10:16">
      <c r="J657" s="5"/>
      <c r="L657">
        <f>TMTB!M657</f>
        <v>7.0563021000000101E-2</v>
      </c>
      <c r="M657">
        <f>TMTB!N657</f>
        <v>65.099999999999994</v>
      </c>
      <c r="O657">
        <f>ABS(L657-TMTB!$C$34)</f>
        <v>0.1826052752342581</v>
      </c>
      <c r="P657">
        <f t="shared" si="11"/>
        <v>65.099999999999994</v>
      </c>
    </row>
    <row r="658" spans="10:16">
      <c r="J658" s="5"/>
      <c r="L658">
        <f>TMTB!M658</f>
        <v>7.4957892000000095E-2</v>
      </c>
      <c r="M658">
        <f>TMTB!N658</f>
        <v>65.2</v>
      </c>
      <c r="O658">
        <f>ABS(L658-TMTB!$C$34)</f>
        <v>0.18700014623425809</v>
      </c>
      <c r="P658">
        <f t="shared" si="11"/>
        <v>65.2</v>
      </c>
    </row>
    <row r="659" spans="10:16">
      <c r="J659" s="5"/>
      <c r="L659">
        <f>TMTB!M659</f>
        <v>8.0341779000000099E-2</v>
      </c>
      <c r="M659">
        <f>TMTB!N659</f>
        <v>65.3</v>
      </c>
      <c r="O659">
        <f>ABS(L659-TMTB!$C$34)</f>
        <v>0.19238403323425809</v>
      </c>
      <c r="P659">
        <f t="shared" si="11"/>
        <v>65.3</v>
      </c>
    </row>
    <row r="660" spans="10:16">
      <c r="J660" s="5"/>
      <c r="L660">
        <f>TMTB!M660</f>
        <v>8.6446722000000004E-2</v>
      </c>
      <c r="M660">
        <f>TMTB!N660</f>
        <v>65.400000000000006</v>
      </c>
      <c r="O660">
        <f>ABS(L660-TMTB!$C$34)</f>
        <v>0.19848897623425799</v>
      </c>
      <c r="P660">
        <f t="shared" si="11"/>
        <v>65.400000000000006</v>
      </c>
    </row>
    <row r="661" spans="10:16">
      <c r="J661" s="5"/>
      <c r="L661">
        <f>TMTB!M661</f>
        <v>9.2551665000000005E-2</v>
      </c>
      <c r="M661">
        <f>TMTB!N661</f>
        <v>65.5</v>
      </c>
      <c r="O661">
        <f>ABS(L661-TMTB!$C$34)</f>
        <v>0.20459391923425801</v>
      </c>
      <c r="P661">
        <f t="shared" si="11"/>
        <v>65.5</v>
      </c>
    </row>
    <row r="662" spans="10:16">
      <c r="J662" s="5"/>
      <c r="L662">
        <f>TMTB!M662</f>
        <v>0.101992032</v>
      </c>
      <c r="M662">
        <f>TMTB!N662</f>
        <v>65.599999999999994</v>
      </c>
      <c r="O662">
        <f>ABS(L662-TMTB!$C$34)</f>
        <v>0.21403428623425799</v>
      </c>
      <c r="P662">
        <f t="shared" si="11"/>
        <v>65.599999999999994</v>
      </c>
    </row>
    <row r="663" spans="10:16">
      <c r="J663" s="5"/>
      <c r="L663">
        <f>TMTB!M663</f>
        <v>0.11267015399999999</v>
      </c>
      <c r="M663">
        <f>TMTB!N663</f>
        <v>65.7</v>
      </c>
      <c r="O663">
        <f>ABS(L663-TMTB!$C$34)</f>
        <v>0.22471240823425798</v>
      </c>
      <c r="P663">
        <f t="shared" si="11"/>
        <v>65.7</v>
      </c>
    </row>
    <row r="664" spans="10:16">
      <c r="J664" s="5"/>
      <c r="L664">
        <f>TMTB!M664</f>
        <v>0.12334827600000001</v>
      </c>
      <c r="M664">
        <f>TMTB!N664</f>
        <v>65.8</v>
      </c>
      <c r="O664">
        <f>ABS(L664-TMTB!$C$34)</f>
        <v>0.23539053023425799</v>
      </c>
      <c r="P664">
        <f t="shared" si="11"/>
        <v>65.8</v>
      </c>
    </row>
    <row r="665" spans="10:16">
      <c r="J665" s="5"/>
      <c r="L665">
        <f>TMTB!M665</f>
        <v>0.12518096400000001</v>
      </c>
      <c r="M665">
        <f>TMTB!N665</f>
        <v>65.900000000000006</v>
      </c>
      <c r="O665">
        <f>ABS(L665-TMTB!$C$34)</f>
        <v>0.23722321823425802</v>
      </c>
      <c r="P665">
        <f t="shared" si="11"/>
        <v>65.900000000000006</v>
      </c>
    </row>
    <row r="666" spans="10:16">
      <c r="J666" s="5"/>
      <c r="L666">
        <f>TMTB!M666</f>
        <v>0.12581136000000001</v>
      </c>
      <c r="M666">
        <f>TMTB!N666</f>
        <v>66</v>
      </c>
      <c r="O666">
        <f>ABS(L666-TMTB!$C$34)</f>
        <v>0.23785361423425799</v>
      </c>
      <c r="P666">
        <f t="shared" si="11"/>
        <v>66</v>
      </c>
    </row>
    <row r="667" spans="10:16">
      <c r="J667" s="5"/>
      <c r="L667">
        <f>TMTB!M667</f>
        <v>0.12647024600000001</v>
      </c>
      <c r="M667">
        <f>TMTB!N667</f>
        <v>66.099999999999994</v>
      </c>
      <c r="O667">
        <f>ABS(L667-TMTB!$C$34)</f>
        <v>0.23851250023425802</v>
      </c>
      <c r="P667">
        <f t="shared" si="11"/>
        <v>66.099999999999994</v>
      </c>
    </row>
    <row r="668" spans="10:16">
      <c r="J668" s="5"/>
      <c r="L668">
        <f>TMTB!M668</f>
        <v>0.12800973199999999</v>
      </c>
      <c r="M668">
        <f>TMTB!N668</f>
        <v>66.2</v>
      </c>
      <c r="O668">
        <f>ABS(L668-TMTB!$C$34)</f>
        <v>0.240051986234258</v>
      </c>
      <c r="P668">
        <f t="shared" si="11"/>
        <v>66.2</v>
      </c>
    </row>
    <row r="669" spans="10:16">
      <c r="J669" s="5"/>
      <c r="L669">
        <f>TMTB!M669</f>
        <v>0.12954921799999999</v>
      </c>
      <c r="M669">
        <f>TMTB!N669</f>
        <v>66.3</v>
      </c>
      <c r="O669">
        <f>ABS(L669-TMTB!$C$34)</f>
        <v>0.24159147223425798</v>
      </c>
      <c r="P669">
        <f t="shared" si="11"/>
        <v>66.3</v>
      </c>
    </row>
    <row r="670" spans="10:16">
      <c r="J670" s="5"/>
      <c r="L670">
        <f>TMTB!M670</f>
        <v>0.13083046400000001</v>
      </c>
      <c r="M670">
        <f>TMTB!N670</f>
        <v>66.400000000000006</v>
      </c>
      <c r="O670">
        <f>ABS(L670-TMTB!$C$34)</f>
        <v>0.24287271823425799</v>
      </c>
      <c r="P670">
        <f t="shared" si="11"/>
        <v>66.400000000000006</v>
      </c>
    </row>
    <row r="671" spans="10:16">
      <c r="J671" s="5"/>
      <c r="L671">
        <f>TMTB!M671</f>
        <v>0.130953665</v>
      </c>
      <c r="M671">
        <f>TMTB!N671</f>
        <v>66.5</v>
      </c>
      <c r="O671">
        <f>ABS(L671-TMTB!$C$34)</f>
        <v>0.24299591923425801</v>
      </c>
      <c r="P671">
        <f t="shared" si="11"/>
        <v>66.5</v>
      </c>
    </row>
    <row r="672" spans="10:16">
      <c r="J672" s="5"/>
      <c r="L672">
        <f>TMTB!M672</f>
        <v>0.13107686599999999</v>
      </c>
      <c r="M672">
        <f>TMTB!N672</f>
        <v>66.599999999999994</v>
      </c>
      <c r="O672">
        <f>ABS(L672-TMTB!$C$34)</f>
        <v>0.24311912023425797</v>
      </c>
      <c r="P672">
        <f t="shared" si="11"/>
        <v>66.599999999999994</v>
      </c>
    </row>
    <row r="673" spans="10:16">
      <c r="J673" s="5"/>
      <c r="L673">
        <f>TMTB!M673</f>
        <v>0.131989466</v>
      </c>
      <c r="M673">
        <f>TMTB!N673</f>
        <v>66.7</v>
      </c>
      <c r="O673">
        <f>ABS(L673-TMTB!$C$34)</f>
        <v>0.24403172023425801</v>
      </c>
      <c r="P673">
        <f t="shared" si="11"/>
        <v>66.7</v>
      </c>
    </row>
    <row r="674" spans="10:16">
      <c r="J674" s="5"/>
      <c r="L674">
        <f>TMTB!M674</f>
        <v>0.13448086400000001</v>
      </c>
      <c r="M674">
        <f>TMTB!N674</f>
        <v>66.8</v>
      </c>
      <c r="O674">
        <f>ABS(L674-TMTB!$C$34)</f>
        <v>0.24652311823425799</v>
      </c>
      <c r="P674">
        <f t="shared" si="11"/>
        <v>66.8</v>
      </c>
    </row>
    <row r="675" spans="10:16">
      <c r="J675" s="5"/>
      <c r="L675">
        <f>TMTB!M675</f>
        <v>0.13697226200000001</v>
      </c>
      <c r="M675">
        <f>TMTB!N675</f>
        <v>66.900000000000006</v>
      </c>
      <c r="O675">
        <f>ABS(L675-TMTB!$C$34)</f>
        <v>0.24901451623425802</v>
      </c>
      <c r="P675">
        <f t="shared" si="11"/>
        <v>66.900000000000006</v>
      </c>
    </row>
    <row r="676" spans="10:16">
      <c r="J676" s="5"/>
      <c r="L676">
        <f>TMTB!M676</f>
        <v>0.13913964000000001</v>
      </c>
      <c r="M676">
        <f>TMTB!N676</f>
        <v>67</v>
      </c>
      <c r="O676">
        <f>ABS(L676-TMTB!$C$34)</f>
        <v>0.25118189423425802</v>
      </c>
      <c r="P676">
        <f t="shared" si="11"/>
        <v>67</v>
      </c>
    </row>
    <row r="677" spans="10:16">
      <c r="J677" s="5"/>
      <c r="L677">
        <f>TMTB!M677</f>
        <v>0.14096203199999999</v>
      </c>
      <c r="M677">
        <f>TMTB!N677</f>
        <v>67.099999999999994</v>
      </c>
      <c r="O677">
        <f>ABS(L677-TMTB!$C$34)</f>
        <v>0.25300428623425797</v>
      </c>
      <c r="P677">
        <f t="shared" si="11"/>
        <v>67.099999999999994</v>
      </c>
    </row>
    <row r="678" spans="10:16">
      <c r="J678" s="5"/>
      <c r="L678">
        <f>TMTB!M678</f>
        <v>0.14278442399999999</v>
      </c>
      <c r="M678">
        <f>TMTB!N678</f>
        <v>67.2</v>
      </c>
      <c r="O678">
        <f>ABS(L678-TMTB!$C$34)</f>
        <v>0.25482667823425798</v>
      </c>
      <c r="P678">
        <f t="shared" si="11"/>
        <v>67.2</v>
      </c>
    </row>
    <row r="679" spans="10:16">
      <c r="J679" s="5"/>
      <c r="L679">
        <f>TMTB!M679</f>
        <v>0.14553159700000001</v>
      </c>
      <c r="M679">
        <f>TMTB!N679</f>
        <v>67.3</v>
      </c>
      <c r="O679">
        <f>ABS(L679-TMTB!$C$34)</f>
        <v>0.25757385123425802</v>
      </c>
      <c r="P679">
        <f t="shared" si="11"/>
        <v>67.3</v>
      </c>
    </row>
    <row r="680" spans="10:16">
      <c r="J680" s="5"/>
      <c r="L680">
        <f>TMTB!M680</f>
        <v>0.14880958599999999</v>
      </c>
      <c r="M680">
        <f>TMTB!N680</f>
        <v>67.400000000000006</v>
      </c>
      <c r="O680">
        <f>ABS(L680-TMTB!$C$34)</f>
        <v>0.260851840234258</v>
      </c>
      <c r="P680">
        <f t="shared" si="11"/>
        <v>67.400000000000006</v>
      </c>
    </row>
    <row r="681" spans="10:16">
      <c r="J681" s="5"/>
      <c r="L681">
        <f>TMTB!M681</f>
        <v>0.152087575</v>
      </c>
      <c r="M681">
        <f>TMTB!N681</f>
        <v>67.5</v>
      </c>
      <c r="O681">
        <f>ABS(L681-TMTB!$C$34)</f>
        <v>0.26412982923425798</v>
      </c>
      <c r="P681">
        <f t="shared" si="11"/>
        <v>67.5</v>
      </c>
    </row>
    <row r="682" spans="10:16">
      <c r="J682" s="5"/>
      <c r="L682">
        <f>TMTB!M682</f>
        <v>0.15700334799999999</v>
      </c>
      <c r="M682">
        <f>TMTB!N682</f>
        <v>67.599999999999994</v>
      </c>
      <c r="O682">
        <f>ABS(L682-TMTB!$C$34)</f>
        <v>0.269045602234258</v>
      </c>
      <c r="P682">
        <f t="shared" si="11"/>
        <v>67.599999999999994</v>
      </c>
    </row>
    <row r="683" spans="10:16">
      <c r="J683" s="5"/>
      <c r="L683">
        <f>TMTB!M683</f>
        <v>0.162364171</v>
      </c>
      <c r="M683">
        <f>TMTB!N683</f>
        <v>67.7</v>
      </c>
      <c r="O683">
        <f>ABS(L683-TMTB!$C$34)</f>
        <v>0.27440642523425801</v>
      </c>
      <c r="P683">
        <f t="shared" si="11"/>
        <v>67.7</v>
      </c>
    </row>
    <row r="684" spans="10:16">
      <c r="J684" s="5"/>
      <c r="L684">
        <f>TMTB!M684</f>
        <v>0.16772499399999999</v>
      </c>
      <c r="M684">
        <f>TMTB!N684</f>
        <v>67.8</v>
      </c>
      <c r="O684">
        <f>ABS(L684-TMTB!$C$34)</f>
        <v>0.27976724823425797</v>
      </c>
      <c r="P684">
        <f t="shared" si="11"/>
        <v>67.8</v>
      </c>
    </row>
    <row r="685" spans="10:16">
      <c r="J685" s="5"/>
      <c r="L685">
        <f>TMTB!M685</f>
        <v>0.16806099999999999</v>
      </c>
      <c r="M685">
        <f>TMTB!N685</f>
        <v>67.900000000000006</v>
      </c>
      <c r="O685">
        <f>ABS(L685-TMTB!$C$34)</f>
        <v>0.28010325423425797</v>
      </c>
      <c r="P685">
        <f t="shared" si="11"/>
        <v>67.900000000000006</v>
      </c>
    </row>
    <row r="686" spans="10:16">
      <c r="J686" s="5"/>
      <c r="L686">
        <f>TMTB!M686</f>
        <v>0.16806099999999999</v>
      </c>
      <c r="M686">
        <f>TMTB!N686</f>
        <v>68</v>
      </c>
      <c r="O686">
        <f>ABS(L686-TMTB!$C$34)</f>
        <v>0.28010325423425797</v>
      </c>
      <c r="P686">
        <f t="shared" si="11"/>
        <v>68</v>
      </c>
    </row>
    <row r="687" spans="10:16">
      <c r="J687" s="5"/>
      <c r="L687">
        <f>TMTB!M687</f>
        <v>0.168239684</v>
      </c>
      <c r="M687">
        <f>TMTB!N687</f>
        <v>68.099999999999994</v>
      </c>
      <c r="O687">
        <f>ABS(L687-TMTB!$C$34)</f>
        <v>0.28028193823425801</v>
      </c>
      <c r="P687">
        <f t="shared" si="11"/>
        <v>68.099999999999994</v>
      </c>
    </row>
    <row r="688" spans="10:16">
      <c r="J688" s="5"/>
      <c r="L688">
        <f>TMTB!M688</f>
        <v>0.17026284799999999</v>
      </c>
      <c r="M688">
        <f>TMTB!N688</f>
        <v>68.2</v>
      </c>
      <c r="O688">
        <f>ABS(L688-TMTB!$C$34)</f>
        <v>0.28230510223425798</v>
      </c>
      <c r="P688">
        <f t="shared" si="11"/>
        <v>68.2</v>
      </c>
    </row>
    <row r="689" spans="10:16">
      <c r="J689" s="5"/>
      <c r="L689">
        <f>TMTB!M689</f>
        <v>0.17228601199999999</v>
      </c>
      <c r="M689">
        <f>TMTB!N689</f>
        <v>68.3</v>
      </c>
      <c r="O689">
        <f>ABS(L689-TMTB!$C$34)</f>
        <v>0.284328266234258</v>
      </c>
      <c r="P689">
        <f t="shared" si="11"/>
        <v>68.3</v>
      </c>
    </row>
    <row r="690" spans="10:16">
      <c r="J690" s="5"/>
      <c r="L690">
        <f>TMTB!M690</f>
        <v>0.17465895200000001</v>
      </c>
      <c r="M690">
        <f>TMTB!N690</f>
        <v>68.400000000000006</v>
      </c>
      <c r="O690">
        <f>ABS(L690-TMTB!$C$34)</f>
        <v>0.28670120623425799</v>
      </c>
      <c r="P690">
        <f t="shared" si="11"/>
        <v>68.400000000000006</v>
      </c>
    </row>
    <row r="691" spans="10:16">
      <c r="J691" s="5"/>
      <c r="L691">
        <f>TMTB!M691</f>
        <v>0.17814368</v>
      </c>
      <c r="M691">
        <f>TMTB!N691</f>
        <v>68.5</v>
      </c>
      <c r="O691">
        <f>ABS(L691-TMTB!$C$34)</f>
        <v>0.29018593423425798</v>
      </c>
      <c r="P691">
        <f t="shared" si="11"/>
        <v>68.5</v>
      </c>
    </row>
    <row r="692" spans="10:16">
      <c r="J692" s="5"/>
      <c r="L692">
        <f>TMTB!M692</f>
        <v>0.18162840799999999</v>
      </c>
      <c r="M692">
        <f>TMTB!N692</f>
        <v>68.599999999999994</v>
      </c>
      <c r="O692">
        <f>ABS(L692-TMTB!$C$34)</f>
        <v>0.29367066223425797</v>
      </c>
      <c r="P692">
        <f t="shared" si="11"/>
        <v>68.599999999999994</v>
      </c>
    </row>
    <row r="693" spans="10:16">
      <c r="J693" s="5"/>
      <c r="L693">
        <f>TMTB!M693</f>
        <v>0.183815335</v>
      </c>
      <c r="M693">
        <f>TMTB!N693</f>
        <v>68.7</v>
      </c>
      <c r="O693">
        <f>ABS(L693-TMTB!$C$34)</f>
        <v>0.29585758923425798</v>
      </c>
      <c r="P693">
        <f t="shared" si="11"/>
        <v>68.7</v>
      </c>
    </row>
    <row r="694" spans="10:16">
      <c r="J694" s="5"/>
      <c r="L694">
        <f>TMTB!M694</f>
        <v>0.18397504000000001</v>
      </c>
      <c r="M694">
        <f>TMTB!N694</f>
        <v>68.8</v>
      </c>
      <c r="O694">
        <f>ABS(L694-TMTB!$C$34)</f>
        <v>0.29601729423425799</v>
      </c>
      <c r="P694">
        <f t="shared" si="11"/>
        <v>68.8</v>
      </c>
    </row>
    <row r="695" spans="10:16">
      <c r="J695" s="5"/>
      <c r="L695">
        <f>TMTB!M695</f>
        <v>0.18413474499999999</v>
      </c>
      <c r="M695">
        <f>TMTB!N695</f>
        <v>68.900000000000006</v>
      </c>
      <c r="O695">
        <f>ABS(L695-TMTB!$C$34)</f>
        <v>0.296176999234258</v>
      </c>
      <c r="P695">
        <f t="shared" si="11"/>
        <v>68.900000000000006</v>
      </c>
    </row>
    <row r="696" spans="10:16">
      <c r="J696" s="5"/>
      <c r="L696">
        <f>TMTB!M696</f>
        <v>0.18571831</v>
      </c>
      <c r="M696">
        <f>TMTB!N696</f>
        <v>69</v>
      </c>
      <c r="O696">
        <f>ABS(L696-TMTB!$C$34)</f>
        <v>0.29776056423425801</v>
      </c>
      <c r="P696">
        <f t="shared" si="11"/>
        <v>69</v>
      </c>
    </row>
    <row r="697" spans="10:16">
      <c r="J697" s="5"/>
      <c r="L697">
        <f>TMTB!M697</f>
        <v>0.18850840899999999</v>
      </c>
      <c r="M697">
        <f>TMTB!N697</f>
        <v>69.099999999999994</v>
      </c>
      <c r="O697">
        <f>ABS(L697-TMTB!$C$34)</f>
        <v>0.300550663234258</v>
      </c>
      <c r="P697">
        <f t="shared" si="11"/>
        <v>69.099999999999994</v>
      </c>
    </row>
    <row r="698" spans="10:16">
      <c r="J698" s="5"/>
      <c r="L698">
        <f>TMTB!M698</f>
        <v>0.19129850800000001</v>
      </c>
      <c r="M698">
        <f>TMTB!N698</f>
        <v>69.2</v>
      </c>
      <c r="O698">
        <f>ABS(L698-TMTB!$C$34)</f>
        <v>0.30334076223425799</v>
      </c>
      <c r="P698">
        <f t="shared" si="11"/>
        <v>69.2</v>
      </c>
    </row>
    <row r="699" spans="10:16">
      <c r="J699" s="5"/>
      <c r="L699">
        <f>TMTB!M699</f>
        <v>0.19311271899999999</v>
      </c>
      <c r="M699">
        <f>TMTB!N699</f>
        <v>69.3</v>
      </c>
      <c r="O699">
        <f>ABS(L699-TMTB!$C$34)</f>
        <v>0.305154973234258</v>
      </c>
      <c r="P699">
        <f t="shared" si="11"/>
        <v>69.3</v>
      </c>
    </row>
    <row r="700" spans="10:16">
      <c r="J700" s="5"/>
      <c r="L700">
        <f>TMTB!M700</f>
        <v>0.194493202</v>
      </c>
      <c r="M700">
        <f>TMTB!N700</f>
        <v>69.400000000000006</v>
      </c>
      <c r="O700">
        <f>ABS(L700-TMTB!$C$34)</f>
        <v>0.30653545623425799</v>
      </c>
      <c r="P700">
        <f t="shared" si="11"/>
        <v>69.400000000000006</v>
      </c>
    </row>
    <row r="701" spans="10:16">
      <c r="J701" s="5"/>
      <c r="L701">
        <f>TMTB!M701</f>
        <v>0.19587368499999999</v>
      </c>
      <c r="M701">
        <f>TMTB!N701</f>
        <v>69.5</v>
      </c>
      <c r="O701">
        <f>ABS(L701-TMTB!$C$34)</f>
        <v>0.30791593923425797</v>
      </c>
      <c r="P701">
        <f t="shared" si="11"/>
        <v>69.5</v>
      </c>
    </row>
    <row r="702" spans="10:16">
      <c r="J702" s="5"/>
      <c r="L702">
        <f>TMTB!M702</f>
        <v>0.19764311200000001</v>
      </c>
      <c r="M702">
        <f>TMTB!N702</f>
        <v>69.599999999999994</v>
      </c>
      <c r="O702">
        <f>ABS(L702-TMTB!$C$34)</f>
        <v>0.30968536623425802</v>
      </c>
      <c r="P702">
        <f t="shared" si="11"/>
        <v>69.599999999999994</v>
      </c>
    </row>
    <row r="703" spans="10:16">
      <c r="J703" s="5"/>
      <c r="L703">
        <f>TMTB!M703</f>
        <v>0.19948480900000001</v>
      </c>
      <c r="M703">
        <f>TMTB!N703</f>
        <v>69.7</v>
      </c>
      <c r="O703">
        <f>ABS(L703-TMTB!$C$34)</f>
        <v>0.31152706323425799</v>
      </c>
      <c r="P703">
        <f t="shared" si="11"/>
        <v>69.7</v>
      </c>
    </row>
    <row r="704" spans="10:16">
      <c r="J704" s="5"/>
      <c r="L704">
        <f>TMTB!M704</f>
        <v>0.20132650599999999</v>
      </c>
      <c r="M704">
        <f>TMTB!N704</f>
        <v>69.8</v>
      </c>
      <c r="O704">
        <f>ABS(L704-TMTB!$C$34)</f>
        <v>0.31336876023425797</v>
      </c>
      <c r="P704">
        <f t="shared" si="11"/>
        <v>69.8</v>
      </c>
    </row>
    <row r="705" spans="10:16">
      <c r="J705" s="5"/>
      <c r="L705">
        <f>TMTB!M705</f>
        <v>0.20400301100000001</v>
      </c>
      <c r="M705">
        <f>TMTB!N705</f>
        <v>69.900000000000006</v>
      </c>
      <c r="O705">
        <f>ABS(L705-TMTB!$C$34)</f>
        <v>0.31604526523425802</v>
      </c>
      <c r="P705">
        <f t="shared" si="11"/>
        <v>69.900000000000006</v>
      </c>
    </row>
    <row r="706" spans="10:16">
      <c r="J706" s="5"/>
      <c r="L706">
        <f>TMTB!M706</f>
        <v>0.20668429999999999</v>
      </c>
      <c r="M706">
        <f>TMTB!N706</f>
        <v>70</v>
      </c>
      <c r="O706">
        <f>ABS(L706-TMTB!$C$34)</f>
        <v>0.318726554234258</v>
      </c>
      <c r="P706">
        <f t="shared" si="11"/>
        <v>70</v>
      </c>
    </row>
    <row r="707" spans="10:16">
      <c r="J707" s="5"/>
      <c r="L707">
        <f>TMTB!M707</f>
        <v>0.209026133</v>
      </c>
      <c r="M707">
        <f>TMTB!N707</f>
        <v>70.099999999999994</v>
      </c>
      <c r="O707">
        <f>ABS(L707-TMTB!$C$34)</f>
        <v>0.32106838723425801</v>
      </c>
      <c r="P707">
        <f t="shared" si="11"/>
        <v>70.099999999999994</v>
      </c>
    </row>
    <row r="708" spans="10:16">
      <c r="J708" s="5"/>
      <c r="L708">
        <f>TMTB!M708</f>
        <v>0.209371166</v>
      </c>
      <c r="M708">
        <f>TMTB!N708</f>
        <v>70.2</v>
      </c>
      <c r="O708">
        <f>ABS(L708-TMTB!$C$34)</f>
        <v>0.32141342023425801</v>
      </c>
      <c r="P708">
        <f t="shared" si="11"/>
        <v>70.2</v>
      </c>
    </row>
    <row r="709" spans="10:16">
      <c r="J709" s="5"/>
      <c r="L709">
        <f>TMTB!M709</f>
        <v>0.20971619899999999</v>
      </c>
      <c r="M709">
        <f>TMTB!N709</f>
        <v>70.3</v>
      </c>
      <c r="O709">
        <f>ABS(L709-TMTB!$C$34)</f>
        <v>0.321758453234258</v>
      </c>
      <c r="P709">
        <f t="shared" si="11"/>
        <v>70.3</v>
      </c>
    </row>
    <row r="710" spans="10:16">
      <c r="J710" s="5"/>
      <c r="L710">
        <f>TMTB!M710</f>
        <v>0.211149384</v>
      </c>
      <c r="M710">
        <f>TMTB!N710</f>
        <v>70.400000000000006</v>
      </c>
      <c r="O710">
        <f>ABS(L710-TMTB!$C$34)</f>
        <v>0.32319163823425801</v>
      </c>
      <c r="P710">
        <f t="shared" si="11"/>
        <v>70.400000000000006</v>
      </c>
    </row>
    <row r="711" spans="10:16">
      <c r="J711" s="5"/>
      <c r="L711">
        <f>TMTB!M711</f>
        <v>0.21516693000000001</v>
      </c>
      <c r="M711">
        <f>TMTB!N711</f>
        <v>70.5</v>
      </c>
      <c r="O711">
        <f>ABS(L711-TMTB!$C$34)</f>
        <v>0.32720918423425799</v>
      </c>
      <c r="P711">
        <f t="shared" ref="P711:P774" si="12">M711</f>
        <v>70.5</v>
      </c>
    </row>
    <row r="712" spans="10:16">
      <c r="J712" s="5"/>
      <c r="L712">
        <f>TMTB!M712</f>
        <v>0.21918447599999999</v>
      </c>
      <c r="M712">
        <f>TMTB!N712</f>
        <v>70.599999999999994</v>
      </c>
      <c r="O712">
        <f>ABS(L712-TMTB!$C$34)</f>
        <v>0.33122673023425797</v>
      </c>
      <c r="P712">
        <f t="shared" si="12"/>
        <v>70.599999999999994</v>
      </c>
    </row>
    <row r="713" spans="10:16">
      <c r="J713" s="5"/>
      <c r="L713">
        <f>TMTB!M713</f>
        <v>0.224379208</v>
      </c>
      <c r="M713">
        <f>TMTB!N713</f>
        <v>70.7</v>
      </c>
      <c r="O713">
        <f>ABS(L713-TMTB!$C$34)</f>
        <v>0.33642146223425801</v>
      </c>
      <c r="P713">
        <f t="shared" si="12"/>
        <v>70.7</v>
      </c>
    </row>
    <row r="714" spans="10:16">
      <c r="J714" s="5"/>
      <c r="L714">
        <f>TMTB!M714</f>
        <v>0.231028552</v>
      </c>
      <c r="M714">
        <f>TMTB!N714</f>
        <v>70.8</v>
      </c>
      <c r="O714">
        <f>ABS(L714-TMTB!$C$34)</f>
        <v>0.34307080623425801</v>
      </c>
      <c r="P714">
        <f t="shared" si="12"/>
        <v>70.8</v>
      </c>
    </row>
    <row r="715" spans="10:16">
      <c r="J715" s="5"/>
      <c r="L715">
        <f>TMTB!M715</f>
        <v>0.237677896</v>
      </c>
      <c r="M715">
        <f>TMTB!N715</f>
        <v>70.900000000000006</v>
      </c>
      <c r="O715">
        <f>ABS(L715-TMTB!$C$34)</f>
        <v>0.34972015023425801</v>
      </c>
      <c r="P715">
        <f t="shared" si="12"/>
        <v>70.900000000000006</v>
      </c>
    </row>
    <row r="716" spans="10:16">
      <c r="J716" s="5"/>
      <c r="L716">
        <f>TMTB!M716</f>
        <v>0.24034900000000001</v>
      </c>
      <c r="M716">
        <f>TMTB!N716</f>
        <v>71</v>
      </c>
      <c r="O716">
        <f>ABS(L716-TMTB!$C$34)</f>
        <v>0.35239125423425799</v>
      </c>
      <c r="P716">
        <f t="shared" si="12"/>
        <v>71</v>
      </c>
    </row>
    <row r="717" spans="10:16">
      <c r="J717" s="5"/>
      <c r="L717">
        <f>TMTB!M717</f>
        <v>0.24034900000000001</v>
      </c>
      <c r="M717">
        <f>TMTB!N717</f>
        <v>71.099999999999994</v>
      </c>
      <c r="O717">
        <f>ABS(L717-TMTB!$C$34)</f>
        <v>0.35239125423425799</v>
      </c>
      <c r="P717">
        <f t="shared" si="12"/>
        <v>71.099999999999994</v>
      </c>
    </row>
    <row r="718" spans="10:16">
      <c r="J718" s="5"/>
      <c r="L718">
        <f>TMTB!M718</f>
        <v>0.24034900000000001</v>
      </c>
      <c r="M718">
        <f>TMTB!N718</f>
        <v>71.2</v>
      </c>
      <c r="O718">
        <f>ABS(L718-TMTB!$C$34)</f>
        <v>0.35239125423425799</v>
      </c>
      <c r="P718">
        <f t="shared" si="12"/>
        <v>71.2</v>
      </c>
    </row>
    <row r="719" spans="10:16">
      <c r="J719" s="5"/>
      <c r="L719">
        <f>TMTB!M719</f>
        <v>0.24240276699999999</v>
      </c>
      <c r="M719">
        <f>TMTB!N719</f>
        <v>71.3</v>
      </c>
      <c r="O719">
        <f>ABS(L719-TMTB!$C$34)</f>
        <v>0.35444502123425797</v>
      </c>
      <c r="P719">
        <f t="shared" si="12"/>
        <v>71.3</v>
      </c>
    </row>
    <row r="720" spans="10:16">
      <c r="J720" s="5"/>
      <c r="L720">
        <f>TMTB!M720</f>
        <v>0.24514372600000001</v>
      </c>
      <c r="M720">
        <f>TMTB!N720</f>
        <v>71.400000000000006</v>
      </c>
      <c r="O720">
        <f>ABS(L720-TMTB!$C$34)</f>
        <v>0.35718598023425802</v>
      </c>
      <c r="P720">
        <f t="shared" si="12"/>
        <v>71.400000000000006</v>
      </c>
    </row>
    <row r="721" spans="10:16">
      <c r="J721" s="5"/>
      <c r="L721">
        <f>TMTB!M721</f>
        <v>0.24788468499999999</v>
      </c>
      <c r="M721">
        <f>TMTB!N721</f>
        <v>71.5</v>
      </c>
      <c r="O721">
        <f>ABS(L721-TMTB!$C$34)</f>
        <v>0.359926939234258</v>
      </c>
      <c r="P721">
        <f t="shared" si="12"/>
        <v>71.5</v>
      </c>
    </row>
    <row r="722" spans="10:16">
      <c r="J722" s="5"/>
      <c r="L722">
        <f>TMTB!M722</f>
        <v>0.25182928799999998</v>
      </c>
      <c r="M722">
        <f>TMTB!N722</f>
        <v>71.599999999999994</v>
      </c>
      <c r="O722">
        <f>ABS(L722-TMTB!$C$34)</f>
        <v>0.36387154223425799</v>
      </c>
      <c r="P722">
        <f t="shared" si="12"/>
        <v>71.599999999999994</v>
      </c>
    </row>
    <row r="723" spans="10:16">
      <c r="J723" s="5"/>
      <c r="L723">
        <f>TMTB!M723</f>
        <v>0.255907206</v>
      </c>
      <c r="M723">
        <f>TMTB!N723</f>
        <v>71.7</v>
      </c>
      <c r="O723">
        <f>ABS(L723-TMTB!$C$34)</f>
        <v>0.36794946023425801</v>
      </c>
      <c r="P723">
        <f t="shared" si="12"/>
        <v>71.7</v>
      </c>
    </row>
    <row r="724" spans="10:16">
      <c r="J724" s="5"/>
      <c r="L724">
        <f>TMTB!M724</f>
        <v>0.259959726</v>
      </c>
      <c r="M724">
        <f>TMTB!N724</f>
        <v>71.8</v>
      </c>
      <c r="O724">
        <f>ABS(L724-TMTB!$C$34)</f>
        <v>0.37200198023425801</v>
      </c>
      <c r="P724">
        <f t="shared" si="12"/>
        <v>71.8</v>
      </c>
    </row>
    <row r="725" spans="10:16">
      <c r="J725" s="5"/>
      <c r="L725">
        <f>TMTB!M725</f>
        <v>0.26354238299999999</v>
      </c>
      <c r="M725">
        <f>TMTB!N725</f>
        <v>71.900000000000006</v>
      </c>
      <c r="O725">
        <f>ABS(L725-TMTB!$C$34)</f>
        <v>0.375584637234258</v>
      </c>
      <c r="P725">
        <f t="shared" si="12"/>
        <v>71.900000000000006</v>
      </c>
    </row>
    <row r="726" spans="10:16">
      <c r="J726" s="5"/>
      <c r="L726">
        <f>TMTB!M726</f>
        <v>0.26712503999999998</v>
      </c>
      <c r="M726">
        <f>TMTB!N726</f>
        <v>72</v>
      </c>
      <c r="O726">
        <f>ABS(L726-TMTB!$C$34)</f>
        <v>0.37916729423425799</v>
      </c>
      <c r="P726">
        <f t="shared" si="12"/>
        <v>72</v>
      </c>
    </row>
    <row r="727" spans="10:16">
      <c r="J727" s="5"/>
      <c r="L727">
        <f>TMTB!M727</f>
        <v>0.27101974200000001</v>
      </c>
      <c r="M727">
        <f>TMTB!N727</f>
        <v>72.099999999999994</v>
      </c>
      <c r="O727">
        <f>ABS(L727-TMTB!$C$34)</f>
        <v>0.38306199623425802</v>
      </c>
      <c r="P727">
        <f t="shared" si="12"/>
        <v>72.099999999999994</v>
      </c>
    </row>
    <row r="728" spans="10:16">
      <c r="J728" s="5"/>
      <c r="L728">
        <f>TMTB!M728</f>
        <v>0.27614504400000001</v>
      </c>
      <c r="M728">
        <f>TMTB!N728</f>
        <v>72.2</v>
      </c>
      <c r="O728">
        <f>ABS(L728-TMTB!$C$34)</f>
        <v>0.38818729823425802</v>
      </c>
      <c r="P728">
        <f t="shared" si="12"/>
        <v>72.2</v>
      </c>
    </row>
    <row r="729" spans="10:16">
      <c r="J729" s="5"/>
      <c r="L729">
        <f>TMTB!M729</f>
        <v>0.281270346</v>
      </c>
      <c r="M729">
        <f>TMTB!N729</f>
        <v>72.3</v>
      </c>
      <c r="O729">
        <f>ABS(L729-TMTB!$C$34)</f>
        <v>0.39331260023425801</v>
      </c>
      <c r="P729">
        <f t="shared" si="12"/>
        <v>72.3</v>
      </c>
    </row>
    <row r="730" spans="10:16">
      <c r="J730" s="5"/>
      <c r="L730">
        <f>TMTB!M730</f>
        <v>0.28540972399999998</v>
      </c>
      <c r="M730">
        <f>TMTB!N730</f>
        <v>72.400000000000006</v>
      </c>
      <c r="O730">
        <f>ABS(L730-TMTB!$C$34)</f>
        <v>0.39745197823425799</v>
      </c>
      <c r="P730">
        <f t="shared" si="12"/>
        <v>72.400000000000006</v>
      </c>
    </row>
    <row r="731" spans="10:16">
      <c r="J731" s="5"/>
      <c r="L731">
        <f>TMTB!M731</f>
        <v>0.28774422500000002</v>
      </c>
      <c r="M731">
        <f>TMTB!N731</f>
        <v>72.5</v>
      </c>
      <c r="O731">
        <f>ABS(L731-TMTB!$C$34)</f>
        <v>0.39978647923425803</v>
      </c>
      <c r="P731">
        <f t="shared" si="12"/>
        <v>72.5</v>
      </c>
    </row>
    <row r="732" spans="10:16">
      <c r="J732" s="5"/>
      <c r="L732">
        <f>TMTB!M732</f>
        <v>0.29007872600000001</v>
      </c>
      <c r="M732">
        <f>TMTB!N732</f>
        <v>72.599999999999994</v>
      </c>
      <c r="O732">
        <f>ABS(L732-TMTB!$C$34)</f>
        <v>0.40212098023425802</v>
      </c>
      <c r="P732">
        <f t="shared" si="12"/>
        <v>72.599999999999994</v>
      </c>
    </row>
    <row r="733" spans="10:16">
      <c r="J733" s="5"/>
      <c r="L733">
        <f>TMTB!M733</f>
        <v>0.29475263600000001</v>
      </c>
      <c r="M733">
        <f>TMTB!N733</f>
        <v>72.7</v>
      </c>
      <c r="O733">
        <f>ABS(L733-TMTB!$C$34)</f>
        <v>0.40679489023425802</v>
      </c>
      <c r="P733">
        <f t="shared" si="12"/>
        <v>72.7</v>
      </c>
    </row>
    <row r="734" spans="10:16">
      <c r="J734" s="5"/>
      <c r="L734">
        <f>TMTB!M734</f>
        <v>0.301726304</v>
      </c>
      <c r="M734">
        <f>TMTB!N734</f>
        <v>72.8</v>
      </c>
      <c r="O734">
        <f>ABS(L734-TMTB!$C$34)</f>
        <v>0.41376855823425801</v>
      </c>
      <c r="P734">
        <f t="shared" si="12"/>
        <v>72.8</v>
      </c>
    </row>
    <row r="735" spans="10:16">
      <c r="J735" s="5"/>
      <c r="L735">
        <f>TMTB!M735</f>
        <v>0.30869997199999999</v>
      </c>
      <c r="M735">
        <f>TMTB!N735</f>
        <v>72.900000000000006</v>
      </c>
      <c r="O735">
        <f>ABS(L735-TMTB!$C$34)</f>
        <v>0.420742226234258</v>
      </c>
      <c r="P735">
        <f t="shared" si="12"/>
        <v>72.900000000000006</v>
      </c>
    </row>
    <row r="736" spans="10:16">
      <c r="J736" s="5"/>
      <c r="L736">
        <f>TMTB!M736</f>
        <v>0.31219143999999999</v>
      </c>
      <c r="M736">
        <f>TMTB!N736</f>
        <v>73</v>
      </c>
      <c r="O736">
        <f>ABS(L736-TMTB!$C$34)</f>
        <v>0.424233694234258</v>
      </c>
      <c r="P736">
        <f t="shared" si="12"/>
        <v>73</v>
      </c>
    </row>
    <row r="737" spans="10:16">
      <c r="J737" s="5"/>
      <c r="L737">
        <f>TMTB!M737</f>
        <v>0.31385096800000001</v>
      </c>
      <c r="M737">
        <f>TMTB!N737</f>
        <v>73.099999999999994</v>
      </c>
      <c r="O737">
        <f>ABS(L737-TMTB!$C$34)</f>
        <v>0.42589322223425802</v>
      </c>
      <c r="P737">
        <f t="shared" si="12"/>
        <v>73.099999999999994</v>
      </c>
    </row>
    <row r="738" spans="10:16">
      <c r="J738" s="5"/>
      <c r="L738">
        <f>TMTB!M738</f>
        <v>0.31551049599999997</v>
      </c>
      <c r="M738">
        <f>TMTB!N738</f>
        <v>73.2</v>
      </c>
      <c r="O738">
        <f>ABS(L738-TMTB!$C$34)</f>
        <v>0.42755275023425798</v>
      </c>
      <c r="P738">
        <f t="shared" si="12"/>
        <v>73.2</v>
      </c>
    </row>
    <row r="739" spans="10:16">
      <c r="J739" s="5"/>
      <c r="L739">
        <f>TMTB!M739</f>
        <v>0.31625282100000002</v>
      </c>
      <c r="M739">
        <f>TMTB!N739</f>
        <v>73.3</v>
      </c>
      <c r="O739">
        <f>ABS(L739-TMTB!$C$34)</f>
        <v>0.42829507523425803</v>
      </c>
      <c r="P739">
        <f t="shared" si="12"/>
        <v>73.3</v>
      </c>
    </row>
    <row r="740" spans="10:16">
      <c r="J740" s="5"/>
      <c r="L740">
        <f>TMTB!M740</f>
        <v>0.31677475799999999</v>
      </c>
      <c r="M740">
        <f>TMTB!N740</f>
        <v>73.400000000000006</v>
      </c>
      <c r="O740">
        <f>ABS(L740-TMTB!$C$34)</f>
        <v>0.428817012234258</v>
      </c>
      <c r="P740">
        <f t="shared" si="12"/>
        <v>73.400000000000006</v>
      </c>
    </row>
    <row r="741" spans="10:16">
      <c r="J741" s="5"/>
      <c r="L741">
        <f>TMTB!M741</f>
        <v>0.31729669500000002</v>
      </c>
      <c r="M741">
        <f>TMTB!N741</f>
        <v>73.5</v>
      </c>
      <c r="O741">
        <f>ABS(L741-TMTB!$C$34)</f>
        <v>0.42933894923425803</v>
      </c>
      <c r="P741">
        <f t="shared" si="12"/>
        <v>73.5</v>
      </c>
    </row>
    <row r="742" spans="10:16">
      <c r="J742" s="5"/>
      <c r="L742">
        <f>TMTB!M742</f>
        <v>0.32292717599999998</v>
      </c>
      <c r="M742">
        <f>TMTB!N742</f>
        <v>73.599999999999994</v>
      </c>
      <c r="O742">
        <f>ABS(L742-TMTB!$C$34)</f>
        <v>0.43496943023425799</v>
      </c>
      <c r="P742">
        <f t="shared" si="12"/>
        <v>73.599999999999994</v>
      </c>
    </row>
    <row r="743" spans="10:16">
      <c r="J743" s="5"/>
      <c r="L743">
        <f>TMTB!M743</f>
        <v>0.32878571699999998</v>
      </c>
      <c r="M743">
        <f>TMTB!N743</f>
        <v>73.7</v>
      </c>
      <c r="O743">
        <f>ABS(L743-TMTB!$C$34)</f>
        <v>0.44082797123425799</v>
      </c>
      <c r="P743">
        <f t="shared" si="12"/>
        <v>73.7</v>
      </c>
    </row>
    <row r="744" spans="10:16">
      <c r="J744" s="5"/>
      <c r="L744">
        <f>TMTB!M744</f>
        <v>0.334228462</v>
      </c>
      <c r="M744">
        <f>TMTB!N744</f>
        <v>73.8</v>
      </c>
      <c r="O744">
        <f>ABS(L744-TMTB!$C$34)</f>
        <v>0.44627071623425801</v>
      </c>
      <c r="P744">
        <f t="shared" si="12"/>
        <v>73.8</v>
      </c>
    </row>
    <row r="745" spans="10:16">
      <c r="J745" s="5"/>
      <c r="L745">
        <f>TMTB!M745</f>
        <v>0.33624636099999999</v>
      </c>
      <c r="M745">
        <f>TMTB!N745</f>
        <v>73.900000000000006</v>
      </c>
      <c r="O745">
        <f>ABS(L745-TMTB!$C$34)</f>
        <v>0.448288615234258</v>
      </c>
      <c r="P745">
        <f t="shared" si="12"/>
        <v>73.900000000000006</v>
      </c>
    </row>
    <row r="746" spans="10:16">
      <c r="J746" s="5"/>
      <c r="L746">
        <f>TMTB!M746</f>
        <v>0.33826425999999998</v>
      </c>
      <c r="M746">
        <f>TMTB!N746</f>
        <v>74</v>
      </c>
      <c r="O746">
        <f>ABS(L746-TMTB!$C$34)</f>
        <v>0.45030651423425799</v>
      </c>
      <c r="P746">
        <f t="shared" si="12"/>
        <v>74</v>
      </c>
    </row>
    <row r="747" spans="10:16">
      <c r="J747" s="5"/>
      <c r="L747">
        <f>TMTB!M747</f>
        <v>0.33995337599999997</v>
      </c>
      <c r="M747">
        <f>TMTB!N747</f>
        <v>74.099999999999994</v>
      </c>
      <c r="O747">
        <f>ABS(L747-TMTB!$C$34)</f>
        <v>0.45199563023425798</v>
      </c>
      <c r="P747">
        <f t="shared" si="12"/>
        <v>74.099999999999994</v>
      </c>
    </row>
    <row r="748" spans="10:16">
      <c r="J748" s="5"/>
      <c r="L748">
        <f>TMTB!M748</f>
        <v>0.34070311199999997</v>
      </c>
      <c r="M748">
        <f>TMTB!N748</f>
        <v>74.2</v>
      </c>
      <c r="O748">
        <f>ABS(L748-TMTB!$C$34)</f>
        <v>0.45274536623425798</v>
      </c>
      <c r="P748">
        <f t="shared" si="12"/>
        <v>74.2</v>
      </c>
    </row>
    <row r="749" spans="10:16">
      <c r="J749" s="5"/>
      <c r="L749">
        <f>TMTB!M749</f>
        <v>0.34145284799999998</v>
      </c>
      <c r="M749">
        <f>TMTB!N749</f>
        <v>74.3</v>
      </c>
      <c r="O749">
        <f>ABS(L749-TMTB!$C$34)</f>
        <v>0.45349510223425799</v>
      </c>
      <c r="P749">
        <f t="shared" si="12"/>
        <v>74.3</v>
      </c>
    </row>
    <row r="750" spans="10:16">
      <c r="J750" s="5"/>
      <c r="L750">
        <f>TMTB!M750</f>
        <v>0.34473972000000003</v>
      </c>
      <c r="M750">
        <f>TMTB!N750</f>
        <v>74.400000000000006</v>
      </c>
      <c r="O750">
        <f>ABS(L750-TMTB!$C$34)</f>
        <v>0.45678197423425804</v>
      </c>
      <c r="P750">
        <f t="shared" si="12"/>
        <v>74.400000000000006</v>
      </c>
    </row>
    <row r="751" spans="10:16">
      <c r="J751" s="5"/>
      <c r="L751">
        <f>TMTB!M751</f>
        <v>0.35167372499999999</v>
      </c>
      <c r="M751">
        <f>TMTB!N751</f>
        <v>74.5</v>
      </c>
      <c r="O751">
        <f>ABS(L751-TMTB!$C$34)</f>
        <v>0.463715979234258</v>
      </c>
      <c r="P751">
        <f t="shared" si="12"/>
        <v>74.5</v>
      </c>
    </row>
    <row r="752" spans="10:16">
      <c r="J752" s="5"/>
      <c r="L752">
        <f>TMTB!M752</f>
        <v>0.35860773000000001</v>
      </c>
      <c r="M752">
        <f>TMTB!N752</f>
        <v>74.599999999999994</v>
      </c>
      <c r="O752">
        <f>ABS(L752-TMTB!$C$34)</f>
        <v>0.47064998423425802</v>
      </c>
      <c r="P752">
        <f t="shared" si="12"/>
        <v>74.599999999999994</v>
      </c>
    </row>
    <row r="753" spans="10:16">
      <c r="J753" s="5"/>
      <c r="L753">
        <f>TMTB!M753</f>
        <v>0.36777965499999998</v>
      </c>
      <c r="M753">
        <f>TMTB!N753</f>
        <v>74.7</v>
      </c>
      <c r="O753">
        <f>ABS(L753-TMTB!$C$34)</f>
        <v>0.47982190923425799</v>
      </c>
      <c r="P753">
        <f t="shared" si="12"/>
        <v>74.7</v>
      </c>
    </row>
    <row r="754" spans="10:16">
      <c r="J754" s="5"/>
      <c r="L754">
        <f>TMTB!M754</f>
        <v>0.37870102</v>
      </c>
      <c r="M754">
        <f>TMTB!N754</f>
        <v>74.8</v>
      </c>
      <c r="O754">
        <f>ABS(L754-TMTB!$C$34)</f>
        <v>0.49074327423425801</v>
      </c>
      <c r="P754">
        <f t="shared" si="12"/>
        <v>74.8</v>
      </c>
    </row>
    <row r="755" spans="10:16">
      <c r="J755" s="5"/>
      <c r="L755">
        <f>TMTB!M755</f>
        <v>0.38962238500000002</v>
      </c>
      <c r="M755">
        <f>TMTB!N755</f>
        <v>74.900000000000006</v>
      </c>
      <c r="O755">
        <f>ABS(L755-TMTB!$C$34)</f>
        <v>0.50166463923425797</v>
      </c>
      <c r="P755">
        <f t="shared" si="12"/>
        <v>74.900000000000006</v>
      </c>
    </row>
    <row r="756" spans="10:16">
      <c r="J756" s="5"/>
      <c r="L756">
        <f>TMTB!M756</f>
        <v>0.39295524999999998</v>
      </c>
      <c r="M756">
        <f>TMTB!N756</f>
        <v>75</v>
      </c>
      <c r="O756">
        <f>ABS(L756-TMTB!$C$34)</f>
        <v>0.50499750423425793</v>
      </c>
      <c r="P756">
        <f t="shared" si="12"/>
        <v>75</v>
      </c>
    </row>
    <row r="757" spans="10:16">
      <c r="J757" s="5"/>
      <c r="L757">
        <f>TMTB!M757</f>
        <v>0.39322236100000002</v>
      </c>
      <c r="M757">
        <f>TMTB!N757</f>
        <v>75.099999999999994</v>
      </c>
      <c r="O757">
        <f>ABS(L757-TMTB!$C$34)</f>
        <v>0.50526461523425803</v>
      </c>
      <c r="P757">
        <f t="shared" si="12"/>
        <v>75.099999999999994</v>
      </c>
    </row>
    <row r="758" spans="10:16">
      <c r="J758" s="5"/>
      <c r="L758">
        <f>TMTB!M758</f>
        <v>0.39348947200000001</v>
      </c>
      <c r="M758">
        <f>TMTB!N758</f>
        <v>75.2</v>
      </c>
      <c r="O758">
        <f>ABS(L758-TMTB!$C$34)</f>
        <v>0.50553172623425802</v>
      </c>
      <c r="P758">
        <f t="shared" si="12"/>
        <v>75.2</v>
      </c>
    </row>
    <row r="759" spans="10:16">
      <c r="J759" s="5"/>
      <c r="L759">
        <f>TMTB!M759</f>
        <v>0.398503987</v>
      </c>
      <c r="M759">
        <f>TMTB!N759</f>
        <v>75.3</v>
      </c>
      <c r="O759">
        <f>ABS(L759-TMTB!$C$34)</f>
        <v>0.51054624123425796</v>
      </c>
      <c r="P759">
        <f t="shared" si="12"/>
        <v>75.3</v>
      </c>
    </row>
    <row r="760" spans="10:16">
      <c r="J760" s="5"/>
      <c r="L760">
        <f>TMTB!M760</f>
        <v>0.404270566</v>
      </c>
      <c r="M760">
        <f>TMTB!N760</f>
        <v>75.400000000000006</v>
      </c>
      <c r="O760">
        <f>ABS(L760-TMTB!$C$34)</f>
        <v>0.51631282023425795</v>
      </c>
      <c r="P760">
        <f t="shared" si="12"/>
        <v>75.400000000000006</v>
      </c>
    </row>
    <row r="761" spans="10:16">
      <c r="J761" s="5"/>
      <c r="L761">
        <f>TMTB!M761</f>
        <v>0.410021525</v>
      </c>
      <c r="M761">
        <f>TMTB!N761</f>
        <v>75.5</v>
      </c>
      <c r="O761">
        <f>ABS(L761-TMTB!$C$34)</f>
        <v>0.52206377923425795</v>
      </c>
      <c r="P761">
        <f t="shared" si="12"/>
        <v>75.5</v>
      </c>
    </row>
    <row r="762" spans="10:16">
      <c r="J762" s="5"/>
      <c r="L762">
        <f>TMTB!M762</f>
        <v>0.41469158</v>
      </c>
      <c r="M762">
        <f>TMTB!N762</f>
        <v>75.599999999999994</v>
      </c>
      <c r="O762">
        <f>ABS(L762-TMTB!$C$34)</f>
        <v>0.52673383423425801</v>
      </c>
      <c r="P762">
        <f t="shared" si="12"/>
        <v>75.599999999999994</v>
      </c>
    </row>
    <row r="763" spans="10:16">
      <c r="J763" s="5"/>
      <c r="L763">
        <f>TMTB!M763</f>
        <v>0.41936163500000001</v>
      </c>
      <c r="M763">
        <f>TMTB!N763</f>
        <v>75.7</v>
      </c>
      <c r="O763">
        <f>ABS(L763-TMTB!$C$34)</f>
        <v>0.53140388923425796</v>
      </c>
      <c r="P763">
        <f t="shared" si="12"/>
        <v>75.7</v>
      </c>
    </row>
    <row r="764" spans="10:16">
      <c r="J764" s="5"/>
      <c r="L764">
        <f>TMTB!M764</f>
        <v>0.42344832599999999</v>
      </c>
      <c r="M764">
        <f>TMTB!N764</f>
        <v>75.8</v>
      </c>
      <c r="O764">
        <f>ABS(L764-TMTB!$C$34)</f>
        <v>0.535490580234258</v>
      </c>
      <c r="P764">
        <f t="shared" si="12"/>
        <v>75.8</v>
      </c>
    </row>
    <row r="765" spans="10:16">
      <c r="J765" s="5"/>
      <c r="L765">
        <f>TMTB!M765</f>
        <v>0.42458802299999998</v>
      </c>
      <c r="M765">
        <f>TMTB!N765</f>
        <v>75.900000000000006</v>
      </c>
      <c r="O765">
        <f>ABS(L765-TMTB!$C$34)</f>
        <v>0.53663027723425794</v>
      </c>
      <c r="P765">
        <f t="shared" si="12"/>
        <v>75.900000000000006</v>
      </c>
    </row>
    <row r="766" spans="10:16">
      <c r="J766" s="5"/>
      <c r="L766">
        <f>TMTB!M766</f>
        <v>0.42572771999999998</v>
      </c>
      <c r="M766">
        <f>TMTB!N766</f>
        <v>76</v>
      </c>
      <c r="O766">
        <f>ABS(L766-TMTB!$C$34)</f>
        <v>0.53776997423425799</v>
      </c>
      <c r="P766">
        <f t="shared" si="12"/>
        <v>76</v>
      </c>
    </row>
    <row r="767" spans="10:16">
      <c r="J767" s="5"/>
      <c r="L767">
        <f>TMTB!M767</f>
        <v>0.42663465</v>
      </c>
      <c r="M767">
        <f>TMTB!N767</f>
        <v>76.099999999999994</v>
      </c>
      <c r="O767">
        <f>ABS(L767-TMTB!$C$34)</f>
        <v>0.53867690423425796</v>
      </c>
      <c r="P767">
        <f t="shared" si="12"/>
        <v>76.099999999999994</v>
      </c>
    </row>
    <row r="768" spans="10:16">
      <c r="J768" s="5"/>
      <c r="L768">
        <f>TMTB!M768</f>
        <v>0.42703829999999998</v>
      </c>
      <c r="M768">
        <f>TMTB!N768</f>
        <v>76.2</v>
      </c>
      <c r="O768">
        <f>ABS(L768-TMTB!$C$34)</f>
        <v>0.53908055423425794</v>
      </c>
      <c r="P768">
        <f t="shared" si="12"/>
        <v>76.2</v>
      </c>
    </row>
    <row r="769" spans="10:16">
      <c r="J769" s="5"/>
      <c r="L769">
        <f>TMTB!M769</f>
        <v>0.42744195000000001</v>
      </c>
      <c r="M769">
        <f>TMTB!N769</f>
        <v>76.3</v>
      </c>
      <c r="O769">
        <f>ABS(L769-TMTB!$C$34)</f>
        <v>0.53948420423425802</v>
      </c>
      <c r="P769">
        <f t="shared" si="12"/>
        <v>76.3</v>
      </c>
    </row>
    <row r="770" spans="10:16">
      <c r="J770" s="5"/>
      <c r="L770">
        <f>TMTB!M770</f>
        <v>0.43053077200000001</v>
      </c>
      <c r="M770">
        <f>TMTB!N770</f>
        <v>76.400000000000006</v>
      </c>
      <c r="O770">
        <f>ABS(L770-TMTB!$C$34)</f>
        <v>0.54257302623425796</v>
      </c>
      <c r="P770">
        <f t="shared" si="12"/>
        <v>76.400000000000006</v>
      </c>
    </row>
    <row r="771" spans="10:16">
      <c r="J771" s="5"/>
      <c r="L771">
        <f>TMTB!M771</f>
        <v>0.436681345</v>
      </c>
      <c r="M771">
        <f>TMTB!N771</f>
        <v>76.5</v>
      </c>
      <c r="O771">
        <f>ABS(L771-TMTB!$C$34)</f>
        <v>0.54872359923425795</v>
      </c>
      <c r="P771">
        <f t="shared" si="12"/>
        <v>76.5</v>
      </c>
    </row>
    <row r="772" spans="10:16">
      <c r="J772" s="5"/>
      <c r="L772">
        <f>TMTB!M772</f>
        <v>0.44283191799999999</v>
      </c>
      <c r="M772">
        <f>TMTB!N772</f>
        <v>76.599999999999994</v>
      </c>
      <c r="O772">
        <f>ABS(L772-TMTB!$C$34)</f>
        <v>0.55487417223425795</v>
      </c>
      <c r="P772">
        <f t="shared" si="12"/>
        <v>76.599999999999994</v>
      </c>
    </row>
    <row r="773" spans="10:16">
      <c r="J773" s="5"/>
      <c r="L773">
        <f>TMTB!M773</f>
        <v>0.44518954799999999</v>
      </c>
      <c r="M773">
        <f>TMTB!N773</f>
        <v>76.7</v>
      </c>
      <c r="O773">
        <f>ABS(L773-TMTB!$C$34)</f>
        <v>0.55723180223425794</v>
      </c>
      <c r="P773">
        <f t="shared" si="12"/>
        <v>76.7</v>
      </c>
    </row>
    <row r="774" spans="10:16">
      <c r="J774" s="5"/>
      <c r="L774">
        <f>TMTB!M774</f>
        <v>0.44520499200000002</v>
      </c>
      <c r="M774">
        <f>TMTB!N774</f>
        <v>76.8</v>
      </c>
      <c r="O774">
        <f>ABS(L774-TMTB!$C$34)</f>
        <v>0.55724724623425803</v>
      </c>
      <c r="P774">
        <f t="shared" si="12"/>
        <v>76.8</v>
      </c>
    </row>
    <row r="775" spans="10:16">
      <c r="J775" s="5"/>
      <c r="L775">
        <f>TMTB!M775</f>
        <v>0.445220436</v>
      </c>
      <c r="M775">
        <f>TMTB!N775</f>
        <v>76.900000000000006</v>
      </c>
      <c r="O775">
        <f>ABS(L775-TMTB!$C$34)</f>
        <v>0.55726269023425801</v>
      </c>
      <c r="P775">
        <f t="shared" ref="P775:P838" si="13">M775</f>
        <v>76.900000000000006</v>
      </c>
    </row>
    <row r="776" spans="10:16">
      <c r="J776" s="5"/>
      <c r="L776">
        <f>TMTB!M776</f>
        <v>0.45300890999999899</v>
      </c>
      <c r="M776">
        <f>TMTB!N776</f>
        <v>77</v>
      </c>
      <c r="O776">
        <f>ABS(L776-TMTB!$C$34)</f>
        <v>0.56505116423425694</v>
      </c>
      <c r="P776">
        <f t="shared" si="13"/>
        <v>77</v>
      </c>
    </row>
    <row r="777" spans="10:16">
      <c r="J777" s="5"/>
      <c r="L777">
        <f>TMTB!M777</f>
        <v>0.463129292999999</v>
      </c>
      <c r="M777">
        <f>TMTB!N777</f>
        <v>77.099999999999994</v>
      </c>
      <c r="O777">
        <f>ABS(L777-TMTB!$C$34)</f>
        <v>0.57517154723425701</v>
      </c>
      <c r="P777">
        <f t="shared" si="13"/>
        <v>77.099999999999994</v>
      </c>
    </row>
    <row r="778" spans="10:16">
      <c r="J778" s="5"/>
      <c r="L778">
        <f>TMTB!M778</f>
        <v>0.47324967599999901</v>
      </c>
      <c r="M778">
        <f>TMTB!N778</f>
        <v>77.2</v>
      </c>
      <c r="O778">
        <f>ABS(L778-TMTB!$C$34)</f>
        <v>0.58529193023425696</v>
      </c>
      <c r="P778">
        <f t="shared" si="13"/>
        <v>77.2</v>
      </c>
    </row>
    <row r="779" spans="10:16">
      <c r="J779" s="5"/>
      <c r="L779">
        <f>TMTB!M779</f>
        <v>0.47408671600000002</v>
      </c>
      <c r="M779">
        <f>TMTB!N779</f>
        <v>77.3</v>
      </c>
      <c r="O779">
        <f>ABS(L779-TMTB!$C$34)</f>
        <v>0.58612897023425803</v>
      </c>
      <c r="P779">
        <f t="shared" si="13"/>
        <v>77.3</v>
      </c>
    </row>
    <row r="780" spans="10:16">
      <c r="J780" s="5"/>
      <c r="L780">
        <f>TMTB!M780</f>
        <v>0.47411900800000001</v>
      </c>
      <c r="M780">
        <f>TMTB!N780</f>
        <v>77.400000000000006</v>
      </c>
      <c r="O780">
        <f>ABS(L780-TMTB!$C$34)</f>
        <v>0.58616126223425802</v>
      </c>
      <c r="P780">
        <f t="shared" si="13"/>
        <v>77.400000000000006</v>
      </c>
    </row>
    <row r="781" spans="10:16">
      <c r="J781" s="5"/>
      <c r="L781">
        <f>TMTB!M781</f>
        <v>0.47449187500000001</v>
      </c>
      <c r="M781">
        <f>TMTB!N781</f>
        <v>77.5</v>
      </c>
      <c r="O781">
        <f>ABS(L781-TMTB!$C$34)</f>
        <v>0.58653412923425796</v>
      </c>
      <c r="P781">
        <f t="shared" si="13"/>
        <v>77.5</v>
      </c>
    </row>
    <row r="782" spans="10:16">
      <c r="J782" s="5"/>
      <c r="L782">
        <f>TMTB!M782</f>
        <v>0.47930583999999998</v>
      </c>
      <c r="M782">
        <f>TMTB!N782</f>
        <v>77.599999999999994</v>
      </c>
      <c r="O782">
        <f>ABS(L782-TMTB!$C$34)</f>
        <v>0.59134809423425794</v>
      </c>
      <c r="P782">
        <f t="shared" si="13"/>
        <v>77.599999999999994</v>
      </c>
    </row>
    <row r="783" spans="10:16">
      <c r="J783" s="5"/>
      <c r="L783">
        <f>TMTB!M783</f>
        <v>0.48411980500000001</v>
      </c>
      <c r="M783">
        <f>TMTB!N783</f>
        <v>77.7</v>
      </c>
      <c r="O783">
        <f>ABS(L783-TMTB!$C$34)</f>
        <v>0.59616205923425802</v>
      </c>
      <c r="P783">
        <f t="shared" si="13"/>
        <v>77.7</v>
      </c>
    </row>
    <row r="784" spans="10:16">
      <c r="J784" s="5"/>
      <c r="L784">
        <f>TMTB!M784</f>
        <v>0.48794831799999999</v>
      </c>
      <c r="M784">
        <f>TMTB!N784</f>
        <v>77.8</v>
      </c>
      <c r="O784">
        <f>ABS(L784-TMTB!$C$34)</f>
        <v>0.599990572234258</v>
      </c>
      <c r="P784">
        <f t="shared" si="13"/>
        <v>77.8</v>
      </c>
    </row>
    <row r="785" spans="10:16">
      <c r="J785" s="5"/>
      <c r="L785">
        <f>TMTB!M785</f>
        <v>0.48832774899999998</v>
      </c>
      <c r="M785">
        <f>TMTB!N785</f>
        <v>77.900000000000006</v>
      </c>
      <c r="O785">
        <f>ABS(L785-TMTB!$C$34)</f>
        <v>0.60037000323425793</v>
      </c>
      <c r="P785">
        <f t="shared" si="13"/>
        <v>77.900000000000006</v>
      </c>
    </row>
    <row r="786" spans="10:16">
      <c r="J786" s="5"/>
      <c r="L786">
        <f>TMTB!M786</f>
        <v>0.48870718000000002</v>
      </c>
      <c r="M786">
        <f>TMTB!N786</f>
        <v>78</v>
      </c>
      <c r="O786">
        <f>ABS(L786-TMTB!$C$34)</f>
        <v>0.60074943423425797</v>
      </c>
      <c r="P786">
        <f t="shared" si="13"/>
        <v>78</v>
      </c>
    </row>
    <row r="787" spans="10:16">
      <c r="J787" s="5"/>
      <c r="L787">
        <f>TMTB!M787</f>
        <v>0.49198826100000098</v>
      </c>
      <c r="M787">
        <f>TMTB!N787</f>
        <v>78.099999999999994</v>
      </c>
      <c r="O787">
        <f>ABS(L787-TMTB!$C$34)</f>
        <v>0.60403051523425899</v>
      </c>
      <c r="P787">
        <f t="shared" si="13"/>
        <v>78.099999999999994</v>
      </c>
    </row>
    <row r="788" spans="10:16">
      <c r="J788" s="5"/>
      <c r="L788">
        <f>TMTB!M788</f>
        <v>0.50014234200000096</v>
      </c>
      <c r="M788">
        <f>TMTB!N788</f>
        <v>78.2</v>
      </c>
      <c r="O788">
        <f>ABS(L788-TMTB!$C$34)</f>
        <v>0.61218459623425892</v>
      </c>
      <c r="P788">
        <f t="shared" si="13"/>
        <v>78.2</v>
      </c>
    </row>
    <row r="789" spans="10:16">
      <c r="J789" s="5"/>
      <c r="L789">
        <f>TMTB!M789</f>
        <v>0.508296423000001</v>
      </c>
      <c r="M789">
        <f>TMTB!N789</f>
        <v>78.3</v>
      </c>
      <c r="O789">
        <f>ABS(L789-TMTB!$C$34)</f>
        <v>0.62033867723425895</v>
      </c>
      <c r="P789">
        <f t="shared" si="13"/>
        <v>78.3</v>
      </c>
    </row>
    <row r="790" spans="10:16">
      <c r="J790" s="5"/>
      <c r="L790">
        <f>TMTB!M790</f>
        <v>0.51251824000000001</v>
      </c>
      <c r="M790">
        <f>TMTB!N790</f>
        <v>78.400000000000006</v>
      </c>
      <c r="O790">
        <f>ABS(L790-TMTB!$C$34)</f>
        <v>0.62456049423425797</v>
      </c>
      <c r="P790">
        <f t="shared" si="13"/>
        <v>78.400000000000006</v>
      </c>
    </row>
    <row r="791" spans="10:16">
      <c r="J791" s="5"/>
      <c r="L791">
        <f>TMTB!M791</f>
        <v>0.51317109999999999</v>
      </c>
      <c r="M791">
        <f>TMTB!N791</f>
        <v>78.5</v>
      </c>
      <c r="O791">
        <f>ABS(L791-TMTB!$C$34)</f>
        <v>0.62521335423425795</v>
      </c>
      <c r="P791">
        <f t="shared" si="13"/>
        <v>78.5</v>
      </c>
    </row>
    <row r="792" spans="10:16">
      <c r="J792" s="5"/>
      <c r="L792">
        <f>TMTB!M792</f>
        <v>0.51382395999999997</v>
      </c>
      <c r="M792">
        <f>TMTB!N792</f>
        <v>78.599999999999994</v>
      </c>
      <c r="O792">
        <f>ABS(L792-TMTB!$C$34)</f>
        <v>0.62586621423425792</v>
      </c>
      <c r="P792">
        <f t="shared" si="13"/>
        <v>78.599999999999994</v>
      </c>
    </row>
    <row r="793" spans="10:16">
      <c r="J793" s="5"/>
      <c r="L793">
        <f>TMTB!M793</f>
        <v>0.51607846599999996</v>
      </c>
      <c r="M793">
        <f>TMTB!N793</f>
        <v>78.7</v>
      </c>
      <c r="O793">
        <f>ABS(L793-TMTB!$C$34)</f>
        <v>0.62812072023425791</v>
      </c>
      <c r="P793">
        <f t="shared" si="13"/>
        <v>78.7</v>
      </c>
    </row>
    <row r="794" spans="10:16">
      <c r="J794" s="5"/>
      <c r="L794">
        <f>TMTB!M794</f>
        <v>0.519103384</v>
      </c>
      <c r="M794">
        <f>TMTB!N794</f>
        <v>78.8</v>
      </c>
      <c r="O794">
        <f>ABS(L794-TMTB!$C$34)</f>
        <v>0.63114563823425796</v>
      </c>
      <c r="P794">
        <f t="shared" si="13"/>
        <v>78.8</v>
      </c>
    </row>
    <row r="795" spans="10:16">
      <c r="J795" s="5"/>
      <c r="L795">
        <f>TMTB!M795</f>
        <v>0.52212830200000004</v>
      </c>
      <c r="M795">
        <f>TMTB!N795</f>
        <v>78.900000000000006</v>
      </c>
      <c r="O795">
        <f>ABS(L795-TMTB!$C$34)</f>
        <v>0.634170556234258</v>
      </c>
      <c r="P795">
        <f t="shared" si="13"/>
        <v>78.900000000000006</v>
      </c>
    </row>
    <row r="796" spans="10:16">
      <c r="J796" s="5"/>
      <c r="L796">
        <f>TMTB!M796</f>
        <v>0.52479390999999997</v>
      </c>
      <c r="M796">
        <f>TMTB!N796</f>
        <v>79</v>
      </c>
      <c r="O796">
        <f>ABS(L796-TMTB!$C$34)</f>
        <v>0.63683616423425793</v>
      </c>
      <c r="P796">
        <f t="shared" si="13"/>
        <v>79</v>
      </c>
    </row>
    <row r="797" spans="10:16">
      <c r="J797" s="5"/>
      <c r="L797">
        <f>TMTB!M797</f>
        <v>0.52738393900000002</v>
      </c>
      <c r="M797">
        <f>TMTB!N797</f>
        <v>79.099999999999994</v>
      </c>
      <c r="O797">
        <f>ABS(L797-TMTB!$C$34)</f>
        <v>0.63942619323425798</v>
      </c>
      <c r="P797">
        <f t="shared" si="13"/>
        <v>79.099999999999994</v>
      </c>
    </row>
    <row r="798" spans="10:16">
      <c r="J798" s="5"/>
      <c r="L798">
        <f>TMTB!M798</f>
        <v>0.52997396799999996</v>
      </c>
      <c r="M798">
        <f>TMTB!N798</f>
        <v>79.2</v>
      </c>
      <c r="O798">
        <f>ABS(L798-TMTB!$C$34)</f>
        <v>0.64201622223425792</v>
      </c>
      <c r="P798">
        <f t="shared" si="13"/>
        <v>79.2</v>
      </c>
    </row>
    <row r="799" spans="10:16">
      <c r="J799" s="5"/>
      <c r="L799">
        <f>TMTB!M799</f>
        <v>0.537626677</v>
      </c>
      <c r="M799">
        <f>TMTB!N799</f>
        <v>79.3</v>
      </c>
      <c r="O799">
        <f>ABS(L799-TMTB!$C$34)</f>
        <v>0.64966893123425795</v>
      </c>
      <c r="P799">
        <f t="shared" si="13"/>
        <v>79.3</v>
      </c>
    </row>
    <row r="800" spans="10:16">
      <c r="J800" s="5"/>
      <c r="L800">
        <f>TMTB!M800</f>
        <v>0.54539746600000005</v>
      </c>
      <c r="M800">
        <f>TMTB!N800</f>
        <v>79.400000000000006</v>
      </c>
      <c r="O800">
        <f>ABS(L800-TMTB!$C$34)</f>
        <v>0.65743972023425801</v>
      </c>
      <c r="P800">
        <f t="shared" si="13"/>
        <v>79.400000000000006</v>
      </c>
    </row>
    <row r="801" spans="10:16">
      <c r="J801" s="5"/>
      <c r="L801">
        <f>TMTB!M801</f>
        <v>0.55254149500000005</v>
      </c>
      <c r="M801">
        <f>TMTB!N801</f>
        <v>79.5</v>
      </c>
      <c r="O801">
        <f>ABS(L801-TMTB!$C$34)</f>
        <v>0.664583749234258</v>
      </c>
      <c r="P801">
        <f t="shared" si="13"/>
        <v>79.5</v>
      </c>
    </row>
    <row r="802" spans="10:16">
      <c r="J802" s="5"/>
      <c r="L802">
        <f>TMTB!M802</f>
        <v>0.55542355600000004</v>
      </c>
      <c r="M802">
        <f>TMTB!N802</f>
        <v>79.599999999999994</v>
      </c>
      <c r="O802">
        <f>ABS(L802-TMTB!$C$34)</f>
        <v>0.66746581023425799</v>
      </c>
      <c r="P802">
        <f t="shared" si="13"/>
        <v>79.599999999999994</v>
      </c>
    </row>
    <row r="803" spans="10:16">
      <c r="J803" s="5"/>
      <c r="L803">
        <f>TMTB!M803</f>
        <v>0.55830561700000003</v>
      </c>
      <c r="M803">
        <f>TMTB!N803</f>
        <v>79.7</v>
      </c>
      <c r="O803">
        <f>ABS(L803-TMTB!$C$34)</f>
        <v>0.67034787123425799</v>
      </c>
      <c r="P803">
        <f t="shared" si="13"/>
        <v>79.7</v>
      </c>
    </row>
    <row r="804" spans="10:16">
      <c r="J804" s="5"/>
      <c r="L804">
        <f>TMTB!M804</f>
        <v>0.56154057599999996</v>
      </c>
      <c r="M804">
        <f>TMTB!N804</f>
        <v>79.8</v>
      </c>
      <c r="O804">
        <f>ABS(L804-TMTB!$C$34)</f>
        <v>0.67358283023425791</v>
      </c>
      <c r="P804">
        <f t="shared" si="13"/>
        <v>79.8</v>
      </c>
    </row>
    <row r="805" spans="10:16">
      <c r="J805" s="5"/>
      <c r="L805">
        <f>TMTB!M805</f>
        <v>0.56568658800000005</v>
      </c>
      <c r="M805">
        <f>TMTB!N805</f>
        <v>79.900000000000006</v>
      </c>
      <c r="O805">
        <f>ABS(L805-TMTB!$C$34)</f>
        <v>0.677728842234258</v>
      </c>
      <c r="P805">
        <f t="shared" si="13"/>
        <v>79.900000000000006</v>
      </c>
    </row>
    <row r="806" spans="10:16">
      <c r="J806" s="5"/>
      <c r="L806">
        <f>TMTB!M806</f>
        <v>0.56983260000000002</v>
      </c>
      <c r="M806">
        <f>TMTB!N806</f>
        <v>80</v>
      </c>
      <c r="O806">
        <f>ABS(L806-TMTB!$C$34)</f>
        <v>0.68187485423425798</v>
      </c>
      <c r="P806">
        <f t="shared" si="13"/>
        <v>80</v>
      </c>
    </row>
    <row r="807" spans="10:16">
      <c r="J807" s="5"/>
      <c r="L807">
        <f>TMTB!M807</f>
        <v>0.57386445600000002</v>
      </c>
      <c r="M807">
        <f>TMTB!N807</f>
        <v>80.099999999999994</v>
      </c>
      <c r="O807">
        <f>ABS(L807-TMTB!$C$34)</f>
        <v>0.68590671023425798</v>
      </c>
      <c r="P807">
        <f t="shared" si="13"/>
        <v>80.099999999999994</v>
      </c>
    </row>
    <row r="808" spans="10:16">
      <c r="J808" s="5"/>
      <c r="L808">
        <f>TMTB!M808</f>
        <v>0.57774511200000001</v>
      </c>
      <c r="M808">
        <f>TMTB!N808</f>
        <v>80.2</v>
      </c>
      <c r="O808">
        <f>ABS(L808-TMTB!$C$34)</f>
        <v>0.68978736623425796</v>
      </c>
      <c r="P808">
        <f t="shared" si="13"/>
        <v>80.2</v>
      </c>
    </row>
    <row r="809" spans="10:16">
      <c r="J809" s="5"/>
      <c r="L809">
        <f>TMTB!M809</f>
        <v>0.58162576799999999</v>
      </c>
      <c r="M809">
        <f>TMTB!N809</f>
        <v>80.3</v>
      </c>
      <c r="O809">
        <f>ABS(L809-TMTB!$C$34)</f>
        <v>0.69366802223425794</v>
      </c>
      <c r="P809">
        <f t="shared" si="13"/>
        <v>80.3</v>
      </c>
    </row>
    <row r="810" spans="10:16">
      <c r="J810" s="5"/>
      <c r="L810">
        <f>TMTB!M810</f>
        <v>0.58374814799999997</v>
      </c>
      <c r="M810">
        <f>TMTB!N810</f>
        <v>80.400000000000006</v>
      </c>
      <c r="O810">
        <f>ABS(L810-TMTB!$C$34)</f>
        <v>0.69579040223425792</v>
      </c>
      <c r="P810">
        <f t="shared" si="13"/>
        <v>80.400000000000006</v>
      </c>
    </row>
    <row r="811" spans="10:16">
      <c r="J811" s="5"/>
      <c r="L811">
        <f>TMTB!M811</f>
        <v>0.58460353499999995</v>
      </c>
      <c r="M811">
        <f>TMTB!N811</f>
        <v>80.5</v>
      </c>
      <c r="O811">
        <f>ABS(L811-TMTB!$C$34)</f>
        <v>0.69664578923425791</v>
      </c>
      <c r="P811">
        <f t="shared" si="13"/>
        <v>80.5</v>
      </c>
    </row>
    <row r="812" spans="10:16">
      <c r="J812" s="5"/>
      <c r="L812">
        <f>TMTB!M812</f>
        <v>0.58545892200000005</v>
      </c>
      <c r="M812">
        <f>TMTB!N812</f>
        <v>80.599999999999994</v>
      </c>
      <c r="O812">
        <f>ABS(L812-TMTB!$C$34)</f>
        <v>0.697501176234258</v>
      </c>
      <c r="P812">
        <f t="shared" si="13"/>
        <v>80.599999999999994</v>
      </c>
    </row>
    <row r="813" spans="10:16">
      <c r="J813" s="5"/>
      <c r="L813">
        <f>TMTB!M813</f>
        <v>0.59900162800000001</v>
      </c>
      <c r="M813">
        <f>TMTB!N813</f>
        <v>80.7</v>
      </c>
      <c r="O813">
        <f>ABS(L813-TMTB!$C$34)</f>
        <v>0.71104388223425796</v>
      </c>
      <c r="P813">
        <f t="shared" si="13"/>
        <v>80.7</v>
      </c>
    </row>
    <row r="814" spans="10:16">
      <c r="J814" s="5"/>
      <c r="L814">
        <f>TMTB!M814</f>
        <v>0.61718483199999996</v>
      </c>
      <c r="M814">
        <f>TMTB!N814</f>
        <v>80.8</v>
      </c>
      <c r="O814">
        <f>ABS(L814-TMTB!$C$34)</f>
        <v>0.72922708623425792</v>
      </c>
      <c r="P814">
        <f t="shared" si="13"/>
        <v>80.8</v>
      </c>
    </row>
    <row r="815" spans="10:16">
      <c r="J815" s="5"/>
      <c r="L815">
        <f>TMTB!M815</f>
        <v>0.63536803600000002</v>
      </c>
      <c r="M815">
        <f>TMTB!N815</f>
        <v>80.900000000000006</v>
      </c>
      <c r="O815">
        <f>ABS(L815-TMTB!$C$34)</f>
        <v>0.74741029023425798</v>
      </c>
      <c r="P815">
        <f t="shared" si="13"/>
        <v>80.900000000000006</v>
      </c>
    </row>
    <row r="816" spans="10:16">
      <c r="J816" s="5"/>
      <c r="L816">
        <f>TMTB!M816</f>
        <v>0.63807820999999998</v>
      </c>
      <c r="M816">
        <f>TMTB!N816</f>
        <v>81</v>
      </c>
      <c r="O816">
        <f>ABS(L816-TMTB!$C$34)</f>
        <v>0.75012046423425793</v>
      </c>
      <c r="P816">
        <f t="shared" si="13"/>
        <v>81</v>
      </c>
    </row>
    <row r="817" spans="10:16">
      <c r="J817" s="5"/>
      <c r="L817">
        <f>TMTB!M817</f>
        <v>0.63874195099999997</v>
      </c>
      <c r="M817">
        <f>TMTB!N817</f>
        <v>81.099999999999994</v>
      </c>
      <c r="O817">
        <f>ABS(L817-TMTB!$C$34)</f>
        <v>0.75078420523425793</v>
      </c>
      <c r="P817">
        <f t="shared" si="13"/>
        <v>81.099999999999994</v>
      </c>
    </row>
    <row r="818" spans="10:16">
      <c r="J818" s="5"/>
      <c r="L818">
        <f>TMTB!M818</f>
        <v>0.63952811600000004</v>
      </c>
      <c r="M818">
        <f>TMTB!N818</f>
        <v>81.2</v>
      </c>
      <c r="O818">
        <f>ABS(L818-TMTB!$C$34)</f>
        <v>0.75157037023425799</v>
      </c>
      <c r="P818">
        <f t="shared" si="13"/>
        <v>81.2</v>
      </c>
    </row>
    <row r="819" spans="10:16">
      <c r="J819" s="5"/>
      <c r="L819">
        <f>TMTB!M819</f>
        <v>0.64377275899999997</v>
      </c>
      <c r="M819">
        <f>TMTB!N819</f>
        <v>81.3</v>
      </c>
      <c r="O819">
        <f>ABS(L819-TMTB!$C$34)</f>
        <v>0.75581501323425793</v>
      </c>
      <c r="P819">
        <f t="shared" si="13"/>
        <v>81.3</v>
      </c>
    </row>
    <row r="820" spans="10:16">
      <c r="J820" s="5"/>
      <c r="L820">
        <f>TMTB!M820</f>
        <v>0.64801740200000002</v>
      </c>
      <c r="M820">
        <f>TMTB!N820</f>
        <v>81.400000000000006</v>
      </c>
      <c r="O820">
        <f>ABS(L820-TMTB!$C$34)</f>
        <v>0.76005965623425797</v>
      </c>
      <c r="P820">
        <f t="shared" si="13"/>
        <v>81.400000000000006</v>
      </c>
    </row>
    <row r="821" spans="10:16">
      <c r="J821" s="5"/>
      <c r="L821">
        <f>TMTB!M821</f>
        <v>0.65225652000000001</v>
      </c>
      <c r="M821">
        <f>TMTB!N821</f>
        <v>81.5</v>
      </c>
      <c r="O821">
        <f>ABS(L821-TMTB!$C$34)</f>
        <v>0.76429877423425796</v>
      </c>
      <c r="P821">
        <f t="shared" si="13"/>
        <v>81.5</v>
      </c>
    </row>
    <row r="822" spans="10:16">
      <c r="J822" s="5"/>
      <c r="L822">
        <f>TMTB!M822</f>
        <v>0.65647132799999997</v>
      </c>
      <c r="M822">
        <f>TMTB!N822</f>
        <v>81.599999999999994</v>
      </c>
      <c r="O822">
        <f>ABS(L822-TMTB!$C$34)</f>
        <v>0.76851358223425792</v>
      </c>
      <c r="P822">
        <f t="shared" si="13"/>
        <v>81.599999999999994</v>
      </c>
    </row>
    <row r="823" spans="10:16">
      <c r="J823" s="5"/>
      <c r="L823">
        <f>TMTB!M823</f>
        <v>0.66068613600000003</v>
      </c>
      <c r="M823">
        <f>TMTB!N823</f>
        <v>81.7</v>
      </c>
      <c r="O823">
        <f>ABS(L823-TMTB!$C$34)</f>
        <v>0.77272839023425799</v>
      </c>
      <c r="P823">
        <f t="shared" si="13"/>
        <v>81.7</v>
      </c>
    </row>
    <row r="824" spans="10:16">
      <c r="J824" s="5"/>
      <c r="L824">
        <f>TMTB!M824</f>
        <v>0.67043302000000005</v>
      </c>
      <c r="M824">
        <f>TMTB!N824</f>
        <v>81.8</v>
      </c>
      <c r="O824">
        <f>ABS(L824-TMTB!$C$34)</f>
        <v>0.782475274234258</v>
      </c>
      <c r="P824">
        <f t="shared" si="13"/>
        <v>81.8</v>
      </c>
    </row>
    <row r="825" spans="10:16">
      <c r="J825" s="5"/>
      <c r="L825">
        <f>TMTB!M825</f>
        <v>0.69110340999999997</v>
      </c>
      <c r="M825">
        <f>TMTB!N825</f>
        <v>81.900000000000006</v>
      </c>
      <c r="O825">
        <f>ABS(L825-TMTB!$C$34)</f>
        <v>0.80314566423425793</v>
      </c>
      <c r="P825">
        <f t="shared" si="13"/>
        <v>81.900000000000006</v>
      </c>
    </row>
    <row r="826" spans="10:16">
      <c r="J826" s="5"/>
      <c r="L826">
        <f>TMTB!M826</f>
        <v>0.71177380000000301</v>
      </c>
      <c r="M826">
        <f>TMTB!N826</f>
        <v>82</v>
      </c>
      <c r="O826">
        <f>ABS(L826-TMTB!$C$34)</f>
        <v>0.82381605423426096</v>
      </c>
      <c r="P826">
        <f t="shared" si="13"/>
        <v>82</v>
      </c>
    </row>
    <row r="827" spans="10:16">
      <c r="J827" s="5"/>
      <c r="L827">
        <f>TMTB!M827</f>
        <v>0.72378115899999995</v>
      </c>
      <c r="M827">
        <f>TMTB!N827</f>
        <v>82.1</v>
      </c>
      <c r="O827">
        <f>ABS(L827-TMTB!$C$34)</f>
        <v>0.83582341323425791</v>
      </c>
      <c r="P827">
        <f t="shared" si="13"/>
        <v>82.1</v>
      </c>
    </row>
    <row r="828" spans="10:16">
      <c r="J828" s="5"/>
      <c r="L828">
        <f>TMTB!M828</f>
        <v>0.726669538</v>
      </c>
      <c r="M828">
        <f>TMTB!N828</f>
        <v>82.2</v>
      </c>
      <c r="O828">
        <f>ABS(L828-TMTB!$C$34)</f>
        <v>0.83871179223425796</v>
      </c>
      <c r="P828">
        <f t="shared" si="13"/>
        <v>82.2</v>
      </c>
    </row>
    <row r="829" spans="10:16">
      <c r="J829" s="5"/>
      <c r="L829">
        <f>TMTB!M829</f>
        <v>0.72955791699999994</v>
      </c>
      <c r="M829">
        <f>TMTB!N829</f>
        <v>82.3</v>
      </c>
      <c r="O829">
        <f>ABS(L829-TMTB!$C$34)</f>
        <v>0.8416001712342579</v>
      </c>
      <c r="P829">
        <f t="shared" si="13"/>
        <v>82.3</v>
      </c>
    </row>
    <row r="830" spans="10:16">
      <c r="J830" s="5"/>
      <c r="L830">
        <f>TMTB!M830</f>
        <v>0.73586207200000098</v>
      </c>
      <c r="M830">
        <f>TMTB!N830</f>
        <v>82.4</v>
      </c>
      <c r="O830">
        <f>ABS(L830-TMTB!$C$34)</f>
        <v>0.84790432623425893</v>
      </c>
      <c r="P830">
        <f t="shared" si="13"/>
        <v>82.4</v>
      </c>
    </row>
    <row r="831" spans="10:16">
      <c r="J831" s="5"/>
      <c r="L831">
        <f>TMTB!M831</f>
        <v>0.74410285000000098</v>
      </c>
      <c r="M831">
        <f>TMTB!N831</f>
        <v>82.5</v>
      </c>
      <c r="O831">
        <f>ABS(L831-TMTB!$C$34)</f>
        <v>0.85614510423425894</v>
      </c>
      <c r="P831">
        <f t="shared" si="13"/>
        <v>82.5</v>
      </c>
    </row>
    <row r="832" spans="10:16">
      <c r="J832" s="5"/>
      <c r="L832">
        <f>TMTB!M832</f>
        <v>0.75234362800000099</v>
      </c>
      <c r="M832">
        <f>TMTB!N832</f>
        <v>82.6</v>
      </c>
      <c r="O832">
        <f>ABS(L832-TMTB!$C$34)</f>
        <v>0.86438588223425894</v>
      </c>
      <c r="P832">
        <f t="shared" si="13"/>
        <v>82.6</v>
      </c>
    </row>
    <row r="833" spans="10:16">
      <c r="J833" s="5"/>
      <c r="L833">
        <f>TMTB!M833</f>
        <v>0.75431645000000003</v>
      </c>
      <c r="M833">
        <f>TMTB!N833</f>
        <v>82.7</v>
      </c>
      <c r="O833">
        <f>ABS(L833-TMTB!$C$34)</f>
        <v>0.86635870423425798</v>
      </c>
      <c r="P833">
        <f t="shared" si="13"/>
        <v>82.7</v>
      </c>
    </row>
    <row r="834" spans="10:16">
      <c r="J834" s="5"/>
      <c r="L834">
        <f>TMTB!M834</f>
        <v>0.75461480000000003</v>
      </c>
      <c r="M834">
        <f>TMTB!N834</f>
        <v>82.8</v>
      </c>
      <c r="O834">
        <f>ABS(L834-TMTB!$C$34)</f>
        <v>0.86665705423425798</v>
      </c>
      <c r="P834">
        <f t="shared" si="13"/>
        <v>82.8</v>
      </c>
    </row>
    <row r="835" spans="10:16">
      <c r="J835" s="5"/>
      <c r="L835">
        <f>TMTB!M835</f>
        <v>0.75491315000000003</v>
      </c>
      <c r="M835">
        <f>TMTB!N835</f>
        <v>82.9</v>
      </c>
      <c r="O835">
        <f>ABS(L835-TMTB!$C$34)</f>
        <v>0.86695540423425799</v>
      </c>
      <c r="P835">
        <f t="shared" si="13"/>
        <v>82.9</v>
      </c>
    </row>
    <row r="836" spans="10:16">
      <c r="J836" s="5"/>
      <c r="L836">
        <f>TMTB!M836</f>
        <v>0.76207814000000096</v>
      </c>
      <c r="M836">
        <f>TMTB!N836</f>
        <v>83</v>
      </c>
      <c r="O836">
        <f>ABS(L836-TMTB!$C$34)</f>
        <v>0.87412039423425891</v>
      </c>
      <c r="P836">
        <f t="shared" si="13"/>
        <v>83</v>
      </c>
    </row>
    <row r="837" spans="10:16">
      <c r="J837" s="5"/>
      <c r="L837">
        <f>TMTB!M837</f>
        <v>0.76968009800000103</v>
      </c>
      <c r="M837">
        <f>TMTB!N837</f>
        <v>83.1</v>
      </c>
      <c r="O837">
        <f>ABS(L837-TMTB!$C$34)</f>
        <v>0.88172235223425899</v>
      </c>
      <c r="P837">
        <f t="shared" si="13"/>
        <v>83.1</v>
      </c>
    </row>
    <row r="838" spans="10:16">
      <c r="J838" s="5"/>
      <c r="L838">
        <f>TMTB!M838</f>
        <v>0.77751261600000099</v>
      </c>
      <c r="M838">
        <f>TMTB!N838</f>
        <v>83.2</v>
      </c>
      <c r="O838">
        <f>ABS(L838-TMTB!$C$34)</f>
        <v>0.88955487023425894</v>
      </c>
      <c r="P838">
        <f t="shared" si="13"/>
        <v>83.2</v>
      </c>
    </row>
    <row r="839" spans="10:16">
      <c r="J839" s="5"/>
      <c r="L839">
        <f>TMTB!M839</f>
        <v>0.78764352899999901</v>
      </c>
      <c r="M839">
        <f>TMTB!N839</f>
        <v>83.3</v>
      </c>
      <c r="O839">
        <f>ABS(L839-TMTB!$C$34)</f>
        <v>0.89968578323425696</v>
      </c>
      <c r="P839">
        <f t="shared" ref="P839:P902" si="14">M839</f>
        <v>83.3</v>
      </c>
    </row>
    <row r="840" spans="10:16">
      <c r="J840" s="5"/>
      <c r="L840">
        <f>TMTB!M840</f>
        <v>0.79777444199999903</v>
      </c>
      <c r="M840">
        <f>TMTB!N840</f>
        <v>83.4</v>
      </c>
      <c r="O840">
        <f>ABS(L840-TMTB!$C$34)</f>
        <v>0.90981669623425698</v>
      </c>
      <c r="P840">
        <f t="shared" si="14"/>
        <v>83.4</v>
      </c>
    </row>
    <row r="841" spans="10:16">
      <c r="J841" s="5"/>
      <c r="L841">
        <f>TMTB!M841</f>
        <v>0.80579395499999995</v>
      </c>
      <c r="M841">
        <f>TMTB!N841</f>
        <v>83.5</v>
      </c>
      <c r="O841">
        <f>ABS(L841-TMTB!$C$34)</f>
        <v>0.9178362092342579</v>
      </c>
      <c r="P841">
        <f t="shared" si="14"/>
        <v>83.5</v>
      </c>
    </row>
    <row r="842" spans="10:16">
      <c r="J842" s="5"/>
      <c r="L842">
        <f>TMTB!M842</f>
        <v>0.80720602799999996</v>
      </c>
      <c r="M842">
        <f>TMTB!N842</f>
        <v>83.6</v>
      </c>
      <c r="O842">
        <f>ABS(L842-TMTB!$C$34)</f>
        <v>0.91924828223425792</v>
      </c>
      <c r="P842">
        <f t="shared" si="14"/>
        <v>83.6</v>
      </c>
    </row>
    <row r="843" spans="10:16">
      <c r="J843" s="5"/>
      <c r="L843">
        <f>TMTB!M843</f>
        <v>0.80861810099999998</v>
      </c>
      <c r="M843">
        <f>TMTB!N843</f>
        <v>83.7</v>
      </c>
      <c r="O843">
        <f>ABS(L843-TMTB!$C$34)</f>
        <v>0.92066035523425793</v>
      </c>
      <c r="P843">
        <f t="shared" si="14"/>
        <v>83.7</v>
      </c>
    </row>
    <row r="844" spans="10:16">
      <c r="J844" s="5"/>
      <c r="L844">
        <f>TMTB!M844</f>
        <v>0.81021909599999997</v>
      </c>
      <c r="M844">
        <f>TMTB!N844</f>
        <v>83.8</v>
      </c>
      <c r="O844">
        <f>ABS(L844-TMTB!$C$34)</f>
        <v>0.92226135023425793</v>
      </c>
      <c r="P844">
        <f t="shared" si="14"/>
        <v>83.8</v>
      </c>
    </row>
    <row r="845" spans="10:16">
      <c r="J845" s="5"/>
      <c r="L845">
        <f>TMTB!M845</f>
        <v>0.812111688</v>
      </c>
      <c r="M845">
        <f>TMTB!N845</f>
        <v>83.9</v>
      </c>
      <c r="O845">
        <f>ABS(L845-TMTB!$C$34)</f>
        <v>0.92415394223425795</v>
      </c>
      <c r="P845">
        <f t="shared" si="14"/>
        <v>83.9</v>
      </c>
    </row>
    <row r="846" spans="10:16">
      <c r="J846" s="5"/>
      <c r="L846">
        <f>TMTB!M846</f>
        <v>0.81400428000000002</v>
      </c>
      <c r="M846">
        <f>TMTB!N846</f>
        <v>84</v>
      </c>
      <c r="O846">
        <f>ABS(L846-TMTB!$C$34)</f>
        <v>0.92604653423425798</v>
      </c>
      <c r="P846">
        <f t="shared" si="14"/>
        <v>84</v>
      </c>
    </row>
    <row r="847" spans="10:16">
      <c r="J847" s="5"/>
      <c r="L847">
        <f>TMTB!M847</f>
        <v>0.81753717999999997</v>
      </c>
      <c r="M847">
        <f>TMTB!N847</f>
        <v>84.1</v>
      </c>
      <c r="O847">
        <f>ABS(L847-TMTB!$C$34)</f>
        <v>0.92957943423425793</v>
      </c>
      <c r="P847">
        <f t="shared" si="14"/>
        <v>84.1</v>
      </c>
    </row>
    <row r="848" spans="10:16">
      <c r="J848" s="5"/>
      <c r="L848">
        <f>TMTB!M848</f>
        <v>0.82244415999999998</v>
      </c>
      <c r="M848">
        <f>TMTB!N848</f>
        <v>84.2</v>
      </c>
      <c r="O848">
        <f>ABS(L848-TMTB!$C$34)</f>
        <v>0.93448641423425793</v>
      </c>
      <c r="P848">
        <f t="shared" si="14"/>
        <v>84.2</v>
      </c>
    </row>
    <row r="849" spans="10:16">
      <c r="J849" s="5"/>
      <c r="L849">
        <f>TMTB!M849</f>
        <v>0.82735113999999998</v>
      </c>
      <c r="M849">
        <f>TMTB!N849</f>
        <v>84.3</v>
      </c>
      <c r="O849">
        <f>ABS(L849-TMTB!$C$34)</f>
        <v>0.93939339423425794</v>
      </c>
      <c r="P849">
        <f t="shared" si="14"/>
        <v>84.3</v>
      </c>
    </row>
    <row r="850" spans="10:16">
      <c r="J850" s="5"/>
      <c r="L850">
        <f>TMTB!M850</f>
        <v>0.83124210399999998</v>
      </c>
      <c r="M850">
        <f>TMTB!N850</f>
        <v>84.4</v>
      </c>
      <c r="O850">
        <f>ABS(L850-TMTB!$C$34)</f>
        <v>0.94328435823425794</v>
      </c>
      <c r="P850">
        <f t="shared" si="14"/>
        <v>84.4</v>
      </c>
    </row>
    <row r="851" spans="10:16">
      <c r="J851" s="5"/>
      <c r="L851">
        <f>TMTB!M851</f>
        <v>0.83468752000000002</v>
      </c>
      <c r="M851">
        <f>TMTB!N851</f>
        <v>84.5</v>
      </c>
      <c r="O851">
        <f>ABS(L851-TMTB!$C$34)</f>
        <v>0.94672977423425797</v>
      </c>
      <c r="P851">
        <f t="shared" si="14"/>
        <v>84.5</v>
      </c>
    </row>
    <row r="852" spans="10:16">
      <c r="J852" s="5"/>
      <c r="L852">
        <f>TMTB!M852</f>
        <v>0.83813293600000005</v>
      </c>
      <c r="M852">
        <f>TMTB!N852</f>
        <v>84.6</v>
      </c>
      <c r="O852">
        <f>ABS(L852-TMTB!$C$34)</f>
        <v>0.950175190234258</v>
      </c>
      <c r="P852">
        <f t="shared" si="14"/>
        <v>84.6</v>
      </c>
    </row>
    <row r="853" spans="10:16">
      <c r="J853" s="5"/>
      <c r="L853">
        <f>TMTB!M853</f>
        <v>0.840606568</v>
      </c>
      <c r="M853">
        <f>TMTB!N853</f>
        <v>84.7</v>
      </c>
      <c r="O853">
        <f>ABS(L853-TMTB!$C$34)</f>
        <v>0.95264882223425795</v>
      </c>
      <c r="P853">
        <f t="shared" si="14"/>
        <v>84.7</v>
      </c>
    </row>
    <row r="854" spans="10:16">
      <c r="J854" s="5"/>
      <c r="L854">
        <f>TMTB!M854</f>
        <v>0.84290351200000002</v>
      </c>
      <c r="M854">
        <f>TMTB!N854</f>
        <v>84.8</v>
      </c>
      <c r="O854">
        <f>ABS(L854-TMTB!$C$34)</f>
        <v>0.95494576623425798</v>
      </c>
      <c r="P854">
        <f t="shared" si="14"/>
        <v>84.8</v>
      </c>
    </row>
    <row r="855" spans="10:16">
      <c r="J855" s="5"/>
      <c r="L855">
        <f>TMTB!M855</f>
        <v>0.84520045600000004</v>
      </c>
      <c r="M855">
        <f>TMTB!N855</f>
        <v>84.9</v>
      </c>
      <c r="O855">
        <f>ABS(L855-TMTB!$C$34)</f>
        <v>0.957242710234258</v>
      </c>
      <c r="P855">
        <f t="shared" si="14"/>
        <v>84.9</v>
      </c>
    </row>
    <row r="856" spans="10:16">
      <c r="J856" s="5"/>
      <c r="L856">
        <f>TMTB!M856</f>
        <v>0.86318439999999796</v>
      </c>
      <c r="M856">
        <f>TMTB!N856</f>
        <v>85</v>
      </c>
      <c r="O856">
        <f>ABS(L856-TMTB!$C$34)</f>
        <v>0.97522665423425592</v>
      </c>
      <c r="P856">
        <f t="shared" si="14"/>
        <v>85</v>
      </c>
    </row>
    <row r="857" spans="10:16">
      <c r="J857" s="5"/>
      <c r="L857">
        <f>TMTB!M857</f>
        <v>0.88121316399999805</v>
      </c>
      <c r="M857">
        <f>TMTB!N857</f>
        <v>85.1</v>
      </c>
      <c r="O857">
        <f>ABS(L857-TMTB!$C$34)</f>
        <v>0.993255418234256</v>
      </c>
      <c r="P857">
        <f t="shared" si="14"/>
        <v>85.1</v>
      </c>
    </row>
    <row r="858" spans="10:16">
      <c r="J858" s="5"/>
      <c r="L858">
        <f>TMTB!M858</f>
        <v>0.89773990800000003</v>
      </c>
      <c r="M858">
        <f>TMTB!N858</f>
        <v>85.2</v>
      </c>
      <c r="O858">
        <f>ABS(L858-TMTB!$C$34)</f>
        <v>1.009782162234258</v>
      </c>
      <c r="P858">
        <f t="shared" si="14"/>
        <v>85.2</v>
      </c>
    </row>
    <row r="859" spans="10:16">
      <c r="J859" s="5"/>
      <c r="L859">
        <f>TMTB!M859</f>
        <v>0.905630037000001</v>
      </c>
      <c r="M859">
        <f>TMTB!N859</f>
        <v>85.3</v>
      </c>
      <c r="O859">
        <f>ABS(L859-TMTB!$C$34)</f>
        <v>1.0176722912342591</v>
      </c>
      <c r="P859">
        <f t="shared" si="14"/>
        <v>85.3</v>
      </c>
    </row>
    <row r="860" spans="10:16">
      <c r="J860" s="5"/>
      <c r="L860">
        <f>TMTB!M860</f>
        <v>0.91352016600000097</v>
      </c>
      <c r="M860">
        <f>TMTB!N860</f>
        <v>85.4</v>
      </c>
      <c r="O860">
        <f>ABS(L860-TMTB!$C$34)</f>
        <v>1.025562420234259</v>
      </c>
      <c r="P860">
        <f t="shared" si="14"/>
        <v>85.4</v>
      </c>
    </row>
    <row r="861" spans="10:16">
      <c r="J861" s="5"/>
      <c r="L861">
        <f>TMTB!M861</f>
        <v>0.92688783000000097</v>
      </c>
      <c r="M861">
        <f>TMTB!N861</f>
        <v>85.5</v>
      </c>
      <c r="O861">
        <f>ABS(L861-TMTB!$C$34)</f>
        <v>1.038930084234259</v>
      </c>
      <c r="P861">
        <f t="shared" si="14"/>
        <v>85.5</v>
      </c>
    </row>
    <row r="862" spans="10:16">
      <c r="J862" s="5"/>
      <c r="L862">
        <f>TMTB!M862</f>
        <v>0.95308857600000096</v>
      </c>
      <c r="M862">
        <f>TMTB!N862</f>
        <v>85.6</v>
      </c>
      <c r="O862">
        <f>ABS(L862-TMTB!$C$34)</f>
        <v>1.065130830234259</v>
      </c>
      <c r="P862">
        <f t="shared" si="14"/>
        <v>85.6</v>
      </c>
    </row>
    <row r="863" spans="10:16">
      <c r="J863" s="5"/>
      <c r="L863">
        <f>TMTB!M863</f>
        <v>0.97928932200000096</v>
      </c>
      <c r="M863">
        <f>TMTB!N863</f>
        <v>85.7</v>
      </c>
      <c r="O863">
        <f>ABS(L863-TMTB!$C$34)</f>
        <v>1.091331576234259</v>
      </c>
      <c r="P863">
        <f t="shared" si="14"/>
        <v>85.7</v>
      </c>
    </row>
    <row r="864" spans="10:16">
      <c r="J864" s="5"/>
      <c r="L864">
        <f>TMTB!M864</f>
        <v>0.99427538599999998</v>
      </c>
      <c r="M864">
        <f>TMTB!N864</f>
        <v>85.8</v>
      </c>
      <c r="O864">
        <f>ABS(L864-TMTB!$C$34)</f>
        <v>1.106317640234258</v>
      </c>
      <c r="P864">
        <f t="shared" si="14"/>
        <v>85.8</v>
      </c>
    </row>
    <row r="865" spans="10:16">
      <c r="J865" s="5"/>
      <c r="L865">
        <f>TMTB!M865</f>
        <v>0.99556250300000004</v>
      </c>
      <c r="M865">
        <f>TMTB!N865</f>
        <v>85.9</v>
      </c>
      <c r="O865">
        <f>ABS(L865-TMTB!$C$34)</f>
        <v>1.107604757234258</v>
      </c>
      <c r="P865">
        <f t="shared" si="14"/>
        <v>85.9</v>
      </c>
    </row>
    <row r="866" spans="10:16">
      <c r="J866" s="5"/>
      <c r="L866">
        <f>TMTB!M866</f>
        <v>0.99684961999999999</v>
      </c>
      <c r="M866">
        <f>TMTB!N866</f>
        <v>86</v>
      </c>
      <c r="O866">
        <f>ABS(L866-TMTB!$C$34)</f>
        <v>1.1088918742342579</v>
      </c>
      <c r="P866">
        <f t="shared" si="14"/>
        <v>86</v>
      </c>
    </row>
    <row r="867" spans="10:16">
      <c r="J867" s="5"/>
      <c r="L867">
        <f>TMTB!M867</f>
        <v>0.99944451499999998</v>
      </c>
      <c r="M867">
        <f>TMTB!N867</f>
        <v>86.1</v>
      </c>
      <c r="O867">
        <f>ABS(L867-TMTB!$C$34)</f>
        <v>1.111486769234258</v>
      </c>
      <c r="P867">
        <f t="shared" si="14"/>
        <v>86.1</v>
      </c>
    </row>
    <row r="868" spans="10:16">
      <c r="J868" s="5"/>
      <c r="L868">
        <f>TMTB!M868</f>
        <v>1.0029071300000001</v>
      </c>
      <c r="M868">
        <f>TMTB!N868</f>
        <v>86.2</v>
      </c>
      <c r="O868">
        <f>ABS(L868-TMTB!$C$34)</f>
        <v>1.1149493842342582</v>
      </c>
      <c r="P868">
        <f t="shared" si="14"/>
        <v>86.2</v>
      </c>
    </row>
    <row r="869" spans="10:16">
      <c r="J869" s="5"/>
      <c r="L869">
        <f>TMTB!M869</f>
        <v>1.006369745</v>
      </c>
      <c r="M869">
        <f>TMTB!N869</f>
        <v>86.3</v>
      </c>
      <c r="O869">
        <f>ABS(L869-TMTB!$C$34)</f>
        <v>1.118411999234258</v>
      </c>
      <c r="P869">
        <f t="shared" si="14"/>
        <v>86.3</v>
      </c>
    </row>
    <row r="870" spans="10:16">
      <c r="J870" s="5"/>
      <c r="L870">
        <f>TMTB!M870</f>
        <v>1.0124245759999999</v>
      </c>
      <c r="M870">
        <f>TMTB!N870</f>
        <v>86.4</v>
      </c>
      <c r="O870">
        <f>ABS(L870-TMTB!$C$34)</f>
        <v>1.124466830234258</v>
      </c>
      <c r="P870">
        <f t="shared" si="14"/>
        <v>86.4</v>
      </c>
    </row>
    <row r="871" spans="10:16">
      <c r="J871" s="5"/>
      <c r="L871">
        <f>TMTB!M871</f>
        <v>1.01933366</v>
      </c>
      <c r="M871">
        <f>TMTB!N871</f>
        <v>86.5</v>
      </c>
      <c r="O871">
        <f>ABS(L871-TMTB!$C$34)</f>
        <v>1.1313759142342581</v>
      </c>
      <c r="P871">
        <f t="shared" si="14"/>
        <v>86.5</v>
      </c>
    </row>
    <row r="872" spans="10:16">
      <c r="J872" s="5"/>
      <c r="L872">
        <f>TMTB!M872</f>
        <v>1.0262427439999999</v>
      </c>
      <c r="M872">
        <f>TMTB!N872</f>
        <v>86.6</v>
      </c>
      <c r="O872">
        <f>ABS(L872-TMTB!$C$34)</f>
        <v>1.138284998234258</v>
      </c>
      <c r="P872">
        <f t="shared" si="14"/>
        <v>86.6</v>
      </c>
    </row>
    <row r="873" spans="10:16">
      <c r="J873" s="5"/>
      <c r="L873">
        <f>TMTB!M873</f>
        <v>1.0464712169999999</v>
      </c>
      <c r="M873">
        <f>TMTB!N873</f>
        <v>86.7</v>
      </c>
      <c r="O873">
        <f>ABS(L873-TMTB!$C$34)</f>
        <v>1.158513471234258</v>
      </c>
      <c r="P873">
        <f t="shared" si="14"/>
        <v>86.7</v>
      </c>
    </row>
    <row r="874" spans="10:16">
      <c r="J874" s="5"/>
      <c r="L874">
        <f>TMTB!M874</f>
        <v>1.0681282679999999</v>
      </c>
      <c r="M874">
        <f>TMTB!N874</f>
        <v>86.8</v>
      </c>
      <c r="O874">
        <f>ABS(L874-TMTB!$C$34)</f>
        <v>1.180170522234258</v>
      </c>
      <c r="P874">
        <f t="shared" si="14"/>
        <v>86.8</v>
      </c>
    </row>
    <row r="875" spans="10:16">
      <c r="J875" s="5"/>
      <c r="L875">
        <f>TMTB!M875</f>
        <v>1.0888219429999999</v>
      </c>
      <c r="M875">
        <f>TMTB!N875</f>
        <v>86.9</v>
      </c>
      <c r="O875">
        <f>ABS(L875-TMTB!$C$34)</f>
        <v>1.200864197234258</v>
      </c>
      <c r="P875">
        <f t="shared" si="14"/>
        <v>86.9</v>
      </c>
    </row>
    <row r="876" spans="10:16">
      <c r="J876" s="5"/>
      <c r="L876">
        <f>TMTB!M876</f>
        <v>1.0926818899999999</v>
      </c>
      <c r="M876">
        <f>TMTB!N876</f>
        <v>87</v>
      </c>
      <c r="O876">
        <f>ABS(L876-TMTB!$C$34)</f>
        <v>1.204724144234258</v>
      </c>
      <c r="P876">
        <f t="shared" si="14"/>
        <v>87</v>
      </c>
    </row>
    <row r="877" spans="10:16">
      <c r="J877" s="5"/>
      <c r="L877">
        <f>TMTB!M877</f>
        <v>1.096541837</v>
      </c>
      <c r="M877">
        <f>TMTB!N877</f>
        <v>87.1</v>
      </c>
      <c r="O877">
        <f>ABS(L877-TMTB!$C$34)</f>
        <v>1.208584091234258</v>
      </c>
      <c r="P877">
        <f t="shared" si="14"/>
        <v>87.1</v>
      </c>
    </row>
    <row r="878" spans="10:16">
      <c r="J878" s="5"/>
      <c r="L878">
        <f>TMTB!M878</f>
        <v>1.103176808</v>
      </c>
      <c r="M878">
        <f>TMTB!N878</f>
        <v>87.2</v>
      </c>
      <c r="O878">
        <f>ABS(L878-TMTB!$C$34)</f>
        <v>1.215219062234258</v>
      </c>
      <c r="P878">
        <f t="shared" si="14"/>
        <v>87.2</v>
      </c>
    </row>
    <row r="879" spans="10:16">
      <c r="J879" s="5"/>
      <c r="L879">
        <f>TMTB!M879</f>
        <v>1.120564997</v>
      </c>
      <c r="M879">
        <f>TMTB!N879</f>
        <v>87.3</v>
      </c>
      <c r="O879">
        <f>ABS(L879-TMTB!$C$34)</f>
        <v>1.2326072512342581</v>
      </c>
      <c r="P879">
        <f t="shared" si="14"/>
        <v>87.3</v>
      </c>
    </row>
    <row r="880" spans="10:16">
      <c r="J880" s="5"/>
      <c r="L880">
        <f>TMTB!M880</f>
        <v>1.1379531860000001</v>
      </c>
      <c r="M880">
        <f>TMTB!N880</f>
        <v>87.4</v>
      </c>
      <c r="O880">
        <f>ABS(L880-TMTB!$C$34)</f>
        <v>1.2499954402342581</v>
      </c>
      <c r="P880">
        <f t="shared" si="14"/>
        <v>87.4</v>
      </c>
    </row>
    <row r="881" spans="10:16">
      <c r="J881" s="5"/>
      <c r="L881">
        <f>TMTB!M881</f>
        <v>1.15342525</v>
      </c>
      <c r="M881">
        <f>TMTB!N881</f>
        <v>87.5</v>
      </c>
      <c r="O881">
        <f>ABS(L881-TMTB!$C$34)</f>
        <v>1.265467504234258</v>
      </c>
      <c r="P881">
        <f t="shared" si="14"/>
        <v>87.5</v>
      </c>
    </row>
    <row r="882" spans="10:16">
      <c r="J882" s="5"/>
      <c r="L882">
        <f>TMTB!M882</f>
        <v>1.16543296</v>
      </c>
      <c r="M882">
        <f>TMTB!N882</f>
        <v>87.6</v>
      </c>
      <c r="O882">
        <f>ABS(L882-TMTB!$C$34)</f>
        <v>1.277475214234258</v>
      </c>
      <c r="P882">
        <f t="shared" si="14"/>
        <v>87.6</v>
      </c>
    </row>
    <row r="883" spans="10:16">
      <c r="J883" s="5"/>
      <c r="L883">
        <f>TMTB!M883</f>
        <v>1.17744067</v>
      </c>
      <c r="M883">
        <f>TMTB!N883</f>
        <v>87.7</v>
      </c>
      <c r="O883">
        <f>ABS(L883-TMTB!$C$34)</f>
        <v>1.289482924234258</v>
      </c>
      <c r="P883">
        <f t="shared" si="14"/>
        <v>87.7</v>
      </c>
    </row>
    <row r="884" spans="10:16">
      <c r="J884" s="5"/>
      <c r="L884">
        <f>TMTB!M884</f>
        <v>1.1847498919999999</v>
      </c>
      <c r="M884">
        <f>TMTB!N884</f>
        <v>87.8</v>
      </c>
      <c r="O884">
        <f>ABS(L884-TMTB!$C$34)</f>
        <v>1.296792146234258</v>
      </c>
      <c r="P884">
        <f t="shared" si="14"/>
        <v>87.8</v>
      </c>
    </row>
    <row r="885" spans="10:16">
      <c r="J885" s="5"/>
      <c r="L885">
        <f>TMTB!M885</f>
        <v>1.187492606</v>
      </c>
      <c r="M885">
        <f>TMTB!N885</f>
        <v>87.9</v>
      </c>
      <c r="O885">
        <f>ABS(L885-TMTB!$C$34)</f>
        <v>1.299534860234258</v>
      </c>
      <c r="P885">
        <f t="shared" si="14"/>
        <v>87.9</v>
      </c>
    </row>
    <row r="886" spans="10:16">
      <c r="J886" s="5"/>
      <c r="L886">
        <f>TMTB!M886</f>
        <v>1.19023532</v>
      </c>
      <c r="M886">
        <f>TMTB!N886</f>
        <v>88</v>
      </c>
      <c r="O886">
        <f>ABS(L886-TMTB!$C$34)</f>
        <v>1.3022775742342581</v>
      </c>
      <c r="P886">
        <f t="shared" si="14"/>
        <v>88</v>
      </c>
    </row>
    <row r="887" spans="10:16">
      <c r="J887" s="5"/>
      <c r="L887">
        <f>TMTB!M887</f>
        <v>1.1944448839999999</v>
      </c>
      <c r="M887">
        <f>TMTB!N887</f>
        <v>88.1</v>
      </c>
      <c r="O887">
        <f>ABS(L887-TMTB!$C$34)</f>
        <v>1.306487138234258</v>
      </c>
      <c r="P887">
        <f t="shared" si="14"/>
        <v>88.1</v>
      </c>
    </row>
    <row r="888" spans="10:16">
      <c r="J888" s="5"/>
      <c r="L888">
        <f>TMTB!M888</f>
        <v>1.199416448</v>
      </c>
      <c r="M888">
        <f>TMTB!N888</f>
        <v>88.2</v>
      </c>
      <c r="O888">
        <f>ABS(L888-TMTB!$C$34)</f>
        <v>1.3114587022342581</v>
      </c>
      <c r="P888">
        <f t="shared" si="14"/>
        <v>88.2</v>
      </c>
    </row>
    <row r="889" spans="10:16">
      <c r="J889" s="5"/>
      <c r="L889">
        <f>TMTB!M889</f>
        <v>1.2043880119999999</v>
      </c>
      <c r="M889">
        <f>TMTB!N889</f>
        <v>88.3</v>
      </c>
      <c r="O889">
        <f>ABS(L889-TMTB!$C$34)</f>
        <v>1.316430266234258</v>
      </c>
      <c r="P889">
        <f t="shared" si="14"/>
        <v>88.3</v>
      </c>
    </row>
    <row r="890" spans="10:16">
      <c r="J890" s="5"/>
      <c r="L890">
        <f>TMTB!M890</f>
        <v>1.2102064640000001</v>
      </c>
      <c r="M890">
        <f>TMTB!N890</f>
        <v>88.4</v>
      </c>
      <c r="O890">
        <f>ABS(L890-TMTB!$C$34)</f>
        <v>1.3222487182342582</v>
      </c>
      <c r="P890">
        <f t="shared" si="14"/>
        <v>88.4</v>
      </c>
    </row>
    <row r="891" spans="10:16">
      <c r="J891" s="5"/>
      <c r="L891">
        <f>TMTB!M891</f>
        <v>1.2162247100000001</v>
      </c>
      <c r="M891">
        <f>TMTB!N891</f>
        <v>88.5</v>
      </c>
      <c r="O891">
        <f>ABS(L891-TMTB!$C$34)</f>
        <v>1.3282669642342582</v>
      </c>
      <c r="P891">
        <f t="shared" si="14"/>
        <v>88.5</v>
      </c>
    </row>
    <row r="892" spans="10:16">
      <c r="J892" s="5"/>
      <c r="L892">
        <f>TMTB!M892</f>
        <v>1.2222429560000001</v>
      </c>
      <c r="M892">
        <f>TMTB!N892</f>
        <v>88.6</v>
      </c>
      <c r="O892">
        <f>ABS(L892-TMTB!$C$34)</f>
        <v>1.3342852102342582</v>
      </c>
      <c r="P892">
        <f t="shared" si="14"/>
        <v>88.6</v>
      </c>
    </row>
    <row r="893" spans="10:16">
      <c r="J893" s="5"/>
      <c r="L893">
        <f>TMTB!M893</f>
        <v>1.2298845309999999</v>
      </c>
      <c r="M893">
        <f>TMTB!N893</f>
        <v>88.7</v>
      </c>
      <c r="O893">
        <f>ABS(L893-TMTB!$C$34)</f>
        <v>1.341926785234258</v>
      </c>
      <c r="P893">
        <f t="shared" si="14"/>
        <v>88.7</v>
      </c>
    </row>
    <row r="894" spans="10:16">
      <c r="J894" s="5"/>
      <c r="L894">
        <f>TMTB!M894</f>
        <v>1.2375935440000001</v>
      </c>
      <c r="M894">
        <f>TMTB!N894</f>
        <v>88.8</v>
      </c>
      <c r="O894">
        <f>ABS(L894-TMTB!$C$34)</f>
        <v>1.3496357982342582</v>
      </c>
      <c r="P894">
        <f t="shared" si="14"/>
        <v>88.8</v>
      </c>
    </row>
    <row r="895" spans="10:16">
      <c r="J895" s="5"/>
      <c r="L895">
        <f>TMTB!M895</f>
        <v>1.2463491609999999</v>
      </c>
      <c r="M895">
        <f>TMTB!N895</f>
        <v>88.9</v>
      </c>
      <c r="O895">
        <f>ABS(L895-TMTB!$C$34)</f>
        <v>1.358391415234258</v>
      </c>
      <c r="P895">
        <f t="shared" si="14"/>
        <v>88.9</v>
      </c>
    </row>
    <row r="896" spans="10:16">
      <c r="J896" s="5"/>
      <c r="L896">
        <f>TMTB!M896</f>
        <v>1.26347761</v>
      </c>
      <c r="M896">
        <f>TMTB!N896</f>
        <v>89</v>
      </c>
      <c r="O896">
        <f>ABS(L896-TMTB!$C$34)</f>
        <v>1.3755198642342581</v>
      </c>
      <c r="P896">
        <f t="shared" si="14"/>
        <v>89</v>
      </c>
    </row>
    <row r="897" spans="10:16">
      <c r="J897" s="5"/>
      <c r="L897">
        <f>TMTB!M897</f>
        <v>1.2806060589999999</v>
      </c>
      <c r="M897">
        <f>TMTB!N897</f>
        <v>89.1</v>
      </c>
      <c r="O897">
        <f>ABS(L897-TMTB!$C$34)</f>
        <v>1.392648313234258</v>
      </c>
      <c r="P897">
        <f t="shared" si="14"/>
        <v>89.1</v>
      </c>
    </row>
    <row r="898" spans="10:16">
      <c r="J898" s="5"/>
      <c r="L898">
        <f>TMTB!M898</f>
        <v>1.2940763120000001</v>
      </c>
      <c r="M898">
        <f>TMTB!N898</f>
        <v>89.2</v>
      </c>
      <c r="O898">
        <f>ABS(L898-TMTB!$C$34)</f>
        <v>1.4061185662342581</v>
      </c>
      <c r="P898">
        <f t="shared" si="14"/>
        <v>89.2</v>
      </c>
    </row>
    <row r="899" spans="10:16">
      <c r="J899" s="5"/>
      <c r="L899">
        <f>TMTB!M899</f>
        <v>1.2972479480000001</v>
      </c>
      <c r="M899">
        <f>TMTB!N899</f>
        <v>89.3</v>
      </c>
      <c r="O899">
        <f>ABS(L899-TMTB!$C$34)</f>
        <v>1.4092902022342582</v>
      </c>
      <c r="P899">
        <f t="shared" si="14"/>
        <v>89.3</v>
      </c>
    </row>
    <row r="900" spans="10:16">
      <c r="J900" s="5"/>
      <c r="L900">
        <f>TMTB!M900</f>
        <v>1.3004195839999999</v>
      </c>
      <c r="M900">
        <f>TMTB!N900</f>
        <v>89.4</v>
      </c>
      <c r="O900">
        <f>ABS(L900-TMTB!$C$34)</f>
        <v>1.412461838234258</v>
      </c>
      <c r="P900">
        <f t="shared" si="14"/>
        <v>89.4</v>
      </c>
    </row>
    <row r="901" spans="10:16">
      <c r="J901" s="5"/>
      <c r="L901">
        <f>TMTB!M901</f>
        <v>1.30471062</v>
      </c>
      <c r="M901">
        <f>TMTB!N901</f>
        <v>89.5</v>
      </c>
      <c r="O901">
        <f>ABS(L901-TMTB!$C$34)</f>
        <v>1.4167528742342581</v>
      </c>
      <c r="P901">
        <f t="shared" si="14"/>
        <v>89.5</v>
      </c>
    </row>
    <row r="902" spans="10:16">
      <c r="J902" s="5"/>
      <c r="L902">
        <f>TMTB!M902</f>
        <v>1.310591976</v>
      </c>
      <c r="M902">
        <f>TMTB!N902</f>
        <v>89.6</v>
      </c>
      <c r="O902">
        <f>ABS(L902-TMTB!$C$34)</f>
        <v>1.4226342302342581</v>
      </c>
      <c r="P902">
        <f t="shared" si="14"/>
        <v>89.6</v>
      </c>
    </row>
    <row r="903" spans="10:16">
      <c r="J903" s="5"/>
      <c r="L903">
        <f>TMTB!M903</f>
        <v>1.3164733319999999</v>
      </c>
      <c r="M903">
        <f>TMTB!N903</f>
        <v>89.7</v>
      </c>
      <c r="O903">
        <f>ABS(L903-TMTB!$C$34)</f>
        <v>1.428515586234258</v>
      </c>
      <c r="P903">
        <f t="shared" ref="P903:P966" si="15">M903</f>
        <v>89.7</v>
      </c>
    </row>
    <row r="904" spans="10:16">
      <c r="J904" s="5"/>
      <c r="L904">
        <f>TMTB!M904</f>
        <v>1.327919082</v>
      </c>
      <c r="M904">
        <f>TMTB!N904</f>
        <v>89.8</v>
      </c>
      <c r="O904">
        <f>ABS(L904-TMTB!$C$34)</f>
        <v>1.439961336234258</v>
      </c>
      <c r="P904">
        <f t="shared" si="15"/>
        <v>89.8</v>
      </c>
    </row>
    <row r="905" spans="10:16">
      <c r="J905" s="5"/>
      <c r="L905">
        <f>TMTB!M905</f>
        <v>1.343664591</v>
      </c>
      <c r="M905">
        <f>TMTB!N905</f>
        <v>89.9</v>
      </c>
      <c r="O905">
        <f>ABS(L905-TMTB!$C$34)</f>
        <v>1.4557068452342581</v>
      </c>
      <c r="P905">
        <f t="shared" si="15"/>
        <v>89.9</v>
      </c>
    </row>
    <row r="906" spans="10:16">
      <c r="J906" s="5"/>
      <c r="L906">
        <f>TMTB!M906</f>
        <v>1.3594101000000001</v>
      </c>
      <c r="M906">
        <f>TMTB!N906</f>
        <v>90</v>
      </c>
      <c r="O906">
        <f>ABS(L906-TMTB!$C$34)</f>
        <v>1.4714523542342581</v>
      </c>
      <c r="P906">
        <f t="shared" si="15"/>
        <v>90</v>
      </c>
    </row>
    <row r="907" spans="10:16">
      <c r="J907" s="5"/>
      <c r="L907">
        <f>TMTB!M907</f>
        <v>1.365949933</v>
      </c>
      <c r="M907">
        <f>TMTB!N907</f>
        <v>90.1</v>
      </c>
      <c r="O907">
        <f>ABS(L907-TMTB!$C$34)</f>
        <v>1.4779921872342581</v>
      </c>
      <c r="P907">
        <f t="shared" si="15"/>
        <v>90.1</v>
      </c>
    </row>
    <row r="908" spans="10:16">
      <c r="J908" s="5"/>
      <c r="L908">
        <f>TMTB!M908</f>
        <v>1.368822166</v>
      </c>
      <c r="M908">
        <f>TMTB!N908</f>
        <v>90.2</v>
      </c>
      <c r="O908">
        <f>ABS(L908-TMTB!$C$34)</f>
        <v>1.480864420234258</v>
      </c>
      <c r="P908">
        <f t="shared" si="15"/>
        <v>90.2</v>
      </c>
    </row>
    <row r="909" spans="10:16">
      <c r="J909" s="5"/>
      <c r="L909">
        <f>TMTB!M909</f>
        <v>1.3716943989999999</v>
      </c>
      <c r="M909">
        <f>TMTB!N909</f>
        <v>90.3</v>
      </c>
      <c r="O909">
        <f>ABS(L909-TMTB!$C$34)</f>
        <v>1.483736653234258</v>
      </c>
      <c r="P909">
        <f t="shared" si="15"/>
        <v>90.3</v>
      </c>
    </row>
    <row r="910" spans="10:16">
      <c r="J910" s="5"/>
      <c r="L910">
        <f>TMTB!M910</f>
        <v>1.3744468560000001</v>
      </c>
      <c r="M910">
        <f>TMTB!N910</f>
        <v>90.4</v>
      </c>
      <c r="O910">
        <f>ABS(L910-TMTB!$C$34)</f>
        <v>1.4864891102342581</v>
      </c>
      <c r="P910">
        <f t="shared" si="15"/>
        <v>90.4</v>
      </c>
    </row>
    <row r="911" spans="10:16">
      <c r="J911" s="5"/>
      <c r="L911">
        <f>TMTB!M911</f>
        <v>1.3771807949999999</v>
      </c>
      <c r="M911">
        <f>TMTB!N911</f>
        <v>90.5</v>
      </c>
      <c r="O911">
        <f>ABS(L911-TMTB!$C$34)</f>
        <v>1.489223049234258</v>
      </c>
      <c r="P911">
        <f t="shared" si="15"/>
        <v>90.5</v>
      </c>
    </row>
    <row r="912" spans="10:16">
      <c r="J912" s="5"/>
      <c r="L912">
        <f>TMTB!M912</f>
        <v>1.3806247380000001</v>
      </c>
      <c r="M912">
        <f>TMTB!N912</f>
        <v>90.6</v>
      </c>
      <c r="O912">
        <f>ABS(L912-TMTB!$C$34)</f>
        <v>1.4926669922342581</v>
      </c>
      <c r="P912">
        <f t="shared" si="15"/>
        <v>90.6</v>
      </c>
    </row>
    <row r="913" spans="10:16">
      <c r="J913" s="5"/>
      <c r="L913">
        <f>TMTB!M913</f>
        <v>1.4248939110000001</v>
      </c>
      <c r="M913">
        <f>TMTB!N913</f>
        <v>90.7</v>
      </c>
      <c r="O913">
        <f>ABS(L913-TMTB!$C$34)</f>
        <v>1.5369361652342581</v>
      </c>
      <c r="P913">
        <f t="shared" si="15"/>
        <v>90.7</v>
      </c>
    </row>
    <row r="914" spans="10:16">
      <c r="J914" s="5"/>
      <c r="L914">
        <f>TMTB!M914</f>
        <v>1.4691630840000001</v>
      </c>
      <c r="M914">
        <f>TMTB!N914</f>
        <v>90.8</v>
      </c>
      <c r="O914">
        <f>ABS(L914-TMTB!$C$34)</f>
        <v>1.5812053382342581</v>
      </c>
      <c r="P914">
        <f t="shared" si="15"/>
        <v>90.8</v>
      </c>
    </row>
    <row r="915" spans="10:16">
      <c r="J915" s="5"/>
      <c r="L915">
        <f>TMTB!M915</f>
        <v>1.508791671</v>
      </c>
      <c r="M915">
        <f>TMTB!N915</f>
        <v>90.9</v>
      </c>
      <c r="O915">
        <f>ABS(L915-TMTB!$C$34)</f>
        <v>1.6208339252342581</v>
      </c>
      <c r="P915">
        <f t="shared" si="15"/>
        <v>90.9</v>
      </c>
    </row>
    <row r="916" spans="10:16">
      <c r="J916" s="5"/>
      <c r="L916">
        <f>TMTB!M916</f>
        <v>1.52545329</v>
      </c>
      <c r="M916">
        <f>TMTB!N916</f>
        <v>91</v>
      </c>
      <c r="O916">
        <f>ABS(L916-TMTB!$C$34)</f>
        <v>1.637495544234258</v>
      </c>
      <c r="P916">
        <f t="shared" si="15"/>
        <v>91</v>
      </c>
    </row>
    <row r="917" spans="10:16">
      <c r="J917" s="5"/>
      <c r="L917">
        <f>TMTB!M917</f>
        <v>1.5421149089999999</v>
      </c>
      <c r="M917">
        <f>TMTB!N917</f>
        <v>91.1</v>
      </c>
      <c r="O917">
        <f>ABS(L917-TMTB!$C$34)</f>
        <v>1.654157163234258</v>
      </c>
      <c r="P917">
        <f t="shared" si="15"/>
        <v>91.1</v>
      </c>
    </row>
    <row r="918" spans="10:16">
      <c r="J918" s="5"/>
      <c r="L918">
        <f>TMTB!M918</f>
        <v>1.5564884800000001</v>
      </c>
      <c r="M918">
        <f>TMTB!N918</f>
        <v>91.2</v>
      </c>
      <c r="O918">
        <f>ABS(L918-TMTB!$C$34)</f>
        <v>1.6685307342342581</v>
      </c>
      <c r="P918">
        <f t="shared" si="15"/>
        <v>91.2</v>
      </c>
    </row>
    <row r="919" spans="10:16">
      <c r="J919" s="5"/>
      <c r="L919">
        <f>TMTB!M919</f>
        <v>1.56597952</v>
      </c>
      <c r="M919">
        <f>TMTB!N919</f>
        <v>91.3</v>
      </c>
      <c r="O919">
        <f>ABS(L919-TMTB!$C$34)</f>
        <v>1.678021774234258</v>
      </c>
      <c r="P919">
        <f t="shared" si="15"/>
        <v>91.3</v>
      </c>
    </row>
    <row r="920" spans="10:16">
      <c r="J920" s="5"/>
      <c r="L920">
        <f>TMTB!M920</f>
        <v>1.5754705600000001</v>
      </c>
      <c r="M920">
        <f>TMTB!N920</f>
        <v>91.4</v>
      </c>
      <c r="O920">
        <f>ABS(L920-TMTB!$C$34)</f>
        <v>1.6875128142342581</v>
      </c>
      <c r="P920">
        <f t="shared" si="15"/>
        <v>91.4</v>
      </c>
    </row>
    <row r="921" spans="10:16">
      <c r="J921" s="5"/>
      <c r="L921">
        <f>TMTB!M921</f>
        <v>1.5858276849999999</v>
      </c>
      <c r="M921">
        <f>TMTB!N921</f>
        <v>91.5</v>
      </c>
      <c r="O921">
        <f>ABS(L921-TMTB!$C$34)</f>
        <v>1.697869939234258</v>
      </c>
      <c r="P921">
        <f t="shared" si="15"/>
        <v>91.5</v>
      </c>
    </row>
    <row r="922" spans="10:16">
      <c r="J922" s="5"/>
      <c r="L922">
        <f>TMTB!M922</f>
        <v>1.5971611240000001</v>
      </c>
      <c r="M922">
        <f>TMTB!N922</f>
        <v>91.6</v>
      </c>
      <c r="O922">
        <f>ABS(L922-TMTB!$C$34)</f>
        <v>1.7092033782342582</v>
      </c>
      <c r="P922">
        <f t="shared" si="15"/>
        <v>91.6</v>
      </c>
    </row>
    <row r="923" spans="10:16">
      <c r="J923" s="5"/>
      <c r="L923">
        <f>TMTB!M923</f>
        <v>1.608494563</v>
      </c>
      <c r="M923">
        <f>TMTB!N923</f>
        <v>91.7</v>
      </c>
      <c r="O923">
        <f>ABS(L923-TMTB!$C$34)</f>
        <v>1.7205368172342581</v>
      </c>
      <c r="P923">
        <f t="shared" si="15"/>
        <v>91.7</v>
      </c>
    </row>
    <row r="924" spans="10:16">
      <c r="J924" s="5"/>
      <c r="L924">
        <f>TMTB!M924</f>
        <v>1.6500340819999999</v>
      </c>
      <c r="M924">
        <f>TMTB!N924</f>
        <v>91.8</v>
      </c>
      <c r="O924">
        <f>ABS(L924-TMTB!$C$34)</f>
        <v>1.762076336234258</v>
      </c>
      <c r="P924">
        <f t="shared" si="15"/>
        <v>91.8</v>
      </c>
    </row>
    <row r="925" spans="10:16">
      <c r="J925" s="5"/>
      <c r="L925">
        <f>TMTB!M925</f>
        <v>1.7100020810000001</v>
      </c>
      <c r="M925">
        <f>TMTB!N925</f>
        <v>91.9</v>
      </c>
      <c r="O925">
        <f>ABS(L925-TMTB!$C$34)</f>
        <v>1.8220443352342581</v>
      </c>
      <c r="P925">
        <f t="shared" si="15"/>
        <v>91.9</v>
      </c>
    </row>
    <row r="926" spans="10:16">
      <c r="J926" s="5"/>
      <c r="L926">
        <f>TMTB!M926</f>
        <v>1.76997008</v>
      </c>
      <c r="M926">
        <f>TMTB!N926</f>
        <v>92</v>
      </c>
      <c r="O926">
        <f>ABS(L926-TMTB!$C$34)</f>
        <v>1.8820123342342581</v>
      </c>
      <c r="P926">
        <f t="shared" si="15"/>
        <v>92</v>
      </c>
    </row>
    <row r="927" spans="10:16">
      <c r="J927" s="5"/>
      <c r="L927">
        <f>TMTB!M927</f>
        <v>1.7879631600000001</v>
      </c>
      <c r="M927">
        <f>TMTB!N927</f>
        <v>92.1</v>
      </c>
      <c r="O927">
        <f>ABS(L927-TMTB!$C$34)</f>
        <v>1.9000054142342582</v>
      </c>
      <c r="P927">
        <f t="shared" si="15"/>
        <v>92.1</v>
      </c>
    </row>
    <row r="928" spans="10:16">
      <c r="J928" s="5"/>
      <c r="L928">
        <f>TMTB!M928</f>
        <v>1.79356512</v>
      </c>
      <c r="M928">
        <f>TMTB!N928</f>
        <v>92.2</v>
      </c>
      <c r="O928">
        <f>ABS(L928-TMTB!$C$34)</f>
        <v>1.9056073742342581</v>
      </c>
      <c r="P928">
        <f t="shared" si="15"/>
        <v>92.2</v>
      </c>
    </row>
    <row r="929" spans="10:16">
      <c r="J929" s="5"/>
      <c r="L929">
        <f>TMTB!M929</f>
        <v>1.7991670799999999</v>
      </c>
      <c r="M929">
        <f>TMTB!N929</f>
        <v>92.3</v>
      </c>
      <c r="O929">
        <f>ABS(L929-TMTB!$C$34)</f>
        <v>1.911209334234258</v>
      </c>
      <c r="P929">
        <f t="shared" si="15"/>
        <v>92.3</v>
      </c>
    </row>
    <row r="930" spans="10:16">
      <c r="J930" s="5"/>
      <c r="L930">
        <f>TMTB!M930</f>
        <v>1.8026060159999999</v>
      </c>
      <c r="M930">
        <f>TMTB!N930</f>
        <v>92.4</v>
      </c>
      <c r="O930">
        <f>ABS(L930-TMTB!$C$34)</f>
        <v>1.914648270234258</v>
      </c>
      <c r="P930">
        <f t="shared" si="15"/>
        <v>92.4</v>
      </c>
    </row>
    <row r="931" spans="10:16">
      <c r="J931" s="5"/>
      <c r="L931">
        <f>TMTB!M931</f>
        <v>1.8058647000000001</v>
      </c>
      <c r="M931">
        <f>TMTB!N931</f>
        <v>92.5</v>
      </c>
      <c r="O931">
        <f>ABS(L931-TMTB!$C$34)</f>
        <v>1.9179069542342582</v>
      </c>
      <c r="P931">
        <f t="shared" si="15"/>
        <v>92.5</v>
      </c>
    </row>
    <row r="932" spans="10:16">
      <c r="J932" s="5"/>
      <c r="L932">
        <f>TMTB!M932</f>
        <v>1.8094984860000001</v>
      </c>
      <c r="M932">
        <f>TMTB!N932</f>
        <v>92.6</v>
      </c>
      <c r="O932">
        <f>ABS(L932-TMTB!$C$34)</f>
        <v>1.9215407402342581</v>
      </c>
      <c r="P932">
        <f t="shared" si="15"/>
        <v>92.6</v>
      </c>
    </row>
    <row r="933" spans="10:16">
      <c r="J933" s="5"/>
      <c r="L933">
        <f>TMTB!M933</f>
        <v>1.817821047</v>
      </c>
      <c r="M933">
        <f>TMTB!N933</f>
        <v>92.7</v>
      </c>
      <c r="O933">
        <f>ABS(L933-TMTB!$C$34)</f>
        <v>1.9298633012342581</v>
      </c>
      <c r="P933">
        <f t="shared" si="15"/>
        <v>92.7</v>
      </c>
    </row>
    <row r="934" spans="10:16">
      <c r="J934" s="5"/>
      <c r="L934">
        <f>TMTB!M934</f>
        <v>1.826143608</v>
      </c>
      <c r="M934">
        <f>TMTB!N934</f>
        <v>92.8</v>
      </c>
      <c r="O934">
        <f>ABS(L934-TMTB!$C$34)</f>
        <v>1.938185862234258</v>
      </c>
      <c r="P934">
        <f t="shared" si="15"/>
        <v>92.8</v>
      </c>
    </row>
    <row r="935" spans="10:16">
      <c r="J935" s="5"/>
      <c r="L935">
        <f>TMTB!M935</f>
        <v>1.835025489</v>
      </c>
      <c r="M935">
        <f>TMTB!N935</f>
        <v>92.9</v>
      </c>
      <c r="O935">
        <f>ABS(L935-TMTB!$C$34)</f>
        <v>1.947067743234258</v>
      </c>
      <c r="P935">
        <f t="shared" si="15"/>
        <v>92.9</v>
      </c>
    </row>
    <row r="936" spans="10:16">
      <c r="J936" s="5"/>
      <c r="L936">
        <f>TMTB!M936</f>
        <v>1.8458331299999999</v>
      </c>
      <c r="M936">
        <f>TMTB!N936</f>
        <v>93</v>
      </c>
      <c r="O936">
        <f>ABS(L936-TMTB!$C$34)</f>
        <v>1.957875384234258</v>
      </c>
      <c r="P936">
        <f t="shared" si="15"/>
        <v>93</v>
      </c>
    </row>
    <row r="937" spans="10:16">
      <c r="J937" s="5"/>
      <c r="L937">
        <f>TMTB!M937</f>
        <v>1.8566407709999999</v>
      </c>
      <c r="M937">
        <f>TMTB!N937</f>
        <v>93.1</v>
      </c>
      <c r="O937">
        <f>ABS(L937-TMTB!$C$34)</f>
        <v>1.968683025234258</v>
      </c>
      <c r="P937">
        <f t="shared" si="15"/>
        <v>93.1</v>
      </c>
    </row>
    <row r="938" spans="10:16">
      <c r="J938" s="5"/>
      <c r="L938">
        <f>TMTB!M938</f>
        <v>1.8635457</v>
      </c>
      <c r="M938">
        <f>TMTB!N938</f>
        <v>93.2</v>
      </c>
      <c r="O938">
        <f>ABS(L938-TMTB!$C$34)</f>
        <v>1.975587954234258</v>
      </c>
      <c r="P938">
        <f t="shared" si="15"/>
        <v>93.2</v>
      </c>
    </row>
    <row r="939" spans="10:16">
      <c r="J939" s="5"/>
      <c r="L939">
        <f>TMTB!M939</f>
        <v>1.8639756750000001</v>
      </c>
      <c r="M939">
        <f>TMTB!N939</f>
        <v>93.3</v>
      </c>
      <c r="O939">
        <f>ABS(L939-TMTB!$C$34)</f>
        <v>1.9760179292342581</v>
      </c>
      <c r="P939">
        <f t="shared" si="15"/>
        <v>93.3</v>
      </c>
    </row>
    <row r="940" spans="10:16">
      <c r="J940" s="5"/>
      <c r="L940">
        <f>TMTB!M940</f>
        <v>1.8644056499999999</v>
      </c>
      <c r="M940">
        <f>TMTB!N940</f>
        <v>93.4</v>
      </c>
      <c r="O940">
        <f>ABS(L940-TMTB!$C$34)</f>
        <v>1.976447904234258</v>
      </c>
      <c r="P940">
        <f t="shared" si="15"/>
        <v>93.4</v>
      </c>
    </row>
    <row r="941" spans="10:16">
      <c r="J941" s="5"/>
      <c r="L941">
        <f>TMTB!M941</f>
        <v>1.8752226350000001</v>
      </c>
      <c r="M941">
        <f>TMTB!N941</f>
        <v>93.5</v>
      </c>
      <c r="O941">
        <f>ABS(L941-TMTB!$C$34)</f>
        <v>1.9872648892342581</v>
      </c>
      <c r="P941">
        <f t="shared" si="15"/>
        <v>93.5</v>
      </c>
    </row>
    <row r="942" spans="10:16">
      <c r="J942" s="5"/>
      <c r="L942">
        <f>TMTB!M942</f>
        <v>1.895359856</v>
      </c>
      <c r="M942">
        <f>TMTB!N942</f>
        <v>93.6</v>
      </c>
      <c r="O942">
        <f>ABS(L942-TMTB!$C$34)</f>
        <v>2.0074021102342581</v>
      </c>
      <c r="P942">
        <f t="shared" si="15"/>
        <v>93.6</v>
      </c>
    </row>
    <row r="943" spans="10:16">
      <c r="J943" s="5"/>
      <c r="L943">
        <f>TMTB!M943</f>
        <v>1.9154970769999999</v>
      </c>
      <c r="M943">
        <f>TMTB!N943</f>
        <v>93.7</v>
      </c>
      <c r="O943">
        <f>ABS(L943-TMTB!$C$34)</f>
        <v>2.0275393312342578</v>
      </c>
      <c r="P943">
        <f t="shared" si="15"/>
        <v>93.7</v>
      </c>
    </row>
    <row r="944" spans="10:16">
      <c r="J944" s="5"/>
      <c r="L944">
        <f>TMTB!M944</f>
        <v>1.9597403659999999</v>
      </c>
      <c r="M944">
        <f>TMTB!N944</f>
        <v>93.8</v>
      </c>
      <c r="O944">
        <f>ABS(L944-TMTB!$C$34)</f>
        <v>2.071782620234258</v>
      </c>
      <c r="P944">
        <f t="shared" si="15"/>
        <v>93.8</v>
      </c>
    </row>
    <row r="945" spans="10:16">
      <c r="J945" s="5"/>
      <c r="L945">
        <f>TMTB!M945</f>
        <v>2.0154289730000001</v>
      </c>
      <c r="M945">
        <f>TMTB!N945</f>
        <v>93.9</v>
      </c>
      <c r="O945">
        <f>ABS(L945-TMTB!$C$34)</f>
        <v>2.127471227234258</v>
      </c>
      <c r="P945">
        <f t="shared" si="15"/>
        <v>93.9</v>
      </c>
    </row>
    <row r="946" spans="10:16">
      <c r="J946" s="5"/>
      <c r="L946">
        <f>TMTB!M946</f>
        <v>2.0711175800000001</v>
      </c>
      <c r="M946">
        <f>TMTB!N946</f>
        <v>94</v>
      </c>
      <c r="O946">
        <f>ABS(L946-TMTB!$C$34)</f>
        <v>2.183159834234258</v>
      </c>
      <c r="P946">
        <f t="shared" si="15"/>
        <v>94</v>
      </c>
    </row>
    <row r="947" spans="10:16">
      <c r="J947" s="5"/>
      <c r="L947">
        <f>TMTB!M947</f>
        <v>2.090469599</v>
      </c>
      <c r="M947">
        <f>TMTB!N947</f>
        <v>94.1</v>
      </c>
      <c r="O947">
        <f>ABS(L947-TMTB!$C$34)</f>
        <v>2.2025118532342578</v>
      </c>
      <c r="P947">
        <f t="shared" si="15"/>
        <v>94.1</v>
      </c>
    </row>
    <row r="948" spans="10:16">
      <c r="J948" s="5"/>
      <c r="L948">
        <f>TMTB!M948</f>
        <v>2.1023295380000002</v>
      </c>
      <c r="M948">
        <f>TMTB!N948</f>
        <v>94.2</v>
      </c>
      <c r="O948">
        <f>ABS(L948-TMTB!$C$34)</f>
        <v>2.2143717922342581</v>
      </c>
      <c r="P948">
        <f t="shared" si="15"/>
        <v>94.2</v>
      </c>
    </row>
    <row r="949" spans="10:16">
      <c r="J949" s="5"/>
      <c r="L949">
        <f>TMTB!M949</f>
        <v>2.114189477</v>
      </c>
      <c r="M949">
        <f>TMTB!N949</f>
        <v>94.3</v>
      </c>
      <c r="O949">
        <f>ABS(L949-TMTB!$C$34)</f>
        <v>2.2262317312342579</v>
      </c>
      <c r="P949">
        <f t="shared" si="15"/>
        <v>94.3</v>
      </c>
    </row>
    <row r="950" spans="10:16">
      <c r="J950" s="5"/>
      <c r="L950">
        <f>TMTB!M950</f>
        <v>2.1236221519999998</v>
      </c>
      <c r="M950">
        <f>TMTB!N950</f>
        <v>94.4</v>
      </c>
      <c r="O950">
        <f>ABS(L950-TMTB!$C$34)</f>
        <v>2.2356644062342577</v>
      </c>
      <c r="P950">
        <f t="shared" si="15"/>
        <v>94.4</v>
      </c>
    </row>
    <row r="951" spans="10:16">
      <c r="J951" s="5"/>
      <c r="L951">
        <f>TMTB!M951</f>
        <v>2.1330054349999998</v>
      </c>
      <c r="M951">
        <f>TMTB!N951</f>
        <v>94.5</v>
      </c>
      <c r="O951">
        <f>ABS(L951-TMTB!$C$34)</f>
        <v>2.2450476892342577</v>
      </c>
      <c r="P951">
        <f t="shared" si="15"/>
        <v>94.5</v>
      </c>
    </row>
    <row r="952" spans="10:16">
      <c r="J952" s="5"/>
      <c r="L952">
        <f>TMTB!M952</f>
        <v>2.1436174700000001</v>
      </c>
      <c r="M952">
        <f>TMTB!N952</f>
        <v>94.6</v>
      </c>
      <c r="O952">
        <f>ABS(L952-TMTB!$C$34)</f>
        <v>2.255659724234258</v>
      </c>
      <c r="P952">
        <f t="shared" si="15"/>
        <v>94.6</v>
      </c>
    </row>
    <row r="953" spans="10:16">
      <c r="J953" s="5"/>
      <c r="L953">
        <f>TMTB!M953</f>
        <v>2.162376665</v>
      </c>
      <c r="M953">
        <f>TMTB!N953</f>
        <v>94.7</v>
      </c>
      <c r="O953">
        <f>ABS(L953-TMTB!$C$34)</f>
        <v>2.2744189192342579</v>
      </c>
      <c r="P953">
        <f t="shared" si="15"/>
        <v>94.7</v>
      </c>
    </row>
    <row r="954" spans="10:16">
      <c r="J954" s="5"/>
      <c r="L954">
        <f>TMTB!M954</f>
        <v>2.1811358599999999</v>
      </c>
      <c r="M954">
        <f>TMTB!N954</f>
        <v>94.8</v>
      </c>
      <c r="O954">
        <f>ABS(L954-TMTB!$C$34)</f>
        <v>2.2931781142342578</v>
      </c>
      <c r="P954">
        <f t="shared" si="15"/>
        <v>94.8</v>
      </c>
    </row>
    <row r="955" spans="10:16">
      <c r="J955" s="5"/>
      <c r="L955">
        <f>TMTB!M955</f>
        <v>2.1999301010000001</v>
      </c>
      <c r="M955">
        <f>TMTB!N955</f>
        <v>94.9</v>
      </c>
      <c r="O955">
        <f>ABS(L955-TMTB!$C$34)</f>
        <v>2.3119723552342579</v>
      </c>
      <c r="P955">
        <f t="shared" si="15"/>
        <v>94.9</v>
      </c>
    </row>
    <row r="956" spans="10:16">
      <c r="J956" s="5"/>
      <c r="L956">
        <f>TMTB!M956</f>
        <v>2.2188135500000001</v>
      </c>
      <c r="M956">
        <f>TMTB!N956</f>
        <v>95</v>
      </c>
      <c r="O956">
        <f>ABS(L956-TMTB!$C$34)</f>
        <v>2.330855804234258</v>
      </c>
      <c r="P956">
        <f t="shared" si="15"/>
        <v>95</v>
      </c>
    </row>
    <row r="957" spans="10:16">
      <c r="J957" s="5"/>
      <c r="L957">
        <f>TMTB!M957</f>
        <v>2.2376969990000002</v>
      </c>
      <c r="M957">
        <f>TMTB!N957</f>
        <v>95.1</v>
      </c>
      <c r="O957">
        <f>ABS(L957-TMTB!$C$34)</f>
        <v>2.349739253234258</v>
      </c>
      <c r="P957">
        <f t="shared" si="15"/>
        <v>95.1</v>
      </c>
    </row>
    <row r="958" spans="10:16">
      <c r="J958" s="5"/>
      <c r="L958">
        <f>TMTB!M958</f>
        <v>2.2487000080000001</v>
      </c>
      <c r="M958">
        <f>TMTB!N958</f>
        <v>95.2</v>
      </c>
      <c r="O958">
        <f>ABS(L958-TMTB!$C$34)</f>
        <v>2.360742262234258</v>
      </c>
      <c r="P958">
        <f t="shared" si="15"/>
        <v>95.2</v>
      </c>
    </row>
    <row r="959" spans="10:16">
      <c r="J959" s="5"/>
      <c r="L959">
        <f>TMTB!M959</f>
        <v>2.249385862</v>
      </c>
      <c r="M959">
        <f>TMTB!N959</f>
        <v>95.3</v>
      </c>
      <c r="O959">
        <f>ABS(L959-TMTB!$C$34)</f>
        <v>2.3614281162342579</v>
      </c>
      <c r="P959">
        <f t="shared" si="15"/>
        <v>95.3</v>
      </c>
    </row>
    <row r="960" spans="10:16">
      <c r="J960" s="5"/>
      <c r="L960">
        <f>TMTB!M960</f>
        <v>2.2500717159999999</v>
      </c>
      <c r="M960">
        <f>TMTB!N960</f>
        <v>95.4</v>
      </c>
      <c r="O960">
        <f>ABS(L960-TMTB!$C$34)</f>
        <v>2.3621139702342577</v>
      </c>
      <c r="P960">
        <f t="shared" si="15"/>
        <v>95.4</v>
      </c>
    </row>
    <row r="961" spans="10:16">
      <c r="J961" s="5"/>
      <c r="L961">
        <f>TMTB!M961</f>
        <v>2.2607609549999998</v>
      </c>
      <c r="M961">
        <f>TMTB!N961</f>
        <v>95.5</v>
      </c>
      <c r="O961">
        <f>ABS(L961-TMTB!$C$34)</f>
        <v>2.3728032092342577</v>
      </c>
      <c r="P961">
        <f t="shared" si="15"/>
        <v>95.5</v>
      </c>
    </row>
    <row r="962" spans="10:16">
      <c r="J962" s="5"/>
      <c r="L962">
        <f>TMTB!M962</f>
        <v>2.2785745560000001</v>
      </c>
      <c r="M962">
        <f>TMTB!N962</f>
        <v>95.6</v>
      </c>
      <c r="O962">
        <f>ABS(L962-TMTB!$C$34)</f>
        <v>2.390616810234258</v>
      </c>
      <c r="P962">
        <f t="shared" si="15"/>
        <v>95.6</v>
      </c>
    </row>
    <row r="963" spans="10:16">
      <c r="J963" s="5"/>
      <c r="L963">
        <f>TMTB!M963</f>
        <v>2.296388157</v>
      </c>
      <c r="M963">
        <f>TMTB!N963</f>
        <v>95.7</v>
      </c>
      <c r="O963">
        <f>ABS(L963-TMTB!$C$34)</f>
        <v>2.4084304112342578</v>
      </c>
      <c r="P963">
        <f t="shared" si="15"/>
        <v>95.7</v>
      </c>
    </row>
    <row r="964" spans="10:16">
      <c r="J964" s="5"/>
      <c r="L964">
        <f>TMTB!M964</f>
        <v>2.3031557459999998</v>
      </c>
      <c r="M964">
        <f>TMTB!N964</f>
        <v>95.8</v>
      </c>
      <c r="O964">
        <f>ABS(L964-TMTB!$C$34)</f>
        <v>2.4151980002342577</v>
      </c>
      <c r="P964">
        <f t="shared" si="15"/>
        <v>95.8</v>
      </c>
    </row>
    <row r="965" spans="10:16">
      <c r="J965" s="5"/>
      <c r="L965">
        <f>TMTB!M965</f>
        <v>2.3059416330000002</v>
      </c>
      <c r="M965">
        <f>TMTB!N965</f>
        <v>95.9</v>
      </c>
      <c r="O965">
        <f>ABS(L965-TMTB!$C$34)</f>
        <v>2.4179838872342581</v>
      </c>
      <c r="P965">
        <f t="shared" si="15"/>
        <v>95.9</v>
      </c>
    </row>
    <row r="966" spans="10:16">
      <c r="J966" s="5"/>
      <c r="L966">
        <f>TMTB!M966</f>
        <v>2.3087275200000001</v>
      </c>
      <c r="M966">
        <f>TMTB!N966</f>
        <v>96</v>
      </c>
      <c r="O966">
        <f>ABS(L966-TMTB!$C$34)</f>
        <v>2.420769774234258</v>
      </c>
      <c r="P966">
        <f t="shared" si="15"/>
        <v>96</v>
      </c>
    </row>
    <row r="967" spans="10:16">
      <c r="J967" s="5"/>
      <c r="L967">
        <f>TMTB!M967</f>
        <v>2.332791405</v>
      </c>
      <c r="M967">
        <f>TMTB!N967</f>
        <v>96.1</v>
      </c>
      <c r="O967">
        <f>ABS(L967-TMTB!$C$34)</f>
        <v>2.4448336592342579</v>
      </c>
      <c r="P967">
        <f t="shared" ref="P967:P1006" si="16">M967</f>
        <v>96.1</v>
      </c>
    </row>
    <row r="968" spans="10:16">
      <c r="J968" s="5"/>
      <c r="L968">
        <f>TMTB!M968</f>
        <v>2.3595920100000001</v>
      </c>
      <c r="M968">
        <f>TMTB!N968</f>
        <v>96.2</v>
      </c>
      <c r="O968">
        <f>ABS(L968-TMTB!$C$34)</f>
        <v>2.4716342642342579</v>
      </c>
      <c r="P968">
        <f t="shared" si="16"/>
        <v>96.2</v>
      </c>
    </row>
    <row r="969" spans="10:16">
      <c r="J969" s="5"/>
      <c r="L969">
        <f>TMTB!M969</f>
        <v>2.3861344739999999</v>
      </c>
      <c r="M969">
        <f>TMTB!N969</f>
        <v>96.3</v>
      </c>
      <c r="O969">
        <f>ABS(L969-TMTB!$C$34)</f>
        <v>2.4981767282342577</v>
      </c>
      <c r="P969">
        <f t="shared" si="16"/>
        <v>96.3</v>
      </c>
    </row>
    <row r="970" spans="10:16">
      <c r="J970" s="5"/>
      <c r="L970">
        <f>TMTB!M970</f>
        <v>2.405965272</v>
      </c>
      <c r="M970">
        <f>TMTB!N970</f>
        <v>96.4</v>
      </c>
      <c r="O970">
        <f>ABS(L970-TMTB!$C$34)</f>
        <v>2.5180075262342578</v>
      </c>
      <c r="P970">
        <f t="shared" si="16"/>
        <v>96.4</v>
      </c>
    </row>
    <row r="971" spans="10:16">
      <c r="J971" s="5"/>
      <c r="L971">
        <f>TMTB!M971</f>
        <v>2.4257960700000001</v>
      </c>
      <c r="M971">
        <f>TMTB!N971</f>
        <v>96.5</v>
      </c>
      <c r="O971">
        <f>ABS(L971-TMTB!$C$34)</f>
        <v>2.5378383242342579</v>
      </c>
      <c r="P971">
        <f t="shared" si="16"/>
        <v>96.5</v>
      </c>
    </row>
    <row r="972" spans="10:16">
      <c r="J972" s="5"/>
      <c r="L972">
        <f>TMTB!M972</f>
        <v>2.444989836</v>
      </c>
      <c r="M972">
        <f>TMTB!N972</f>
        <v>96.6</v>
      </c>
      <c r="O972">
        <f>ABS(L972-TMTB!$C$34)</f>
        <v>2.5570320902342578</v>
      </c>
      <c r="P972">
        <f t="shared" si="16"/>
        <v>96.6</v>
      </c>
    </row>
    <row r="973" spans="10:16">
      <c r="J973" s="5"/>
      <c r="L973">
        <f>TMTB!M973</f>
        <v>2.4614327820000002</v>
      </c>
      <c r="M973">
        <f>TMTB!N973</f>
        <v>96.7</v>
      </c>
      <c r="O973">
        <f>ABS(L973-TMTB!$C$34)</f>
        <v>2.573475036234258</v>
      </c>
      <c r="P973">
        <f t="shared" si="16"/>
        <v>96.7</v>
      </c>
    </row>
    <row r="974" spans="10:16">
      <c r="J974" s="5"/>
      <c r="L974">
        <f>TMTB!M974</f>
        <v>2.4778757279999999</v>
      </c>
      <c r="M974">
        <f>TMTB!N974</f>
        <v>96.8</v>
      </c>
      <c r="O974">
        <f>ABS(L974-TMTB!$C$34)</f>
        <v>2.5899179822342577</v>
      </c>
      <c r="P974">
        <f t="shared" si="16"/>
        <v>96.8</v>
      </c>
    </row>
    <row r="975" spans="10:16">
      <c r="J975" s="5"/>
      <c r="L975">
        <f>TMTB!M975</f>
        <v>2.4971983550000001</v>
      </c>
      <c r="M975">
        <f>TMTB!N975</f>
        <v>96.9</v>
      </c>
      <c r="O975">
        <f>ABS(L975-TMTB!$C$34)</f>
        <v>2.6092406092342579</v>
      </c>
      <c r="P975">
        <f t="shared" si="16"/>
        <v>96.9</v>
      </c>
    </row>
    <row r="976" spans="10:16">
      <c r="J976" s="5"/>
      <c r="L976">
        <f>TMTB!M976</f>
        <v>2.52213515</v>
      </c>
      <c r="M976">
        <f>TMTB!N976</f>
        <v>97</v>
      </c>
      <c r="O976">
        <f>ABS(L976-TMTB!$C$34)</f>
        <v>2.6341774042342578</v>
      </c>
      <c r="P976">
        <f t="shared" si="16"/>
        <v>97</v>
      </c>
    </row>
    <row r="977" spans="10:16">
      <c r="J977" s="5"/>
      <c r="L977">
        <f>TMTB!M977</f>
        <v>2.5470719449999999</v>
      </c>
      <c r="M977">
        <f>TMTB!N977</f>
        <v>97.1</v>
      </c>
      <c r="O977">
        <f>ABS(L977-TMTB!$C$34)</f>
        <v>2.6591141992342577</v>
      </c>
      <c r="P977">
        <f t="shared" si="16"/>
        <v>97.1</v>
      </c>
    </row>
    <row r="978" spans="10:16">
      <c r="J978" s="5"/>
      <c r="L978">
        <f>TMTB!M978</f>
        <v>2.5697044560000002</v>
      </c>
      <c r="M978">
        <f>TMTB!N978</f>
        <v>97.2</v>
      </c>
      <c r="O978">
        <f>ABS(L978-TMTB!$C$34)</f>
        <v>2.681746710234258</v>
      </c>
      <c r="P978">
        <f t="shared" si="16"/>
        <v>97.2</v>
      </c>
    </row>
    <row r="979" spans="10:16">
      <c r="J979" s="5"/>
      <c r="L979">
        <f>TMTB!M979</f>
        <v>2.5899389039999998</v>
      </c>
      <c r="M979">
        <f>TMTB!N979</f>
        <v>97.3</v>
      </c>
      <c r="O979">
        <f>ABS(L979-TMTB!$C$34)</f>
        <v>2.7019811582342577</v>
      </c>
      <c r="P979">
        <f t="shared" si="16"/>
        <v>97.3</v>
      </c>
    </row>
    <row r="980" spans="10:16">
      <c r="J980" s="5"/>
      <c r="L980">
        <f>TMTB!M980</f>
        <v>2.6101733519999999</v>
      </c>
      <c r="M980">
        <f>TMTB!N980</f>
        <v>97.4</v>
      </c>
      <c r="O980">
        <f>ABS(L980-TMTB!$C$34)</f>
        <v>2.7222156062342577</v>
      </c>
      <c r="P980">
        <f t="shared" si="16"/>
        <v>97.4</v>
      </c>
    </row>
    <row r="981" spans="10:16">
      <c r="J981" s="5"/>
      <c r="L981">
        <f>TMTB!M981</f>
        <v>2.6272292249999998</v>
      </c>
      <c r="M981">
        <f>TMTB!N981</f>
        <v>97.5</v>
      </c>
      <c r="O981">
        <f>ABS(L981-TMTB!$C$34)</f>
        <v>2.7392714792342576</v>
      </c>
      <c r="P981">
        <f t="shared" si="16"/>
        <v>97.5</v>
      </c>
    </row>
    <row r="982" spans="10:16">
      <c r="J982" s="5"/>
      <c r="L982">
        <f>TMTB!M982</f>
        <v>2.6425050959999998</v>
      </c>
      <c r="M982">
        <f>TMTB!N982</f>
        <v>97.6</v>
      </c>
      <c r="O982">
        <f>ABS(L982-TMTB!$C$34)</f>
        <v>2.7545473502342577</v>
      </c>
      <c r="P982">
        <f t="shared" si="16"/>
        <v>97.6</v>
      </c>
    </row>
    <row r="983" spans="10:16">
      <c r="J983" s="5"/>
      <c r="L983">
        <f>TMTB!M983</f>
        <v>2.6577809669999999</v>
      </c>
      <c r="M983">
        <f>TMTB!N983</f>
        <v>97.7</v>
      </c>
      <c r="O983">
        <f>ABS(L983-TMTB!$C$34)</f>
        <v>2.7698232212342577</v>
      </c>
      <c r="P983">
        <f t="shared" si="16"/>
        <v>97.7</v>
      </c>
    </row>
    <row r="984" spans="10:16">
      <c r="J984" s="5"/>
      <c r="L984">
        <f>TMTB!M984</f>
        <v>2.7045097579999999</v>
      </c>
      <c r="M984">
        <f>TMTB!N984</f>
        <v>97.8</v>
      </c>
      <c r="O984">
        <f>ABS(L984-TMTB!$C$34)</f>
        <v>2.8165520122342578</v>
      </c>
      <c r="P984">
        <f t="shared" si="16"/>
        <v>97.8</v>
      </c>
    </row>
    <row r="985" spans="10:16">
      <c r="J985" s="5"/>
      <c r="L985">
        <f>TMTB!M985</f>
        <v>2.7594977690000002</v>
      </c>
      <c r="M985">
        <f>TMTB!N985</f>
        <v>97.9</v>
      </c>
      <c r="O985">
        <f>ABS(L985-TMTB!$C$34)</f>
        <v>2.8715400232342581</v>
      </c>
      <c r="P985">
        <f t="shared" si="16"/>
        <v>97.9</v>
      </c>
    </row>
    <row r="986" spans="10:16">
      <c r="J986" s="5"/>
      <c r="L986">
        <f>TMTB!M986</f>
        <v>2.81448578</v>
      </c>
      <c r="M986">
        <f>TMTB!N986</f>
        <v>98</v>
      </c>
      <c r="O986">
        <f>ABS(L986-TMTB!$C$34)</f>
        <v>2.9265280342342579</v>
      </c>
      <c r="P986">
        <f t="shared" si="16"/>
        <v>98</v>
      </c>
    </row>
    <row r="987" spans="10:16">
      <c r="J987" s="5"/>
      <c r="L987">
        <f>TMTB!M987</f>
        <v>2.8632109400000001</v>
      </c>
      <c r="M987">
        <f>TMTB!N987</f>
        <v>98.1</v>
      </c>
      <c r="O987">
        <f>ABS(L987-TMTB!$C$34)</f>
        <v>2.9752531942342579</v>
      </c>
      <c r="P987">
        <f t="shared" si="16"/>
        <v>98.1</v>
      </c>
    </row>
    <row r="988" spans="10:16">
      <c r="J988" s="5"/>
      <c r="L988">
        <f>TMTB!M988</f>
        <v>2.91155768</v>
      </c>
      <c r="M988">
        <f>TMTB!N988</f>
        <v>98.2</v>
      </c>
      <c r="O988">
        <f>ABS(L988-TMTB!$C$34)</f>
        <v>3.0235999342342579</v>
      </c>
      <c r="P988">
        <f t="shared" si="16"/>
        <v>98.2</v>
      </c>
    </row>
    <row r="989" spans="10:16">
      <c r="J989" s="5"/>
      <c r="L989">
        <f>TMTB!M989</f>
        <v>2.9561556530000002</v>
      </c>
      <c r="M989">
        <f>TMTB!N989</f>
        <v>98.3</v>
      </c>
      <c r="O989">
        <f>ABS(L989-TMTB!$C$34)</f>
        <v>3.068197907234258</v>
      </c>
      <c r="P989">
        <f t="shared" si="16"/>
        <v>98.3</v>
      </c>
    </row>
    <row r="990" spans="10:16">
      <c r="J990" s="5"/>
      <c r="L990">
        <f>TMTB!M990</f>
        <v>2.9646291439999999</v>
      </c>
      <c r="M990">
        <f>TMTB!N990</f>
        <v>98.4</v>
      </c>
      <c r="O990">
        <f>ABS(L990-TMTB!$C$34)</f>
        <v>3.0766713982342577</v>
      </c>
      <c r="P990">
        <f t="shared" si="16"/>
        <v>98.4</v>
      </c>
    </row>
    <row r="991" spans="10:16">
      <c r="J991" s="5"/>
      <c r="L991">
        <f>TMTB!M991</f>
        <v>2.973102635</v>
      </c>
      <c r="M991">
        <f>TMTB!N991</f>
        <v>98.5</v>
      </c>
      <c r="O991">
        <f>ABS(L991-TMTB!$C$34)</f>
        <v>3.0851448892342579</v>
      </c>
      <c r="P991">
        <f t="shared" si="16"/>
        <v>98.5</v>
      </c>
    </row>
    <row r="992" spans="10:16">
      <c r="J992" s="5"/>
      <c r="L992">
        <f>TMTB!M992</f>
        <v>3.010410034</v>
      </c>
      <c r="M992">
        <f>TMTB!N992</f>
        <v>98.6</v>
      </c>
      <c r="O992">
        <f>ABS(L992-TMTB!$C$34)</f>
        <v>3.1224522882342578</v>
      </c>
      <c r="P992">
        <f t="shared" si="16"/>
        <v>98.6</v>
      </c>
    </row>
    <row r="993" spans="10:16">
      <c r="J993" s="5"/>
      <c r="L993">
        <f>TMTB!M993</f>
        <v>3.1365661029999998</v>
      </c>
      <c r="M993">
        <f>TMTB!N993</f>
        <v>98.7</v>
      </c>
      <c r="O993">
        <f>ABS(L993-TMTB!$C$34)</f>
        <v>3.2486083572342577</v>
      </c>
      <c r="P993">
        <f t="shared" si="16"/>
        <v>98.7</v>
      </c>
    </row>
    <row r="994" spans="10:16">
      <c r="J994" s="5"/>
      <c r="L994">
        <f>TMTB!M994</f>
        <v>3.2627221720000001</v>
      </c>
      <c r="M994">
        <f>TMTB!N994</f>
        <v>98.8</v>
      </c>
      <c r="O994">
        <f>ABS(L994-TMTB!$C$34)</f>
        <v>3.374764426234258</v>
      </c>
      <c r="P994">
        <f t="shared" si="16"/>
        <v>98.8</v>
      </c>
    </row>
    <row r="995" spans="10:16">
      <c r="J995" s="5"/>
      <c r="L995">
        <f>TMTB!M995</f>
        <v>3.352429522</v>
      </c>
      <c r="M995">
        <f>TMTB!N995</f>
        <v>98.9</v>
      </c>
      <c r="O995">
        <f>ABS(L995-TMTB!$C$34)</f>
        <v>3.4644717762342578</v>
      </c>
      <c r="P995">
        <f t="shared" si="16"/>
        <v>98.9</v>
      </c>
    </row>
    <row r="996" spans="10:16">
      <c r="J996" s="5"/>
      <c r="L996">
        <f>TMTB!M996</f>
        <v>3.3865460199999999</v>
      </c>
      <c r="M996">
        <f>TMTB!N996</f>
        <v>99</v>
      </c>
      <c r="O996">
        <f>ABS(L996-TMTB!$C$34)</f>
        <v>3.4985882742342578</v>
      </c>
      <c r="P996">
        <f t="shared" si="16"/>
        <v>99</v>
      </c>
    </row>
    <row r="997" spans="10:16">
      <c r="J997" s="5"/>
      <c r="L997">
        <f>TMTB!M997</f>
        <v>3.4206625179999999</v>
      </c>
      <c r="M997">
        <f>TMTB!N997</f>
        <v>99.1</v>
      </c>
      <c r="O997">
        <f>ABS(L997-TMTB!$C$34)</f>
        <v>3.5327047722342577</v>
      </c>
      <c r="P997">
        <f t="shared" si="16"/>
        <v>99.1</v>
      </c>
    </row>
    <row r="998" spans="10:16">
      <c r="J998" s="5"/>
      <c r="L998">
        <f>TMTB!M998</f>
        <v>3.4598520399999999</v>
      </c>
      <c r="M998">
        <f>TMTB!N998</f>
        <v>99.2</v>
      </c>
      <c r="O998">
        <f>ABS(L998-TMTB!$C$34)</f>
        <v>3.5718942942342577</v>
      </c>
      <c r="P998">
        <f t="shared" si="16"/>
        <v>99.2</v>
      </c>
    </row>
    <row r="999" spans="10:16">
      <c r="J999" s="5"/>
      <c r="L999">
        <f>TMTB!M999</f>
        <v>3.5032426600000002</v>
      </c>
      <c r="M999">
        <f>TMTB!N999</f>
        <v>99.3</v>
      </c>
      <c r="O999">
        <f>ABS(L999-TMTB!$C$34)</f>
        <v>3.615284914234258</v>
      </c>
      <c r="P999">
        <f t="shared" si="16"/>
        <v>99.3</v>
      </c>
    </row>
    <row r="1000" spans="10:16">
      <c r="J1000" s="5"/>
      <c r="L1000">
        <f>TMTB!M1000</f>
        <v>3.54663328</v>
      </c>
      <c r="M1000">
        <f>TMTB!N1000</f>
        <v>99.4</v>
      </c>
      <c r="O1000">
        <f>ABS(L1000-TMTB!$C$34)</f>
        <v>3.6586755342342578</v>
      </c>
      <c r="P1000">
        <f t="shared" si="16"/>
        <v>99.4</v>
      </c>
    </row>
    <row r="1001" spans="10:16">
      <c r="J1001" s="5"/>
      <c r="L1001">
        <f>TMTB!M1001</f>
        <v>3.6943079050000001</v>
      </c>
      <c r="M1001">
        <f>TMTB!N1001</f>
        <v>99.5</v>
      </c>
      <c r="O1001">
        <f>ABS(L1001-TMTB!$C$34)</f>
        <v>3.8063501592342579</v>
      </c>
      <c r="P1001">
        <f t="shared" si="16"/>
        <v>99.5</v>
      </c>
    </row>
    <row r="1002" spans="10:16">
      <c r="J1002" s="5"/>
      <c r="L1002">
        <f>TMTB!M1002</f>
        <v>3.8871013240000001</v>
      </c>
      <c r="M1002">
        <f>TMTB!N1002</f>
        <v>99.6</v>
      </c>
      <c r="O1002">
        <f>ABS(L1002-TMTB!$C$34)</f>
        <v>3.9991435782342579</v>
      </c>
      <c r="P1002">
        <f t="shared" si="16"/>
        <v>99.6</v>
      </c>
    </row>
    <row r="1003" spans="10:16">
      <c r="J1003" s="5"/>
      <c r="L1003">
        <f>TMTB!M1003</f>
        <v>4.0798947429999997</v>
      </c>
      <c r="M1003">
        <f>TMTB!N1003</f>
        <v>99.7</v>
      </c>
      <c r="O1003">
        <f>ABS(L1003-TMTB!$C$34)</f>
        <v>4.1919369972342579</v>
      </c>
      <c r="P1003">
        <f t="shared" si="16"/>
        <v>99.7</v>
      </c>
    </row>
    <row r="1004" spans="10:16">
      <c r="J1004" s="5"/>
      <c r="L1004">
        <f>TMTB!M1004</f>
        <v>4.1102006820000003</v>
      </c>
      <c r="M1004">
        <f>TMTB!N1004</f>
        <v>99.8</v>
      </c>
      <c r="O1004">
        <f>ABS(L1004-TMTB!$C$34)</f>
        <v>4.2222429362342586</v>
      </c>
      <c r="P1004">
        <f t="shared" si="16"/>
        <v>99.8</v>
      </c>
    </row>
    <row r="1005" spans="10:16">
      <c r="J1005" s="5"/>
      <c r="L1005">
        <f>TMTB!M1005</f>
        <v>4.1116078409999997</v>
      </c>
      <c r="M1005">
        <f>TMTB!N1005</f>
        <v>99.9</v>
      </c>
      <c r="O1005">
        <f>ABS(L1005-TMTB!$C$34)</f>
        <v>4.2236500952342579</v>
      </c>
      <c r="P1005">
        <f t="shared" si="16"/>
        <v>99.9</v>
      </c>
    </row>
    <row r="1006" spans="10:16">
      <c r="J1006" s="5"/>
      <c r="L1006">
        <f>TMTB!M1006</f>
        <v>4.1130149999999999</v>
      </c>
      <c r="M1006">
        <f>TMTB!N1006</f>
        <v>100</v>
      </c>
      <c r="O1006">
        <f>ABS(L1006-TMTB!$C$34)</f>
        <v>4.2250572542342582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topLeftCell="A13" zoomScale="70" zoomScaleNormal="70" workbookViewId="0">
      <selection activeCell="C34" sqref="C34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str">
        <f>SD_PERC_TMTA!A42</f>
        <v xml:space="preserve"> 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7" t="s">
        <v>18</v>
      </c>
      <c r="J5" s="58"/>
      <c r="M5" s="27" t="s">
        <v>11</v>
      </c>
      <c r="N5" s="28" t="s">
        <v>44</v>
      </c>
    </row>
    <row r="6" spans="1:14">
      <c r="B6" s="59" t="s">
        <v>62</v>
      </c>
      <c r="C6" s="59">
        <v>37.6450805427924</v>
      </c>
      <c r="I6" s="10" t="s">
        <v>36</v>
      </c>
      <c r="J6" s="59">
        <v>187.00923521742399</v>
      </c>
      <c r="M6" s="59">
        <v>-2.030783</v>
      </c>
      <c r="N6" s="59">
        <v>0</v>
      </c>
    </row>
    <row r="7" spans="1:14">
      <c r="B7" s="59" t="s">
        <v>63</v>
      </c>
      <c r="C7" s="59">
        <v>0.69112691808871496</v>
      </c>
      <c r="M7" s="59">
        <v>-1.9979106639999999</v>
      </c>
      <c r="N7" s="59">
        <v>0.1</v>
      </c>
    </row>
    <row r="8" spans="1:14">
      <c r="I8" s="9"/>
      <c r="J8" s="9"/>
      <c r="M8" s="59">
        <v>-1.9650383279999999</v>
      </c>
      <c r="N8" s="59">
        <v>0.2</v>
      </c>
    </row>
    <row r="9" spans="1:14">
      <c r="H9" s="9" t="s">
        <v>34</v>
      </c>
      <c r="I9" s="57" t="s">
        <v>37</v>
      </c>
      <c r="J9" s="58"/>
      <c r="M9" s="59">
        <v>-1.9259069040000001</v>
      </c>
      <c r="N9" s="59">
        <v>0.3</v>
      </c>
    </row>
    <row r="10" spans="1:14">
      <c r="B10" s="29"/>
      <c r="C10" s="30"/>
      <c r="I10" s="12" t="s">
        <v>3</v>
      </c>
      <c r="J10" s="13" t="s">
        <v>36</v>
      </c>
      <c r="M10" s="59">
        <v>-1.8790938720000001</v>
      </c>
      <c r="N10" s="59">
        <v>0.4</v>
      </c>
    </row>
    <row r="11" spans="1:14">
      <c r="B11" s="29"/>
      <c r="C11" s="30"/>
      <c r="I11" s="14"/>
      <c r="J11" s="15"/>
      <c r="M11" s="59">
        <v>-1.8322808399999999</v>
      </c>
      <c r="N11" s="59">
        <v>0.5</v>
      </c>
    </row>
    <row r="12" spans="1:14">
      <c r="B12" s="29"/>
      <c r="C12" s="30"/>
      <c r="I12" s="14"/>
      <c r="J12" s="15"/>
      <c r="M12" s="59">
        <v>-1.772246336</v>
      </c>
      <c r="N12" s="59">
        <v>0.6</v>
      </c>
    </row>
    <row r="13" spans="1:14">
      <c r="B13" s="29"/>
      <c r="C13" s="30"/>
      <c r="I13" s="14"/>
      <c r="J13" s="15"/>
      <c r="M13" s="59">
        <v>-1.7107093920000001</v>
      </c>
      <c r="N13" s="59">
        <v>0.7</v>
      </c>
    </row>
    <row r="14" spans="1:14">
      <c r="B14" s="29"/>
      <c r="C14" s="30"/>
      <c r="I14" s="14"/>
      <c r="J14" s="15"/>
      <c r="M14" s="59">
        <v>-1.665990616</v>
      </c>
      <c r="N14" s="59">
        <v>0.8</v>
      </c>
    </row>
    <row r="15" spans="1:14">
      <c r="B15" s="29"/>
      <c r="C15" s="30"/>
      <c r="I15" s="14"/>
      <c r="J15" s="15"/>
      <c r="M15" s="59">
        <v>-1.652929568</v>
      </c>
      <c r="N15" s="59">
        <v>0.9</v>
      </c>
    </row>
    <row r="16" spans="1:14">
      <c r="B16" s="29"/>
      <c r="C16" s="30"/>
      <c r="I16" s="14"/>
      <c r="J16" s="15"/>
      <c r="M16" s="59">
        <v>-1.6398685200000001</v>
      </c>
      <c r="N16" s="59">
        <v>1</v>
      </c>
    </row>
    <row r="17" spans="1:14">
      <c r="B17" s="29"/>
      <c r="C17" s="30"/>
      <c r="I17" s="14"/>
      <c r="J17" s="15"/>
      <c r="M17" s="59">
        <v>-1.6301561680000001</v>
      </c>
      <c r="N17" s="59">
        <v>1.1000000000000001</v>
      </c>
    </row>
    <row r="18" spans="1:14">
      <c r="B18" s="29"/>
      <c r="C18" s="30"/>
      <c r="I18" s="14"/>
      <c r="J18" s="15"/>
      <c r="M18" s="59">
        <v>-1.621302456</v>
      </c>
      <c r="N18" s="59">
        <v>1.2</v>
      </c>
    </row>
    <row r="19" spans="1:14">
      <c r="B19" s="29"/>
      <c r="C19" s="30"/>
      <c r="I19" s="14"/>
      <c r="J19" s="15"/>
      <c r="M19" s="59">
        <v>-1.61369444</v>
      </c>
      <c r="N19" s="59">
        <v>1.3</v>
      </c>
    </row>
    <row r="20" spans="1:14">
      <c r="B20" s="29"/>
      <c r="C20" s="30"/>
      <c r="I20" s="14"/>
      <c r="J20" s="15"/>
      <c r="M20" s="59">
        <v>-1.6099273199999999</v>
      </c>
      <c r="N20" s="59">
        <v>1.4</v>
      </c>
    </row>
    <row r="21" spans="1:14">
      <c r="B21" s="29"/>
      <c r="C21" s="30"/>
      <c r="I21" s="14"/>
      <c r="J21" s="15"/>
      <c r="M21" s="59">
        <v>-1.6061601999999999</v>
      </c>
      <c r="N21" s="59">
        <v>1.5</v>
      </c>
    </row>
    <row r="22" spans="1:14">
      <c r="B22" s="29"/>
      <c r="C22" s="30"/>
      <c r="I22" s="16"/>
      <c r="J22" s="17"/>
      <c r="M22" s="59">
        <v>-1.5938743120000001</v>
      </c>
      <c r="N22" s="59">
        <v>1.6</v>
      </c>
    </row>
    <row r="23" spans="1:14">
      <c r="B23" s="29"/>
      <c r="C23" s="30"/>
      <c r="M23" s="59">
        <v>-1.577830144</v>
      </c>
      <c r="N23" s="59">
        <v>1.7</v>
      </c>
    </row>
    <row r="24" spans="1:14">
      <c r="B24" s="31"/>
      <c r="C24" s="11"/>
      <c r="M24" s="59">
        <v>-1.5637775039999999</v>
      </c>
      <c r="N24" s="59">
        <v>1.8</v>
      </c>
    </row>
    <row r="25" spans="1:14">
      <c r="H25" s="9" t="s">
        <v>35</v>
      </c>
      <c r="I25" s="57" t="s">
        <v>42</v>
      </c>
      <c r="J25" s="58"/>
      <c r="M25" s="59">
        <v>-1.561674032</v>
      </c>
      <c r="N25" s="59">
        <v>1.9</v>
      </c>
    </row>
    <row r="26" spans="1:14">
      <c r="I26" s="12" t="s">
        <v>1</v>
      </c>
      <c r="J26" s="13" t="s">
        <v>17</v>
      </c>
      <c r="M26" s="59">
        <v>-1.5595705600000001</v>
      </c>
      <c r="N26" s="59">
        <v>2</v>
      </c>
    </row>
    <row r="27" spans="1:14">
      <c r="A27" s="34">
        <v>4</v>
      </c>
      <c r="B27" s="2" t="s">
        <v>2</v>
      </c>
      <c r="C27" s="32">
        <f>C6+(C7*('Normative data'!C6-71.28))</f>
        <v>-11.618446178571205</v>
      </c>
      <c r="M27" s="59">
        <v>-1.5549772639999999</v>
      </c>
      <c r="N27" s="59">
        <v>2.1</v>
      </c>
    </row>
    <row r="28" spans="1:14">
      <c r="B28" s="2" t="s">
        <v>6</v>
      </c>
      <c r="C28" s="2"/>
      <c r="D28" s="2"/>
      <c r="E28" s="2"/>
      <c r="F28" s="2"/>
      <c r="M28" s="59">
        <v>-1.5486668480000001</v>
      </c>
      <c r="N28" s="59">
        <v>2.2000000000000002</v>
      </c>
    </row>
    <row r="29" spans="1:14">
      <c r="B29" s="2" t="s">
        <v>7</v>
      </c>
      <c r="C29" s="2"/>
      <c r="D29" s="2"/>
      <c r="E29" s="2"/>
      <c r="F29" s="2"/>
      <c r="M29" s="59">
        <v>-1.542528144</v>
      </c>
      <c r="N29" s="59">
        <v>2.2999999999999998</v>
      </c>
    </row>
    <row r="30" spans="1:14">
      <c r="B30" s="2" t="s">
        <v>8</v>
      </c>
      <c r="M30" s="59">
        <v>-1.5404246720000001</v>
      </c>
      <c r="N30" s="59">
        <v>2.4</v>
      </c>
    </row>
    <row r="31" spans="1:14">
      <c r="I31" s="14"/>
      <c r="J31" s="15"/>
      <c r="M31" s="59">
        <v>-1.5383211999999999</v>
      </c>
      <c r="N31" s="59">
        <v>2.5</v>
      </c>
    </row>
    <row r="32" spans="1:14">
      <c r="I32" s="35"/>
      <c r="J32" s="17"/>
      <c r="M32" s="59">
        <v>-1.537032384</v>
      </c>
      <c r="N32" s="59">
        <v>2.6</v>
      </c>
    </row>
    <row r="33" spans="2:14">
      <c r="B33" t="s">
        <v>9</v>
      </c>
      <c r="C33">
        <f>'Normative data'!C16-TMTA!C27</f>
        <v>11.618446178571205</v>
      </c>
      <c r="M33" s="59">
        <v>-1.5365921680000001</v>
      </c>
      <c r="N33" s="59">
        <v>2.7</v>
      </c>
    </row>
    <row r="34" spans="2:14">
      <c r="B34" t="s">
        <v>12</v>
      </c>
      <c r="C34">
        <f>-(C33/SD_PERC_TMTA!I38)</f>
        <v>-0.8496039510676171</v>
      </c>
      <c r="I34" t="s">
        <v>41</v>
      </c>
      <c r="J34">
        <f>SD_PERC_TMTA!I38</f>
        <v>13.675132</v>
      </c>
      <c r="M34" s="59">
        <v>-1.536151952</v>
      </c>
      <c r="N34" s="59">
        <v>2.8</v>
      </c>
    </row>
    <row r="35" spans="2:14">
      <c r="M35" s="59">
        <v>-1.530200936</v>
      </c>
      <c r="N35" s="59">
        <v>2.9</v>
      </c>
    </row>
    <row r="36" spans="2:14">
      <c r="M36" s="59">
        <v>-1.5238905199999999</v>
      </c>
      <c r="N36" s="59">
        <v>3</v>
      </c>
    </row>
    <row r="37" spans="2:14">
      <c r="M37" s="59">
        <v>-1.5147919679999999</v>
      </c>
      <c r="N37" s="59">
        <v>3.1</v>
      </c>
    </row>
    <row r="38" spans="2:14">
      <c r="M38" s="59">
        <v>-1.5012910960000001</v>
      </c>
      <c r="N38" s="59">
        <v>3.2</v>
      </c>
    </row>
    <row r="39" spans="2:14">
      <c r="M39" s="59">
        <v>-1.487790224</v>
      </c>
      <c r="N39" s="59">
        <v>3.3</v>
      </c>
    </row>
    <row r="40" spans="2:14">
      <c r="M40" s="59">
        <v>-1.474657696</v>
      </c>
      <c r="N40" s="59">
        <v>3.4</v>
      </c>
    </row>
    <row r="41" spans="2:14">
      <c r="M41" s="59">
        <v>-1.46159704</v>
      </c>
      <c r="N41" s="59">
        <v>3.5</v>
      </c>
    </row>
    <row r="42" spans="2:14">
      <c r="M42" s="59">
        <v>-1.451066016</v>
      </c>
      <c r="N42" s="59">
        <v>3.6</v>
      </c>
    </row>
    <row r="43" spans="2:14">
      <c r="M43" s="59">
        <v>-1.4468590720000001</v>
      </c>
      <c r="N43" s="59">
        <v>3.7</v>
      </c>
    </row>
    <row r="44" spans="2:14">
      <c r="M44" s="59">
        <v>-1.442652128</v>
      </c>
      <c r="N44" s="59">
        <v>3.8</v>
      </c>
    </row>
    <row r="45" spans="2:14">
      <c r="M45" s="59">
        <v>-1.43812176</v>
      </c>
      <c r="N45" s="59">
        <v>3.9</v>
      </c>
    </row>
    <row r="46" spans="2:14">
      <c r="M46" s="59">
        <v>-1.4334746</v>
      </c>
      <c r="N46" s="59">
        <v>4</v>
      </c>
    </row>
    <row r="47" spans="2:14">
      <c r="M47" s="59">
        <v>-1.426814896</v>
      </c>
      <c r="N47" s="59">
        <v>4.0999999999999996</v>
      </c>
    </row>
    <row r="48" spans="2:14">
      <c r="M48" s="59">
        <v>-1.411210552</v>
      </c>
      <c r="N48" s="59">
        <v>4.2</v>
      </c>
    </row>
    <row r="49" spans="13:14">
      <c r="M49" s="59">
        <v>-1.395606208</v>
      </c>
      <c r="N49" s="59">
        <v>4.3</v>
      </c>
    </row>
    <row r="50" spans="13:14">
      <c r="M50" s="59">
        <v>-1.388543232</v>
      </c>
      <c r="N50" s="59">
        <v>4.4000000000000004</v>
      </c>
    </row>
    <row r="51" spans="13:14">
      <c r="M51" s="59">
        <v>-1.38643976</v>
      </c>
      <c r="N51" s="59">
        <v>4.5</v>
      </c>
    </row>
    <row r="52" spans="13:14">
      <c r="M52" s="59">
        <v>-1.3836135359999999</v>
      </c>
      <c r="N52" s="59">
        <v>4.5999999999999996</v>
      </c>
    </row>
    <row r="53" spans="13:14">
      <c r="M53" s="59">
        <v>-1.3726563519999999</v>
      </c>
      <c r="N53" s="59">
        <v>4.7</v>
      </c>
    </row>
    <row r="54" spans="13:14">
      <c r="M54" s="59">
        <v>-1.3616991679999999</v>
      </c>
      <c r="N54" s="59">
        <v>4.8</v>
      </c>
    </row>
    <row r="55" spans="13:14">
      <c r="M55" s="59">
        <v>-1.354323744</v>
      </c>
      <c r="N55" s="59">
        <v>4.9000000000000004</v>
      </c>
    </row>
    <row r="56" spans="13:14">
      <c r="M56" s="59">
        <v>-1.3501167999999999</v>
      </c>
      <c r="N56" s="59">
        <v>5</v>
      </c>
    </row>
    <row r="57" spans="13:14">
      <c r="M57" s="59">
        <v>-1.345909856</v>
      </c>
      <c r="N57" s="59">
        <v>5.0999999999999996</v>
      </c>
    </row>
    <row r="58" spans="13:14">
      <c r="M58" s="59">
        <v>-1.3433322240000001</v>
      </c>
      <c r="N58" s="59">
        <v>5.2</v>
      </c>
    </row>
    <row r="59" spans="13:14">
      <c r="M59" s="59">
        <v>-1.340788536</v>
      </c>
      <c r="N59" s="59">
        <v>5.3</v>
      </c>
    </row>
    <row r="60" spans="13:14">
      <c r="M60" s="59">
        <v>-1.3393349999999999</v>
      </c>
      <c r="N60" s="59">
        <v>5.4</v>
      </c>
    </row>
    <row r="61" spans="13:14">
      <c r="M61" s="59">
        <v>-1.3393349999999999</v>
      </c>
      <c r="N61" s="59">
        <v>5.5</v>
      </c>
    </row>
    <row r="62" spans="13:14">
      <c r="M62" s="59">
        <v>-1.3393349999999999</v>
      </c>
      <c r="N62" s="59">
        <v>5.6</v>
      </c>
    </row>
    <row r="63" spans="13:14">
      <c r="M63" s="59">
        <v>-1.3389490319999999</v>
      </c>
      <c r="N63" s="59">
        <v>5.7</v>
      </c>
    </row>
    <row r="64" spans="13:14">
      <c r="M64" s="59">
        <v>-1.3385092080000001</v>
      </c>
      <c r="N64" s="59">
        <v>5.8</v>
      </c>
    </row>
    <row r="65" spans="13:14">
      <c r="M65" s="59">
        <v>-1.336152456</v>
      </c>
      <c r="N65" s="59">
        <v>5.9</v>
      </c>
    </row>
    <row r="66" spans="13:14">
      <c r="M66" s="59">
        <v>-1.3298420399999999</v>
      </c>
      <c r="N66" s="59">
        <v>6</v>
      </c>
    </row>
    <row r="67" spans="13:14">
      <c r="M67" s="59">
        <v>-1.3235316239999999</v>
      </c>
      <c r="N67" s="59">
        <v>6.1</v>
      </c>
    </row>
    <row r="68" spans="13:14">
      <c r="M68" s="59">
        <v>-1.320824824</v>
      </c>
      <c r="N68" s="59">
        <v>6.2</v>
      </c>
    </row>
    <row r="69" spans="13:14">
      <c r="M69" s="59">
        <v>-1.3191611759999999</v>
      </c>
      <c r="N69" s="59">
        <v>6.3</v>
      </c>
    </row>
    <row r="70" spans="13:14">
      <c r="M70" s="59">
        <v>-1.3158834319999999</v>
      </c>
      <c r="N70" s="59">
        <v>6.4</v>
      </c>
    </row>
    <row r="71" spans="13:14">
      <c r="M71" s="59">
        <v>-1.3070297200000001</v>
      </c>
      <c r="N71" s="59">
        <v>6.5</v>
      </c>
    </row>
    <row r="72" spans="13:14">
      <c r="M72" s="59">
        <v>-1.298176008</v>
      </c>
      <c r="N72" s="59">
        <v>6.6</v>
      </c>
    </row>
    <row r="73" spans="13:14">
      <c r="M73" s="59">
        <v>-1.293868376</v>
      </c>
      <c r="N73" s="59">
        <v>6.7</v>
      </c>
    </row>
    <row r="74" spans="13:14">
      <c r="M74" s="59">
        <v>-1.2917649040000001</v>
      </c>
      <c r="N74" s="59">
        <v>6.8</v>
      </c>
    </row>
    <row r="75" spans="13:14">
      <c r="M75" s="59">
        <v>-1.289919</v>
      </c>
      <c r="N75" s="59">
        <v>6.9</v>
      </c>
    </row>
    <row r="76" spans="13:14">
      <c r="M76" s="59">
        <v>-1.289919</v>
      </c>
      <c r="N76" s="59">
        <v>7</v>
      </c>
    </row>
    <row r="77" spans="13:14">
      <c r="M77" s="59">
        <v>-1.289919</v>
      </c>
      <c r="N77" s="59">
        <v>7.1</v>
      </c>
    </row>
    <row r="78" spans="13:14">
      <c r="M78" s="59">
        <v>-1.287012152</v>
      </c>
      <c r="N78" s="59">
        <v>7.2</v>
      </c>
    </row>
    <row r="79" spans="13:14">
      <c r="M79" s="59">
        <v>-1.2819251679999999</v>
      </c>
      <c r="N79" s="59">
        <v>7.3</v>
      </c>
    </row>
    <row r="80" spans="13:14">
      <c r="M80" s="59">
        <v>-1.2768132160000001</v>
      </c>
      <c r="N80" s="59">
        <v>7.4</v>
      </c>
    </row>
    <row r="81" spans="13:14">
      <c r="M81" s="59">
        <v>-1.2705028</v>
      </c>
      <c r="N81" s="59">
        <v>7.5</v>
      </c>
    </row>
    <row r="82" spans="13:14">
      <c r="M82" s="59">
        <v>-1.264192384</v>
      </c>
      <c r="N82" s="59">
        <v>7.6</v>
      </c>
    </row>
    <row r="83" spans="13:14">
      <c r="M83" s="59">
        <v>-1.260637368</v>
      </c>
      <c r="N83" s="59">
        <v>7.7</v>
      </c>
    </row>
    <row r="84" spans="13:14">
      <c r="M84" s="59">
        <v>-1.2601971519999999</v>
      </c>
      <c r="N84" s="59">
        <v>7.8</v>
      </c>
    </row>
    <row r="85" spans="13:14">
      <c r="M85" s="59">
        <v>-1.259756936</v>
      </c>
      <c r="N85" s="59">
        <v>7.9</v>
      </c>
    </row>
    <row r="86" spans="13:14">
      <c r="M86" s="59">
        <v>-1.25585748</v>
      </c>
      <c r="N86" s="59">
        <v>8</v>
      </c>
    </row>
    <row r="87" spans="13:14">
      <c r="M87" s="59">
        <v>-1.2516505360000001</v>
      </c>
      <c r="N87" s="59">
        <v>8.1</v>
      </c>
    </row>
    <row r="88" spans="13:14">
      <c r="M88" s="59">
        <v>-1.248378008</v>
      </c>
      <c r="N88" s="59">
        <v>8.1999999999999993</v>
      </c>
    </row>
    <row r="89" spans="13:14">
      <c r="M89" s="59">
        <v>-1.2467147519999999</v>
      </c>
      <c r="N89" s="59">
        <v>8.3000000000000007</v>
      </c>
    </row>
    <row r="90" spans="13:14">
      <c r="M90" s="59">
        <v>-1.2450514960000001</v>
      </c>
      <c r="N90" s="59">
        <v>8.4</v>
      </c>
    </row>
    <row r="91" spans="13:14">
      <c r="M91" s="59">
        <v>-1.2443866400000001</v>
      </c>
      <c r="N91" s="59">
        <v>8.5</v>
      </c>
    </row>
    <row r="92" spans="13:14">
      <c r="M92" s="59">
        <v>-1.243946424</v>
      </c>
      <c r="N92" s="59">
        <v>8.6</v>
      </c>
    </row>
    <row r="93" spans="13:14">
      <c r="M93" s="59">
        <v>-1.2425068720000001</v>
      </c>
      <c r="N93" s="59">
        <v>8.6999999999999993</v>
      </c>
    </row>
    <row r="94" spans="13:14">
      <c r="M94" s="59">
        <v>-1.238299928</v>
      </c>
      <c r="N94" s="59">
        <v>8.8000000000000007</v>
      </c>
    </row>
    <row r="95" spans="13:14">
      <c r="M95" s="59">
        <v>-1.2340929839999999</v>
      </c>
      <c r="N95" s="59">
        <v>8.9</v>
      </c>
    </row>
    <row r="96" spans="13:14">
      <c r="M96" s="59">
        <v>-1.232891</v>
      </c>
      <c r="N96" s="59">
        <v>9</v>
      </c>
    </row>
    <row r="97" spans="13:14">
      <c r="M97" s="59">
        <v>-1.232891</v>
      </c>
      <c r="N97" s="59">
        <v>9.1</v>
      </c>
    </row>
    <row r="98" spans="13:14">
      <c r="M98" s="59">
        <v>-1.232132344</v>
      </c>
      <c r="N98" s="59">
        <v>9.1999999999999993</v>
      </c>
    </row>
    <row r="99" spans="13:14">
      <c r="M99" s="59">
        <v>-1.2274855760000001</v>
      </c>
      <c r="N99" s="59">
        <v>9.3000000000000007</v>
      </c>
    </row>
    <row r="100" spans="13:14">
      <c r="M100" s="59">
        <v>-1.2228388080000001</v>
      </c>
      <c r="N100" s="59">
        <v>9.4</v>
      </c>
    </row>
    <row r="101" spans="13:14">
      <c r="M101" s="59">
        <v>-1.2197491600000001</v>
      </c>
      <c r="N101" s="59">
        <v>9.5</v>
      </c>
    </row>
    <row r="102" spans="13:14">
      <c r="M102" s="59">
        <v>-1.2176456879999999</v>
      </c>
      <c r="N102" s="59">
        <v>9.6</v>
      </c>
    </row>
    <row r="103" spans="13:14">
      <c r="M103" s="59">
        <v>-1.2156440479999999</v>
      </c>
      <c r="N103" s="59">
        <v>9.6999999999999993</v>
      </c>
    </row>
    <row r="104" spans="13:14">
      <c r="M104" s="59">
        <v>-1.215203832</v>
      </c>
      <c r="N104" s="59">
        <v>9.8000000000000007</v>
      </c>
    </row>
    <row r="105" spans="13:14">
      <c r="M105" s="59">
        <v>-1.2147636159999999</v>
      </c>
      <c r="N105" s="59">
        <v>9.9</v>
      </c>
    </row>
    <row r="106" spans="13:14">
      <c r="M106" s="59">
        <v>-1.209182</v>
      </c>
      <c r="N106" s="59">
        <v>10</v>
      </c>
    </row>
    <row r="107" spans="13:14">
      <c r="M107" s="59">
        <v>-1.1986646400000001</v>
      </c>
      <c r="N107" s="59">
        <v>10.1</v>
      </c>
    </row>
    <row r="108" spans="13:14">
      <c r="M108" s="59">
        <v>-1.1881472799999999</v>
      </c>
      <c r="N108" s="59">
        <v>10.199999999999999</v>
      </c>
    </row>
    <row r="109" spans="13:14">
      <c r="M109" s="59">
        <v>-1.183260896</v>
      </c>
      <c r="N109" s="59">
        <v>10.3</v>
      </c>
    </row>
    <row r="110" spans="13:14">
      <c r="M110" s="59">
        <v>-1.178614128</v>
      </c>
      <c r="N110" s="59">
        <v>10.4</v>
      </c>
    </row>
    <row r="111" spans="13:14">
      <c r="M111" s="59">
        <v>-1.1750054400000001</v>
      </c>
      <c r="N111" s="59">
        <v>10.5</v>
      </c>
    </row>
    <row r="112" spans="13:14">
      <c r="M112" s="59">
        <v>-1.1729019679999999</v>
      </c>
      <c r="N112" s="59">
        <v>10.6</v>
      </c>
    </row>
    <row r="113" spans="13:14">
      <c r="M113" s="59">
        <v>-1.170798496</v>
      </c>
      <c r="N113" s="59">
        <v>10.7</v>
      </c>
    </row>
    <row r="114" spans="13:14">
      <c r="M114" s="59">
        <v>-1.1690720160000001</v>
      </c>
      <c r="N114" s="59">
        <v>10.8</v>
      </c>
    </row>
    <row r="115" spans="13:14">
      <c r="M115" s="59">
        <v>-1.167408368</v>
      </c>
      <c r="N115" s="59">
        <v>10.9</v>
      </c>
    </row>
    <row r="116" spans="13:14">
      <c r="M116" s="59">
        <v>-1.1661193599999999</v>
      </c>
      <c r="N116" s="59">
        <v>11</v>
      </c>
    </row>
    <row r="117" spans="13:14">
      <c r="M117" s="59">
        <v>-1.1656795360000001</v>
      </c>
      <c r="N117" s="59">
        <v>11.1</v>
      </c>
    </row>
    <row r="118" spans="13:14">
      <c r="M118" s="59">
        <v>-1.165239712</v>
      </c>
      <c r="N118" s="59">
        <v>11.2</v>
      </c>
    </row>
    <row r="119" spans="13:14">
      <c r="M119" s="59">
        <v>-1.1635436640000001</v>
      </c>
      <c r="N119" s="59">
        <v>11.3</v>
      </c>
    </row>
    <row r="120" spans="13:14">
      <c r="M120" s="59">
        <v>-1.1614401919999999</v>
      </c>
      <c r="N120" s="59">
        <v>11.4</v>
      </c>
    </row>
    <row r="121" spans="13:14">
      <c r="M121" s="59">
        <v>-1.15710048</v>
      </c>
      <c r="N121" s="59">
        <v>11.5</v>
      </c>
    </row>
    <row r="122" spans="13:14">
      <c r="M122" s="59">
        <v>-1.144039432</v>
      </c>
      <c r="N122" s="59">
        <v>11.6</v>
      </c>
    </row>
    <row r="123" spans="13:14">
      <c r="M123" s="59">
        <v>-1.1309783840000001</v>
      </c>
      <c r="N123" s="59">
        <v>11.7</v>
      </c>
    </row>
    <row r="124" spans="13:14">
      <c r="M124" s="59">
        <v>-1.123699864</v>
      </c>
      <c r="N124" s="59">
        <v>11.8</v>
      </c>
    </row>
    <row r="125" spans="13:14">
      <c r="M125" s="59">
        <v>-1.1194933119999999</v>
      </c>
      <c r="N125" s="59">
        <v>11.9</v>
      </c>
    </row>
    <row r="126" spans="13:14">
      <c r="M126" s="59">
        <v>-1.11498228</v>
      </c>
      <c r="N126" s="59">
        <v>12</v>
      </c>
    </row>
    <row r="127" spans="13:14">
      <c r="M127" s="59">
        <v>-1.107791824</v>
      </c>
      <c r="N127" s="59">
        <v>12.1</v>
      </c>
    </row>
    <row r="128" spans="13:14">
      <c r="M128" s="59">
        <v>-1.100601368</v>
      </c>
      <c r="N128" s="59">
        <v>12.2</v>
      </c>
    </row>
    <row r="129" spans="13:14">
      <c r="M129" s="59">
        <v>-1.0962139440000001</v>
      </c>
      <c r="N129" s="59">
        <v>12.3</v>
      </c>
    </row>
    <row r="130" spans="13:14">
      <c r="M130" s="59">
        <v>-1.0941104719999999</v>
      </c>
      <c r="N130" s="59">
        <v>12.4</v>
      </c>
    </row>
    <row r="131" spans="13:14">
      <c r="M131" s="59">
        <v>-1.0920069999999999</v>
      </c>
      <c r="N131" s="59">
        <v>12.5</v>
      </c>
    </row>
    <row r="132" spans="13:14">
      <c r="M132" s="59">
        <v>-1.085256368</v>
      </c>
      <c r="N132" s="59">
        <v>12.6</v>
      </c>
    </row>
    <row r="133" spans="13:14">
      <c r="M133" s="59">
        <v>-1.0785057360000001</v>
      </c>
      <c r="N133" s="59">
        <v>12.7</v>
      </c>
    </row>
    <row r="134" spans="13:14">
      <c r="M134" s="59">
        <v>-1.0728971679999999</v>
      </c>
      <c r="N134" s="59">
        <v>12.8</v>
      </c>
    </row>
    <row r="135" spans="13:14">
      <c r="M135" s="59">
        <v>-1.068690224</v>
      </c>
      <c r="N135" s="59">
        <v>12.9</v>
      </c>
    </row>
    <row r="136" spans="13:14">
      <c r="M136" s="59">
        <v>-1.0644832799999999</v>
      </c>
      <c r="N136" s="59">
        <v>13</v>
      </c>
    </row>
    <row r="137" spans="13:14">
      <c r="M137" s="59">
        <v>-1.060276336</v>
      </c>
      <c r="N137" s="59">
        <v>13.1</v>
      </c>
    </row>
    <row r="138" spans="13:14">
      <c r="M138" s="59">
        <v>-1.0560693919999999</v>
      </c>
      <c r="N138" s="59">
        <v>13.2</v>
      </c>
    </row>
    <row r="139" spans="13:14">
      <c r="M139" s="59">
        <v>-1.0533220000000001</v>
      </c>
      <c r="N139" s="59">
        <v>13.3</v>
      </c>
    </row>
    <row r="140" spans="13:14">
      <c r="M140" s="59">
        <v>-1.0533220000000001</v>
      </c>
      <c r="N140" s="59">
        <v>13.4</v>
      </c>
    </row>
    <row r="141" spans="13:14">
      <c r="M141" s="59">
        <v>-1.0533220000000001</v>
      </c>
      <c r="N141" s="59">
        <v>13.5</v>
      </c>
    </row>
    <row r="142" spans="13:14">
      <c r="M142" s="59">
        <v>-1.0459247920000001</v>
      </c>
      <c r="N142" s="59">
        <v>13.6</v>
      </c>
    </row>
    <row r="143" spans="13:14">
      <c r="M143" s="59">
        <v>-1.0366308639999999</v>
      </c>
      <c r="N143" s="59">
        <v>13.7</v>
      </c>
    </row>
    <row r="144" spans="13:14">
      <c r="M144" s="59">
        <v>-1.028475016</v>
      </c>
      <c r="N144" s="59">
        <v>13.8</v>
      </c>
    </row>
    <row r="145" spans="13:14">
      <c r="M145" s="59">
        <v>-1.0238282480000001</v>
      </c>
      <c r="N145" s="59">
        <v>13.9</v>
      </c>
    </row>
    <row r="146" spans="13:14">
      <c r="M146" s="59">
        <v>-1.0191814800000001</v>
      </c>
      <c r="N146" s="59">
        <v>14</v>
      </c>
    </row>
    <row r="147" spans="13:14">
      <c r="M147" s="59">
        <v>-1.016604632</v>
      </c>
      <c r="N147" s="59">
        <v>14.1</v>
      </c>
    </row>
    <row r="148" spans="13:14">
      <c r="M148" s="59">
        <v>-1.0149409840000001</v>
      </c>
      <c r="N148" s="59">
        <v>14.2</v>
      </c>
    </row>
    <row r="149" spans="13:14">
      <c r="M149" s="59">
        <v>-1.013214504</v>
      </c>
      <c r="N149" s="59">
        <v>14.3</v>
      </c>
    </row>
    <row r="150" spans="13:14">
      <c r="M150" s="59">
        <v>-1.0111110320000001</v>
      </c>
      <c r="N150" s="59">
        <v>14.4</v>
      </c>
    </row>
    <row r="151" spans="13:14">
      <c r="M151" s="59">
        <v>-1.0090075599999999</v>
      </c>
      <c r="N151" s="59">
        <v>14.5</v>
      </c>
    </row>
    <row r="152" spans="13:14">
      <c r="M152" s="59">
        <v>-1.007888696</v>
      </c>
      <c r="N152" s="59">
        <v>14.6</v>
      </c>
    </row>
    <row r="153" spans="13:14">
      <c r="M153" s="59">
        <v>-1.0074488720000001</v>
      </c>
      <c r="N153" s="59">
        <v>14.7</v>
      </c>
    </row>
    <row r="154" spans="13:14">
      <c r="M154" s="59">
        <v>-1.006941144</v>
      </c>
      <c r="N154" s="59">
        <v>14.8</v>
      </c>
    </row>
    <row r="155" spans="13:14">
      <c r="M155" s="59">
        <v>-1.0048376720000001</v>
      </c>
      <c r="N155" s="59">
        <v>14.9</v>
      </c>
    </row>
    <row r="156" spans="13:14">
      <c r="M156" s="59">
        <v>-1.0027341999999999</v>
      </c>
      <c r="N156" s="59">
        <v>15</v>
      </c>
    </row>
    <row r="157" spans="13:14">
      <c r="M157" s="59">
        <v>-1.0016609999999999</v>
      </c>
      <c r="N157" s="59">
        <v>15.1</v>
      </c>
    </row>
    <row r="158" spans="13:14">
      <c r="M158" s="59">
        <v>-1.0016609999999999</v>
      </c>
      <c r="N158" s="59">
        <v>15.2</v>
      </c>
    </row>
    <row r="159" spans="13:14">
      <c r="M159" s="59">
        <v>-1.0016609999999999</v>
      </c>
      <c r="N159" s="59">
        <v>15.3</v>
      </c>
    </row>
    <row r="160" spans="13:14">
      <c r="M160" s="59">
        <v>-0.99178756000000001</v>
      </c>
      <c r="N160" s="59">
        <v>15.4</v>
      </c>
    </row>
    <row r="161" spans="13:14">
      <c r="M161" s="59">
        <v>-0.98127019999999998</v>
      </c>
      <c r="N161" s="59">
        <v>15.5</v>
      </c>
    </row>
    <row r="162" spans="13:14">
      <c r="M162" s="59">
        <v>-0.96860964000000005</v>
      </c>
      <c r="N162" s="59">
        <v>15.6</v>
      </c>
    </row>
    <row r="163" spans="13:14">
      <c r="M163" s="59">
        <v>-0.95256507999999995</v>
      </c>
      <c r="N163" s="59">
        <v>15.7</v>
      </c>
    </row>
    <row r="164" spans="13:14">
      <c r="M164" s="59">
        <v>-0.93652051999999997</v>
      </c>
      <c r="N164" s="59">
        <v>15.8</v>
      </c>
    </row>
    <row r="165" spans="13:14">
      <c r="M165" s="59">
        <v>-0.93250929599999999</v>
      </c>
      <c r="N165" s="59">
        <v>15.9</v>
      </c>
    </row>
    <row r="166" spans="13:14">
      <c r="M166" s="59">
        <v>-0.93084604000000004</v>
      </c>
      <c r="N166" s="59">
        <v>16</v>
      </c>
    </row>
    <row r="167" spans="13:14">
      <c r="M167" s="59">
        <v>-0.92953222400000002</v>
      </c>
      <c r="N167" s="59">
        <v>16.100000000000001</v>
      </c>
    </row>
    <row r="168" spans="13:14">
      <c r="M168" s="59">
        <v>-0.92909200800000002</v>
      </c>
      <c r="N168" s="59">
        <v>16.2</v>
      </c>
    </row>
    <row r="169" spans="13:14">
      <c r="M169" s="59">
        <v>-0.92865179200000003</v>
      </c>
      <c r="N169" s="59">
        <v>16.3</v>
      </c>
    </row>
    <row r="170" spans="13:14">
      <c r="M170" s="59">
        <v>-0.92731301600000005</v>
      </c>
      <c r="N170" s="59">
        <v>16.399999999999999</v>
      </c>
    </row>
    <row r="171" spans="13:14">
      <c r="M171" s="59">
        <v>-0.92564975999999999</v>
      </c>
      <c r="N171" s="59">
        <v>16.5</v>
      </c>
    </row>
    <row r="172" spans="13:14">
      <c r="M172" s="59">
        <v>-0.92343843999999997</v>
      </c>
      <c r="N172" s="59">
        <v>16.600000000000001</v>
      </c>
    </row>
    <row r="173" spans="13:14">
      <c r="M173" s="59">
        <v>-0.91879127999999999</v>
      </c>
      <c r="N173" s="59">
        <v>16.7</v>
      </c>
    </row>
    <row r="174" spans="13:14">
      <c r="M174" s="59">
        <v>-0.91414412</v>
      </c>
      <c r="N174" s="59">
        <v>16.8</v>
      </c>
    </row>
    <row r="175" spans="13:14">
      <c r="M175" s="59">
        <v>-0.91243700000000005</v>
      </c>
      <c r="N175" s="59">
        <v>16.899999999999999</v>
      </c>
    </row>
    <row r="176" spans="13:14">
      <c r="M176" s="59">
        <v>-0.91243700000000005</v>
      </c>
      <c r="N176" s="59">
        <v>17</v>
      </c>
    </row>
    <row r="177" spans="13:14">
      <c r="M177" s="59">
        <v>-0.91226528799999995</v>
      </c>
      <c r="N177" s="59">
        <v>17.100000000000001</v>
      </c>
    </row>
    <row r="178" spans="13:14">
      <c r="M178" s="59">
        <v>-0.91016181600000001</v>
      </c>
      <c r="N178" s="59">
        <v>17.2</v>
      </c>
    </row>
    <row r="179" spans="13:14">
      <c r="M179" s="59">
        <v>-0.90805834399999996</v>
      </c>
      <c r="N179" s="59">
        <v>17.3</v>
      </c>
    </row>
    <row r="180" spans="13:14">
      <c r="M180" s="59">
        <v>-0.90683762400000001</v>
      </c>
      <c r="N180" s="59">
        <v>17.399999999999999</v>
      </c>
    </row>
    <row r="181" spans="13:14">
      <c r="M181" s="59">
        <v>-0.90639780000000003</v>
      </c>
      <c r="N181" s="59">
        <v>17.5</v>
      </c>
    </row>
    <row r="182" spans="13:14">
      <c r="M182" s="59">
        <v>-0.90595797600000005</v>
      </c>
      <c r="N182" s="59">
        <v>17.600000000000001</v>
      </c>
    </row>
    <row r="183" spans="13:14">
      <c r="M183" s="59">
        <v>-0.90388845600000001</v>
      </c>
      <c r="N183" s="59">
        <v>17.7</v>
      </c>
    </row>
    <row r="184" spans="13:14">
      <c r="M184" s="59">
        <v>-0.90178498399999996</v>
      </c>
      <c r="N184" s="59">
        <v>17.8</v>
      </c>
    </row>
    <row r="185" spans="13:14">
      <c r="M185" s="59">
        <v>-0.89987000800000005</v>
      </c>
      <c r="N185" s="59">
        <v>17.899999999999999</v>
      </c>
    </row>
    <row r="186" spans="13:14">
      <c r="M186" s="59">
        <v>-0.89820635999999998</v>
      </c>
      <c r="N186" s="59">
        <v>18</v>
      </c>
    </row>
    <row r="187" spans="13:14">
      <c r="M187" s="59">
        <v>-0.89654271200000002</v>
      </c>
      <c r="N187" s="59">
        <v>18.100000000000001</v>
      </c>
    </row>
    <row r="188" spans="13:14">
      <c r="M188" s="59">
        <v>-0.89226122399999996</v>
      </c>
      <c r="N188" s="59">
        <v>18.2</v>
      </c>
    </row>
    <row r="189" spans="13:14">
      <c r="M189" s="59">
        <v>-0.887614456</v>
      </c>
      <c r="N189" s="59">
        <v>18.3</v>
      </c>
    </row>
    <row r="190" spans="13:14">
      <c r="M190" s="59">
        <v>-0.88311130400000004</v>
      </c>
      <c r="N190" s="59">
        <v>18.399999999999999</v>
      </c>
    </row>
    <row r="191" spans="13:14">
      <c r="M191" s="59">
        <v>-0.87890436000000005</v>
      </c>
      <c r="N191" s="59">
        <v>18.5</v>
      </c>
    </row>
    <row r="192" spans="13:14">
      <c r="M192" s="59">
        <v>-0.87469741599999995</v>
      </c>
      <c r="N192" s="59">
        <v>18.600000000000001</v>
      </c>
    </row>
    <row r="193" spans="13:14">
      <c r="M193" s="59">
        <v>-0.87178034400000004</v>
      </c>
      <c r="N193" s="59">
        <v>18.7</v>
      </c>
    </row>
    <row r="194" spans="13:14">
      <c r="M194" s="59">
        <v>-0.869236656</v>
      </c>
      <c r="N194" s="59">
        <v>18.8</v>
      </c>
    </row>
    <row r="195" spans="13:14">
      <c r="M195" s="59">
        <v>-0.86726400000000003</v>
      </c>
      <c r="N195" s="59">
        <v>18.899999999999999</v>
      </c>
    </row>
    <row r="196" spans="13:14">
      <c r="M196" s="59">
        <v>-0.86726400000000003</v>
      </c>
      <c r="N196" s="59">
        <v>19</v>
      </c>
    </row>
    <row r="197" spans="13:14">
      <c r="M197" s="59">
        <v>-0.86726400000000003</v>
      </c>
      <c r="N197" s="59">
        <v>19.100000000000001</v>
      </c>
    </row>
    <row r="198" spans="13:14">
      <c r="M198" s="59">
        <v>-0.86696779199999996</v>
      </c>
      <c r="N198" s="59">
        <v>19.2</v>
      </c>
    </row>
    <row r="199" spans="13:14">
      <c r="M199" s="59">
        <v>-0.86652796799999998</v>
      </c>
      <c r="N199" s="59">
        <v>19.3</v>
      </c>
    </row>
    <row r="200" spans="13:14">
      <c r="M200" s="59">
        <v>-0.86593828799999994</v>
      </c>
      <c r="N200" s="59">
        <v>19.399999999999999</v>
      </c>
    </row>
    <row r="201" spans="13:14">
      <c r="M201" s="59">
        <v>-0.86427463999999998</v>
      </c>
      <c r="N201" s="59">
        <v>19.5</v>
      </c>
    </row>
    <row r="202" spans="13:14">
      <c r="M202" s="59">
        <v>-0.86261099200000002</v>
      </c>
      <c r="N202" s="59">
        <v>19.600000000000001</v>
      </c>
    </row>
    <row r="203" spans="13:14">
      <c r="M203" s="59">
        <v>-0.86044468799999996</v>
      </c>
      <c r="N203" s="59">
        <v>19.7</v>
      </c>
    </row>
    <row r="204" spans="13:14">
      <c r="M204" s="59">
        <v>-0.85790139200000004</v>
      </c>
      <c r="N204" s="59">
        <v>19.8</v>
      </c>
    </row>
    <row r="205" spans="13:14">
      <c r="M205" s="59">
        <v>-0.855376048</v>
      </c>
      <c r="N205" s="59">
        <v>19.899999999999999</v>
      </c>
    </row>
    <row r="206" spans="13:14">
      <c r="M206" s="59">
        <v>-0.85371240000000004</v>
      </c>
      <c r="N206" s="59">
        <v>20</v>
      </c>
    </row>
    <row r="207" spans="13:14">
      <c r="M207" s="59">
        <v>-0.85204875199999996</v>
      </c>
      <c r="N207" s="59">
        <v>20.100000000000001</v>
      </c>
    </row>
    <row r="208" spans="13:14">
      <c r="M208" s="59">
        <v>-0.85095955199999995</v>
      </c>
      <c r="N208" s="59">
        <v>20.2</v>
      </c>
    </row>
    <row r="209" spans="13:14">
      <c r="M209" s="59">
        <v>-0.85051972799999997</v>
      </c>
      <c r="N209" s="59">
        <v>20.3</v>
      </c>
    </row>
    <row r="210" spans="13:14">
      <c r="M210" s="59">
        <v>-0.850079904</v>
      </c>
      <c r="N210" s="59">
        <v>20.399999999999999</v>
      </c>
    </row>
    <row r="211" spans="13:14">
      <c r="M211" s="59">
        <v>-0.84618048000000001</v>
      </c>
      <c r="N211" s="59">
        <v>20.5</v>
      </c>
    </row>
    <row r="212" spans="13:14">
      <c r="M212" s="59">
        <v>-0.84197353600000002</v>
      </c>
      <c r="N212" s="59">
        <v>20.6</v>
      </c>
    </row>
    <row r="213" spans="13:14">
      <c r="M213" s="59">
        <v>-0.83837758399999995</v>
      </c>
      <c r="N213" s="59">
        <v>20.7</v>
      </c>
    </row>
    <row r="214" spans="13:14">
      <c r="M214" s="59">
        <v>-0.83583389600000002</v>
      </c>
      <c r="N214" s="59">
        <v>20.8</v>
      </c>
    </row>
    <row r="215" spans="13:14">
      <c r="M215" s="59">
        <v>-0.83329020799999998</v>
      </c>
      <c r="N215" s="59">
        <v>20.9</v>
      </c>
    </row>
    <row r="216" spans="13:14">
      <c r="M216" s="59">
        <v>-0.83146523999999999</v>
      </c>
      <c r="N216" s="59">
        <v>21</v>
      </c>
    </row>
    <row r="217" spans="13:14">
      <c r="M217" s="59">
        <v>-0.82980198400000005</v>
      </c>
      <c r="N217" s="59">
        <v>21.1</v>
      </c>
    </row>
    <row r="218" spans="13:14">
      <c r="M218" s="59">
        <v>-0.82846320799999995</v>
      </c>
      <c r="N218" s="59">
        <v>21.2</v>
      </c>
    </row>
    <row r="219" spans="13:14">
      <c r="M219" s="59">
        <v>-0.82802299199999996</v>
      </c>
      <c r="N219" s="59">
        <v>21.3</v>
      </c>
    </row>
    <row r="220" spans="13:14">
      <c r="M220" s="59">
        <v>-0.82758277599999996</v>
      </c>
      <c r="N220" s="59">
        <v>21.4</v>
      </c>
    </row>
    <row r="221" spans="13:14">
      <c r="M221" s="59">
        <v>-0.82445204000000005</v>
      </c>
      <c r="N221" s="59">
        <v>21.5</v>
      </c>
    </row>
    <row r="222" spans="13:14">
      <c r="M222" s="59">
        <v>-0.82024509599999995</v>
      </c>
      <c r="N222" s="59">
        <v>21.6</v>
      </c>
    </row>
    <row r="223" spans="13:14">
      <c r="M223" s="59">
        <v>-0.81500788000000002</v>
      </c>
      <c r="N223" s="59">
        <v>21.7</v>
      </c>
    </row>
    <row r="224" spans="13:14">
      <c r="M224" s="59">
        <v>-0.80449051999999999</v>
      </c>
      <c r="N224" s="59">
        <v>21.8</v>
      </c>
    </row>
    <row r="225" spans="13:14">
      <c r="M225" s="59">
        <v>-0.79397315999999996</v>
      </c>
      <c r="N225" s="59">
        <v>21.9</v>
      </c>
    </row>
    <row r="226" spans="13:14">
      <c r="M226" s="59">
        <v>-0.78935619999999995</v>
      </c>
      <c r="N226" s="59">
        <v>22</v>
      </c>
    </row>
    <row r="227" spans="13:14">
      <c r="M227" s="59">
        <v>-0.78847615999999998</v>
      </c>
      <c r="N227" s="59">
        <v>22.1</v>
      </c>
    </row>
    <row r="228" spans="13:14">
      <c r="M228" s="59">
        <v>-0.78757509599999997</v>
      </c>
      <c r="N228" s="59">
        <v>22.2</v>
      </c>
    </row>
    <row r="229" spans="13:14">
      <c r="M229" s="59">
        <v>-0.78635166400000001</v>
      </c>
      <c r="N229" s="59">
        <v>22.3</v>
      </c>
    </row>
    <row r="230" spans="13:14">
      <c r="M230" s="59">
        <v>-0.78512823200000004</v>
      </c>
      <c r="N230" s="59">
        <v>22.4</v>
      </c>
    </row>
    <row r="231" spans="13:14">
      <c r="M231" s="59">
        <v>-0.7830068</v>
      </c>
      <c r="N231" s="59">
        <v>22.5</v>
      </c>
    </row>
    <row r="232" spans="13:14">
      <c r="M232" s="59">
        <v>-0.78002328799999998</v>
      </c>
      <c r="N232" s="59">
        <v>22.6</v>
      </c>
    </row>
    <row r="233" spans="13:14">
      <c r="M233" s="59">
        <v>-0.77703977599999996</v>
      </c>
      <c r="N233" s="59">
        <v>22.7</v>
      </c>
    </row>
    <row r="234" spans="13:14">
      <c r="M234" s="59">
        <v>-0.77532263199999996</v>
      </c>
      <c r="N234" s="59">
        <v>22.8</v>
      </c>
    </row>
    <row r="235" spans="13:14">
      <c r="M235" s="59">
        <v>-0.77365937600000001</v>
      </c>
      <c r="N235" s="59">
        <v>22.9</v>
      </c>
    </row>
    <row r="236" spans="13:14">
      <c r="M236" s="59">
        <v>-0.77077819999999997</v>
      </c>
      <c r="N236" s="59">
        <v>23</v>
      </c>
    </row>
    <row r="237" spans="13:14">
      <c r="M237" s="59">
        <v>-0.76613103999999999</v>
      </c>
      <c r="N237" s="59">
        <v>23.1</v>
      </c>
    </row>
    <row r="238" spans="13:14">
      <c r="M238" s="59">
        <v>-0.76148388</v>
      </c>
      <c r="N238" s="59">
        <v>23.2</v>
      </c>
    </row>
    <row r="239" spans="13:14">
      <c r="M239" s="59">
        <v>-0.75864003199999996</v>
      </c>
      <c r="N239" s="59">
        <v>23.3</v>
      </c>
    </row>
    <row r="240" spans="13:14">
      <c r="M240" s="59">
        <v>-0.75609673600000005</v>
      </c>
      <c r="N240" s="59">
        <v>23.4</v>
      </c>
    </row>
    <row r="241" spans="13:14">
      <c r="M241" s="59">
        <v>-0.754332</v>
      </c>
      <c r="N241" s="59">
        <v>23.5</v>
      </c>
    </row>
    <row r="242" spans="13:14">
      <c r="M242" s="59">
        <v>-0.754332</v>
      </c>
      <c r="N242" s="59">
        <v>23.6</v>
      </c>
    </row>
    <row r="243" spans="13:14">
      <c r="M243" s="59">
        <v>-0.754332</v>
      </c>
      <c r="N243" s="59">
        <v>23.7</v>
      </c>
    </row>
    <row r="244" spans="13:14">
      <c r="M244" s="59">
        <v>-0.75274366400000003</v>
      </c>
      <c r="N244" s="59">
        <v>23.8</v>
      </c>
    </row>
    <row r="245" spans="13:14">
      <c r="M245" s="59">
        <v>-0.75064019199999998</v>
      </c>
      <c r="N245" s="59">
        <v>23.9</v>
      </c>
    </row>
    <row r="246" spans="13:14">
      <c r="M246" s="59">
        <v>-0.74896600000000002</v>
      </c>
      <c r="N246" s="59">
        <v>24</v>
      </c>
    </row>
    <row r="247" spans="13:14">
      <c r="M247" s="59">
        <v>-0.74896600000000002</v>
      </c>
      <c r="N247" s="59">
        <v>24.1</v>
      </c>
    </row>
    <row r="248" spans="13:14">
      <c r="M248" s="59">
        <v>-0.74896600000000002</v>
      </c>
      <c r="N248" s="59">
        <v>24.2</v>
      </c>
    </row>
    <row r="249" spans="13:14">
      <c r="M249" s="59">
        <v>-0.74730481599999998</v>
      </c>
      <c r="N249" s="59">
        <v>24.3</v>
      </c>
    </row>
    <row r="250" spans="13:14">
      <c r="M250" s="59">
        <v>-0.74476112800000005</v>
      </c>
      <c r="N250" s="59">
        <v>24.4</v>
      </c>
    </row>
    <row r="251" spans="13:14">
      <c r="M251" s="59">
        <v>-0.74204771999999997</v>
      </c>
      <c r="N251" s="59">
        <v>24.5</v>
      </c>
    </row>
    <row r="252" spans="13:14">
      <c r="M252" s="59">
        <v>-0.73784077599999998</v>
      </c>
      <c r="N252" s="59">
        <v>24.6</v>
      </c>
    </row>
    <row r="253" spans="13:14">
      <c r="M253" s="59">
        <v>-0.73363383199999999</v>
      </c>
      <c r="N253" s="59">
        <v>24.7</v>
      </c>
    </row>
    <row r="254" spans="13:14">
      <c r="M254" s="59">
        <v>-0.73058594399999999</v>
      </c>
      <c r="N254" s="59">
        <v>24.8</v>
      </c>
    </row>
    <row r="255" spans="13:14">
      <c r="M255" s="59">
        <v>-0.72848247200000005</v>
      </c>
      <c r="N255" s="59">
        <v>24.9</v>
      </c>
    </row>
    <row r="256" spans="13:14">
      <c r="M256" s="59">
        <v>-0.726379</v>
      </c>
      <c r="N256" s="59">
        <v>25</v>
      </c>
    </row>
    <row r="257" spans="13:14">
      <c r="M257" s="59">
        <v>-0.72427552799999995</v>
      </c>
      <c r="N257" s="59">
        <v>25.1</v>
      </c>
    </row>
    <row r="258" spans="13:14">
      <c r="M258" s="59">
        <v>-0.72217205600000001</v>
      </c>
      <c r="N258" s="59">
        <v>25.2</v>
      </c>
    </row>
    <row r="259" spans="13:14">
      <c r="M259" s="59">
        <v>-0.72101300000000001</v>
      </c>
      <c r="N259" s="59">
        <v>25.3</v>
      </c>
    </row>
    <row r="260" spans="13:14">
      <c r="M260" s="59">
        <v>-0.72101300000000001</v>
      </c>
      <c r="N260" s="59">
        <v>25.4</v>
      </c>
    </row>
    <row r="261" spans="13:14">
      <c r="M261" s="59">
        <v>-0.72101300000000001</v>
      </c>
      <c r="N261" s="59">
        <v>25.5</v>
      </c>
    </row>
    <row r="262" spans="13:14">
      <c r="M262" s="59">
        <v>-0.72101300000000001</v>
      </c>
      <c r="N262" s="59">
        <v>25.6</v>
      </c>
    </row>
    <row r="263" spans="13:14">
      <c r="M263" s="59">
        <v>-0.72101300000000001</v>
      </c>
      <c r="N263" s="59">
        <v>25.7</v>
      </c>
    </row>
    <row r="264" spans="13:14">
      <c r="M264" s="59">
        <v>-0.72086040799999995</v>
      </c>
      <c r="N264" s="59">
        <v>25.8</v>
      </c>
    </row>
    <row r="265" spans="13:14">
      <c r="M265" s="59">
        <v>-0.72042058399999997</v>
      </c>
      <c r="N265" s="59">
        <v>25.9</v>
      </c>
    </row>
    <row r="266" spans="13:14">
      <c r="M266" s="59">
        <v>-0.71998076</v>
      </c>
      <c r="N266" s="59">
        <v>26</v>
      </c>
    </row>
    <row r="267" spans="13:14">
      <c r="M267" s="59">
        <v>-0.71856687200000002</v>
      </c>
      <c r="N267" s="59">
        <v>26.1</v>
      </c>
    </row>
    <row r="268" spans="13:14">
      <c r="M268" s="59">
        <v>-0.71690322399999995</v>
      </c>
      <c r="N268" s="59">
        <v>26.2</v>
      </c>
    </row>
    <row r="269" spans="13:14">
      <c r="M269" s="59">
        <v>-0.71564700000000003</v>
      </c>
      <c r="N269" s="59">
        <v>26.3</v>
      </c>
    </row>
    <row r="270" spans="13:14">
      <c r="M270" s="59">
        <v>-0.71564700000000003</v>
      </c>
      <c r="N270" s="59">
        <v>26.4</v>
      </c>
    </row>
    <row r="271" spans="13:14">
      <c r="M271" s="59">
        <v>-0.71564700000000003</v>
      </c>
      <c r="N271" s="59">
        <v>26.5</v>
      </c>
    </row>
    <row r="272" spans="13:14">
      <c r="M272" s="59">
        <v>-0.71242271199999996</v>
      </c>
      <c r="N272" s="59">
        <v>26.6</v>
      </c>
    </row>
    <row r="273" spans="13:14">
      <c r="M273" s="59">
        <v>-0.70777594399999999</v>
      </c>
      <c r="N273" s="59">
        <v>26.7</v>
      </c>
    </row>
    <row r="274" spans="13:14">
      <c r="M274" s="59">
        <v>-0.70319200800000004</v>
      </c>
      <c r="N274" s="59">
        <v>26.8</v>
      </c>
    </row>
    <row r="275" spans="13:14">
      <c r="M275" s="59">
        <v>-0.69898506400000004</v>
      </c>
      <c r="N275" s="59">
        <v>26.9</v>
      </c>
    </row>
    <row r="276" spans="13:14">
      <c r="M276" s="59">
        <v>-0.69477812000000005</v>
      </c>
      <c r="N276" s="59">
        <v>27</v>
      </c>
    </row>
    <row r="277" spans="13:14">
      <c r="M277" s="59">
        <v>-0.69031063999999998</v>
      </c>
      <c r="N277" s="59">
        <v>27.1</v>
      </c>
    </row>
    <row r="278" spans="13:14">
      <c r="M278" s="59">
        <v>-0.68566347999999999</v>
      </c>
      <c r="N278" s="59">
        <v>27.2</v>
      </c>
    </row>
    <row r="279" spans="13:14">
      <c r="M279" s="59">
        <v>-0.68112014399999998</v>
      </c>
      <c r="N279" s="59">
        <v>27.3</v>
      </c>
    </row>
    <row r="280" spans="13:14">
      <c r="M280" s="59">
        <v>-0.67901667200000004</v>
      </c>
      <c r="N280" s="59">
        <v>27.4</v>
      </c>
    </row>
    <row r="281" spans="13:14">
      <c r="M281" s="59">
        <v>-0.67691319999999999</v>
      </c>
      <c r="N281" s="59">
        <v>27.5</v>
      </c>
    </row>
    <row r="282" spans="13:14">
      <c r="M282" s="59">
        <v>-0.67584</v>
      </c>
      <c r="N282" s="59">
        <v>27.6</v>
      </c>
    </row>
    <row r="283" spans="13:14">
      <c r="M283" s="59">
        <v>-0.67584</v>
      </c>
      <c r="N283" s="59">
        <v>27.7</v>
      </c>
    </row>
    <row r="284" spans="13:14">
      <c r="M284" s="59">
        <v>-0.67584</v>
      </c>
      <c r="N284" s="59">
        <v>27.8</v>
      </c>
    </row>
    <row r="285" spans="13:14">
      <c r="M285" s="59">
        <v>-0.67147772800000005</v>
      </c>
      <c r="N285" s="59">
        <v>27.9</v>
      </c>
    </row>
    <row r="286" spans="13:14">
      <c r="M286" s="59">
        <v>-0.66683095999999997</v>
      </c>
      <c r="N286" s="59">
        <v>28</v>
      </c>
    </row>
    <row r="287" spans="13:14">
      <c r="M287" s="59">
        <v>-0.66055277599999995</v>
      </c>
      <c r="N287" s="59">
        <v>28.1</v>
      </c>
    </row>
    <row r="288" spans="13:14">
      <c r="M288" s="59">
        <v>-0.65169867199999998</v>
      </c>
      <c r="N288" s="59">
        <v>28.2</v>
      </c>
    </row>
    <row r="289" spans="13:14">
      <c r="M289" s="59">
        <v>-0.64284456800000001</v>
      </c>
      <c r="N289" s="59">
        <v>28.3</v>
      </c>
    </row>
    <row r="290" spans="13:14">
      <c r="M290" s="59">
        <v>-0.64037531199999997</v>
      </c>
      <c r="N290" s="59">
        <v>28.4</v>
      </c>
    </row>
    <row r="291" spans="13:14">
      <c r="M291" s="59">
        <v>-0.63915188000000001</v>
      </c>
      <c r="N291" s="59">
        <v>28.5</v>
      </c>
    </row>
    <row r="292" spans="13:14">
      <c r="M292" s="59">
        <v>-0.63815233599999999</v>
      </c>
      <c r="N292" s="59">
        <v>28.6</v>
      </c>
    </row>
    <row r="293" spans="13:14">
      <c r="M293" s="59">
        <v>-0.63771251200000001</v>
      </c>
      <c r="N293" s="59">
        <v>28.7</v>
      </c>
    </row>
    <row r="294" spans="13:14">
      <c r="M294" s="59">
        <v>-0.63727268800000003</v>
      </c>
      <c r="N294" s="59">
        <v>28.8</v>
      </c>
    </row>
    <row r="295" spans="13:14">
      <c r="M295" s="59">
        <v>-0.63561059200000003</v>
      </c>
      <c r="N295" s="59">
        <v>28.9</v>
      </c>
    </row>
    <row r="296" spans="13:14">
      <c r="M296" s="59">
        <v>-0.63350711999999998</v>
      </c>
      <c r="N296" s="59">
        <v>29</v>
      </c>
    </row>
    <row r="297" spans="13:14">
      <c r="M297" s="59">
        <v>-0.63140364800000004</v>
      </c>
      <c r="N297" s="59">
        <v>29.1</v>
      </c>
    </row>
    <row r="298" spans="13:14">
      <c r="M298" s="59">
        <v>-0.62930017599999999</v>
      </c>
      <c r="N298" s="59">
        <v>29.2</v>
      </c>
    </row>
    <row r="299" spans="13:14">
      <c r="M299" s="59">
        <v>-0.62719670400000005</v>
      </c>
      <c r="N299" s="59">
        <v>29.3</v>
      </c>
    </row>
    <row r="300" spans="13:14">
      <c r="M300" s="59">
        <v>-0.62481472800000004</v>
      </c>
      <c r="N300" s="59">
        <v>29.4</v>
      </c>
    </row>
    <row r="301" spans="13:14">
      <c r="M301" s="59">
        <v>-0.62227104</v>
      </c>
      <c r="N301" s="59">
        <v>29.5</v>
      </c>
    </row>
    <row r="302" spans="13:14">
      <c r="M302" s="59">
        <v>-0.61989909600000004</v>
      </c>
      <c r="N302" s="59">
        <v>29.6</v>
      </c>
    </row>
    <row r="303" spans="13:14">
      <c r="M303" s="59">
        <v>-0.61945927199999995</v>
      </c>
      <c r="N303" s="59">
        <v>29.7</v>
      </c>
    </row>
    <row r="304" spans="13:14">
      <c r="M304" s="59">
        <v>-0.61901944799999997</v>
      </c>
      <c r="N304" s="59">
        <v>29.8</v>
      </c>
    </row>
    <row r="305" spans="13:14">
      <c r="M305" s="59">
        <v>-0.61658074399999996</v>
      </c>
      <c r="N305" s="59">
        <v>29.9</v>
      </c>
    </row>
    <row r="306" spans="13:14">
      <c r="M306" s="59">
        <v>-0.61237379999999997</v>
      </c>
      <c r="N306" s="59">
        <v>30</v>
      </c>
    </row>
    <row r="307" spans="13:14">
      <c r="M307" s="59">
        <v>-0.60816685599999998</v>
      </c>
      <c r="N307" s="59">
        <v>30.1</v>
      </c>
    </row>
    <row r="308" spans="13:14">
      <c r="M308" s="59">
        <v>-0.60808099999999998</v>
      </c>
      <c r="N308" s="59">
        <v>30.2</v>
      </c>
    </row>
    <row r="309" spans="13:14">
      <c r="M309" s="59">
        <v>-0.60808099999999998</v>
      </c>
      <c r="N309" s="59">
        <v>30.3</v>
      </c>
    </row>
    <row r="310" spans="13:14">
      <c r="M310" s="59">
        <v>-0.60717951199999998</v>
      </c>
      <c r="N310" s="59">
        <v>30.4</v>
      </c>
    </row>
    <row r="311" spans="13:14">
      <c r="M311" s="59">
        <v>-0.60507604000000004</v>
      </c>
      <c r="N311" s="59">
        <v>30.5</v>
      </c>
    </row>
    <row r="312" spans="13:14">
      <c r="M312" s="59">
        <v>-0.60297256799999999</v>
      </c>
      <c r="N312" s="59">
        <v>30.6</v>
      </c>
    </row>
    <row r="313" spans="13:14">
      <c r="M313" s="59">
        <v>-0.59902319199999998</v>
      </c>
      <c r="N313" s="59">
        <v>30.7</v>
      </c>
    </row>
    <row r="314" spans="13:14">
      <c r="M314" s="59">
        <v>-0.59481624799999999</v>
      </c>
      <c r="N314" s="59">
        <v>30.8</v>
      </c>
    </row>
    <row r="315" spans="13:14">
      <c r="M315" s="59">
        <v>-0.59115240800000002</v>
      </c>
      <c r="N315" s="59">
        <v>30.9</v>
      </c>
    </row>
    <row r="316" spans="13:14">
      <c r="M316" s="59">
        <v>-0.58860871999999997</v>
      </c>
      <c r="N316" s="59">
        <v>31</v>
      </c>
    </row>
    <row r="317" spans="13:14">
      <c r="M317" s="59">
        <v>-0.58606503200000004</v>
      </c>
      <c r="N317" s="59">
        <v>31.1</v>
      </c>
    </row>
    <row r="318" spans="13:14">
      <c r="M318" s="59">
        <v>-0.58549399999999996</v>
      </c>
      <c r="N318" s="59">
        <v>31.2</v>
      </c>
    </row>
    <row r="319" spans="13:14">
      <c r="M319" s="59">
        <v>-0.58549399999999996</v>
      </c>
      <c r="N319" s="59">
        <v>31.3</v>
      </c>
    </row>
    <row r="320" spans="13:14">
      <c r="M320" s="59">
        <v>-0.58512061599999998</v>
      </c>
      <c r="N320" s="59">
        <v>31.4</v>
      </c>
    </row>
    <row r="321" spans="13:14">
      <c r="M321" s="59">
        <v>-0.58345736000000004</v>
      </c>
      <c r="N321" s="59">
        <v>31.5</v>
      </c>
    </row>
    <row r="322" spans="13:14">
      <c r="M322" s="59">
        <v>-0.58179410399999998</v>
      </c>
      <c r="N322" s="59">
        <v>31.6</v>
      </c>
    </row>
    <row r="323" spans="13:14">
      <c r="M323" s="59">
        <v>-0.58125099999999996</v>
      </c>
      <c r="N323" s="59">
        <v>31.7</v>
      </c>
    </row>
    <row r="324" spans="13:14">
      <c r="M324" s="59">
        <v>-0.58125099999999996</v>
      </c>
      <c r="N324" s="59">
        <v>31.8</v>
      </c>
    </row>
    <row r="325" spans="13:14">
      <c r="M325" s="59">
        <v>-0.58125099999999996</v>
      </c>
      <c r="N325" s="59">
        <v>31.9</v>
      </c>
    </row>
    <row r="326" spans="13:14">
      <c r="M326" s="59">
        <v>-0.58125099999999996</v>
      </c>
      <c r="N326" s="59">
        <v>32</v>
      </c>
    </row>
    <row r="327" spans="13:14">
      <c r="M327" s="59">
        <v>-0.58125099999999996</v>
      </c>
      <c r="N327" s="59">
        <v>32.1</v>
      </c>
    </row>
    <row r="328" spans="13:14">
      <c r="M328" s="59">
        <v>-0.58004901600000003</v>
      </c>
      <c r="N328" s="59">
        <v>32.200000000000003</v>
      </c>
    </row>
    <row r="329" spans="13:14">
      <c r="M329" s="59">
        <v>-0.57794554399999998</v>
      </c>
      <c r="N329" s="59">
        <v>32.299999999999997</v>
      </c>
    </row>
    <row r="330" spans="13:14">
      <c r="M330" s="59">
        <v>-0.57587601600000005</v>
      </c>
      <c r="N330" s="59">
        <v>32.4</v>
      </c>
    </row>
    <row r="331" spans="13:14">
      <c r="M331" s="59">
        <v>-0.57543580000000005</v>
      </c>
      <c r="N331" s="59">
        <v>32.5</v>
      </c>
    </row>
    <row r="332" spans="13:14">
      <c r="M332" s="59">
        <v>-0.57499558399999995</v>
      </c>
      <c r="N332" s="59">
        <v>32.6</v>
      </c>
    </row>
    <row r="333" spans="13:14">
      <c r="M333" s="59">
        <v>-0.57455555199999997</v>
      </c>
      <c r="N333" s="59">
        <v>32.700000000000003</v>
      </c>
    </row>
    <row r="334" spans="13:14">
      <c r="M334" s="59">
        <v>-0.57411572799999999</v>
      </c>
      <c r="N334" s="59">
        <v>32.799999999999997</v>
      </c>
    </row>
    <row r="335" spans="13:14">
      <c r="M335" s="59">
        <v>-0.57367590400000001</v>
      </c>
      <c r="N335" s="59">
        <v>32.9</v>
      </c>
    </row>
    <row r="336" spans="13:14">
      <c r="M336" s="59">
        <v>-0.57170823999999998</v>
      </c>
      <c r="N336" s="59">
        <v>33</v>
      </c>
    </row>
    <row r="337" spans="13:14">
      <c r="M337" s="59">
        <v>-0.56960476800000004</v>
      </c>
      <c r="N337" s="59">
        <v>33.1</v>
      </c>
    </row>
    <row r="338" spans="13:14">
      <c r="M338" s="59">
        <v>-0.56689030399999996</v>
      </c>
      <c r="N338" s="59">
        <v>33.200000000000003</v>
      </c>
    </row>
    <row r="339" spans="13:14">
      <c r="M339" s="59">
        <v>-0.56312357599999996</v>
      </c>
      <c r="N339" s="59">
        <v>33.299999999999997</v>
      </c>
    </row>
    <row r="340" spans="13:14">
      <c r="M340" s="59">
        <v>-0.55935684799999996</v>
      </c>
      <c r="N340" s="59">
        <v>33.4</v>
      </c>
    </row>
    <row r="341" spans="13:14">
      <c r="M341" s="59">
        <v>-0.55866499999999997</v>
      </c>
      <c r="N341" s="59">
        <v>33.5</v>
      </c>
    </row>
    <row r="342" spans="13:14">
      <c r="M342" s="59">
        <v>-0.55866499999999997</v>
      </c>
      <c r="N342" s="59">
        <v>33.6</v>
      </c>
    </row>
    <row r="343" spans="13:14">
      <c r="M343" s="59">
        <v>-0.55854820800000005</v>
      </c>
      <c r="N343" s="59">
        <v>33.700000000000003</v>
      </c>
    </row>
    <row r="344" spans="13:14">
      <c r="M344" s="59">
        <v>-0.55810799200000005</v>
      </c>
      <c r="N344" s="59">
        <v>33.799999999999997</v>
      </c>
    </row>
    <row r="345" spans="13:14">
      <c r="M345" s="59">
        <v>-0.55766777599999995</v>
      </c>
      <c r="N345" s="59">
        <v>33.9</v>
      </c>
    </row>
    <row r="346" spans="13:14">
      <c r="M346" s="59">
        <v>-0.55453704000000004</v>
      </c>
      <c r="N346" s="59">
        <v>34</v>
      </c>
    </row>
    <row r="347" spans="13:14">
      <c r="M347" s="59">
        <v>-0.55033009600000005</v>
      </c>
      <c r="N347" s="59">
        <v>34.1</v>
      </c>
    </row>
    <row r="348" spans="13:14">
      <c r="M348" s="59">
        <v>-0.54646657600000004</v>
      </c>
      <c r="N348" s="59">
        <v>34.200000000000003</v>
      </c>
    </row>
    <row r="349" spans="13:14">
      <c r="M349" s="59">
        <v>-0.54436310399999999</v>
      </c>
      <c r="N349" s="59">
        <v>34.299999999999997</v>
      </c>
    </row>
    <row r="350" spans="13:14">
      <c r="M350" s="59">
        <v>-0.54225963200000005</v>
      </c>
      <c r="N350" s="59">
        <v>34.4</v>
      </c>
    </row>
    <row r="351" spans="13:14">
      <c r="M351" s="59">
        <v>-0.54015616</v>
      </c>
      <c r="N351" s="59">
        <v>34.5</v>
      </c>
    </row>
    <row r="352" spans="13:14">
      <c r="M352" s="59">
        <v>-0.53805268799999995</v>
      </c>
      <c r="N352" s="59">
        <v>34.6</v>
      </c>
    </row>
    <row r="353" spans="13:14">
      <c r="M353" s="59">
        <v>-0.53607800000000005</v>
      </c>
      <c r="N353" s="59">
        <v>34.700000000000003</v>
      </c>
    </row>
    <row r="354" spans="13:14">
      <c r="M354" s="59">
        <v>-0.53607800000000005</v>
      </c>
      <c r="N354" s="59">
        <v>34.799999999999997</v>
      </c>
    </row>
    <row r="355" spans="13:14">
      <c r="M355" s="59">
        <v>-0.53607800000000005</v>
      </c>
      <c r="N355" s="59">
        <v>34.9</v>
      </c>
    </row>
    <row r="356" spans="13:14">
      <c r="M356" s="59">
        <v>-0.53478040000000004</v>
      </c>
      <c r="N356" s="59">
        <v>35</v>
      </c>
    </row>
    <row r="357" spans="13:14">
      <c r="M357" s="59">
        <v>-0.53223710400000002</v>
      </c>
      <c r="N357" s="59">
        <v>35.1</v>
      </c>
    </row>
    <row r="358" spans="13:14">
      <c r="M358" s="59">
        <v>-0.52969380799999999</v>
      </c>
      <c r="N358" s="59">
        <v>35.200000000000003</v>
      </c>
    </row>
    <row r="359" spans="13:14">
      <c r="M359" s="59">
        <v>-0.52757238399999995</v>
      </c>
      <c r="N359" s="59">
        <v>35.299999999999997</v>
      </c>
    </row>
    <row r="360" spans="13:14">
      <c r="M360" s="59">
        <v>-0.52546891200000001</v>
      </c>
      <c r="N360" s="59">
        <v>35.4</v>
      </c>
    </row>
    <row r="361" spans="13:14">
      <c r="M361" s="59">
        <v>-0.52232719999999999</v>
      </c>
      <c r="N361" s="59">
        <v>35.5</v>
      </c>
    </row>
    <row r="362" spans="13:14">
      <c r="M362" s="59">
        <v>-0.51768004000000001</v>
      </c>
      <c r="N362" s="59">
        <v>35.6</v>
      </c>
    </row>
    <row r="363" spans="13:14">
      <c r="M363" s="59">
        <v>-0.51303288000000002</v>
      </c>
      <c r="N363" s="59">
        <v>35.700000000000003</v>
      </c>
    </row>
    <row r="364" spans="13:14">
      <c r="M364" s="59">
        <v>-0.51056602399999995</v>
      </c>
      <c r="N364" s="59">
        <v>35.799999999999997</v>
      </c>
    </row>
    <row r="365" spans="13:14">
      <c r="M365" s="59">
        <v>-0.50846255200000001</v>
      </c>
      <c r="N365" s="59">
        <v>35.9</v>
      </c>
    </row>
    <row r="366" spans="13:14">
      <c r="M366" s="59">
        <v>-0.50635907999999996</v>
      </c>
      <c r="N366" s="59">
        <v>36</v>
      </c>
    </row>
    <row r="367" spans="13:14">
      <c r="M367" s="59">
        <v>-0.50425560800000002</v>
      </c>
      <c r="N367" s="59">
        <v>36.1</v>
      </c>
    </row>
    <row r="368" spans="13:14">
      <c r="M368" s="59">
        <v>-0.50215213599999997</v>
      </c>
      <c r="N368" s="59">
        <v>36.200000000000003</v>
      </c>
    </row>
    <row r="369" spans="13:14">
      <c r="M369" s="59">
        <v>-0.501637</v>
      </c>
      <c r="N369" s="59">
        <v>36.299999999999997</v>
      </c>
    </row>
    <row r="370" spans="13:14">
      <c r="M370" s="59">
        <v>-0.501637</v>
      </c>
      <c r="N370" s="59">
        <v>36.4</v>
      </c>
    </row>
    <row r="371" spans="13:14">
      <c r="M371" s="59">
        <v>-0.501637</v>
      </c>
      <c r="N371" s="59">
        <v>36.5</v>
      </c>
    </row>
    <row r="372" spans="13:14">
      <c r="M372" s="59">
        <v>-0.501637</v>
      </c>
      <c r="N372" s="59">
        <v>36.6</v>
      </c>
    </row>
    <row r="373" spans="13:14">
      <c r="M373" s="59">
        <v>-0.501637</v>
      </c>
      <c r="N373" s="59">
        <v>36.700000000000003</v>
      </c>
    </row>
    <row r="374" spans="13:14">
      <c r="M374" s="59">
        <v>-0.49888960799999998</v>
      </c>
      <c r="N374" s="59">
        <v>36.799999999999997</v>
      </c>
    </row>
    <row r="375" spans="13:14">
      <c r="M375" s="59">
        <v>-0.49468266399999999</v>
      </c>
      <c r="N375" s="59">
        <v>36.9</v>
      </c>
    </row>
    <row r="376" spans="13:14">
      <c r="M376" s="59">
        <v>-0.49000156</v>
      </c>
      <c r="N376" s="59">
        <v>37</v>
      </c>
    </row>
    <row r="377" spans="13:14">
      <c r="M377" s="59">
        <v>-0.48114784799999999</v>
      </c>
      <c r="N377" s="59">
        <v>37.1</v>
      </c>
    </row>
    <row r="378" spans="13:14">
      <c r="M378" s="59">
        <v>-0.47229413599999998</v>
      </c>
      <c r="N378" s="59">
        <v>37.200000000000003</v>
      </c>
    </row>
    <row r="379" spans="13:14">
      <c r="M379" s="59">
        <v>-0.46807643199999999</v>
      </c>
      <c r="N379" s="59">
        <v>37.299999999999997</v>
      </c>
    </row>
    <row r="380" spans="13:14">
      <c r="M380" s="59">
        <v>-0.46763621599999999</v>
      </c>
      <c r="N380" s="59">
        <v>37.4</v>
      </c>
    </row>
    <row r="381" spans="13:14">
      <c r="M381" s="59">
        <v>-0.467196</v>
      </c>
      <c r="N381" s="59">
        <v>37.5</v>
      </c>
    </row>
    <row r="382" spans="13:14">
      <c r="M382" s="59">
        <v>-0.465532744</v>
      </c>
      <c r="N382" s="59">
        <v>37.6</v>
      </c>
    </row>
    <row r="383" spans="13:14">
      <c r="M383" s="59">
        <v>-0.463869488</v>
      </c>
      <c r="N383" s="59">
        <v>37.700000000000003</v>
      </c>
    </row>
    <row r="384" spans="13:14">
      <c r="M384" s="59">
        <v>-0.46275535200000001</v>
      </c>
      <c r="N384" s="59">
        <v>37.799999999999997</v>
      </c>
    </row>
    <row r="385" spans="13:14">
      <c r="M385" s="59">
        <v>-0.46231513600000002</v>
      </c>
      <c r="N385" s="59">
        <v>37.9</v>
      </c>
    </row>
    <row r="386" spans="13:14">
      <c r="M386" s="59">
        <v>-0.46187492000000002</v>
      </c>
      <c r="N386" s="59">
        <v>38</v>
      </c>
    </row>
    <row r="387" spans="13:14">
      <c r="M387" s="59">
        <v>-0.45844763199999999</v>
      </c>
      <c r="N387" s="59">
        <v>38.1</v>
      </c>
    </row>
    <row r="388" spans="13:14">
      <c r="M388" s="59">
        <v>-0.454680904</v>
      </c>
      <c r="N388" s="59">
        <v>38.200000000000003</v>
      </c>
    </row>
    <row r="389" spans="13:14">
      <c r="M389" s="59">
        <v>-0.45206827199999999</v>
      </c>
      <c r="N389" s="59">
        <v>38.299999999999997</v>
      </c>
    </row>
    <row r="390" spans="13:14">
      <c r="M390" s="59">
        <v>-0.451628056</v>
      </c>
      <c r="N390" s="59">
        <v>38.4</v>
      </c>
    </row>
    <row r="391" spans="13:14">
      <c r="M391" s="59">
        <v>-0.45118784000000001</v>
      </c>
      <c r="N391" s="59">
        <v>38.5</v>
      </c>
    </row>
    <row r="392" spans="13:14">
      <c r="M392" s="59">
        <v>-0.44272704000000002</v>
      </c>
      <c r="N392" s="59">
        <v>38.6</v>
      </c>
    </row>
    <row r="393" spans="13:14">
      <c r="M393" s="59">
        <v>-0.43220967999999998</v>
      </c>
      <c r="N393" s="59">
        <v>38.700000000000003</v>
      </c>
    </row>
    <row r="394" spans="13:14">
      <c r="M394" s="59">
        <v>-0.424160288</v>
      </c>
      <c r="N394" s="59">
        <v>38.799999999999997</v>
      </c>
    </row>
    <row r="395" spans="13:14">
      <c r="M395" s="59">
        <v>-0.42372046400000002</v>
      </c>
      <c r="N395" s="59">
        <v>38.9</v>
      </c>
    </row>
    <row r="396" spans="13:14">
      <c r="M396" s="59">
        <v>-0.42328063999999999</v>
      </c>
      <c r="N396" s="59">
        <v>39</v>
      </c>
    </row>
    <row r="397" spans="13:14">
      <c r="M397" s="59">
        <v>-0.42138099200000001</v>
      </c>
      <c r="N397" s="59">
        <v>39.1</v>
      </c>
    </row>
    <row r="398" spans="13:14">
      <c r="M398" s="59">
        <v>-0.41883730400000002</v>
      </c>
      <c r="N398" s="59">
        <v>39.200000000000003</v>
      </c>
    </row>
    <row r="399" spans="13:14">
      <c r="M399" s="59">
        <v>-0.416657</v>
      </c>
      <c r="N399" s="59">
        <v>39.299999999999997</v>
      </c>
    </row>
    <row r="400" spans="13:14">
      <c r="M400" s="59">
        <v>-0.416657</v>
      </c>
      <c r="N400" s="59">
        <v>39.4</v>
      </c>
    </row>
    <row r="401" spans="13:14">
      <c r="M401" s="59">
        <v>-0.416657</v>
      </c>
      <c r="N401" s="59">
        <v>39.5</v>
      </c>
    </row>
    <row r="402" spans="13:14">
      <c r="M402" s="59">
        <v>-0.41515178400000002</v>
      </c>
      <c r="N402" s="59">
        <v>39.6</v>
      </c>
    </row>
    <row r="403" spans="13:14">
      <c r="M403" s="59">
        <v>-0.412608488</v>
      </c>
      <c r="N403" s="59">
        <v>39.700000000000003</v>
      </c>
    </row>
    <row r="404" spans="13:14">
      <c r="M404" s="59">
        <v>-0.41001524</v>
      </c>
      <c r="N404" s="59">
        <v>39.799999999999997</v>
      </c>
    </row>
    <row r="405" spans="13:14">
      <c r="M405" s="59">
        <v>-0.40624811999999999</v>
      </c>
      <c r="N405" s="59">
        <v>39.9</v>
      </c>
    </row>
    <row r="406" spans="13:14">
      <c r="M406" s="59">
        <v>-0.40248099999999998</v>
      </c>
      <c r="N406" s="59">
        <v>40</v>
      </c>
    </row>
    <row r="407" spans="13:14">
      <c r="M407" s="59">
        <v>-0.398498456</v>
      </c>
      <c r="N407" s="59">
        <v>40.1</v>
      </c>
    </row>
    <row r="408" spans="13:14">
      <c r="M408" s="59">
        <v>-0.39429151200000001</v>
      </c>
      <c r="N408" s="59">
        <v>40.200000000000003</v>
      </c>
    </row>
    <row r="409" spans="13:14">
      <c r="M409" s="59">
        <v>-0.39008456800000002</v>
      </c>
      <c r="N409" s="59">
        <v>40.299999999999997</v>
      </c>
    </row>
    <row r="410" spans="13:14">
      <c r="M410" s="59">
        <v>-0.38702615200000001</v>
      </c>
      <c r="N410" s="59">
        <v>40.4</v>
      </c>
    </row>
    <row r="411" spans="13:14">
      <c r="M411" s="59">
        <v>-0.38404263999999999</v>
      </c>
      <c r="N411" s="59">
        <v>40.5</v>
      </c>
    </row>
    <row r="412" spans="13:14">
      <c r="M412" s="59">
        <v>-0.38157106400000002</v>
      </c>
      <c r="N412" s="59">
        <v>40.6</v>
      </c>
    </row>
    <row r="413" spans="13:14">
      <c r="M413" s="59">
        <v>-0.37990780800000001</v>
      </c>
      <c r="N413" s="59">
        <v>40.700000000000003</v>
      </c>
    </row>
    <row r="414" spans="13:14">
      <c r="M414" s="59">
        <v>-0.37824455200000001</v>
      </c>
      <c r="N414" s="59">
        <v>40.799999999999997</v>
      </c>
    </row>
    <row r="415" spans="13:14">
      <c r="M415" s="59">
        <v>-0.37760465599999998</v>
      </c>
      <c r="N415" s="59">
        <v>40.9</v>
      </c>
    </row>
    <row r="416" spans="13:14">
      <c r="M416" s="59">
        <v>-0.37716443999999999</v>
      </c>
      <c r="N416" s="59">
        <v>41</v>
      </c>
    </row>
    <row r="417" spans="13:14">
      <c r="M417" s="59">
        <v>-0.376249008</v>
      </c>
      <c r="N417" s="59">
        <v>41.1</v>
      </c>
    </row>
    <row r="418" spans="13:14">
      <c r="M418" s="59">
        <v>-0.374145536</v>
      </c>
      <c r="N418" s="59">
        <v>41.2</v>
      </c>
    </row>
    <row r="419" spans="13:14">
      <c r="M419" s="59">
        <v>-0.37204206400000001</v>
      </c>
      <c r="N419" s="59">
        <v>41.3</v>
      </c>
    </row>
    <row r="420" spans="13:14">
      <c r="M420" s="59">
        <v>-0.37026201600000003</v>
      </c>
      <c r="N420" s="59">
        <v>41.4</v>
      </c>
    </row>
    <row r="421" spans="13:14">
      <c r="M421" s="59">
        <v>-0.36859876000000003</v>
      </c>
      <c r="N421" s="59">
        <v>41.5</v>
      </c>
    </row>
    <row r="422" spans="13:14">
      <c r="M422" s="59">
        <v>-0.36646829600000003</v>
      </c>
      <c r="N422" s="59">
        <v>41.6</v>
      </c>
    </row>
    <row r="423" spans="13:14">
      <c r="M423" s="59">
        <v>-0.36226135199999998</v>
      </c>
      <c r="N423" s="59">
        <v>41.7</v>
      </c>
    </row>
    <row r="424" spans="13:14">
      <c r="M424" s="59">
        <v>-0.35805440799999999</v>
      </c>
      <c r="N424" s="59">
        <v>41.8</v>
      </c>
    </row>
    <row r="425" spans="13:14">
      <c r="M425" s="59">
        <v>-0.35623049600000001</v>
      </c>
      <c r="N425" s="59">
        <v>41.9</v>
      </c>
    </row>
    <row r="426" spans="13:14">
      <c r="M426" s="59">
        <v>-0.35579028000000001</v>
      </c>
      <c r="N426" s="59">
        <v>42</v>
      </c>
    </row>
    <row r="427" spans="13:14">
      <c r="M427" s="59">
        <v>-0.35517838400000001</v>
      </c>
      <c r="N427" s="59">
        <v>42.1</v>
      </c>
    </row>
    <row r="428" spans="13:14">
      <c r="M428" s="59">
        <v>-0.35263508799999999</v>
      </c>
      <c r="N428" s="59">
        <v>42.2</v>
      </c>
    </row>
    <row r="429" spans="13:14">
      <c r="M429" s="59">
        <v>-0.35009179200000001</v>
      </c>
      <c r="N429" s="59">
        <v>42.3</v>
      </c>
    </row>
    <row r="430" spans="13:14">
      <c r="M430" s="59">
        <v>-0.348015248</v>
      </c>
      <c r="N430" s="59">
        <v>42.4</v>
      </c>
    </row>
    <row r="431" spans="13:14">
      <c r="M431" s="59">
        <v>-0.34635159999999998</v>
      </c>
      <c r="N431" s="59">
        <v>42.5</v>
      </c>
    </row>
    <row r="432" spans="13:14">
      <c r="M432" s="59">
        <v>-0.34468795200000002</v>
      </c>
      <c r="N432" s="59">
        <v>42.6</v>
      </c>
    </row>
    <row r="433" spans="13:14">
      <c r="M433" s="59">
        <v>-0.34422315199999998</v>
      </c>
      <c r="N433" s="59">
        <v>42.7</v>
      </c>
    </row>
    <row r="434" spans="13:14">
      <c r="M434" s="59">
        <v>-0.343783328</v>
      </c>
      <c r="N434" s="59">
        <v>42.8</v>
      </c>
    </row>
    <row r="435" spans="13:14">
      <c r="M435" s="59">
        <v>-0.34172902399999999</v>
      </c>
      <c r="N435" s="59">
        <v>42.9</v>
      </c>
    </row>
    <row r="436" spans="13:14">
      <c r="M436" s="59">
        <v>-0.33752208</v>
      </c>
      <c r="N436" s="59">
        <v>43</v>
      </c>
    </row>
    <row r="437" spans="13:14">
      <c r="M437" s="59">
        <v>-0.33331513600000001</v>
      </c>
      <c r="N437" s="59">
        <v>43.1</v>
      </c>
    </row>
    <row r="438" spans="13:14">
      <c r="M438" s="59">
        <v>-0.33279999999999998</v>
      </c>
      <c r="N438" s="59">
        <v>43.2</v>
      </c>
    </row>
    <row r="439" spans="13:14">
      <c r="M439" s="59">
        <v>-0.33279999999999998</v>
      </c>
      <c r="N439" s="59">
        <v>43.3</v>
      </c>
    </row>
    <row r="440" spans="13:14">
      <c r="M440" s="59">
        <v>-0.33059571199999999</v>
      </c>
      <c r="N440" s="59">
        <v>43.4</v>
      </c>
    </row>
    <row r="441" spans="13:14">
      <c r="M441" s="59">
        <v>-0.32384508000000001</v>
      </c>
      <c r="N441" s="59">
        <v>43.5</v>
      </c>
    </row>
    <row r="442" spans="13:14">
      <c r="M442" s="59">
        <v>-0.31709444799999997</v>
      </c>
      <c r="N442" s="59">
        <v>43.6</v>
      </c>
    </row>
    <row r="443" spans="13:14">
      <c r="M443" s="59">
        <v>-0.31034412</v>
      </c>
      <c r="N443" s="59">
        <v>43.7</v>
      </c>
    </row>
    <row r="444" spans="13:14">
      <c r="M444" s="59">
        <v>-0.30359387999999998</v>
      </c>
      <c r="N444" s="59">
        <v>43.8</v>
      </c>
    </row>
    <row r="445" spans="13:14">
      <c r="M445" s="59">
        <v>-0.29835899999999999</v>
      </c>
      <c r="N445" s="59">
        <v>43.9</v>
      </c>
    </row>
    <row r="446" spans="13:14">
      <c r="M446" s="59">
        <v>-0.29835899999999999</v>
      </c>
      <c r="N446" s="59">
        <v>44</v>
      </c>
    </row>
    <row r="447" spans="13:14">
      <c r="M447" s="59">
        <v>-0.29835899999999999</v>
      </c>
      <c r="N447" s="59">
        <v>44.1</v>
      </c>
    </row>
    <row r="448" spans="13:14">
      <c r="M448" s="59">
        <v>-0.29723858399999997</v>
      </c>
      <c r="N448" s="59">
        <v>44.2</v>
      </c>
    </row>
    <row r="449" spans="13:14">
      <c r="M449" s="59">
        <v>-0.29557493600000001</v>
      </c>
      <c r="N449" s="59">
        <v>44.3</v>
      </c>
    </row>
    <row r="450" spans="13:14">
      <c r="M450" s="59">
        <v>-0.294061144</v>
      </c>
      <c r="N450" s="59">
        <v>44.4</v>
      </c>
    </row>
    <row r="451" spans="13:14">
      <c r="M451" s="59">
        <v>-0.29362132000000002</v>
      </c>
      <c r="N451" s="59">
        <v>44.5</v>
      </c>
    </row>
    <row r="452" spans="13:14">
      <c r="M452" s="59">
        <v>-0.29318149599999999</v>
      </c>
      <c r="N452" s="59">
        <v>44.6</v>
      </c>
    </row>
    <row r="453" spans="13:14">
      <c r="M453" s="59">
        <v>-0.292993</v>
      </c>
      <c r="N453" s="59">
        <v>44.7</v>
      </c>
    </row>
    <row r="454" spans="13:14">
      <c r="M454" s="59">
        <v>-0.292993</v>
      </c>
      <c r="N454" s="59">
        <v>44.8</v>
      </c>
    </row>
    <row r="455" spans="13:14">
      <c r="M455" s="59">
        <v>-0.29285523200000002</v>
      </c>
      <c r="N455" s="59">
        <v>44.9</v>
      </c>
    </row>
    <row r="456" spans="13:14">
      <c r="M456" s="59">
        <v>-0.28610459999999999</v>
      </c>
      <c r="N456" s="59">
        <v>45</v>
      </c>
    </row>
    <row r="457" spans="13:14">
      <c r="M457" s="59">
        <v>-0.27935396800000001</v>
      </c>
      <c r="N457" s="59">
        <v>45.1</v>
      </c>
    </row>
    <row r="458" spans="13:14">
      <c r="M458" s="59">
        <v>-0.274991288</v>
      </c>
      <c r="N458" s="59">
        <v>45.2</v>
      </c>
    </row>
    <row r="459" spans="13:14">
      <c r="M459" s="59">
        <v>-0.273328032</v>
      </c>
      <c r="N459" s="59">
        <v>45.3</v>
      </c>
    </row>
    <row r="460" spans="13:14">
      <c r="M460" s="59">
        <v>-0.271664776</v>
      </c>
      <c r="N460" s="59">
        <v>45.4</v>
      </c>
    </row>
    <row r="461" spans="13:14">
      <c r="M461" s="59">
        <v>-0.27112471999999999</v>
      </c>
      <c r="N461" s="59">
        <v>45.5</v>
      </c>
    </row>
    <row r="462" spans="13:14">
      <c r="M462" s="59">
        <v>-0.27068450399999999</v>
      </c>
      <c r="N462" s="59">
        <v>45.6</v>
      </c>
    </row>
    <row r="463" spans="13:14">
      <c r="M463" s="59">
        <v>-0.26560820800000001</v>
      </c>
      <c r="N463" s="59">
        <v>45.7</v>
      </c>
    </row>
    <row r="464" spans="13:14">
      <c r="M464" s="59">
        <v>-0.25254755200000001</v>
      </c>
      <c r="N464" s="59">
        <v>45.8</v>
      </c>
    </row>
    <row r="465" spans="13:14">
      <c r="M465" s="59">
        <v>-0.239486896</v>
      </c>
      <c r="N465" s="59">
        <v>45.9</v>
      </c>
    </row>
    <row r="466" spans="13:14">
      <c r="M466" s="59">
        <v>-0.23501152</v>
      </c>
      <c r="N466" s="59">
        <v>46</v>
      </c>
    </row>
    <row r="467" spans="13:14">
      <c r="M467" s="59">
        <v>-0.23246783200000001</v>
      </c>
      <c r="N467" s="59">
        <v>46.1</v>
      </c>
    </row>
    <row r="468" spans="13:14">
      <c r="M468" s="59">
        <v>-0.22959966400000001</v>
      </c>
      <c r="N468" s="59">
        <v>46.2</v>
      </c>
    </row>
    <row r="469" spans="13:14">
      <c r="M469" s="59">
        <v>-0.22583293600000001</v>
      </c>
      <c r="N469" s="59">
        <v>46.3</v>
      </c>
    </row>
    <row r="470" spans="13:14">
      <c r="M470" s="59">
        <v>-0.22206620799999999</v>
      </c>
      <c r="N470" s="59">
        <v>46.4</v>
      </c>
    </row>
    <row r="471" spans="13:14">
      <c r="M471" s="59">
        <v>-0.22067555999999999</v>
      </c>
      <c r="N471" s="59">
        <v>46.5</v>
      </c>
    </row>
    <row r="472" spans="13:14">
      <c r="M472" s="59">
        <v>-0.220235344</v>
      </c>
      <c r="N472" s="59">
        <v>46.6</v>
      </c>
    </row>
    <row r="473" spans="13:14">
      <c r="M473" s="59">
        <v>-0.219523576</v>
      </c>
      <c r="N473" s="59">
        <v>46.7</v>
      </c>
    </row>
    <row r="474" spans="13:14">
      <c r="M474" s="59">
        <v>-0.217420104</v>
      </c>
      <c r="N474" s="59">
        <v>46.8</v>
      </c>
    </row>
    <row r="475" spans="13:14">
      <c r="M475" s="59">
        <v>-0.21531663200000001</v>
      </c>
      <c r="N475" s="59">
        <v>46.9</v>
      </c>
    </row>
    <row r="476" spans="13:14">
      <c r="M476" s="59">
        <v>-0.21165603999999999</v>
      </c>
      <c r="N476" s="59">
        <v>47</v>
      </c>
    </row>
    <row r="477" spans="13:14">
      <c r="M477" s="59">
        <v>-0.20700927199999999</v>
      </c>
      <c r="N477" s="59">
        <v>47.1</v>
      </c>
    </row>
    <row r="478" spans="13:14">
      <c r="M478" s="59">
        <v>-0.20213186399999999</v>
      </c>
      <c r="N478" s="59">
        <v>47.2</v>
      </c>
    </row>
    <row r="479" spans="13:14">
      <c r="M479" s="59">
        <v>-0.19371797599999899</v>
      </c>
      <c r="N479" s="59">
        <v>47.3</v>
      </c>
    </row>
    <row r="480" spans="13:14">
      <c r="M480" s="59">
        <v>-0.18530408800000001</v>
      </c>
      <c r="N480" s="59">
        <v>47.4</v>
      </c>
    </row>
    <row r="481" spans="13:14">
      <c r="M481" s="59">
        <v>-0.18118300000000001</v>
      </c>
      <c r="N481" s="59">
        <v>47.5</v>
      </c>
    </row>
    <row r="482" spans="13:14">
      <c r="M482" s="59">
        <v>-0.18118300000000001</v>
      </c>
      <c r="N482" s="59">
        <v>47.6</v>
      </c>
    </row>
    <row r="483" spans="13:14">
      <c r="M483" s="59">
        <v>-0.18118300000000001</v>
      </c>
      <c r="N483" s="59">
        <v>47.7</v>
      </c>
    </row>
    <row r="484" spans="13:14">
      <c r="M484" s="59">
        <v>-0.17916538400000001</v>
      </c>
      <c r="N484" s="59">
        <v>47.8</v>
      </c>
    </row>
    <row r="485" spans="13:14">
      <c r="M485" s="59">
        <v>-0.17706191199999999</v>
      </c>
      <c r="N485" s="59">
        <v>47.9</v>
      </c>
    </row>
    <row r="486" spans="13:14">
      <c r="M486" s="59">
        <v>-0.17563732000000001</v>
      </c>
      <c r="N486" s="59">
        <v>48</v>
      </c>
    </row>
    <row r="487" spans="13:14">
      <c r="M487" s="59">
        <v>-0.17519710399999999</v>
      </c>
      <c r="N487" s="59">
        <v>48.1</v>
      </c>
    </row>
    <row r="488" spans="13:14">
      <c r="M488" s="59">
        <v>-0.174756888</v>
      </c>
      <c r="N488" s="59">
        <v>48.2</v>
      </c>
    </row>
    <row r="489" spans="13:14">
      <c r="M489" s="59">
        <v>-0.17469399999999999</v>
      </c>
      <c r="N489" s="59">
        <v>48.3</v>
      </c>
    </row>
    <row r="490" spans="13:14">
      <c r="M490" s="59">
        <v>-0.17469399999999999</v>
      </c>
      <c r="N490" s="59">
        <v>48.4</v>
      </c>
    </row>
    <row r="491" spans="13:14">
      <c r="M491" s="59">
        <v>-0.17340616</v>
      </c>
      <c r="N491" s="59">
        <v>48.5</v>
      </c>
    </row>
    <row r="492" spans="13:14">
      <c r="M492" s="59">
        <v>-0.16919921600000001</v>
      </c>
      <c r="N492" s="59">
        <v>48.6</v>
      </c>
    </row>
    <row r="493" spans="13:14">
      <c r="M493" s="59">
        <v>-0.164992272</v>
      </c>
      <c r="N493" s="59">
        <v>48.7</v>
      </c>
    </row>
    <row r="494" spans="13:14">
      <c r="M494" s="59">
        <v>-0.163962</v>
      </c>
      <c r="N494" s="59">
        <v>48.8</v>
      </c>
    </row>
    <row r="495" spans="13:14">
      <c r="M495" s="59">
        <v>-0.163962</v>
      </c>
      <c r="N495" s="59">
        <v>48.9</v>
      </c>
    </row>
    <row r="496" spans="13:14">
      <c r="M496" s="59">
        <v>-0.16387224</v>
      </c>
      <c r="N496" s="59">
        <v>49</v>
      </c>
    </row>
    <row r="497" spans="13:14">
      <c r="M497" s="59">
        <v>-0.163432416</v>
      </c>
      <c r="N497" s="59">
        <v>49.1</v>
      </c>
    </row>
    <row r="498" spans="13:14">
      <c r="M498" s="59">
        <v>-0.16299259199999999</v>
      </c>
      <c r="N498" s="59">
        <v>49.2</v>
      </c>
    </row>
    <row r="499" spans="13:14">
      <c r="M499" s="59">
        <v>-0.161753536</v>
      </c>
      <c r="N499" s="59">
        <v>49.3</v>
      </c>
    </row>
    <row r="500" spans="13:14">
      <c r="M500" s="59">
        <v>-0.16008988800000001</v>
      </c>
      <c r="N500" s="59">
        <v>49.4</v>
      </c>
    </row>
    <row r="501" spans="13:14">
      <c r="M501" s="59">
        <v>-0.15795207999999999</v>
      </c>
      <c r="N501" s="59">
        <v>49.5</v>
      </c>
    </row>
    <row r="502" spans="13:14">
      <c r="M502" s="59">
        <v>-0.15164166400000001</v>
      </c>
      <c r="N502" s="59">
        <v>49.6</v>
      </c>
    </row>
    <row r="503" spans="13:14">
      <c r="M503" s="59">
        <v>-0.145331248</v>
      </c>
      <c r="N503" s="59">
        <v>49.7</v>
      </c>
    </row>
    <row r="504" spans="13:14">
      <c r="M504" s="59">
        <v>-0.14225564800000001</v>
      </c>
      <c r="N504" s="59">
        <v>49.8</v>
      </c>
    </row>
    <row r="505" spans="13:14">
      <c r="M505" s="59">
        <v>-0.14181582400000001</v>
      </c>
      <c r="N505" s="59">
        <v>49.9</v>
      </c>
    </row>
    <row r="506" spans="13:14">
      <c r="M506" s="59">
        <v>-0.141376</v>
      </c>
      <c r="N506" s="59">
        <v>50</v>
      </c>
    </row>
    <row r="507" spans="13:14">
      <c r="M507" s="59">
        <v>-0.13672883999999999</v>
      </c>
      <c r="N507" s="59">
        <v>50.1</v>
      </c>
    </row>
    <row r="508" spans="13:14">
      <c r="M508" s="59">
        <v>-0.13208168000000001</v>
      </c>
      <c r="N508" s="59">
        <v>50.2</v>
      </c>
    </row>
    <row r="509" spans="13:14">
      <c r="M509" s="59">
        <v>-0.12857658399999999</v>
      </c>
      <c r="N509" s="59">
        <v>50.3</v>
      </c>
    </row>
    <row r="510" spans="13:14">
      <c r="M510" s="59">
        <v>-0.126473112</v>
      </c>
      <c r="N510" s="59">
        <v>50.4</v>
      </c>
    </row>
    <row r="511" spans="13:14">
      <c r="M511" s="59">
        <v>-0.12436964</v>
      </c>
      <c r="N511" s="59">
        <v>50.5</v>
      </c>
    </row>
    <row r="512" spans="13:14">
      <c r="M512" s="59">
        <v>-0.124155</v>
      </c>
      <c r="N512" s="59">
        <v>50.6</v>
      </c>
    </row>
    <row r="513" spans="13:14">
      <c r="M513" s="59">
        <v>-0.124155</v>
      </c>
      <c r="N513" s="59">
        <v>50.7</v>
      </c>
    </row>
    <row r="514" spans="13:14">
      <c r="M514" s="59">
        <v>-0.123577952</v>
      </c>
      <c r="N514" s="59">
        <v>50.8</v>
      </c>
    </row>
    <row r="515" spans="13:14">
      <c r="M515" s="59">
        <v>-0.121914696</v>
      </c>
      <c r="N515" s="59">
        <v>50.9</v>
      </c>
    </row>
    <row r="516" spans="13:14">
      <c r="M516" s="59">
        <v>-0.12025144</v>
      </c>
      <c r="N516" s="59">
        <v>51</v>
      </c>
    </row>
    <row r="517" spans="13:14">
      <c r="M517" s="59">
        <v>-0.11621324</v>
      </c>
      <c r="N517" s="59">
        <v>51.1</v>
      </c>
    </row>
    <row r="518" spans="13:14">
      <c r="M518" s="59">
        <v>-0.11156608</v>
      </c>
      <c r="N518" s="59">
        <v>51.2</v>
      </c>
    </row>
    <row r="519" spans="13:14">
      <c r="M519" s="59">
        <v>-0.107026728</v>
      </c>
      <c r="N519" s="59">
        <v>51.3</v>
      </c>
    </row>
    <row r="520" spans="13:14">
      <c r="M520" s="59">
        <v>-0.102819784</v>
      </c>
      <c r="N520" s="59">
        <v>51.4</v>
      </c>
    </row>
    <row r="521" spans="13:14">
      <c r="M521" s="59">
        <v>-9.8612839999999993E-2</v>
      </c>
      <c r="N521" s="59">
        <v>51.5</v>
      </c>
    </row>
    <row r="522" spans="13:14">
      <c r="M522" s="59">
        <v>-9.2641160000000097E-2</v>
      </c>
      <c r="N522" s="59">
        <v>51.6</v>
      </c>
    </row>
    <row r="523" spans="13:14">
      <c r="M523" s="59">
        <v>-8.5890919999999704E-2</v>
      </c>
      <c r="N523" s="59">
        <v>51.7</v>
      </c>
    </row>
    <row r="524" spans="13:14">
      <c r="M524" s="59">
        <v>-7.9804503999999901E-2</v>
      </c>
      <c r="N524" s="59">
        <v>51.8</v>
      </c>
    </row>
    <row r="525" spans="13:14">
      <c r="M525" s="59">
        <v>-7.7701031999999906E-2</v>
      </c>
      <c r="N525" s="59">
        <v>51.9</v>
      </c>
    </row>
    <row r="526" spans="13:14">
      <c r="M526" s="59">
        <v>-7.5597559999999994E-2</v>
      </c>
      <c r="N526" s="59">
        <v>52</v>
      </c>
    </row>
    <row r="527" spans="13:14">
      <c r="M527" s="59">
        <v>-7.4739E-2</v>
      </c>
      <c r="N527" s="59">
        <v>52.1</v>
      </c>
    </row>
    <row r="528" spans="13:14">
      <c r="M528" s="59">
        <v>-7.4739E-2</v>
      </c>
      <c r="N528" s="59">
        <v>52.2</v>
      </c>
    </row>
    <row r="529" spans="13:14">
      <c r="M529" s="59">
        <v>-7.4617223999999899E-2</v>
      </c>
      <c r="N529" s="59">
        <v>52.3</v>
      </c>
    </row>
    <row r="530" spans="13:14">
      <c r="M530" s="59">
        <v>-7.1633711999999905E-2</v>
      </c>
      <c r="N530" s="59">
        <v>52.4</v>
      </c>
    </row>
    <row r="531" spans="13:14">
      <c r="M531" s="59">
        <v>-6.8650199999999897E-2</v>
      </c>
      <c r="N531" s="59">
        <v>52.5</v>
      </c>
    </row>
    <row r="532" spans="13:14">
      <c r="M532" s="59">
        <v>-6.4252607999999906E-2</v>
      </c>
      <c r="N532" s="59">
        <v>52.6</v>
      </c>
    </row>
    <row r="533" spans="13:14">
      <c r="M533" s="59">
        <v>-5.8382016000000002E-2</v>
      </c>
      <c r="N533" s="59">
        <v>52.7</v>
      </c>
    </row>
    <row r="534" spans="13:14">
      <c r="M534" s="59">
        <v>-5.2511424000000001E-2</v>
      </c>
      <c r="N534" s="59">
        <v>52.8</v>
      </c>
    </row>
    <row r="535" spans="13:14">
      <c r="M535" s="59">
        <v>-5.1739104000000001E-2</v>
      </c>
      <c r="N535" s="59">
        <v>52.9</v>
      </c>
    </row>
    <row r="536" spans="13:14">
      <c r="M536" s="59">
        <v>-5.1299280000000003E-2</v>
      </c>
      <c r="N536" s="59">
        <v>53</v>
      </c>
    </row>
    <row r="537" spans="13:14">
      <c r="M537" s="59">
        <v>-5.0214367999999898E-2</v>
      </c>
      <c r="N537" s="59">
        <v>53.1</v>
      </c>
    </row>
    <row r="538" spans="13:14">
      <c r="M538" s="59">
        <v>-4.8110895999999903E-2</v>
      </c>
      <c r="N538" s="59">
        <v>53.2</v>
      </c>
    </row>
    <row r="539" spans="13:14">
      <c r="M539" s="59">
        <v>-4.6007423999999998E-2</v>
      </c>
      <c r="N539" s="59">
        <v>53.3</v>
      </c>
    </row>
    <row r="540" spans="13:14">
      <c r="M540" s="59">
        <v>-4.5664000000000003E-2</v>
      </c>
      <c r="N540" s="59">
        <v>53.4</v>
      </c>
    </row>
    <row r="541" spans="13:14">
      <c r="M541" s="59">
        <v>-4.5664000000000003E-2</v>
      </c>
      <c r="N541" s="59">
        <v>53.5</v>
      </c>
    </row>
    <row r="542" spans="13:14">
      <c r="M542" s="59">
        <v>-4.5063007999999898E-2</v>
      </c>
      <c r="N542" s="59">
        <v>53.6</v>
      </c>
    </row>
    <row r="543" spans="13:14">
      <c r="M543" s="59">
        <v>-4.2959535999999902E-2</v>
      </c>
      <c r="N543" s="59">
        <v>53.7</v>
      </c>
    </row>
    <row r="544" spans="13:14">
      <c r="M544" s="59">
        <v>-4.08560639999999E-2</v>
      </c>
      <c r="N544" s="59">
        <v>53.8</v>
      </c>
    </row>
    <row r="545" spans="13:14">
      <c r="M545" s="59">
        <v>-3.8752591999999898E-2</v>
      </c>
      <c r="N545" s="59">
        <v>53.9</v>
      </c>
    </row>
    <row r="546" spans="13:14">
      <c r="M546" s="59">
        <v>-3.664912E-2</v>
      </c>
      <c r="N546" s="59">
        <v>54</v>
      </c>
    </row>
    <row r="547" spans="13:14">
      <c r="M547" s="59">
        <v>-3.4851144000000001E-2</v>
      </c>
      <c r="N547" s="59">
        <v>54.1</v>
      </c>
    </row>
    <row r="548" spans="13:14">
      <c r="M548" s="59">
        <v>-3.4410928E-2</v>
      </c>
      <c r="N548" s="59">
        <v>54.2</v>
      </c>
    </row>
    <row r="549" spans="13:14">
      <c r="M549" s="59">
        <v>-3.3970712E-2</v>
      </c>
      <c r="N549" s="59">
        <v>54.3</v>
      </c>
    </row>
    <row r="550" spans="13:14">
      <c r="M550" s="59">
        <v>-3.2478231999999899E-2</v>
      </c>
      <c r="N550" s="59">
        <v>54.4</v>
      </c>
    </row>
    <row r="551" spans="13:14">
      <c r="M551" s="59">
        <v>-3.03747599999999E-2</v>
      </c>
      <c r="N551" s="59">
        <v>54.5</v>
      </c>
    </row>
    <row r="552" spans="13:14">
      <c r="M552" s="59">
        <v>-2.8307223999999999E-2</v>
      </c>
      <c r="N552" s="59">
        <v>54.6</v>
      </c>
    </row>
    <row r="553" spans="13:14">
      <c r="M553" s="59">
        <v>-2.6643968000000001E-2</v>
      </c>
      <c r="N553" s="59">
        <v>54.7</v>
      </c>
    </row>
    <row r="554" spans="13:14">
      <c r="M554" s="59">
        <v>-2.4980711999999902E-2</v>
      </c>
      <c r="N554" s="59">
        <v>54.8</v>
      </c>
    </row>
    <row r="555" spans="13:14">
      <c r="M555" s="59">
        <v>-2.3966623999999999E-2</v>
      </c>
      <c r="N555" s="59">
        <v>54.9</v>
      </c>
    </row>
    <row r="556" spans="13:14">
      <c r="M556" s="59">
        <v>-2.35268E-2</v>
      </c>
      <c r="N556" s="59">
        <v>55</v>
      </c>
    </row>
    <row r="557" spans="13:14">
      <c r="M557" s="59">
        <v>-2.3086975999999999E-2</v>
      </c>
      <c r="N557" s="59">
        <v>55.1</v>
      </c>
    </row>
    <row r="558" spans="13:14">
      <c r="M558" s="59">
        <v>-2.1448303999999901E-2</v>
      </c>
      <c r="N558" s="59">
        <v>55.2</v>
      </c>
    </row>
    <row r="559" spans="13:14">
      <c r="M559" s="59">
        <v>-1.9784656000000001E-2</v>
      </c>
      <c r="N559" s="59">
        <v>55.3</v>
      </c>
    </row>
    <row r="560" spans="13:14">
      <c r="M560" s="59">
        <v>-1.8834E-2</v>
      </c>
      <c r="N560" s="59">
        <v>55.4</v>
      </c>
    </row>
    <row r="561" spans="13:14">
      <c r="M561" s="59">
        <v>-1.8834E-2</v>
      </c>
      <c r="N561" s="59">
        <v>55.5</v>
      </c>
    </row>
    <row r="562" spans="13:14">
      <c r="M562" s="59">
        <v>-1.8834E-2</v>
      </c>
      <c r="N562" s="59">
        <v>55.6</v>
      </c>
    </row>
    <row r="563" spans="13:14">
      <c r="M563" s="59">
        <v>-1.8447688E-2</v>
      </c>
      <c r="N563" s="59">
        <v>55.7</v>
      </c>
    </row>
    <row r="564" spans="13:14">
      <c r="M564" s="59">
        <v>-1.8007472E-2</v>
      </c>
      <c r="N564" s="59">
        <v>55.8</v>
      </c>
    </row>
    <row r="565" spans="13:14">
      <c r="M565" s="59">
        <v>-1.6880535999999901E-2</v>
      </c>
      <c r="N565" s="59">
        <v>55.9</v>
      </c>
    </row>
    <row r="566" spans="13:14">
      <c r="M566" s="59">
        <v>-1.43372399999999E-2</v>
      </c>
      <c r="N566" s="59">
        <v>56</v>
      </c>
    </row>
    <row r="567" spans="13:14">
      <c r="M567" s="59">
        <v>-1.1793943999999799E-2</v>
      </c>
      <c r="N567" s="59">
        <v>56.1</v>
      </c>
    </row>
    <row r="568" spans="13:14">
      <c r="M568" s="59">
        <v>-9.9328239999998697E-3</v>
      </c>
      <c r="N568" s="59">
        <v>56.2</v>
      </c>
    </row>
    <row r="569" spans="13:14">
      <c r="M569" s="59">
        <v>-8.2691759999998903E-3</v>
      </c>
      <c r="N569" s="59">
        <v>56.3</v>
      </c>
    </row>
    <row r="570" spans="13:14">
      <c r="M570" s="59">
        <v>-6.4080559999998496E-3</v>
      </c>
      <c r="N570" s="59">
        <v>56.4</v>
      </c>
    </row>
    <row r="571" spans="13:14">
      <c r="M571" s="59">
        <v>-3.8647599999998799E-3</v>
      </c>
      <c r="N571" s="59">
        <v>56.5</v>
      </c>
    </row>
    <row r="572" spans="13:14">
      <c r="M572" s="59">
        <v>-1.3214639999999101E-3</v>
      </c>
      <c r="N572" s="59">
        <v>56.6</v>
      </c>
    </row>
    <row r="573" spans="13:14">
      <c r="M573" s="59">
        <v>-4.9100000000000001E-4</v>
      </c>
      <c r="N573" s="59">
        <v>56.7</v>
      </c>
    </row>
    <row r="574" spans="13:14">
      <c r="M574" s="59">
        <v>-4.9100000000000001E-4</v>
      </c>
      <c r="N574" s="59">
        <v>56.8</v>
      </c>
    </row>
    <row r="575" spans="13:14">
      <c r="M575" s="59">
        <v>2.8170400000048699E-4</v>
      </c>
      <c r="N575" s="59">
        <v>56.9</v>
      </c>
    </row>
    <row r="576" spans="13:14">
      <c r="M576" s="59">
        <v>6.5921200000004197E-3</v>
      </c>
      <c r="N576" s="59">
        <v>57</v>
      </c>
    </row>
    <row r="577" spans="13:14">
      <c r="M577" s="59">
        <v>1.29025360000004E-2</v>
      </c>
      <c r="N577" s="59">
        <v>57.1</v>
      </c>
    </row>
    <row r="578" spans="13:14">
      <c r="M578" s="59">
        <v>1.5858328000000001E-2</v>
      </c>
      <c r="N578" s="59">
        <v>57.2</v>
      </c>
    </row>
    <row r="579" spans="13:14">
      <c r="M579" s="59">
        <v>1.6298152E-2</v>
      </c>
      <c r="N579" s="59">
        <v>57.3</v>
      </c>
    </row>
    <row r="580" spans="13:14">
      <c r="M580" s="59">
        <v>1.6771936000000199E-2</v>
      </c>
      <c r="N580" s="59">
        <v>57.4</v>
      </c>
    </row>
    <row r="581" spans="13:14">
      <c r="M581" s="59">
        <v>1.8875800000000199E-2</v>
      </c>
      <c r="N581" s="59">
        <v>57.5</v>
      </c>
    </row>
    <row r="582" spans="13:14">
      <c r="M582" s="59">
        <v>2.09796640000002E-2</v>
      </c>
      <c r="N582" s="59">
        <v>57.6</v>
      </c>
    </row>
    <row r="583" spans="13:14">
      <c r="M583" s="59">
        <v>2.3083159999999801E-2</v>
      </c>
      <c r="N583" s="59">
        <v>57.7</v>
      </c>
    </row>
    <row r="584" spans="13:14">
      <c r="M584" s="59">
        <v>2.5186239999999999E-2</v>
      </c>
      <c r="N584" s="59">
        <v>57.8</v>
      </c>
    </row>
    <row r="585" spans="13:14">
      <c r="M585" s="59">
        <v>2.7289319999999902E-2</v>
      </c>
      <c r="N585" s="59">
        <v>57.9</v>
      </c>
    </row>
    <row r="586" spans="13:14">
      <c r="M586" s="59">
        <v>3.3660559999999701E-2</v>
      </c>
      <c r="N586" s="59">
        <v>58</v>
      </c>
    </row>
    <row r="587" spans="13:14">
      <c r="M587" s="59">
        <v>4.04111919999997E-2</v>
      </c>
      <c r="N587" s="59">
        <v>58.1</v>
      </c>
    </row>
    <row r="588" spans="13:14">
      <c r="M588" s="59">
        <v>4.7772815999999503E-2</v>
      </c>
      <c r="N588" s="59">
        <v>58.2</v>
      </c>
    </row>
    <row r="589" spans="13:14">
      <c r="M589" s="59">
        <v>5.61867039999994E-2</v>
      </c>
      <c r="N589" s="59">
        <v>58.3</v>
      </c>
    </row>
    <row r="590" spans="13:14">
      <c r="M590" s="59">
        <v>6.4600591999999901E-2</v>
      </c>
      <c r="N590" s="59">
        <v>58.4</v>
      </c>
    </row>
    <row r="591" spans="13:14">
      <c r="M591" s="59">
        <v>6.6505040000000001E-2</v>
      </c>
      <c r="N591" s="59">
        <v>58.5</v>
      </c>
    </row>
    <row r="592" spans="13:14">
      <c r="M592" s="59">
        <v>6.6944864000000007E-2</v>
      </c>
      <c r="N592" s="59">
        <v>58.6</v>
      </c>
    </row>
    <row r="593" spans="13:14">
      <c r="M593" s="59">
        <v>6.7709375999999905E-2</v>
      </c>
      <c r="N593" s="59">
        <v>58.7</v>
      </c>
    </row>
    <row r="594" spans="13:14">
      <c r="M594" s="59">
        <v>6.9373023999999894E-2</v>
      </c>
      <c r="N594" s="59">
        <v>58.8</v>
      </c>
    </row>
    <row r="595" spans="13:14">
      <c r="M595" s="59">
        <v>7.1036671999999898E-2</v>
      </c>
      <c r="N595" s="59">
        <v>58.9</v>
      </c>
    </row>
    <row r="596" spans="13:14">
      <c r="M596" s="59">
        <v>7.182616E-2</v>
      </c>
      <c r="N596" s="59">
        <v>59</v>
      </c>
    </row>
    <row r="597" spans="13:14">
      <c r="M597" s="59">
        <v>7.2265984000000005E-2</v>
      </c>
      <c r="N597" s="59">
        <v>59.1</v>
      </c>
    </row>
    <row r="598" spans="13:14">
      <c r="M598" s="59">
        <v>7.2977423999999999E-2</v>
      </c>
      <c r="N598" s="59">
        <v>59.2</v>
      </c>
    </row>
    <row r="599" spans="13:14">
      <c r="M599" s="59">
        <v>7.5080895999999897E-2</v>
      </c>
      <c r="N599" s="59">
        <v>59.3</v>
      </c>
    </row>
    <row r="600" spans="13:14">
      <c r="M600" s="59">
        <v>7.7184367999999906E-2</v>
      </c>
      <c r="N600" s="59">
        <v>59.4</v>
      </c>
    </row>
    <row r="601" spans="13:14">
      <c r="M601" s="59">
        <v>8.8841519999999105E-2</v>
      </c>
      <c r="N601" s="59">
        <v>59.5</v>
      </c>
    </row>
    <row r="602" spans="13:14">
      <c r="M602" s="59">
        <v>0.106549335999999</v>
      </c>
      <c r="N602" s="59">
        <v>59.6</v>
      </c>
    </row>
    <row r="603" spans="13:14">
      <c r="M603" s="59">
        <v>0.123301784</v>
      </c>
      <c r="N603" s="59">
        <v>59.7</v>
      </c>
    </row>
    <row r="604" spans="13:14">
      <c r="M604" s="59">
        <v>0.12540525599999999</v>
      </c>
      <c r="N604" s="59">
        <v>59.8</v>
      </c>
    </row>
    <row r="605" spans="13:14">
      <c r="M605" s="59">
        <v>0.12750872799999999</v>
      </c>
      <c r="N605" s="59">
        <v>59.9</v>
      </c>
    </row>
    <row r="606" spans="13:14">
      <c r="M606" s="59">
        <v>0.13091</v>
      </c>
      <c r="N606" s="59">
        <v>60</v>
      </c>
    </row>
    <row r="607" spans="13:14">
      <c r="M607" s="59">
        <v>0.13555716000000001</v>
      </c>
      <c r="N607" s="59">
        <v>60.1</v>
      </c>
    </row>
    <row r="608" spans="13:14">
      <c r="M608" s="59">
        <v>0.14020431999999999</v>
      </c>
      <c r="N608" s="59">
        <v>60.2</v>
      </c>
    </row>
    <row r="609" spans="13:14">
      <c r="M609" s="59">
        <v>0.14039399999999999</v>
      </c>
      <c r="N609" s="59">
        <v>60.3</v>
      </c>
    </row>
    <row r="610" spans="13:14">
      <c r="M610" s="59">
        <v>0.14039399999999999</v>
      </c>
      <c r="N610" s="59">
        <v>60.4</v>
      </c>
    </row>
    <row r="611" spans="13:14">
      <c r="M611" s="59">
        <v>0.14107288000000001</v>
      </c>
      <c r="N611" s="59">
        <v>60.5</v>
      </c>
    </row>
    <row r="612" spans="13:14">
      <c r="M612" s="59">
        <v>0.14273613600000001</v>
      </c>
      <c r="N612" s="59">
        <v>60.6</v>
      </c>
    </row>
    <row r="613" spans="13:14">
      <c r="M613" s="59">
        <v>0.14439939199999999</v>
      </c>
      <c r="N613" s="59">
        <v>60.7</v>
      </c>
    </row>
    <row r="614" spans="13:14">
      <c r="M614" s="59">
        <v>0.145014328</v>
      </c>
      <c r="N614" s="59">
        <v>60.8</v>
      </c>
    </row>
    <row r="615" spans="13:14">
      <c r="M615" s="59">
        <v>0.14545454399999999</v>
      </c>
      <c r="N615" s="59">
        <v>60.9</v>
      </c>
    </row>
    <row r="616" spans="13:14">
      <c r="M616" s="59">
        <v>0.14589463999999999</v>
      </c>
      <c r="N616" s="59">
        <v>61</v>
      </c>
    </row>
    <row r="617" spans="13:14">
      <c r="M617" s="59">
        <v>0.146334464</v>
      </c>
      <c r="N617" s="59">
        <v>61.1</v>
      </c>
    </row>
    <row r="618" spans="13:14">
      <c r="M618" s="59">
        <v>0.146774288</v>
      </c>
      <c r="N618" s="59">
        <v>61.2</v>
      </c>
    </row>
    <row r="619" spans="13:14">
      <c r="M619" s="59">
        <v>0.14813822400000001</v>
      </c>
      <c r="N619" s="59">
        <v>61.3</v>
      </c>
    </row>
    <row r="620" spans="13:14">
      <c r="M620" s="59">
        <v>0.149801872</v>
      </c>
      <c r="N620" s="59">
        <v>61.4</v>
      </c>
    </row>
    <row r="621" spans="13:14">
      <c r="M621" s="59">
        <v>0.15198455999999999</v>
      </c>
      <c r="N621" s="59">
        <v>61.5</v>
      </c>
    </row>
    <row r="622" spans="13:14">
      <c r="M622" s="59">
        <v>0.15619150400000001</v>
      </c>
      <c r="N622" s="59">
        <v>61.6</v>
      </c>
    </row>
    <row r="623" spans="13:14">
      <c r="M623" s="59">
        <v>0.160398448</v>
      </c>
      <c r="N623" s="59">
        <v>61.7</v>
      </c>
    </row>
    <row r="624" spans="13:14">
      <c r="M624" s="59">
        <v>0.16323169600000001</v>
      </c>
      <c r="N624" s="59">
        <v>61.8</v>
      </c>
    </row>
    <row r="625" spans="13:14">
      <c r="M625" s="59">
        <v>0.165335168</v>
      </c>
      <c r="N625" s="59">
        <v>61.9</v>
      </c>
    </row>
    <row r="626" spans="13:14">
      <c r="M626" s="59">
        <v>0.16774307999999999</v>
      </c>
      <c r="N626" s="59">
        <v>62</v>
      </c>
    </row>
    <row r="627" spans="13:14">
      <c r="M627" s="59">
        <v>0.17283006400000001</v>
      </c>
      <c r="N627" s="59">
        <v>62.1</v>
      </c>
    </row>
    <row r="628" spans="13:14">
      <c r="M628" s="59">
        <v>0.17791704799999999</v>
      </c>
      <c r="N628" s="59">
        <v>62.2</v>
      </c>
    </row>
    <row r="629" spans="13:14">
      <c r="M629" s="59">
        <v>0.18111748799999999</v>
      </c>
      <c r="N629" s="59">
        <v>62.3</v>
      </c>
    </row>
    <row r="630" spans="13:14">
      <c r="M630" s="59">
        <v>0.18278074399999999</v>
      </c>
      <c r="N630" s="59">
        <v>62.4</v>
      </c>
    </row>
    <row r="631" spans="13:14">
      <c r="M631" s="59">
        <v>0.184444</v>
      </c>
      <c r="N631" s="59">
        <v>62.5</v>
      </c>
    </row>
    <row r="632" spans="13:14">
      <c r="M632" s="59">
        <v>0.184444</v>
      </c>
      <c r="N632" s="59">
        <v>62.6</v>
      </c>
    </row>
    <row r="633" spans="13:14">
      <c r="M633" s="59">
        <v>0.184444</v>
      </c>
      <c r="N633" s="59">
        <v>62.7</v>
      </c>
    </row>
    <row r="634" spans="13:14">
      <c r="M634" s="59">
        <v>0.185388416</v>
      </c>
      <c r="N634" s="59">
        <v>62.8</v>
      </c>
    </row>
    <row r="635" spans="13:14">
      <c r="M635" s="59">
        <v>0.187491888</v>
      </c>
      <c r="N635" s="59">
        <v>62.9</v>
      </c>
    </row>
    <row r="636" spans="13:14">
      <c r="M636" s="59">
        <v>0.18959535999999999</v>
      </c>
      <c r="N636" s="59">
        <v>63</v>
      </c>
    </row>
    <row r="637" spans="13:14">
      <c r="M637" s="59">
        <v>0.19358766399999999</v>
      </c>
      <c r="N637" s="59">
        <v>63.1</v>
      </c>
    </row>
    <row r="638" spans="13:14">
      <c r="M638" s="59">
        <v>0.19779460800000001</v>
      </c>
      <c r="N638" s="59">
        <v>63.2</v>
      </c>
    </row>
    <row r="639" spans="13:14">
      <c r="M639" s="59">
        <v>0.201424504</v>
      </c>
      <c r="N639" s="59">
        <v>63.3</v>
      </c>
    </row>
    <row r="640" spans="13:14">
      <c r="M640" s="59">
        <v>0.20396819199999999</v>
      </c>
      <c r="N640" s="59">
        <v>63.4</v>
      </c>
    </row>
    <row r="641" spans="13:14">
      <c r="M641" s="59">
        <v>0.20651188000000001</v>
      </c>
      <c r="N641" s="59">
        <v>63.5</v>
      </c>
    </row>
    <row r="642" spans="13:14">
      <c r="M642" s="59">
        <v>0.21072944800000001</v>
      </c>
      <c r="N642" s="59">
        <v>63.6</v>
      </c>
    </row>
    <row r="643" spans="13:14">
      <c r="M643" s="59">
        <v>0.21537621600000001</v>
      </c>
      <c r="N643" s="59">
        <v>63.7</v>
      </c>
    </row>
    <row r="644" spans="13:14">
      <c r="M644" s="59">
        <v>0.21991527199999999</v>
      </c>
      <c r="N644" s="59">
        <v>63.8</v>
      </c>
    </row>
    <row r="645" spans="13:14">
      <c r="M645" s="59">
        <v>0.22412221600000001</v>
      </c>
      <c r="N645" s="59">
        <v>63.9</v>
      </c>
    </row>
    <row r="646" spans="13:14">
      <c r="M646" s="59">
        <v>0.22832916</v>
      </c>
      <c r="N646" s="59">
        <v>64</v>
      </c>
    </row>
    <row r="647" spans="13:14">
      <c r="M647" s="59">
        <v>0.23253610399999999</v>
      </c>
      <c r="N647" s="59">
        <v>64.099999999999994</v>
      </c>
    </row>
    <row r="648" spans="13:14">
      <c r="M648" s="59">
        <v>0.23674304800000001</v>
      </c>
      <c r="N648" s="59">
        <v>64.2</v>
      </c>
    </row>
    <row r="649" spans="13:14">
      <c r="M649" s="59">
        <v>0.24044341599999999</v>
      </c>
      <c r="N649" s="59">
        <v>64.3</v>
      </c>
    </row>
    <row r="650" spans="13:14">
      <c r="M650" s="59">
        <v>0.24110432800000001</v>
      </c>
      <c r="N650" s="59">
        <v>64.400000000000006</v>
      </c>
    </row>
    <row r="651" spans="13:14">
      <c r="M651" s="59">
        <v>0.24176523999999999</v>
      </c>
      <c r="N651" s="59">
        <v>64.5</v>
      </c>
    </row>
    <row r="652" spans="13:14">
      <c r="M652" s="59">
        <v>0.24314929599999999</v>
      </c>
      <c r="N652" s="59">
        <v>64.599999999999994</v>
      </c>
    </row>
    <row r="653" spans="13:14">
      <c r="M653" s="59">
        <v>0.24503207199999999</v>
      </c>
      <c r="N653" s="59">
        <v>64.7</v>
      </c>
    </row>
    <row r="654" spans="13:14">
      <c r="M654" s="59">
        <v>0.24709556799999999</v>
      </c>
      <c r="N654" s="59">
        <v>64.8</v>
      </c>
    </row>
    <row r="655" spans="13:14">
      <c r="M655" s="59">
        <v>0.25340598399999997</v>
      </c>
      <c r="N655" s="59">
        <v>64.900000000000006</v>
      </c>
    </row>
    <row r="656" spans="13:14">
      <c r="M656" s="59">
        <v>0.25971640000000001</v>
      </c>
      <c r="N656" s="59">
        <v>65</v>
      </c>
    </row>
    <row r="657" spans="13:14">
      <c r="M657" s="59">
        <v>0.26645785599999999</v>
      </c>
      <c r="N657" s="59">
        <v>65.099999999999994</v>
      </c>
    </row>
    <row r="658" spans="13:14">
      <c r="M658" s="59">
        <v>0.273648312</v>
      </c>
      <c r="N658" s="59">
        <v>65.2</v>
      </c>
    </row>
    <row r="659" spans="13:14">
      <c r="M659" s="59">
        <v>0.28083876800000002</v>
      </c>
      <c r="N659" s="59">
        <v>65.3</v>
      </c>
    </row>
    <row r="660" spans="13:14">
      <c r="M660" s="59">
        <v>0.28284042399999998</v>
      </c>
      <c r="N660" s="59">
        <v>65.400000000000006</v>
      </c>
    </row>
    <row r="661" spans="13:14">
      <c r="M661" s="59">
        <v>0.28450367999999998</v>
      </c>
      <c r="N661" s="59">
        <v>65.5</v>
      </c>
    </row>
    <row r="662" spans="13:14">
      <c r="M662" s="59">
        <v>0.28659390400000001</v>
      </c>
      <c r="N662" s="59">
        <v>65.599999999999994</v>
      </c>
    </row>
    <row r="663" spans="13:14">
      <c r="M663" s="59">
        <v>0.28935828800000002</v>
      </c>
      <c r="N663" s="59">
        <v>65.7</v>
      </c>
    </row>
    <row r="664" spans="13:14">
      <c r="M664" s="59">
        <v>0.29212267200000003</v>
      </c>
      <c r="N664" s="59">
        <v>65.8</v>
      </c>
    </row>
    <row r="665" spans="13:14">
      <c r="M665" s="59">
        <v>0.292574</v>
      </c>
      <c r="N665" s="59">
        <v>65.900000000000006</v>
      </c>
    </row>
    <row r="666" spans="13:14">
      <c r="M666" s="59">
        <v>0.292574</v>
      </c>
      <c r="N666" s="59">
        <v>66</v>
      </c>
    </row>
    <row r="667" spans="13:14">
      <c r="M667" s="59">
        <v>0.29298616</v>
      </c>
      <c r="N667" s="59">
        <v>66.099999999999994</v>
      </c>
    </row>
    <row r="668" spans="13:14">
      <c r="M668" s="59">
        <v>0.29442871999999998</v>
      </c>
      <c r="N668" s="59">
        <v>66.2</v>
      </c>
    </row>
    <row r="669" spans="13:14">
      <c r="M669" s="59">
        <v>0.29587128000000001</v>
      </c>
      <c r="N669" s="59">
        <v>66.3</v>
      </c>
    </row>
    <row r="670" spans="13:14">
      <c r="M670" s="59">
        <v>0.29625400000000002</v>
      </c>
      <c r="N670" s="59">
        <v>66.400000000000006</v>
      </c>
    </row>
    <row r="671" spans="13:14">
      <c r="M671" s="59">
        <v>0.29625400000000002</v>
      </c>
      <c r="N671" s="59">
        <v>66.5</v>
      </c>
    </row>
    <row r="672" spans="13:14">
      <c r="M672" s="59">
        <v>0.29633485599999998</v>
      </c>
      <c r="N672" s="59">
        <v>66.599999999999994</v>
      </c>
    </row>
    <row r="673" spans="13:14">
      <c r="M673" s="59">
        <v>0.29677507199999997</v>
      </c>
      <c r="N673" s="59">
        <v>66.7</v>
      </c>
    </row>
    <row r="674" spans="13:14">
      <c r="M674" s="59">
        <v>0.29721528800000002</v>
      </c>
      <c r="N674" s="59">
        <v>66.8</v>
      </c>
    </row>
    <row r="675" spans="13:14">
      <c r="M675" s="59">
        <v>0.304309096</v>
      </c>
      <c r="N675" s="59">
        <v>66.900000000000006</v>
      </c>
    </row>
    <row r="676" spans="13:14">
      <c r="M676" s="59">
        <v>0.31526628000000101</v>
      </c>
      <c r="N676" s="59">
        <v>67</v>
      </c>
    </row>
    <row r="677" spans="13:14">
      <c r="M677" s="59">
        <v>0.32711796000000198</v>
      </c>
      <c r="N677" s="59">
        <v>67.099999999999994</v>
      </c>
    </row>
    <row r="678" spans="13:14">
      <c r="M678" s="59">
        <v>0.34903272000000202</v>
      </c>
      <c r="N678" s="59">
        <v>67.2</v>
      </c>
    </row>
    <row r="679" spans="13:14">
      <c r="M679" s="59">
        <v>0.37094748000000199</v>
      </c>
      <c r="N679" s="59">
        <v>67.3</v>
      </c>
    </row>
    <row r="680" spans="13:14">
      <c r="M680" s="59">
        <v>0.38346625600000001</v>
      </c>
      <c r="N680" s="59">
        <v>67.400000000000006</v>
      </c>
    </row>
    <row r="681" spans="13:14">
      <c r="M681" s="59">
        <v>0.3876732</v>
      </c>
      <c r="N681" s="59">
        <v>67.5</v>
      </c>
    </row>
    <row r="682" spans="13:14">
      <c r="M682" s="59">
        <v>0.39188014399999999</v>
      </c>
      <c r="N682" s="59">
        <v>67.599999999999994</v>
      </c>
    </row>
    <row r="683" spans="13:14">
      <c r="M683" s="59">
        <v>0.39239723199999998</v>
      </c>
      <c r="N683" s="59">
        <v>67.7</v>
      </c>
    </row>
    <row r="684" spans="13:14">
      <c r="M684" s="59">
        <v>0.39283744799999998</v>
      </c>
      <c r="N684" s="59">
        <v>67.8</v>
      </c>
    </row>
    <row r="685" spans="13:14">
      <c r="M685" s="59">
        <v>0.39318358399999997</v>
      </c>
      <c r="N685" s="59">
        <v>67.900000000000006</v>
      </c>
    </row>
    <row r="686" spans="13:14">
      <c r="M686" s="59">
        <v>0.39340428</v>
      </c>
      <c r="N686" s="59">
        <v>68</v>
      </c>
    </row>
    <row r="687" spans="13:14">
      <c r="M687" s="59">
        <v>0.39362497600000002</v>
      </c>
      <c r="N687" s="59">
        <v>68.099999999999994</v>
      </c>
    </row>
    <row r="688" spans="13:14">
      <c r="M688" s="59">
        <v>0.393652</v>
      </c>
      <c r="N688" s="59">
        <v>68.2</v>
      </c>
    </row>
    <row r="689" spans="13:14">
      <c r="M689" s="59">
        <v>0.393652</v>
      </c>
      <c r="N689" s="59">
        <v>68.3</v>
      </c>
    </row>
    <row r="690" spans="13:14">
      <c r="M690" s="59">
        <v>0.394953632</v>
      </c>
      <c r="N690" s="59">
        <v>68.400000000000006</v>
      </c>
    </row>
    <row r="691" spans="13:14">
      <c r="M691" s="59">
        <v>0.39893988000000002</v>
      </c>
      <c r="N691" s="59">
        <v>68.5</v>
      </c>
    </row>
    <row r="692" spans="13:14">
      <c r="M692" s="59">
        <v>0.40292612799999999</v>
      </c>
      <c r="N692" s="59">
        <v>68.599999999999994</v>
      </c>
    </row>
    <row r="693" spans="13:14">
      <c r="M693" s="59">
        <v>0.40416208799999997</v>
      </c>
      <c r="N693" s="59">
        <v>68.7</v>
      </c>
    </row>
    <row r="694" spans="13:14">
      <c r="M694" s="59">
        <v>0.40460191200000001</v>
      </c>
      <c r="N694" s="59">
        <v>68.8</v>
      </c>
    </row>
    <row r="695" spans="13:14">
      <c r="M695" s="59">
        <v>0.406831832</v>
      </c>
      <c r="N695" s="59">
        <v>68.900000000000006</v>
      </c>
    </row>
    <row r="696" spans="13:14">
      <c r="M696" s="59">
        <v>0.41524571999999998</v>
      </c>
      <c r="N696" s="59">
        <v>69</v>
      </c>
    </row>
    <row r="697" spans="13:14">
      <c r="M697" s="59">
        <v>0.42365960800000002</v>
      </c>
      <c r="N697" s="59">
        <v>69.099999999999994</v>
      </c>
    </row>
    <row r="698" spans="13:14">
      <c r="M698" s="59">
        <v>0.42782362400000001</v>
      </c>
      <c r="N698" s="59">
        <v>69.2</v>
      </c>
    </row>
    <row r="699" spans="13:14">
      <c r="M699" s="59">
        <v>0.42992709600000001</v>
      </c>
      <c r="N699" s="59">
        <v>69.3</v>
      </c>
    </row>
    <row r="700" spans="13:14">
      <c r="M700" s="59">
        <v>0.43291103199999997</v>
      </c>
      <c r="N700" s="59">
        <v>69.400000000000006</v>
      </c>
    </row>
    <row r="701" spans="13:14">
      <c r="M701" s="59">
        <v>0.44220495999999998</v>
      </c>
      <c r="N701" s="59">
        <v>69.5</v>
      </c>
    </row>
    <row r="702" spans="13:14">
      <c r="M702" s="59">
        <v>0.45149888800000099</v>
      </c>
      <c r="N702" s="59">
        <v>69.599999999999994</v>
      </c>
    </row>
    <row r="703" spans="13:14">
      <c r="M703" s="59">
        <v>0.45643265599999999</v>
      </c>
      <c r="N703" s="59">
        <v>69.7</v>
      </c>
    </row>
    <row r="704" spans="13:14">
      <c r="M704" s="59">
        <v>0.45809630400000001</v>
      </c>
      <c r="N704" s="59">
        <v>69.8</v>
      </c>
    </row>
    <row r="705" spans="13:14">
      <c r="M705" s="59">
        <v>0.45977790400000002</v>
      </c>
      <c r="N705" s="59">
        <v>69.900000000000006</v>
      </c>
    </row>
    <row r="706" spans="13:14">
      <c r="M706" s="59">
        <v>0.46232119999999999</v>
      </c>
      <c r="N706" s="59">
        <v>70</v>
      </c>
    </row>
    <row r="707" spans="13:14">
      <c r="M707" s="59">
        <v>0.46486449600000002</v>
      </c>
      <c r="N707" s="59">
        <v>70.099999999999994</v>
      </c>
    </row>
    <row r="708" spans="13:14">
      <c r="M708" s="59">
        <v>0.46720134400000002</v>
      </c>
      <c r="N708" s="59">
        <v>70.2</v>
      </c>
    </row>
    <row r="709" spans="13:14">
      <c r="M709" s="59">
        <v>0.46930481600000001</v>
      </c>
      <c r="N709" s="59">
        <v>70.3</v>
      </c>
    </row>
    <row r="710" spans="13:14">
      <c r="M710" s="59">
        <v>0.47140828800000001</v>
      </c>
      <c r="N710" s="59">
        <v>70.400000000000006</v>
      </c>
    </row>
    <row r="711" spans="13:14">
      <c r="M711" s="59">
        <v>0.47198427999999998</v>
      </c>
      <c r="N711" s="59">
        <v>70.5</v>
      </c>
    </row>
    <row r="712" spans="13:14">
      <c r="M712" s="59">
        <v>0.47242449600000003</v>
      </c>
      <c r="N712" s="59">
        <v>70.599999999999994</v>
      </c>
    </row>
    <row r="713" spans="13:14">
      <c r="M713" s="59">
        <v>0.47579381599999998</v>
      </c>
      <c r="N713" s="59">
        <v>70.7</v>
      </c>
    </row>
    <row r="714" spans="13:14">
      <c r="M714" s="59">
        <v>0.48420770400000002</v>
      </c>
      <c r="N714" s="59">
        <v>70.8</v>
      </c>
    </row>
    <row r="715" spans="13:14">
      <c r="M715" s="59">
        <v>0.492621592</v>
      </c>
      <c r="N715" s="59">
        <v>70.900000000000006</v>
      </c>
    </row>
    <row r="716" spans="13:14">
      <c r="M716" s="59">
        <v>0.49624316000000002</v>
      </c>
      <c r="N716" s="59">
        <v>71</v>
      </c>
    </row>
    <row r="717" spans="13:14">
      <c r="M717" s="59">
        <v>0.49878645599999999</v>
      </c>
      <c r="N717" s="59">
        <v>71.099999999999994</v>
      </c>
    </row>
    <row r="718" spans="13:14">
      <c r="M718" s="59">
        <v>0.50065499999999996</v>
      </c>
      <c r="N718" s="59">
        <v>71.2</v>
      </c>
    </row>
    <row r="719" spans="13:14">
      <c r="M719" s="59">
        <v>0.50065499999999996</v>
      </c>
      <c r="N719" s="59">
        <v>71.3</v>
      </c>
    </row>
    <row r="720" spans="13:14">
      <c r="M720" s="59">
        <v>0.50065499999999996</v>
      </c>
      <c r="N720" s="59">
        <v>71.400000000000006</v>
      </c>
    </row>
    <row r="721" spans="13:14">
      <c r="M721" s="59">
        <v>0.50484828000000004</v>
      </c>
      <c r="N721" s="59">
        <v>71.5</v>
      </c>
    </row>
    <row r="722" spans="13:14">
      <c r="M722" s="59">
        <v>0.51071887199999999</v>
      </c>
      <c r="N722" s="59">
        <v>71.599999999999994</v>
      </c>
    </row>
    <row r="723" spans="13:14">
      <c r="M723" s="59">
        <v>0.51604623199999999</v>
      </c>
      <c r="N723" s="59">
        <v>71.7</v>
      </c>
    </row>
    <row r="724" spans="13:14">
      <c r="M724" s="59">
        <v>0.51858952800000002</v>
      </c>
      <c r="N724" s="59">
        <v>71.8</v>
      </c>
    </row>
    <row r="725" spans="13:14">
      <c r="M725" s="59">
        <v>0.52113282400000005</v>
      </c>
      <c r="N725" s="59">
        <v>71.900000000000006</v>
      </c>
    </row>
    <row r="726" spans="13:14">
      <c r="M726" s="59">
        <v>0.52367635999999995</v>
      </c>
      <c r="N726" s="59">
        <v>72</v>
      </c>
    </row>
    <row r="727" spans="13:14">
      <c r="M727" s="59">
        <v>0.526220048</v>
      </c>
      <c r="N727" s="59">
        <v>72.099999999999994</v>
      </c>
    </row>
    <row r="728" spans="13:14">
      <c r="M728" s="59">
        <v>0.52883861600000004</v>
      </c>
      <c r="N728" s="59">
        <v>72.2</v>
      </c>
    </row>
    <row r="729" spans="13:14">
      <c r="M729" s="59">
        <v>0.53260534400000004</v>
      </c>
      <c r="N729" s="59">
        <v>72.3</v>
      </c>
    </row>
    <row r="730" spans="13:14">
      <c r="M730" s="59">
        <v>0.53637207200000003</v>
      </c>
      <c r="N730" s="59">
        <v>72.400000000000006</v>
      </c>
    </row>
    <row r="731" spans="13:14">
      <c r="M731" s="59">
        <v>0.53821699999999995</v>
      </c>
      <c r="N731" s="59">
        <v>72.5</v>
      </c>
    </row>
    <row r="732" spans="13:14">
      <c r="M732" s="59">
        <v>0.53821699999999995</v>
      </c>
      <c r="N732" s="59">
        <v>72.599999999999994</v>
      </c>
    </row>
    <row r="733" spans="13:14">
      <c r="M733" s="59">
        <v>0.53821699999999995</v>
      </c>
      <c r="N733" s="59">
        <v>72.7</v>
      </c>
    </row>
    <row r="734" spans="13:14">
      <c r="M734" s="59">
        <v>0.54086855199999995</v>
      </c>
      <c r="N734" s="59">
        <v>72.8</v>
      </c>
    </row>
    <row r="735" spans="13:14">
      <c r="M735" s="59">
        <v>0.54363293599999996</v>
      </c>
      <c r="N735" s="59">
        <v>72.900000000000006</v>
      </c>
    </row>
    <row r="736" spans="13:14">
      <c r="M736" s="59">
        <v>0.545269</v>
      </c>
      <c r="N736" s="59">
        <v>73</v>
      </c>
    </row>
    <row r="737" spans="13:14">
      <c r="M737" s="59">
        <v>0.545269</v>
      </c>
      <c r="N737" s="59">
        <v>73.099999999999994</v>
      </c>
    </row>
    <row r="738" spans="13:14">
      <c r="M738" s="59">
        <v>0.545269</v>
      </c>
      <c r="N738" s="59">
        <v>73.2</v>
      </c>
    </row>
    <row r="739" spans="13:14">
      <c r="M739" s="59">
        <v>0.55484869599999997</v>
      </c>
      <c r="N739" s="59">
        <v>73.3</v>
      </c>
    </row>
    <row r="740" spans="13:14">
      <c r="M740" s="59">
        <v>0.566025008</v>
      </c>
      <c r="N740" s="59">
        <v>73.400000000000006</v>
      </c>
    </row>
    <row r="741" spans="13:14">
      <c r="M741" s="59">
        <v>0.57428928000000001</v>
      </c>
      <c r="N741" s="59">
        <v>73.5</v>
      </c>
    </row>
    <row r="742" spans="13:14">
      <c r="M742" s="59">
        <v>0.57595292799999998</v>
      </c>
      <c r="N742" s="59">
        <v>73.599999999999994</v>
      </c>
    </row>
    <row r="743" spans="13:14">
      <c r="M743" s="59">
        <v>0.57761657600000005</v>
      </c>
      <c r="N743" s="59">
        <v>73.7</v>
      </c>
    </row>
    <row r="744" spans="13:14">
      <c r="M744" s="59">
        <v>0.57802399999999998</v>
      </c>
      <c r="N744" s="59">
        <v>73.8</v>
      </c>
    </row>
    <row r="745" spans="13:14">
      <c r="M745" s="59">
        <v>0.57802399999999998</v>
      </c>
      <c r="N745" s="59">
        <v>73.900000000000006</v>
      </c>
    </row>
    <row r="746" spans="13:14">
      <c r="M746" s="59">
        <v>0.57802399999999998</v>
      </c>
      <c r="N746" s="59">
        <v>74</v>
      </c>
    </row>
    <row r="747" spans="13:14">
      <c r="M747" s="59">
        <v>0.57802399999999998</v>
      </c>
      <c r="N747" s="59">
        <v>74.099999999999994</v>
      </c>
    </row>
    <row r="748" spans="13:14">
      <c r="M748" s="59">
        <v>0.57802399999999998</v>
      </c>
      <c r="N748" s="59">
        <v>74.2</v>
      </c>
    </row>
    <row r="749" spans="13:14">
      <c r="M749" s="59">
        <v>0.58105862399999997</v>
      </c>
      <c r="N749" s="59">
        <v>74.3</v>
      </c>
    </row>
    <row r="750" spans="13:14">
      <c r="M750" s="59">
        <v>0.58570539200000005</v>
      </c>
      <c r="N750" s="59">
        <v>74.400000000000006</v>
      </c>
    </row>
    <row r="751" spans="13:14">
      <c r="M751" s="59">
        <v>0.59009263999999995</v>
      </c>
      <c r="N751" s="59">
        <v>74.5</v>
      </c>
    </row>
    <row r="752" spans="13:14">
      <c r="M752" s="59">
        <v>0.592196112</v>
      </c>
      <c r="N752" s="59">
        <v>74.599999999999994</v>
      </c>
    </row>
    <row r="753" spans="13:14">
      <c r="M753" s="59">
        <v>0.59429958400000005</v>
      </c>
      <c r="N753" s="59">
        <v>74.7</v>
      </c>
    </row>
    <row r="754" spans="13:14">
      <c r="M754" s="59">
        <v>0.59664562399999999</v>
      </c>
      <c r="N754" s="59">
        <v>74.8</v>
      </c>
    </row>
    <row r="755" spans="13:14">
      <c r="M755" s="59">
        <v>0.59918931200000003</v>
      </c>
      <c r="N755" s="59">
        <v>74.900000000000006</v>
      </c>
    </row>
    <row r="756" spans="13:14">
      <c r="M756" s="59">
        <v>0.60173299999999996</v>
      </c>
      <c r="N756" s="59">
        <v>75</v>
      </c>
    </row>
    <row r="757" spans="13:14">
      <c r="M757" s="59">
        <v>0.60339664800000004</v>
      </c>
      <c r="N757" s="59">
        <v>75.099999999999994</v>
      </c>
    </row>
    <row r="758" spans="13:14">
      <c r="M758" s="59">
        <v>0.605060296</v>
      </c>
      <c r="N758" s="59">
        <v>75.2</v>
      </c>
    </row>
    <row r="759" spans="13:14">
      <c r="M759" s="59">
        <v>0.61089655200000004</v>
      </c>
      <c r="N759" s="59">
        <v>75.3</v>
      </c>
    </row>
    <row r="760" spans="13:14">
      <c r="M760" s="59">
        <v>0.62185373600000005</v>
      </c>
      <c r="N760" s="59">
        <v>75.400000000000006</v>
      </c>
    </row>
    <row r="761" spans="13:14">
      <c r="M761" s="59">
        <v>0.63281091999999906</v>
      </c>
      <c r="N761" s="59">
        <v>75.5</v>
      </c>
    </row>
    <row r="762" spans="13:14">
      <c r="M762" s="59">
        <v>0.63621277600000004</v>
      </c>
      <c r="N762" s="59">
        <v>75.599999999999994</v>
      </c>
    </row>
    <row r="763" spans="13:14">
      <c r="M763" s="59">
        <v>0.63875607199999995</v>
      </c>
      <c r="N763" s="59">
        <v>75.7</v>
      </c>
    </row>
    <row r="764" spans="13:14">
      <c r="M764" s="59">
        <v>0.64114677600000003</v>
      </c>
      <c r="N764" s="59">
        <v>75.8</v>
      </c>
    </row>
    <row r="765" spans="13:14">
      <c r="M765" s="59">
        <v>0.64325024799999997</v>
      </c>
      <c r="N765" s="59">
        <v>75.900000000000006</v>
      </c>
    </row>
    <row r="766" spans="13:14">
      <c r="M766" s="59">
        <v>0.64535372000000002</v>
      </c>
      <c r="N766" s="59">
        <v>76</v>
      </c>
    </row>
    <row r="767" spans="13:14">
      <c r="M767" s="59">
        <v>0.64595896799999997</v>
      </c>
      <c r="N767" s="59">
        <v>76.099999999999994</v>
      </c>
    </row>
    <row r="768" spans="13:14">
      <c r="M768" s="59">
        <v>0.64618005599999995</v>
      </c>
      <c r="N768" s="59">
        <v>76.2</v>
      </c>
    </row>
    <row r="769" spans="13:14">
      <c r="M769" s="59">
        <v>0.647838264</v>
      </c>
      <c r="N769" s="59">
        <v>76.3</v>
      </c>
    </row>
    <row r="770" spans="13:14">
      <c r="M770" s="59">
        <v>0.65392759199999995</v>
      </c>
      <c r="N770" s="59">
        <v>76.400000000000006</v>
      </c>
    </row>
    <row r="771" spans="13:14">
      <c r="M771" s="59">
        <v>0.66001692000000001</v>
      </c>
      <c r="N771" s="59">
        <v>76.5</v>
      </c>
    </row>
    <row r="772" spans="13:14">
      <c r="M772" s="59">
        <v>0.66188100000000005</v>
      </c>
      <c r="N772" s="59">
        <v>76.599999999999994</v>
      </c>
    </row>
    <row r="773" spans="13:14">
      <c r="M773" s="59">
        <v>0.66188100000000005</v>
      </c>
      <c r="N773" s="59">
        <v>76.7</v>
      </c>
    </row>
    <row r="774" spans="13:14">
      <c r="M774" s="59">
        <v>0.66350920000000002</v>
      </c>
      <c r="N774" s="59">
        <v>76.8</v>
      </c>
    </row>
    <row r="775" spans="13:14">
      <c r="M775" s="59">
        <v>0.67490659999999902</v>
      </c>
      <c r="N775" s="59">
        <v>76.900000000000006</v>
      </c>
    </row>
    <row r="776" spans="13:14">
      <c r="M776" s="59">
        <v>0.68630400000000102</v>
      </c>
      <c r="N776" s="59">
        <v>77</v>
      </c>
    </row>
    <row r="777" spans="13:14">
      <c r="M777" s="59">
        <v>0.69095600000000001</v>
      </c>
      <c r="N777" s="59">
        <v>77.099999999999994</v>
      </c>
    </row>
    <row r="778" spans="13:14">
      <c r="M778" s="59">
        <v>0.69095600000000001</v>
      </c>
      <c r="N778" s="59">
        <v>77.2</v>
      </c>
    </row>
    <row r="779" spans="13:14">
      <c r="M779" s="59">
        <v>0.69102390400000002</v>
      </c>
      <c r="N779" s="59">
        <v>77.3</v>
      </c>
    </row>
    <row r="780" spans="13:14">
      <c r="M780" s="59">
        <v>0.69268755199999998</v>
      </c>
      <c r="N780" s="59">
        <v>77.400000000000006</v>
      </c>
    </row>
    <row r="781" spans="13:14">
      <c r="M781" s="59">
        <v>0.69435119999999995</v>
      </c>
      <c r="N781" s="59">
        <v>77.5</v>
      </c>
    </row>
    <row r="782" spans="13:14">
      <c r="M782" s="59">
        <v>0.70078240000000003</v>
      </c>
      <c r="N782" s="59">
        <v>77.599999999999994</v>
      </c>
    </row>
    <row r="783" spans="13:14">
      <c r="M783" s="59">
        <v>0.71217980000000003</v>
      </c>
      <c r="N783" s="59">
        <v>77.7</v>
      </c>
    </row>
    <row r="784" spans="13:14">
      <c r="M784" s="59">
        <v>0.72357720000000003</v>
      </c>
      <c r="N784" s="59">
        <v>77.8</v>
      </c>
    </row>
    <row r="785" spans="13:14">
      <c r="M785" s="59">
        <v>0.73258664799999995</v>
      </c>
      <c r="N785" s="59">
        <v>77.900000000000006</v>
      </c>
    </row>
    <row r="786" spans="13:14">
      <c r="M786" s="59">
        <v>0.74144036000000002</v>
      </c>
      <c r="N786" s="59">
        <v>78</v>
      </c>
    </row>
    <row r="787" spans="13:14">
      <c r="M787" s="59">
        <v>0.74849226400000002</v>
      </c>
      <c r="N787" s="59">
        <v>78.099999999999994</v>
      </c>
    </row>
    <row r="788" spans="13:14">
      <c r="M788" s="59">
        <v>0.75269920800000001</v>
      </c>
      <c r="N788" s="59">
        <v>78.2</v>
      </c>
    </row>
    <row r="789" spans="13:14">
      <c r="M789" s="59">
        <v>0.756906152</v>
      </c>
      <c r="N789" s="59">
        <v>78.3</v>
      </c>
    </row>
    <row r="790" spans="13:14">
      <c r="M790" s="59">
        <v>0.76536955200000101</v>
      </c>
      <c r="N790" s="59">
        <v>78.400000000000006</v>
      </c>
    </row>
    <row r="791" spans="13:14">
      <c r="M791" s="59">
        <v>0.77466348000000096</v>
      </c>
      <c r="N791" s="59">
        <v>78.5</v>
      </c>
    </row>
    <row r="792" spans="13:14">
      <c r="M792" s="59">
        <v>0.78130200000000005</v>
      </c>
      <c r="N792" s="59">
        <v>78.599999999999994</v>
      </c>
    </row>
    <row r="793" spans="13:14">
      <c r="M793" s="59">
        <v>0.78130200000000005</v>
      </c>
      <c r="N793" s="59">
        <v>78.7</v>
      </c>
    </row>
    <row r="794" spans="13:14">
      <c r="M794" s="59">
        <v>0.78130200000000005</v>
      </c>
      <c r="N794" s="59">
        <v>78.8</v>
      </c>
    </row>
    <row r="795" spans="13:14">
      <c r="M795" s="59">
        <v>0.78130200000000005</v>
      </c>
      <c r="N795" s="59">
        <v>78.900000000000006</v>
      </c>
    </row>
    <row r="796" spans="13:14">
      <c r="M796" s="59">
        <v>0.78130200000000005</v>
      </c>
      <c r="N796" s="59">
        <v>79</v>
      </c>
    </row>
    <row r="797" spans="13:14">
      <c r="M797" s="59">
        <v>0.78254191200000001</v>
      </c>
      <c r="N797" s="59">
        <v>79.099999999999994</v>
      </c>
    </row>
    <row r="798" spans="13:14">
      <c r="M798" s="59">
        <v>0.78929254400000004</v>
      </c>
      <c r="N798" s="59">
        <v>79.2</v>
      </c>
    </row>
    <row r="799" spans="13:14">
      <c r="M799" s="59">
        <v>0.79604317599999996</v>
      </c>
      <c r="N799" s="59">
        <v>79.3</v>
      </c>
    </row>
    <row r="800" spans="13:14">
      <c r="M800" s="59">
        <v>0.80251530400000004</v>
      </c>
      <c r="N800" s="59">
        <v>79.400000000000006</v>
      </c>
    </row>
    <row r="801" spans="13:14">
      <c r="M801" s="59">
        <v>0.80882572000000097</v>
      </c>
      <c r="N801" s="59">
        <v>79.5</v>
      </c>
    </row>
    <row r="802" spans="13:14">
      <c r="M802" s="59">
        <v>0.81479271200000003</v>
      </c>
      <c r="N802" s="59">
        <v>79.599999999999994</v>
      </c>
    </row>
    <row r="803" spans="13:14">
      <c r="M803" s="59">
        <v>0.81689618399999997</v>
      </c>
      <c r="N803" s="59">
        <v>79.7</v>
      </c>
    </row>
    <row r="804" spans="13:14">
      <c r="M804" s="59">
        <v>0.81899965600000002</v>
      </c>
      <c r="N804" s="59">
        <v>79.8</v>
      </c>
    </row>
    <row r="805" spans="13:14">
      <c r="M805" s="59">
        <v>0.82110312799999996</v>
      </c>
      <c r="N805" s="59">
        <v>79.900000000000006</v>
      </c>
    </row>
    <row r="806" spans="13:14">
      <c r="M806" s="59">
        <v>0.82320660000000001</v>
      </c>
      <c r="N806" s="59">
        <v>80</v>
      </c>
    </row>
    <row r="807" spans="13:14">
      <c r="M807" s="59">
        <v>0.82531007199999995</v>
      </c>
      <c r="N807" s="59">
        <v>80.099999999999994</v>
      </c>
    </row>
    <row r="808" spans="13:14">
      <c r="M808" s="59">
        <v>0.83196548000000003</v>
      </c>
      <c r="N808" s="59">
        <v>80.2</v>
      </c>
    </row>
    <row r="809" spans="13:14">
      <c r="M809" s="59">
        <v>0.83871572000000005</v>
      </c>
      <c r="N809" s="59">
        <v>80.3</v>
      </c>
    </row>
    <row r="810" spans="13:14">
      <c r="M810" s="59">
        <v>0.84257300000000002</v>
      </c>
      <c r="N810" s="59">
        <v>80.400000000000006</v>
      </c>
    </row>
    <row r="811" spans="13:14">
      <c r="M811" s="59">
        <v>0.84257300000000002</v>
      </c>
      <c r="N811" s="59">
        <v>80.5</v>
      </c>
    </row>
    <row r="812" spans="13:14">
      <c r="M812" s="59">
        <v>0.84257300000000002</v>
      </c>
      <c r="N812" s="59">
        <v>80.599999999999994</v>
      </c>
    </row>
    <row r="813" spans="13:14">
      <c r="M813" s="59">
        <v>0.84295931199999996</v>
      </c>
      <c r="N813" s="59">
        <v>80.7</v>
      </c>
    </row>
    <row r="814" spans="13:14">
      <c r="M814" s="59">
        <v>0.84339952799999995</v>
      </c>
      <c r="N814" s="59">
        <v>80.8</v>
      </c>
    </row>
    <row r="815" spans="13:14">
      <c r="M815" s="59">
        <v>0.845756544000001</v>
      </c>
      <c r="N815" s="59">
        <v>80.900000000000006</v>
      </c>
    </row>
    <row r="816" spans="13:14">
      <c r="M816" s="59">
        <v>0.85206696000000104</v>
      </c>
      <c r="N816" s="59">
        <v>81</v>
      </c>
    </row>
    <row r="817" spans="13:14">
      <c r="M817" s="59">
        <v>0.85837737599999997</v>
      </c>
      <c r="N817" s="59">
        <v>81.099999999999994</v>
      </c>
    </row>
    <row r="818" spans="13:14">
      <c r="M818" s="59">
        <v>0.86537027200000005</v>
      </c>
      <c r="N818" s="59">
        <v>81.2</v>
      </c>
    </row>
    <row r="819" spans="13:14">
      <c r="M819" s="59">
        <v>0.87256072800000095</v>
      </c>
      <c r="N819" s="59">
        <v>81.3</v>
      </c>
    </row>
    <row r="820" spans="13:14">
      <c r="M820" s="59">
        <v>0.87851038400000003</v>
      </c>
      <c r="N820" s="59">
        <v>81.400000000000006</v>
      </c>
    </row>
    <row r="821" spans="13:14">
      <c r="M821" s="59">
        <v>0.88017363999999998</v>
      </c>
      <c r="N821" s="59">
        <v>81.5</v>
      </c>
    </row>
    <row r="822" spans="13:14">
      <c r="M822" s="59">
        <v>0.88183689600000004</v>
      </c>
      <c r="N822" s="59">
        <v>81.599999999999994</v>
      </c>
    </row>
    <row r="823" spans="13:14">
      <c r="M823" s="59">
        <v>0.88379662400000003</v>
      </c>
      <c r="N823" s="59">
        <v>81.7</v>
      </c>
    </row>
    <row r="824" spans="13:14">
      <c r="M824" s="59">
        <v>0.88590009599999997</v>
      </c>
      <c r="N824" s="59">
        <v>81.8</v>
      </c>
    </row>
    <row r="825" spans="13:14">
      <c r="M825" s="59">
        <v>0.88774600000000004</v>
      </c>
      <c r="N825" s="59">
        <v>81.900000000000006</v>
      </c>
    </row>
    <row r="826" spans="13:14">
      <c r="M826" s="59">
        <v>0.88774600000000004</v>
      </c>
      <c r="N826" s="59">
        <v>82</v>
      </c>
    </row>
    <row r="827" spans="13:14">
      <c r="M827" s="59">
        <v>0.88774600000000004</v>
      </c>
      <c r="N827" s="59">
        <v>82.1</v>
      </c>
    </row>
    <row r="828" spans="13:14">
      <c r="M828" s="59">
        <v>0.89014996800000101</v>
      </c>
      <c r="N828" s="59">
        <v>82.2</v>
      </c>
    </row>
    <row r="829" spans="13:14">
      <c r="M829" s="59">
        <v>0.894356912</v>
      </c>
      <c r="N829" s="59">
        <v>82.3</v>
      </c>
    </row>
    <row r="830" spans="13:14">
      <c r="M830" s="59">
        <v>0.89848698400000004</v>
      </c>
      <c r="N830" s="59">
        <v>82.4</v>
      </c>
    </row>
    <row r="831" spans="13:14">
      <c r="M831" s="59">
        <v>0.89892720000000004</v>
      </c>
      <c r="N831" s="59">
        <v>82.5</v>
      </c>
    </row>
    <row r="832" spans="13:14">
      <c r="M832" s="59">
        <v>0.89936741600000003</v>
      </c>
      <c r="N832" s="59">
        <v>82.6</v>
      </c>
    </row>
    <row r="833" spans="13:14">
      <c r="M833" s="59">
        <v>0.90058834399999999</v>
      </c>
      <c r="N833" s="59">
        <v>82.7</v>
      </c>
    </row>
    <row r="834" spans="13:14">
      <c r="M834" s="59">
        <v>0.90269181600000004</v>
      </c>
      <c r="N834" s="59">
        <v>82.8</v>
      </c>
    </row>
    <row r="835" spans="13:14">
      <c r="M835" s="59">
        <v>0.90479528799999998</v>
      </c>
      <c r="N835" s="59">
        <v>82.9</v>
      </c>
    </row>
    <row r="836" spans="13:14">
      <c r="M836" s="59">
        <v>0.93322376000000096</v>
      </c>
      <c r="N836" s="59">
        <v>83</v>
      </c>
    </row>
    <row r="837" spans="13:14">
      <c r="M837" s="59">
        <v>0.96399223200000095</v>
      </c>
      <c r="N837" s="59">
        <v>83.1</v>
      </c>
    </row>
    <row r="838" spans="13:14">
      <c r="M838" s="59">
        <v>0.98593782399999996</v>
      </c>
      <c r="N838" s="59">
        <v>83.2</v>
      </c>
    </row>
    <row r="839" spans="13:14">
      <c r="M839" s="59">
        <v>0.992688456</v>
      </c>
      <c r="N839" s="59">
        <v>83.3</v>
      </c>
    </row>
    <row r="840" spans="13:14">
      <c r="M840" s="59">
        <v>0.99943908800000003</v>
      </c>
      <c r="N840" s="59">
        <v>83.4</v>
      </c>
    </row>
    <row r="841" spans="13:14">
      <c r="M841" s="59">
        <v>1.0041132399999999</v>
      </c>
      <c r="N841" s="59">
        <v>83.5</v>
      </c>
    </row>
    <row r="842" spans="13:14">
      <c r="M842" s="59">
        <v>1.008320184</v>
      </c>
      <c r="N842" s="59">
        <v>83.6</v>
      </c>
    </row>
    <row r="843" spans="13:14">
      <c r="M843" s="59">
        <v>1.0114110000000001</v>
      </c>
      <c r="N843" s="59">
        <v>83.7</v>
      </c>
    </row>
    <row r="844" spans="13:14">
      <c r="M844" s="59">
        <v>1.0114110000000001</v>
      </c>
      <c r="N844" s="59">
        <v>83.8</v>
      </c>
    </row>
    <row r="845" spans="13:14">
      <c r="M845" s="59">
        <v>1.0114110000000001</v>
      </c>
      <c r="N845" s="59">
        <v>83.9</v>
      </c>
    </row>
    <row r="846" spans="13:14">
      <c r="M846" s="59">
        <v>1.0147301200000001</v>
      </c>
      <c r="N846" s="59">
        <v>84</v>
      </c>
    </row>
    <row r="847" spans="13:14">
      <c r="M847" s="59">
        <v>1.019376888</v>
      </c>
      <c r="N847" s="59">
        <v>84.1</v>
      </c>
    </row>
    <row r="848" spans="13:14">
      <c r="M848" s="59">
        <v>1.0239518480000001</v>
      </c>
      <c r="N848" s="59">
        <v>84.2</v>
      </c>
    </row>
    <row r="849" spans="13:14">
      <c r="M849" s="59">
        <v>1.0281587919999999</v>
      </c>
      <c r="N849" s="59">
        <v>84.3</v>
      </c>
    </row>
    <row r="850" spans="13:14">
      <c r="M850" s="59">
        <v>1.032365736</v>
      </c>
      <c r="N850" s="59">
        <v>84.4</v>
      </c>
    </row>
    <row r="851" spans="13:14">
      <c r="M851" s="59">
        <v>1.0368421999999999</v>
      </c>
      <c r="N851" s="59">
        <v>84.5</v>
      </c>
    </row>
    <row r="852" spans="13:14">
      <c r="M852" s="59">
        <v>1.0414893599999999</v>
      </c>
      <c r="N852" s="59">
        <v>84.6</v>
      </c>
    </row>
    <row r="853" spans="13:14">
      <c r="M853" s="59">
        <v>1.045852</v>
      </c>
      <c r="N853" s="59">
        <v>84.7</v>
      </c>
    </row>
    <row r="854" spans="13:14">
      <c r="M854" s="59">
        <v>1.045852</v>
      </c>
      <c r="N854" s="59">
        <v>84.8</v>
      </c>
    </row>
    <row r="855" spans="13:14">
      <c r="M855" s="59">
        <v>1.045852</v>
      </c>
      <c r="N855" s="59">
        <v>84.9</v>
      </c>
    </row>
    <row r="856" spans="13:14">
      <c r="M856" s="59">
        <v>1.0581062000000001</v>
      </c>
      <c r="N856" s="59">
        <v>85</v>
      </c>
    </row>
    <row r="857" spans="13:14">
      <c r="M857" s="59">
        <v>1.0821244320000001</v>
      </c>
      <c r="N857" s="59">
        <v>85.1</v>
      </c>
    </row>
    <row r="858" spans="13:14">
      <c r="M858" s="59">
        <v>1.1061426640000001</v>
      </c>
      <c r="N858" s="59">
        <v>85.2</v>
      </c>
    </row>
    <row r="859" spans="13:14">
      <c r="M859" s="59">
        <v>1.1095624879999999</v>
      </c>
      <c r="N859" s="59">
        <v>85.3</v>
      </c>
    </row>
    <row r="860" spans="13:14">
      <c r="M860" s="59">
        <v>1.1121057839999999</v>
      </c>
      <c r="N860" s="59">
        <v>85.4</v>
      </c>
    </row>
    <row r="861" spans="13:14">
      <c r="M861" s="59">
        <v>1.1160071600000001</v>
      </c>
      <c r="N861" s="59">
        <v>85.5</v>
      </c>
    </row>
    <row r="862" spans="13:14">
      <c r="M862" s="59">
        <v>1.1218777520000001</v>
      </c>
      <c r="N862" s="59">
        <v>85.6</v>
      </c>
    </row>
    <row r="863" spans="13:14">
      <c r="M863" s="59">
        <v>1.127748344</v>
      </c>
      <c r="N863" s="59">
        <v>85.7</v>
      </c>
    </row>
    <row r="864" spans="13:14">
      <c r="M864" s="59">
        <v>1.1293409839999999</v>
      </c>
      <c r="N864" s="59">
        <v>85.8</v>
      </c>
    </row>
    <row r="865" spans="13:14">
      <c r="M865" s="59">
        <v>1.1302206319999999</v>
      </c>
      <c r="N865" s="59">
        <v>85.9</v>
      </c>
    </row>
    <row r="866" spans="13:14">
      <c r="M866" s="59">
        <v>1.1394713599999999</v>
      </c>
      <c r="N866" s="59">
        <v>86</v>
      </c>
    </row>
    <row r="867" spans="13:14">
      <c r="M867" s="59">
        <v>1.167696536</v>
      </c>
      <c r="N867" s="59">
        <v>86.1</v>
      </c>
    </row>
    <row r="868" spans="13:14">
      <c r="M868" s="59">
        <v>1.1959217120000001</v>
      </c>
      <c r="N868" s="59">
        <v>86.2</v>
      </c>
    </row>
    <row r="869" spans="13:14">
      <c r="M869" s="59">
        <v>1.2047547439999999</v>
      </c>
      <c r="N869" s="59">
        <v>86.3</v>
      </c>
    </row>
    <row r="870" spans="13:14">
      <c r="M870" s="59">
        <v>1.207298432</v>
      </c>
      <c r="N870" s="59">
        <v>86.4</v>
      </c>
    </row>
    <row r="871" spans="13:14">
      <c r="M871" s="59">
        <v>1.2098420400000001</v>
      </c>
      <c r="N871" s="59">
        <v>86.5</v>
      </c>
    </row>
    <row r="872" spans="13:14">
      <c r="M872" s="59">
        <v>1.2123853360000001</v>
      </c>
      <c r="N872" s="59">
        <v>86.6</v>
      </c>
    </row>
    <row r="873" spans="13:14">
      <c r="M873" s="59">
        <v>1.2149286319999999</v>
      </c>
      <c r="N873" s="59">
        <v>86.7</v>
      </c>
    </row>
    <row r="874" spans="13:14">
      <c r="M874" s="59">
        <v>1.2168974640000001</v>
      </c>
      <c r="N874" s="59">
        <v>86.8</v>
      </c>
    </row>
    <row r="875" spans="13:14">
      <c r="M875" s="59">
        <v>1.2185611119999999</v>
      </c>
      <c r="N875" s="59">
        <v>86.9</v>
      </c>
    </row>
    <row r="876" spans="13:14">
      <c r="M876" s="59">
        <v>1.2202696399999999</v>
      </c>
      <c r="N876" s="59">
        <v>87</v>
      </c>
    </row>
    <row r="877" spans="13:14">
      <c r="M877" s="59">
        <v>1.2223731120000001</v>
      </c>
      <c r="N877" s="59">
        <v>87.1</v>
      </c>
    </row>
    <row r="878" spans="13:14">
      <c r="M878" s="59">
        <v>1.224476584</v>
      </c>
      <c r="N878" s="59">
        <v>87.2</v>
      </c>
    </row>
    <row r="879" spans="13:14">
      <c r="M879" s="59">
        <v>1.226580056</v>
      </c>
      <c r="N879" s="59">
        <v>87.3</v>
      </c>
    </row>
    <row r="880" spans="13:14">
      <c r="M880" s="59">
        <v>1.2286835279999999</v>
      </c>
      <c r="N880" s="59">
        <v>87.4</v>
      </c>
    </row>
    <row r="881" spans="13:14">
      <c r="M881" s="59">
        <v>1.2307870000000001</v>
      </c>
      <c r="N881" s="59">
        <v>87.5</v>
      </c>
    </row>
    <row r="882" spans="13:14">
      <c r="M882" s="59">
        <v>1.234993944</v>
      </c>
      <c r="N882" s="59">
        <v>87.6</v>
      </c>
    </row>
    <row r="883" spans="13:14">
      <c r="M883" s="59">
        <v>1.2392008880000001</v>
      </c>
      <c r="N883" s="59">
        <v>87.7</v>
      </c>
    </row>
    <row r="884" spans="13:14">
      <c r="M884" s="59">
        <v>1.24350692</v>
      </c>
      <c r="N884" s="59">
        <v>87.8</v>
      </c>
    </row>
    <row r="885" spans="13:14">
      <c r="M885" s="59">
        <v>1.24793456</v>
      </c>
      <c r="N885" s="59">
        <v>87.9</v>
      </c>
    </row>
    <row r="886" spans="13:14">
      <c r="M886" s="59">
        <v>1.2523622000000001</v>
      </c>
      <c r="N886" s="59">
        <v>88</v>
      </c>
    </row>
    <row r="887" spans="13:14">
      <c r="M887" s="59">
        <v>1.2552948960000001</v>
      </c>
      <c r="N887" s="59">
        <v>88.1</v>
      </c>
    </row>
    <row r="888" spans="13:14">
      <c r="M888" s="59">
        <v>1.2580577120000001</v>
      </c>
      <c r="N888" s="59">
        <v>88.2</v>
      </c>
    </row>
    <row r="889" spans="13:14">
      <c r="M889" s="59">
        <v>1.259862</v>
      </c>
      <c r="N889" s="59">
        <v>88.3</v>
      </c>
    </row>
    <row r="890" spans="13:14">
      <c r="M890" s="59">
        <v>1.259862</v>
      </c>
      <c r="N890" s="59">
        <v>88.4</v>
      </c>
    </row>
    <row r="891" spans="13:14">
      <c r="M891" s="59">
        <v>1.259862</v>
      </c>
      <c r="N891" s="59">
        <v>88.5</v>
      </c>
    </row>
    <row r="892" spans="13:14">
      <c r="M892" s="59">
        <v>1.263210384</v>
      </c>
      <c r="N892" s="59">
        <v>88.6</v>
      </c>
    </row>
    <row r="893" spans="13:14">
      <c r="M893" s="59">
        <v>1.2674173280000001</v>
      </c>
      <c r="N893" s="59">
        <v>88.7</v>
      </c>
    </row>
    <row r="894" spans="13:14">
      <c r="M894" s="59">
        <v>1.273277392</v>
      </c>
      <c r="N894" s="59">
        <v>88.8</v>
      </c>
    </row>
    <row r="895" spans="13:14">
      <c r="M895" s="59">
        <v>1.284234576</v>
      </c>
      <c r="N895" s="59">
        <v>88.9</v>
      </c>
    </row>
    <row r="896" spans="13:14">
      <c r="M896" s="59">
        <v>1.29519176</v>
      </c>
      <c r="N896" s="59">
        <v>89</v>
      </c>
    </row>
    <row r="897" spans="13:14">
      <c r="M897" s="59">
        <v>1.300005552</v>
      </c>
      <c r="N897" s="59">
        <v>89.1</v>
      </c>
    </row>
    <row r="898" spans="13:14">
      <c r="M898" s="59">
        <v>1.3021090239999999</v>
      </c>
      <c r="N898" s="59">
        <v>89.2</v>
      </c>
    </row>
    <row r="899" spans="13:14">
      <c r="M899" s="59">
        <v>1.305477368</v>
      </c>
      <c r="N899" s="59">
        <v>89.3</v>
      </c>
    </row>
    <row r="900" spans="13:14">
      <c r="M900" s="59">
        <v>1.3164349440000001</v>
      </c>
      <c r="N900" s="59">
        <v>89.4</v>
      </c>
    </row>
    <row r="901" spans="13:14">
      <c r="M901" s="59">
        <v>1.3273925200000001</v>
      </c>
      <c r="N901" s="59">
        <v>89.5</v>
      </c>
    </row>
    <row r="902" spans="13:14">
      <c r="M902" s="59">
        <v>1.334615128</v>
      </c>
      <c r="N902" s="59">
        <v>89.6</v>
      </c>
    </row>
    <row r="903" spans="13:14">
      <c r="M903" s="59">
        <v>1.339261896</v>
      </c>
      <c r="N903" s="59">
        <v>89.7</v>
      </c>
    </row>
    <row r="904" spans="13:14">
      <c r="M904" s="59">
        <v>1.343804856</v>
      </c>
      <c r="N904" s="59">
        <v>89.8</v>
      </c>
    </row>
    <row r="905" spans="13:14">
      <c r="M905" s="59">
        <v>1.3459083279999999</v>
      </c>
      <c r="N905" s="59">
        <v>89.9</v>
      </c>
    </row>
    <row r="906" spans="13:14">
      <c r="M906" s="59">
        <v>1.3480118000000001</v>
      </c>
      <c r="N906" s="59">
        <v>90</v>
      </c>
    </row>
    <row r="907" spans="13:14">
      <c r="M907" s="59">
        <v>1.35136116</v>
      </c>
      <c r="N907" s="59">
        <v>90.1</v>
      </c>
    </row>
    <row r="908" spans="13:14">
      <c r="M908" s="59">
        <v>1.3560083199999999</v>
      </c>
      <c r="N908" s="59">
        <v>90.2</v>
      </c>
    </row>
    <row r="909" spans="13:14">
      <c r="M909" s="59">
        <v>1.3606554799999999</v>
      </c>
      <c r="N909" s="59">
        <v>90.3</v>
      </c>
    </row>
    <row r="910" spans="13:14">
      <c r="M910" s="59">
        <v>1.3672769600000001</v>
      </c>
      <c r="N910" s="59">
        <v>90.4</v>
      </c>
    </row>
    <row r="911" spans="13:14">
      <c r="M911" s="59">
        <v>1.3740272</v>
      </c>
      <c r="N911" s="59">
        <v>90.5</v>
      </c>
    </row>
    <row r="912" spans="13:14">
      <c r="M912" s="59">
        <v>1.378975632</v>
      </c>
      <c r="N912" s="59">
        <v>90.6</v>
      </c>
    </row>
    <row r="913" spans="13:14">
      <c r="M913" s="59">
        <v>1.3810791039999999</v>
      </c>
      <c r="N913" s="59">
        <v>90.7</v>
      </c>
    </row>
    <row r="914" spans="13:14">
      <c r="M914" s="59">
        <v>1.3831825760000001</v>
      </c>
      <c r="N914" s="59">
        <v>90.8</v>
      </c>
    </row>
    <row r="915" spans="13:14">
      <c r="M915" s="59">
        <v>1.3849180320000001</v>
      </c>
      <c r="N915" s="59">
        <v>90.9</v>
      </c>
    </row>
    <row r="916" spans="13:14">
      <c r="M916" s="59">
        <v>1.3865816799999999</v>
      </c>
      <c r="N916" s="59">
        <v>91</v>
      </c>
    </row>
    <row r="917" spans="13:14">
      <c r="M917" s="59">
        <v>1.399090736</v>
      </c>
      <c r="N917" s="59">
        <v>91.1</v>
      </c>
    </row>
    <row r="918" spans="13:14">
      <c r="M918" s="59">
        <v>1.438713312</v>
      </c>
      <c r="N918" s="59">
        <v>91.2</v>
      </c>
    </row>
    <row r="919" spans="13:14">
      <c r="M919" s="59">
        <v>1.4783358879999999</v>
      </c>
      <c r="N919" s="59">
        <v>91.3</v>
      </c>
    </row>
    <row r="920" spans="13:14">
      <c r="M920" s="59">
        <v>1.5006355520000001</v>
      </c>
      <c r="N920" s="59">
        <v>91.4</v>
      </c>
    </row>
    <row r="921" spans="13:14">
      <c r="M921" s="59">
        <v>1.51667972</v>
      </c>
      <c r="N921" s="59">
        <v>91.5</v>
      </c>
    </row>
    <row r="922" spans="13:14">
      <c r="M922" s="59">
        <v>1.5304689199999999</v>
      </c>
      <c r="N922" s="59">
        <v>91.6</v>
      </c>
    </row>
    <row r="923" spans="13:14">
      <c r="M923" s="59">
        <v>1.5342360399999999</v>
      </c>
      <c r="N923" s="59">
        <v>91.7</v>
      </c>
    </row>
    <row r="924" spans="13:14">
      <c r="M924" s="59">
        <v>1.5380031599999999</v>
      </c>
      <c r="N924" s="59">
        <v>91.8</v>
      </c>
    </row>
    <row r="925" spans="13:14">
      <c r="M925" s="59">
        <v>1.5449883280000001</v>
      </c>
      <c r="N925" s="59">
        <v>91.9</v>
      </c>
    </row>
    <row r="926" spans="13:14">
      <c r="M926" s="59">
        <v>1.5538420399999999</v>
      </c>
      <c r="N926" s="59">
        <v>92</v>
      </c>
    </row>
    <row r="927" spans="13:14">
      <c r="M927" s="59">
        <v>1.562524072</v>
      </c>
      <c r="N927" s="59">
        <v>92.1</v>
      </c>
    </row>
    <row r="928" spans="13:14">
      <c r="M928" s="59">
        <v>1.5692747039999999</v>
      </c>
      <c r="N928" s="59">
        <v>92.2</v>
      </c>
    </row>
    <row r="929" spans="13:14">
      <c r="M929" s="59">
        <v>1.5760253360000001</v>
      </c>
      <c r="N929" s="59">
        <v>92.3</v>
      </c>
    </row>
    <row r="930" spans="13:14">
      <c r="M930" s="59">
        <v>1.5874738559999999</v>
      </c>
      <c r="N930" s="59">
        <v>92.4</v>
      </c>
    </row>
    <row r="931" spans="13:14">
      <c r="M931" s="59">
        <v>1.6030781999999999</v>
      </c>
      <c r="N931" s="59">
        <v>92.5</v>
      </c>
    </row>
    <row r="932" spans="13:14">
      <c r="M932" s="59">
        <v>1.6186825439999999</v>
      </c>
      <c r="N932" s="59">
        <v>92.6</v>
      </c>
    </row>
    <row r="933" spans="13:14">
      <c r="M933" s="59">
        <v>1.6235529360000001</v>
      </c>
      <c r="N933" s="59">
        <v>92.7</v>
      </c>
    </row>
    <row r="934" spans="13:14">
      <c r="M934" s="59">
        <v>1.628199704</v>
      </c>
      <c r="N934" s="59">
        <v>92.8</v>
      </c>
    </row>
    <row r="935" spans="13:14">
      <c r="M935" s="59">
        <v>1.6413371919999999</v>
      </c>
      <c r="N935" s="59">
        <v>92.9</v>
      </c>
    </row>
    <row r="936" spans="13:14">
      <c r="M936" s="59">
        <v>1.66579564</v>
      </c>
      <c r="N936" s="59">
        <v>93</v>
      </c>
    </row>
    <row r="937" spans="13:14">
      <c r="M937" s="59">
        <v>1.6902540880000001</v>
      </c>
      <c r="N937" s="59">
        <v>93.1</v>
      </c>
    </row>
    <row r="938" spans="13:14">
      <c r="M938" s="59">
        <v>1.6987863679999999</v>
      </c>
      <c r="N938" s="59">
        <v>93.2</v>
      </c>
    </row>
    <row r="939" spans="13:14">
      <c r="M939" s="59">
        <v>1.705096392</v>
      </c>
      <c r="N939" s="59">
        <v>93.3</v>
      </c>
    </row>
    <row r="940" spans="13:14">
      <c r="M940" s="59">
        <v>1.7107198239999999</v>
      </c>
      <c r="N940" s="59">
        <v>93.4</v>
      </c>
    </row>
    <row r="941" spans="13:14">
      <c r="M941" s="59">
        <v>1.71492716</v>
      </c>
      <c r="N941" s="59">
        <v>93.5</v>
      </c>
    </row>
    <row r="942" spans="13:14">
      <c r="M942" s="59">
        <v>1.7191344959999999</v>
      </c>
      <c r="N942" s="59">
        <v>93.6</v>
      </c>
    </row>
    <row r="943" spans="13:14">
      <c r="M943" s="59">
        <v>1.7233412239999999</v>
      </c>
      <c r="N943" s="59">
        <v>93.7</v>
      </c>
    </row>
    <row r="944" spans="13:14">
      <c r="M944" s="59">
        <v>1.727547776</v>
      </c>
      <c r="N944" s="59">
        <v>93.8</v>
      </c>
    </row>
    <row r="945" spans="13:14">
      <c r="M945" s="59">
        <v>1.7309088239999999</v>
      </c>
      <c r="N945" s="59">
        <v>93.9</v>
      </c>
    </row>
    <row r="946" spans="13:14">
      <c r="M946" s="59">
        <v>1.73134904</v>
      </c>
      <c r="N946" s="59">
        <v>94</v>
      </c>
    </row>
    <row r="947" spans="13:14">
      <c r="M947" s="59">
        <v>1.7317892560000001</v>
      </c>
      <c r="N947" s="59">
        <v>94.1</v>
      </c>
    </row>
    <row r="948" spans="13:14">
      <c r="M948" s="59">
        <v>1.7319329999999999</v>
      </c>
      <c r="N948" s="59">
        <v>94.2</v>
      </c>
    </row>
    <row r="949" spans="13:14">
      <c r="M949" s="59">
        <v>1.7319329999999999</v>
      </c>
      <c r="N949" s="59">
        <v>94.3</v>
      </c>
    </row>
    <row r="950" spans="13:14">
      <c r="M950" s="59">
        <v>1.7324481359999999</v>
      </c>
      <c r="N950" s="59">
        <v>94.4</v>
      </c>
    </row>
    <row r="951" spans="13:14">
      <c r="M951" s="59">
        <v>1.73665508</v>
      </c>
      <c r="N951" s="59">
        <v>94.5</v>
      </c>
    </row>
    <row r="952" spans="13:14">
      <c r="M952" s="59">
        <v>1.7408620239999999</v>
      </c>
      <c r="N952" s="59">
        <v>94.6</v>
      </c>
    </row>
    <row r="953" spans="13:14">
      <c r="M953" s="59">
        <v>1.7438669840000001</v>
      </c>
      <c r="N953" s="59">
        <v>94.7</v>
      </c>
    </row>
    <row r="954" spans="13:14">
      <c r="M954" s="59">
        <v>1.745970456</v>
      </c>
      <c r="N954" s="59">
        <v>94.8</v>
      </c>
    </row>
    <row r="955" spans="13:14">
      <c r="M955" s="59">
        <v>1.7490722240000001</v>
      </c>
      <c r="N955" s="59">
        <v>94.9</v>
      </c>
    </row>
    <row r="956" spans="13:14">
      <c r="M956" s="59">
        <v>1.8000921999999999</v>
      </c>
      <c r="N956" s="59">
        <v>95</v>
      </c>
    </row>
    <row r="957" spans="13:14">
      <c r="M957" s="59">
        <v>1.851112176</v>
      </c>
      <c r="N957" s="59">
        <v>95.1</v>
      </c>
    </row>
    <row r="958" spans="13:14">
      <c r="M958" s="59">
        <v>1.882339824</v>
      </c>
      <c r="N958" s="59">
        <v>95.2</v>
      </c>
    </row>
    <row r="959" spans="13:14">
      <c r="M959" s="59">
        <v>1.8911935360000001</v>
      </c>
      <c r="N959" s="59">
        <v>95.3</v>
      </c>
    </row>
    <row r="960" spans="13:14">
      <c r="M960" s="59">
        <v>1.9000472479999999</v>
      </c>
      <c r="N960" s="59">
        <v>95.4</v>
      </c>
    </row>
    <row r="961" spans="13:14">
      <c r="M961" s="59">
        <v>1.90616136</v>
      </c>
      <c r="N961" s="59">
        <v>95.5</v>
      </c>
    </row>
    <row r="962" spans="13:14">
      <c r="M962" s="59">
        <v>1.912031952</v>
      </c>
      <c r="N962" s="59">
        <v>95.6</v>
      </c>
    </row>
    <row r="963" spans="13:14">
      <c r="M963" s="59">
        <v>1.9182256799999999</v>
      </c>
      <c r="N963" s="59">
        <v>95.7</v>
      </c>
    </row>
    <row r="964" spans="13:14">
      <c r="M964" s="59">
        <v>1.9249759200000001</v>
      </c>
      <c r="N964" s="59">
        <v>95.8</v>
      </c>
    </row>
    <row r="965" spans="13:14">
      <c r="M965" s="59">
        <v>1.93172616</v>
      </c>
      <c r="N965" s="59">
        <v>95.9</v>
      </c>
    </row>
    <row r="966" spans="13:14">
      <c r="M966" s="59">
        <v>1.95844248</v>
      </c>
      <c r="N966" s="59">
        <v>96</v>
      </c>
    </row>
    <row r="967" spans="13:14">
      <c r="M967" s="59">
        <v>1.989651168</v>
      </c>
      <c r="N967" s="59">
        <v>96.1</v>
      </c>
    </row>
    <row r="968" spans="13:14">
      <c r="M968" s="59">
        <v>2.0149290479999999</v>
      </c>
      <c r="N968" s="59">
        <v>96.2</v>
      </c>
    </row>
    <row r="969" spans="13:14">
      <c r="M969" s="59">
        <v>2.023783152</v>
      </c>
      <c r="N969" s="59">
        <v>96.3</v>
      </c>
    </row>
    <row r="970" spans="13:14">
      <c r="M970" s="59">
        <v>2.0326372560000001</v>
      </c>
      <c r="N970" s="59">
        <v>96.4</v>
      </c>
    </row>
    <row r="971" spans="13:14">
      <c r="M971" s="59">
        <v>2.0508204000000001</v>
      </c>
      <c r="N971" s="59">
        <v>96.5</v>
      </c>
    </row>
    <row r="972" spans="13:14">
      <c r="M972" s="59">
        <v>2.0727351600000001</v>
      </c>
      <c r="N972" s="59">
        <v>96.6</v>
      </c>
    </row>
    <row r="973" spans="13:14">
      <c r="M973" s="59">
        <v>2.1037383679999899</v>
      </c>
      <c r="N973" s="59">
        <v>96.7</v>
      </c>
    </row>
    <row r="974" spans="13:14">
      <c r="M974" s="59">
        <v>2.181319872</v>
      </c>
      <c r="N974" s="59">
        <v>96.8</v>
      </c>
    </row>
    <row r="975" spans="13:14">
      <c r="M975" s="59">
        <v>2.2589013759999998</v>
      </c>
      <c r="N975" s="59">
        <v>96.9</v>
      </c>
    </row>
    <row r="976" spans="13:14">
      <c r="M976" s="59">
        <v>2.2889840000000001</v>
      </c>
      <c r="N976" s="59">
        <v>97</v>
      </c>
    </row>
    <row r="977" spans="13:14">
      <c r="M977" s="59">
        <v>2.2889840000000001</v>
      </c>
      <c r="N977" s="59">
        <v>97.1</v>
      </c>
    </row>
    <row r="978" spans="13:14">
      <c r="M978" s="59">
        <v>2.2900681519999999</v>
      </c>
      <c r="N978" s="59">
        <v>97.2</v>
      </c>
    </row>
    <row r="979" spans="13:14">
      <c r="M979" s="59">
        <v>2.3077759680000001</v>
      </c>
      <c r="N979" s="59">
        <v>97.3</v>
      </c>
    </row>
    <row r="980" spans="13:14">
      <c r="M980" s="59">
        <v>2.3254837840000002</v>
      </c>
      <c r="N980" s="59">
        <v>97.4</v>
      </c>
    </row>
    <row r="981" spans="13:14">
      <c r="M981" s="59">
        <v>2.3429669999999998</v>
      </c>
      <c r="N981" s="59">
        <v>97.5</v>
      </c>
    </row>
    <row r="982" spans="13:14">
      <c r="M982" s="59">
        <v>2.3602346000000001</v>
      </c>
      <c r="N982" s="59">
        <v>97.6</v>
      </c>
    </row>
    <row r="983" spans="13:14">
      <c r="M983" s="59">
        <v>2.3775021999999999</v>
      </c>
      <c r="N983" s="59">
        <v>97.7</v>
      </c>
    </row>
    <row r="984" spans="13:14">
      <c r="M984" s="59">
        <v>2.420669808</v>
      </c>
      <c r="N984" s="59">
        <v>97.8</v>
      </c>
    </row>
    <row r="985" spans="13:14">
      <c r="M985" s="59">
        <v>2.4649395439999999</v>
      </c>
      <c r="N985" s="59">
        <v>97.9</v>
      </c>
    </row>
    <row r="986" spans="13:14">
      <c r="M986" s="59">
        <v>2.49665056</v>
      </c>
      <c r="N986" s="59">
        <v>98</v>
      </c>
    </row>
    <row r="987" spans="13:14">
      <c r="M987" s="59">
        <v>2.5101514319999998</v>
      </c>
      <c r="N987" s="59">
        <v>98.1</v>
      </c>
    </row>
    <row r="988" spans="13:14">
      <c r="M988" s="59">
        <v>2.5236523040000001</v>
      </c>
      <c r="N988" s="59">
        <v>98.2</v>
      </c>
    </row>
    <row r="989" spans="13:14">
      <c r="M989" s="59">
        <v>2.538578824</v>
      </c>
      <c r="N989" s="59">
        <v>98.3</v>
      </c>
    </row>
    <row r="990" spans="13:14">
      <c r="M990" s="59">
        <v>2.5537429519999999</v>
      </c>
      <c r="N990" s="59">
        <v>98.4</v>
      </c>
    </row>
    <row r="991" spans="13:14">
      <c r="M991" s="59">
        <v>2.5784608800000002</v>
      </c>
      <c r="N991" s="59">
        <v>98.5</v>
      </c>
    </row>
    <row r="992" spans="13:14">
      <c r="M992" s="59">
        <v>2.6248340880000001</v>
      </c>
      <c r="N992" s="59">
        <v>98.6</v>
      </c>
    </row>
    <row r="993" spans="13:14">
      <c r="M993" s="59">
        <v>2.671207296</v>
      </c>
      <c r="N993" s="59">
        <v>98.7</v>
      </c>
    </row>
    <row r="994" spans="13:14">
      <c r="M994" s="59">
        <v>2.7309514159999999</v>
      </c>
      <c r="N994" s="59">
        <v>98.8</v>
      </c>
    </row>
    <row r="995" spans="13:14">
      <c r="M995" s="59">
        <v>2.7950320479999999</v>
      </c>
      <c r="N995" s="59">
        <v>98.9</v>
      </c>
    </row>
    <row r="996" spans="13:14">
      <c r="M996" s="59">
        <v>2.8491298</v>
      </c>
      <c r="N996" s="59">
        <v>99</v>
      </c>
    </row>
    <row r="997" spans="13:14">
      <c r="M997" s="59">
        <v>2.8642943199999999</v>
      </c>
      <c r="N997" s="59">
        <v>99.1</v>
      </c>
    </row>
    <row r="998" spans="13:14">
      <c r="M998" s="59">
        <v>2.8794588399999999</v>
      </c>
      <c r="N998" s="59">
        <v>99.2</v>
      </c>
    </row>
    <row r="999" spans="13:14">
      <c r="M999" s="59">
        <v>2.905100928</v>
      </c>
      <c r="N999" s="59">
        <v>99.3</v>
      </c>
    </row>
    <row r="1000" spans="13:14">
      <c r="M1000" s="59">
        <v>2.9363092239999999</v>
      </c>
      <c r="N1000" s="59">
        <v>99.4</v>
      </c>
    </row>
    <row r="1001" spans="13:14">
      <c r="M1001" s="59">
        <v>2.9645027599999998</v>
      </c>
      <c r="N1001" s="59">
        <v>99.5</v>
      </c>
    </row>
    <row r="1002" spans="13:14">
      <c r="M1002" s="59">
        <v>2.9661664079999999</v>
      </c>
      <c r="N1002" s="59">
        <v>99.6</v>
      </c>
    </row>
    <row r="1003" spans="13:14">
      <c r="M1003" s="59">
        <v>2.9678300559999999</v>
      </c>
      <c r="N1003" s="59">
        <v>99.7</v>
      </c>
    </row>
    <row r="1004" spans="13:14">
      <c r="M1004" s="59">
        <v>2.9685769999999998</v>
      </c>
      <c r="N1004" s="59">
        <v>99.8</v>
      </c>
    </row>
    <row r="1005" spans="13:14">
      <c r="M1005" s="59">
        <v>2.9685769999999998</v>
      </c>
      <c r="N1005" s="59">
        <v>99.9</v>
      </c>
    </row>
    <row r="1006" spans="13:14">
      <c r="M1006" s="59">
        <v>2.9685769999999998</v>
      </c>
      <c r="N1006" s="59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8"/>
  <sheetViews>
    <sheetView workbookViewId="0">
      <selection activeCell="G3" sqref="G3"/>
    </sheetView>
  </sheetViews>
  <sheetFormatPr baseColWidth="10" defaultRowHeight="15.5"/>
  <cols>
    <col min="1" max="1" width="10.6640625" customWidth="1"/>
  </cols>
  <sheetData>
    <row r="1" spans="1:16">
      <c r="A1" s="2" t="s">
        <v>4</v>
      </c>
      <c r="J1" s="5"/>
      <c r="L1" s="2" t="s">
        <v>13</v>
      </c>
    </row>
    <row r="2" spans="1:16">
      <c r="A2" s="2"/>
      <c r="J2" s="5"/>
      <c r="L2" s="2"/>
    </row>
    <row r="3" spans="1:16">
      <c r="A3" s="23" t="s">
        <v>18</v>
      </c>
      <c r="G3" s="21">
        <f>SQRT(TMTA!J6)</f>
        <v>13.675132</v>
      </c>
      <c r="J3" s="5"/>
    </row>
    <row r="4" spans="1:16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16">
      <c r="J5" s="5"/>
      <c r="L5">
        <f>TMTA!M6</f>
        <v>-2.030783</v>
      </c>
      <c r="M5">
        <f>TMTA!N6</f>
        <v>0</v>
      </c>
      <c r="O5">
        <f>ABS(L5-TMTA!$C$34)</f>
        <v>1.1811790489323828</v>
      </c>
      <c r="P5">
        <f>M5</f>
        <v>0</v>
      </c>
    </row>
    <row r="6" spans="1:16">
      <c r="A6" s="2" t="s">
        <v>28</v>
      </c>
      <c r="J6" s="5"/>
      <c r="L6">
        <f>TMTA!M7</f>
        <v>-1.9979106639999999</v>
      </c>
      <c r="M6">
        <f>TMTA!N7</f>
        <v>0.1</v>
      </c>
      <c r="O6">
        <f>ABS(L6-TMTA!$C$34)</f>
        <v>1.1483067129323827</v>
      </c>
      <c r="P6">
        <f t="shared" ref="P6:P70" si="0">M6</f>
        <v>0.1</v>
      </c>
    </row>
    <row r="7" spans="1:16">
      <c r="J7" s="5"/>
      <c r="L7">
        <f>TMTA!M8</f>
        <v>-1.9650383279999999</v>
      </c>
      <c r="M7">
        <f>TMTA!N8</f>
        <v>0.2</v>
      </c>
      <c r="O7">
        <f>ABS(L7-TMTA!$C$34)</f>
        <v>1.1154343769323827</v>
      </c>
      <c r="P7">
        <f t="shared" si="0"/>
        <v>0.2</v>
      </c>
    </row>
    <row r="8" spans="1:16">
      <c r="A8" t="s">
        <v>16</v>
      </c>
      <c r="B8">
        <f>TMTA!C27</f>
        <v>-11.618446178571205</v>
      </c>
      <c r="J8" s="5"/>
    </row>
    <row r="9" spans="1:16">
      <c r="J9" s="5"/>
      <c r="L9">
        <f>TMTA!M9</f>
        <v>-1.9259069040000001</v>
      </c>
      <c r="M9">
        <f>TMTA!N9</f>
        <v>0.3</v>
      </c>
      <c r="O9">
        <f>ABS(L9-TMTA!$C$34)</f>
        <v>1.0763029529323829</v>
      </c>
      <c r="P9">
        <f t="shared" si="0"/>
        <v>0.3</v>
      </c>
    </row>
    <row r="10" spans="1:16">
      <c r="B10" t="str">
        <f>RAVLT_Learning!J10</f>
        <v>Residual variance</v>
      </c>
      <c r="C10" t="str">
        <f>RAVLT_Learning!I10</f>
        <v>Predicted test score</v>
      </c>
      <c r="J10" s="5"/>
      <c r="L10">
        <f>TMTA!M10</f>
        <v>-1.8790938720000001</v>
      </c>
      <c r="M10">
        <f>TMTA!N10</f>
        <v>0.4</v>
      </c>
      <c r="O10">
        <f>ABS(L10-TMTA!$C$34)</f>
        <v>1.0294899209323831</v>
      </c>
      <c r="P10">
        <f t="shared" si="0"/>
        <v>0.4</v>
      </c>
    </row>
    <row r="11" spans="1:16">
      <c r="B11">
        <f>TMTA!J11</f>
        <v>0</v>
      </c>
      <c r="C11">
        <f>TMTA!I11</f>
        <v>0</v>
      </c>
      <c r="J11" s="5"/>
      <c r="L11">
        <f>TMTA!M11</f>
        <v>-1.8322808399999999</v>
      </c>
      <c r="M11">
        <f>TMTA!N11</f>
        <v>0.5</v>
      </c>
      <c r="O11">
        <f>ABS(L11-TMTA!$C$34)</f>
        <v>0.98267688893238281</v>
      </c>
      <c r="P11">
        <f t="shared" si="0"/>
        <v>0.5</v>
      </c>
    </row>
    <row r="12" spans="1:16">
      <c r="B12">
        <f>TMTA!J12</f>
        <v>0</v>
      </c>
      <c r="C12">
        <f>TMTA!I12</f>
        <v>0</v>
      </c>
      <c r="J12" s="5"/>
      <c r="L12">
        <f>TMTA!M12</f>
        <v>-1.772246336</v>
      </c>
      <c r="M12">
        <f>TMTA!N12</f>
        <v>0.6</v>
      </c>
      <c r="O12">
        <f>ABS(L12-TMTA!$C$34)</f>
        <v>0.92264238493238293</v>
      </c>
      <c r="P12">
        <f t="shared" si="0"/>
        <v>0.6</v>
      </c>
    </row>
    <row r="13" spans="1:16">
      <c r="B13">
        <f>TMTA!J13</f>
        <v>0</v>
      </c>
      <c r="C13">
        <f>TMTA!I13</f>
        <v>0</v>
      </c>
      <c r="J13" s="5"/>
      <c r="L13">
        <f>TMTA!M13</f>
        <v>-1.7107093920000001</v>
      </c>
      <c r="M13">
        <f>TMTA!N13</f>
        <v>0.7</v>
      </c>
      <c r="O13">
        <f>ABS(L13-TMTA!$C$34)</f>
        <v>0.86110544093238295</v>
      </c>
      <c r="P13">
        <f t="shared" si="0"/>
        <v>0.7</v>
      </c>
    </row>
    <row r="14" spans="1:16">
      <c r="B14">
        <f>TMTA!J14</f>
        <v>0</v>
      </c>
      <c r="C14">
        <f>TMTA!I14</f>
        <v>0</v>
      </c>
      <c r="J14" s="5"/>
      <c r="L14">
        <f>TMTA!M14</f>
        <v>-1.665990616</v>
      </c>
      <c r="M14">
        <f>TMTA!N14</f>
        <v>0.8</v>
      </c>
      <c r="O14">
        <f>ABS(L14-TMTA!$C$34)</f>
        <v>0.81638666493238288</v>
      </c>
      <c r="P14">
        <f t="shared" si="0"/>
        <v>0.8</v>
      </c>
    </row>
    <row r="15" spans="1:16">
      <c r="B15">
        <f>TMTA!J15</f>
        <v>0</v>
      </c>
      <c r="C15">
        <f>TMTA!I15</f>
        <v>0</v>
      </c>
      <c r="J15" s="5"/>
      <c r="L15">
        <f>TMTA!M15</f>
        <v>-1.652929568</v>
      </c>
      <c r="M15">
        <f>TMTA!N15</f>
        <v>0.9</v>
      </c>
      <c r="O15">
        <f>ABS(L15-TMTA!$C$34)</f>
        <v>0.80332561693238291</v>
      </c>
      <c r="P15">
        <f t="shared" si="0"/>
        <v>0.9</v>
      </c>
    </row>
    <row r="16" spans="1:16">
      <c r="B16">
        <f>TMTA!J16</f>
        <v>0</v>
      </c>
      <c r="C16">
        <f>TMTA!I16</f>
        <v>0</v>
      </c>
      <c r="J16" s="5"/>
      <c r="L16">
        <f>TMTA!M16</f>
        <v>-1.6398685200000001</v>
      </c>
      <c r="M16">
        <f>TMTA!N16</f>
        <v>1</v>
      </c>
      <c r="O16">
        <f>ABS(L16-TMTA!$C$34)</f>
        <v>0.79026456893238295</v>
      </c>
      <c r="P16">
        <f t="shared" si="0"/>
        <v>1</v>
      </c>
    </row>
    <row r="17" spans="1:16">
      <c r="B17">
        <f>TMTA!J17</f>
        <v>0</v>
      </c>
      <c r="C17">
        <f>TMTA!I17</f>
        <v>0</v>
      </c>
      <c r="J17" s="5"/>
      <c r="L17">
        <f>TMTA!M17</f>
        <v>-1.6301561680000001</v>
      </c>
      <c r="M17">
        <f>TMTA!N17</f>
        <v>1.1000000000000001</v>
      </c>
      <c r="O17">
        <f>ABS(L17-TMTA!$C$34)</f>
        <v>0.78055221693238297</v>
      </c>
      <c r="P17">
        <f t="shared" si="0"/>
        <v>1.1000000000000001</v>
      </c>
    </row>
    <row r="18" spans="1:16">
      <c r="B18">
        <f>TMTA!J18</f>
        <v>0</v>
      </c>
      <c r="C18">
        <f>TMTA!I18</f>
        <v>0</v>
      </c>
      <c r="J18" s="5"/>
      <c r="L18">
        <f>TMTA!M18</f>
        <v>-1.621302456</v>
      </c>
      <c r="M18">
        <f>TMTA!N18</f>
        <v>1.2</v>
      </c>
      <c r="O18">
        <f>ABS(L18-TMTA!$C$34)</f>
        <v>0.7716985049323829</v>
      </c>
      <c r="P18">
        <f t="shared" si="0"/>
        <v>1.2</v>
      </c>
    </row>
    <row r="19" spans="1:16">
      <c r="B19">
        <f>TMTA!J19</f>
        <v>0</v>
      </c>
      <c r="C19">
        <f>TMTA!I19</f>
        <v>0</v>
      </c>
      <c r="J19" s="5"/>
      <c r="L19">
        <f>TMTA!M19</f>
        <v>-1.61369444</v>
      </c>
      <c r="M19">
        <f>TMTA!N19</f>
        <v>1.3</v>
      </c>
      <c r="O19">
        <f>ABS(L19-TMTA!$C$34)</f>
        <v>0.76409048893238285</v>
      </c>
      <c r="P19">
        <f t="shared" si="0"/>
        <v>1.3</v>
      </c>
    </row>
    <row r="20" spans="1:16">
      <c r="B20">
        <f>TMTA!J20</f>
        <v>0</v>
      </c>
      <c r="C20">
        <f>TMTA!I20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TMTA!M20</f>
        <v>-1.6099273199999999</v>
      </c>
      <c r="M20">
        <f>TMTA!N20</f>
        <v>1.4</v>
      </c>
      <c r="O20">
        <f>ABS(L20-TMTA!$C$34)</f>
        <v>0.76032336893238284</v>
      </c>
      <c r="P20">
        <f t="shared" si="0"/>
        <v>1.4</v>
      </c>
    </row>
    <row r="21" spans="1:16">
      <c r="B21">
        <f>TMTA!J21</f>
        <v>0</v>
      </c>
      <c r="C21">
        <f>TMTA!I21</f>
        <v>0</v>
      </c>
      <c r="E21" t="s">
        <v>38</v>
      </c>
      <c r="G21" s="21">
        <f>SQRT(G20)</f>
        <v>0</v>
      </c>
      <c r="J21" s="5"/>
      <c r="L21">
        <f>TMTA!M21</f>
        <v>-1.6061601999999999</v>
      </c>
      <c r="M21">
        <f>TMTA!N21</f>
        <v>1.5</v>
      </c>
      <c r="O21">
        <f>ABS(L21-TMTA!$C$34)</f>
        <v>0.75655624893238282</v>
      </c>
      <c r="P21">
        <f t="shared" si="0"/>
        <v>1.5</v>
      </c>
    </row>
    <row r="22" spans="1:16">
      <c r="B22">
        <f>TMTA!J22</f>
        <v>0</v>
      </c>
      <c r="C22">
        <f>TMTA!I22</f>
        <v>0</v>
      </c>
      <c r="J22" s="5"/>
      <c r="L22">
        <f>TMTA!M22</f>
        <v>-1.5938743120000001</v>
      </c>
      <c r="M22">
        <f>TMTA!N22</f>
        <v>1.6</v>
      </c>
      <c r="O22">
        <f>ABS(L22-TMTA!$C$34)</f>
        <v>0.74427036093238297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TMTA!M23</f>
        <v>-1.577830144</v>
      </c>
      <c r="M23">
        <f>TMTA!N23</f>
        <v>1.7</v>
      </c>
      <c r="O23">
        <f>ABS(L23-TMTA!$C$34)</f>
        <v>0.72822619293238289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TMTA!M24</f>
        <v>-1.5637775039999999</v>
      </c>
      <c r="M24">
        <f>TMTA!N24</f>
        <v>1.8</v>
      </c>
      <c r="O24">
        <f>ABS(L24-TMTA!$C$34)</f>
        <v>0.71417355293238283</v>
      </c>
      <c r="P24">
        <f t="shared" si="0"/>
        <v>1.8</v>
      </c>
    </row>
    <row r="25" spans="1:16">
      <c r="A25" s="2" t="s">
        <v>27</v>
      </c>
      <c r="J25" s="5"/>
      <c r="L25">
        <f>TMTA!M25</f>
        <v>-1.561674032</v>
      </c>
      <c r="M25">
        <f>TMTA!N25</f>
        <v>1.9</v>
      </c>
      <c r="O25">
        <f>ABS(L25-TMTA!$C$34)</f>
        <v>0.71207008093238289</v>
      </c>
      <c r="P25">
        <f t="shared" si="0"/>
        <v>1.9</v>
      </c>
    </row>
    <row r="26" spans="1:16">
      <c r="H26" s="1"/>
      <c r="J26" s="5"/>
      <c r="L26">
        <f>TMTA!M26</f>
        <v>-1.5595705600000001</v>
      </c>
      <c r="M26">
        <f>TMTA!N26</f>
        <v>2</v>
      </c>
      <c r="O26">
        <f>ABS(L26-TMTA!$C$34)</f>
        <v>0.70996660893238295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J27" s="5"/>
      <c r="L27">
        <f>TMTA!M27</f>
        <v>-1.5549772639999999</v>
      </c>
      <c r="M27">
        <f>TMTA!N27</f>
        <v>2.1</v>
      </c>
      <c r="O27">
        <f>ABS(L27-TMTA!$C$34)</f>
        <v>0.70537331293238281</v>
      </c>
      <c r="P27">
        <f t="shared" si="0"/>
        <v>2.1</v>
      </c>
    </row>
    <row r="28" spans="1:16">
      <c r="A28">
        <f>TMTA!I27</f>
        <v>0</v>
      </c>
      <c r="B28">
        <f>TMTA!J27</f>
        <v>0</v>
      </c>
      <c r="C28">
        <v>1</v>
      </c>
      <c r="D28">
        <f>B28*C28</f>
        <v>0</v>
      </c>
      <c r="J28" s="5"/>
      <c r="L28">
        <f>TMTA!M28</f>
        <v>-1.5486668480000001</v>
      </c>
      <c r="M28">
        <f>TMTA!N28</f>
        <v>2.2000000000000002</v>
      </c>
      <c r="O28">
        <f>ABS(L28-TMTA!$C$34)</f>
        <v>0.69906289693238299</v>
      </c>
      <c r="P28">
        <f t="shared" si="0"/>
        <v>2.2000000000000002</v>
      </c>
    </row>
    <row r="29" spans="1:16">
      <c r="A29">
        <f>TMTA!I28</f>
        <v>0</v>
      </c>
      <c r="B29">
        <f>TMTA!J28</f>
        <v>0</v>
      </c>
      <c r="C29">
        <f>B8</f>
        <v>-11.618446178571205</v>
      </c>
      <c r="D29">
        <f t="shared" ref="D29:D33" si="1">B29*C29</f>
        <v>0</v>
      </c>
      <c r="J29" s="5"/>
      <c r="L29">
        <f>TMTA!M29</f>
        <v>-1.542528144</v>
      </c>
      <c r="M29">
        <f>TMTA!N29</f>
        <v>2.2999999999999998</v>
      </c>
      <c r="O29">
        <f>ABS(L29-TMTA!$C$34)</f>
        <v>0.69292419293238294</v>
      </c>
      <c r="P29">
        <f t="shared" si="0"/>
        <v>2.2999999999999998</v>
      </c>
    </row>
    <row r="30" spans="1:16">
      <c r="A30">
        <f>TMTA!I29</f>
        <v>0</v>
      </c>
      <c r="B30">
        <f>TMTA!J29</f>
        <v>0</v>
      </c>
      <c r="C30">
        <f>B8^2</f>
        <v>134.98829160435582</v>
      </c>
      <c r="D30">
        <f t="shared" si="1"/>
        <v>0</v>
      </c>
      <c r="J30" s="5"/>
      <c r="L30">
        <f>TMTA!M30</f>
        <v>-1.5404246720000001</v>
      </c>
      <c r="M30">
        <f>TMTA!N30</f>
        <v>2.4</v>
      </c>
      <c r="O30">
        <f>ABS(L30-TMTA!$C$34)</f>
        <v>0.690820720932383</v>
      </c>
      <c r="P30">
        <f t="shared" si="0"/>
        <v>2.4</v>
      </c>
    </row>
    <row r="31" spans="1:16">
      <c r="A31">
        <f>TMTA!I30</f>
        <v>0</v>
      </c>
      <c r="B31">
        <f>TMTA!J30</f>
        <v>0</v>
      </c>
      <c r="C31">
        <f>B8^3</f>
        <v>-1568.3542007424833</v>
      </c>
      <c r="D31">
        <f t="shared" si="1"/>
        <v>0</v>
      </c>
      <c r="J31" s="5"/>
      <c r="L31">
        <f>TMTA!M31</f>
        <v>-1.5383211999999999</v>
      </c>
      <c r="M31">
        <f>TMTA!N31</f>
        <v>2.5</v>
      </c>
      <c r="O31">
        <f>ABS(L31-TMTA!$C$34)</f>
        <v>0.68871724893238284</v>
      </c>
      <c r="P31">
        <f t="shared" si="0"/>
        <v>2.5</v>
      </c>
    </row>
    <row r="32" spans="1:16">
      <c r="A32">
        <f>TMTA!I31</f>
        <v>0</v>
      </c>
      <c r="B32">
        <f>TMTA!J31</f>
        <v>0</v>
      </c>
      <c r="C32">
        <f>B8^4</f>
        <v>18221.8388702626</v>
      </c>
      <c r="D32">
        <f t="shared" si="1"/>
        <v>0</v>
      </c>
      <c r="J32" s="5"/>
      <c r="L32">
        <f>TMTA!M32</f>
        <v>-1.537032384</v>
      </c>
      <c r="M32">
        <f>TMTA!N32</f>
        <v>2.6</v>
      </c>
      <c r="O32">
        <f>ABS(L32-TMTA!$C$34)</f>
        <v>0.68742843293238287</v>
      </c>
      <c r="P32">
        <f t="shared" si="0"/>
        <v>2.6</v>
      </c>
    </row>
    <row r="33" spans="1:16">
      <c r="A33">
        <f>TMTA!I32</f>
        <v>0</v>
      </c>
      <c r="B33">
        <f>TMTA!J32</f>
        <v>0</v>
      </c>
      <c r="C33">
        <f>B8^5</f>
        <v>-211709.45418874273</v>
      </c>
      <c r="D33">
        <f t="shared" si="1"/>
        <v>0</v>
      </c>
      <c r="J33" s="5"/>
      <c r="L33">
        <f>TMTA!M33</f>
        <v>-1.5365921680000001</v>
      </c>
      <c r="M33">
        <f>TMTA!N33</f>
        <v>2.7</v>
      </c>
      <c r="O33">
        <f>ABS(L33-TMTA!$C$34)</f>
        <v>0.68698821693238299</v>
      </c>
      <c r="P33">
        <f t="shared" si="0"/>
        <v>2.7</v>
      </c>
    </row>
    <row r="34" spans="1:16">
      <c r="G34" s="21">
        <f>SQRT(D35)</f>
        <v>0</v>
      </c>
      <c r="J34" s="5"/>
      <c r="L34">
        <f>TMTA!M34</f>
        <v>-1.536151952</v>
      </c>
      <c r="M34">
        <f>TMTA!N34</f>
        <v>2.8</v>
      </c>
      <c r="O34">
        <f>ABS(L34-TMTA!$C$34)</f>
        <v>0.68654800093238288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0</v>
      </c>
      <c r="E35" s="18"/>
      <c r="F35" s="18"/>
      <c r="G35" s="18"/>
      <c r="H35" s="18"/>
      <c r="I35" s="18"/>
      <c r="J35" s="19"/>
      <c r="L35">
        <f>TMTA!M35</f>
        <v>-1.530200936</v>
      </c>
      <c r="M35">
        <f>TMTA!N35</f>
        <v>2.9</v>
      </c>
      <c r="O35">
        <f>ABS(L35-TMTA!$C$34)</f>
        <v>0.68059698493238285</v>
      </c>
      <c r="P35">
        <f t="shared" si="0"/>
        <v>2.9</v>
      </c>
    </row>
    <row r="36" spans="1:16">
      <c r="J36" s="5"/>
      <c r="L36">
        <f>TMTA!M36</f>
        <v>-1.5238905199999999</v>
      </c>
      <c r="M36">
        <f>TMTA!N36</f>
        <v>3</v>
      </c>
      <c r="O36">
        <f>ABS(L36-TMTA!$C$34)</f>
        <v>0.67428656893238281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TMTA!M37</f>
        <v>-1.5147919679999999</v>
      </c>
      <c r="M37">
        <f>TMTA!N37</f>
        <v>3.1</v>
      </c>
      <c r="O37">
        <f>ABS(L37-TMTA!$C$34)</f>
        <v>0.66518801693238283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1</v>
      </c>
      <c r="E38" s="24"/>
      <c r="F38" s="24"/>
      <c r="G38" s="2" t="s">
        <v>21</v>
      </c>
      <c r="H38" s="2"/>
      <c r="I38" s="2">
        <f>IF(D41=1, G3+G21+G34, )</f>
        <v>13.675132</v>
      </c>
      <c r="J38" s="5"/>
      <c r="L38">
        <f>TMTA!M38</f>
        <v>-1.5012910960000001</v>
      </c>
      <c r="M38">
        <f>TMTA!N38</f>
        <v>3.2</v>
      </c>
      <c r="O38">
        <f>ABS(L38-TMTA!$C$34)</f>
        <v>0.651687144932383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TMTA!M39</f>
        <v>-1.487790224</v>
      </c>
      <c r="M39">
        <f>TMTA!N39</f>
        <v>3.3</v>
      </c>
      <c r="O39">
        <f>ABS(L39-TMTA!$C$34)</f>
        <v>0.63818627293238295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0</v>
      </c>
      <c r="E40" s="24"/>
      <c r="F40" s="24"/>
      <c r="J40" s="5"/>
      <c r="L40">
        <f>TMTA!M40</f>
        <v>-1.474657696</v>
      </c>
      <c r="M40">
        <f>TMTA!N40</f>
        <v>3.4</v>
      </c>
      <c r="O40">
        <f>ABS(L40-TMTA!$C$34)</f>
        <v>0.62505374493238286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TMTA!M41</f>
        <v>-1.46159704</v>
      </c>
      <c r="M41">
        <f>TMTA!N41</f>
        <v>3.5</v>
      </c>
      <c r="O41">
        <f>ABS(L41-TMTA!$C$34)</f>
        <v>0.61199308893238291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TMTA!M42</f>
        <v>-1.451066016</v>
      </c>
      <c r="M42">
        <f>TMTA!N42</f>
        <v>3.6</v>
      </c>
      <c r="O42">
        <f>ABS(L42-TMTA!$C$34)</f>
        <v>0.60146206493238286</v>
      </c>
      <c r="P42">
        <f t="shared" si="0"/>
        <v>3.6</v>
      </c>
    </row>
    <row r="43" spans="1:16">
      <c r="A43" s="22"/>
      <c r="J43" s="5"/>
      <c r="L43">
        <f>TMTA!M43</f>
        <v>-1.4468590720000001</v>
      </c>
      <c r="M43">
        <f>TMTA!N43</f>
        <v>3.7</v>
      </c>
      <c r="O43">
        <f>ABS(L43-TMTA!$C$34)</f>
        <v>0.59725512093238298</v>
      </c>
      <c r="P43">
        <f t="shared" si="0"/>
        <v>3.7</v>
      </c>
    </row>
    <row r="44" spans="1:16">
      <c r="J44" s="5"/>
      <c r="L44">
        <f>TMTA!M44</f>
        <v>-1.442652128</v>
      </c>
      <c r="M44">
        <f>TMTA!N44</f>
        <v>3.8</v>
      </c>
      <c r="O44">
        <f>ABS(L44-TMTA!$C$34)</f>
        <v>0.59304817693238288</v>
      </c>
      <c r="P44">
        <f t="shared" si="0"/>
        <v>3.8</v>
      </c>
    </row>
    <row r="45" spans="1:16">
      <c r="J45" s="5"/>
      <c r="L45">
        <f>TMTA!M45</f>
        <v>-1.43812176</v>
      </c>
      <c r="M45">
        <f>TMTA!N45</f>
        <v>3.9</v>
      </c>
      <c r="O45">
        <f>ABS(L45-TMTA!$C$34)</f>
        <v>0.58851780893238292</v>
      </c>
      <c r="P45">
        <f t="shared" si="0"/>
        <v>3.9</v>
      </c>
    </row>
    <row r="46" spans="1:16">
      <c r="J46" s="5"/>
      <c r="L46">
        <f>TMTA!M46</f>
        <v>-1.4334746</v>
      </c>
      <c r="M46">
        <f>TMTA!N46</f>
        <v>4</v>
      </c>
      <c r="O46">
        <f>ABS(L46-TMTA!$C$34)</f>
        <v>0.58387064893238294</v>
      </c>
      <c r="P46">
        <f t="shared" si="0"/>
        <v>4</v>
      </c>
    </row>
    <row r="47" spans="1:16">
      <c r="J47" s="5"/>
      <c r="L47">
        <f>TMTA!M47</f>
        <v>-1.426814896</v>
      </c>
      <c r="M47">
        <f>TMTA!N47</f>
        <v>4.0999999999999996</v>
      </c>
      <c r="O47">
        <f>ABS(L47-TMTA!$C$34)</f>
        <v>0.5772109449323829</v>
      </c>
      <c r="P47">
        <f t="shared" si="0"/>
        <v>4.0999999999999996</v>
      </c>
    </row>
    <row r="48" spans="1:16">
      <c r="J48" s="5"/>
      <c r="L48">
        <f>TMTA!M48</f>
        <v>-1.411210552</v>
      </c>
      <c r="M48">
        <f>TMTA!N48</f>
        <v>4.2</v>
      </c>
      <c r="O48">
        <f>ABS(L48-TMTA!$C$34)</f>
        <v>0.5616066009323829</v>
      </c>
      <c r="P48">
        <f t="shared" si="0"/>
        <v>4.2</v>
      </c>
    </row>
    <row r="49" spans="10:16">
      <c r="J49" s="5"/>
      <c r="L49">
        <f>TMTA!M49</f>
        <v>-1.395606208</v>
      </c>
      <c r="M49">
        <f>TMTA!N49</f>
        <v>4.3</v>
      </c>
      <c r="O49">
        <f>ABS(L49-TMTA!$C$34)</f>
        <v>0.54600225693238291</v>
      </c>
      <c r="P49">
        <f t="shared" si="0"/>
        <v>4.3</v>
      </c>
    </row>
    <row r="50" spans="10:16">
      <c r="J50" s="5"/>
      <c r="L50">
        <f>TMTA!M50</f>
        <v>-1.388543232</v>
      </c>
      <c r="M50">
        <f>TMTA!N50</f>
        <v>4.4000000000000004</v>
      </c>
      <c r="O50">
        <f>ABS(L50-TMTA!$C$34)</f>
        <v>0.53893928093238286</v>
      </c>
      <c r="P50">
        <f t="shared" si="0"/>
        <v>4.4000000000000004</v>
      </c>
    </row>
    <row r="51" spans="10:16">
      <c r="J51" s="5"/>
      <c r="L51">
        <f>TMTA!M51</f>
        <v>-1.38643976</v>
      </c>
      <c r="M51">
        <f>TMTA!N51</f>
        <v>4.5</v>
      </c>
      <c r="O51">
        <f>ABS(L51-TMTA!$C$34)</f>
        <v>0.53683580893238292</v>
      </c>
      <c r="P51">
        <f t="shared" si="0"/>
        <v>4.5</v>
      </c>
    </row>
    <row r="52" spans="10:16">
      <c r="J52" s="5"/>
      <c r="L52">
        <f>TMTA!M52</f>
        <v>-1.3836135359999999</v>
      </c>
      <c r="M52">
        <f>TMTA!N52</f>
        <v>4.5999999999999996</v>
      </c>
      <c r="O52">
        <f>ABS(L52-TMTA!$C$34)</f>
        <v>0.53400958493238282</v>
      </c>
      <c r="P52">
        <f t="shared" si="0"/>
        <v>4.5999999999999996</v>
      </c>
    </row>
    <row r="53" spans="10:16">
      <c r="J53" s="5"/>
      <c r="L53">
        <f>TMTA!M53</f>
        <v>-1.3726563519999999</v>
      </c>
      <c r="M53">
        <f>TMTA!N53</f>
        <v>4.7</v>
      </c>
      <c r="O53">
        <f>ABS(L53-TMTA!$C$34)</f>
        <v>0.52305240093238281</v>
      </c>
      <c r="P53">
        <f t="shared" si="0"/>
        <v>4.7</v>
      </c>
    </row>
    <row r="54" spans="10:16">
      <c r="J54" s="5"/>
      <c r="L54">
        <f>TMTA!M54</f>
        <v>-1.3616991679999999</v>
      </c>
      <c r="M54">
        <f>TMTA!N54</f>
        <v>4.8</v>
      </c>
      <c r="O54">
        <f>ABS(L54-TMTA!$C$34)</f>
        <v>0.5120952169323828</v>
      </c>
      <c r="P54">
        <f t="shared" si="0"/>
        <v>4.8</v>
      </c>
    </row>
    <row r="55" spans="10:16">
      <c r="J55" s="5"/>
      <c r="L55">
        <f>TMTA!M55</f>
        <v>-1.354323744</v>
      </c>
      <c r="M55">
        <f>TMTA!N55</f>
        <v>4.9000000000000004</v>
      </c>
      <c r="O55">
        <f>ABS(L55-TMTA!$C$34)</f>
        <v>0.50471979293238289</v>
      </c>
      <c r="P55">
        <f t="shared" si="0"/>
        <v>4.9000000000000004</v>
      </c>
    </row>
    <row r="56" spans="10:16">
      <c r="J56" s="5"/>
      <c r="L56">
        <f>TMTA!M56</f>
        <v>-1.3501167999999999</v>
      </c>
      <c r="M56">
        <f>TMTA!N56</f>
        <v>5</v>
      </c>
      <c r="O56">
        <f>ABS(L56-TMTA!$C$34)</f>
        <v>0.50051284893238279</v>
      </c>
      <c r="P56">
        <f t="shared" si="0"/>
        <v>5</v>
      </c>
    </row>
    <row r="57" spans="10:16">
      <c r="J57" s="5"/>
      <c r="L57">
        <f>TMTA!M57</f>
        <v>-1.345909856</v>
      </c>
      <c r="M57">
        <f>TMTA!N57</f>
        <v>5.0999999999999996</v>
      </c>
      <c r="O57">
        <f>ABS(L57-TMTA!$C$34)</f>
        <v>0.49630590493238291</v>
      </c>
      <c r="P57">
        <f t="shared" si="0"/>
        <v>5.0999999999999996</v>
      </c>
    </row>
    <row r="58" spans="10:16">
      <c r="J58" s="5"/>
      <c r="L58">
        <f>TMTA!M58</f>
        <v>-1.3433322240000001</v>
      </c>
      <c r="M58">
        <f>TMTA!N58</f>
        <v>5.2</v>
      </c>
      <c r="O58">
        <f>ABS(L58-TMTA!$C$34)</f>
        <v>0.49372827293238297</v>
      </c>
      <c r="P58">
        <f t="shared" si="0"/>
        <v>5.2</v>
      </c>
    </row>
    <row r="59" spans="10:16">
      <c r="J59" s="5"/>
      <c r="L59">
        <f>TMTA!M59</f>
        <v>-1.340788536</v>
      </c>
      <c r="M59">
        <f>TMTA!N59</f>
        <v>5.3</v>
      </c>
      <c r="O59">
        <f>ABS(L59-TMTA!$C$34)</f>
        <v>0.49118458493238293</v>
      </c>
      <c r="P59">
        <f t="shared" si="0"/>
        <v>5.3</v>
      </c>
    </row>
    <row r="60" spans="10:16">
      <c r="J60" s="5"/>
      <c r="L60">
        <f>TMTA!M60</f>
        <v>-1.3393349999999999</v>
      </c>
      <c r="M60">
        <f>TMTA!N60</f>
        <v>5.4</v>
      </c>
      <c r="O60">
        <f>ABS(L60-TMTA!$C$34)</f>
        <v>0.48973104893238284</v>
      </c>
      <c r="P60">
        <f t="shared" si="0"/>
        <v>5.4</v>
      </c>
    </row>
    <row r="61" spans="10:16">
      <c r="J61" s="5"/>
      <c r="L61">
        <f>TMTA!M61</f>
        <v>-1.3393349999999999</v>
      </c>
      <c r="M61">
        <f>TMTA!N61</f>
        <v>5.5</v>
      </c>
      <c r="O61">
        <f>ABS(L61-TMTA!$C$34)</f>
        <v>0.48973104893238284</v>
      </c>
      <c r="P61">
        <f t="shared" si="0"/>
        <v>5.5</v>
      </c>
    </row>
    <row r="62" spans="10:16">
      <c r="J62" s="5"/>
      <c r="L62">
        <f>TMTA!M62</f>
        <v>-1.3393349999999999</v>
      </c>
      <c r="M62">
        <f>TMTA!N62</f>
        <v>5.6</v>
      </c>
      <c r="O62">
        <f>ABS(L62-TMTA!$C$34)</f>
        <v>0.48973104893238284</v>
      </c>
      <c r="P62">
        <f t="shared" si="0"/>
        <v>5.6</v>
      </c>
    </row>
    <row r="63" spans="10:16">
      <c r="J63" s="5"/>
      <c r="L63">
        <f>TMTA!M63</f>
        <v>-1.3389490319999999</v>
      </c>
      <c r="M63">
        <f>TMTA!N63</f>
        <v>5.7</v>
      </c>
      <c r="O63">
        <f>ABS(L63-TMTA!$C$34)</f>
        <v>0.48934508093238283</v>
      </c>
      <c r="P63">
        <f t="shared" si="0"/>
        <v>5.7</v>
      </c>
    </row>
    <row r="64" spans="10:16">
      <c r="J64" s="5"/>
      <c r="L64">
        <f>TMTA!M64</f>
        <v>-1.3385092080000001</v>
      </c>
      <c r="M64">
        <f>TMTA!N64</f>
        <v>5.8</v>
      </c>
      <c r="O64">
        <f>ABS(L64-TMTA!$C$34)</f>
        <v>0.48890525693238296</v>
      </c>
      <c r="P64">
        <f t="shared" si="0"/>
        <v>5.8</v>
      </c>
    </row>
    <row r="65" spans="10:16">
      <c r="J65" s="5"/>
      <c r="L65">
        <f>TMTA!M65</f>
        <v>-1.336152456</v>
      </c>
      <c r="M65">
        <f>TMTA!N65</f>
        <v>5.9</v>
      </c>
      <c r="O65">
        <f>ABS(L65-TMTA!$C$34)</f>
        <v>0.48654850493238289</v>
      </c>
      <c r="P65">
        <f t="shared" si="0"/>
        <v>5.9</v>
      </c>
    </row>
    <row r="66" spans="10:16">
      <c r="J66" s="5"/>
      <c r="L66">
        <f>TMTA!M66</f>
        <v>-1.3298420399999999</v>
      </c>
      <c r="M66">
        <f>TMTA!N66</f>
        <v>6</v>
      </c>
      <c r="O66">
        <f>ABS(L66-TMTA!$C$34)</f>
        <v>0.48023808893238285</v>
      </c>
      <c r="P66">
        <f t="shared" si="0"/>
        <v>6</v>
      </c>
    </row>
    <row r="67" spans="10:16">
      <c r="J67" s="5"/>
      <c r="L67">
        <f>TMTA!M67</f>
        <v>-1.3235316239999999</v>
      </c>
      <c r="M67">
        <f>TMTA!N67</f>
        <v>6.1</v>
      </c>
      <c r="O67">
        <f>ABS(L67-TMTA!$C$34)</f>
        <v>0.4739276729323828</v>
      </c>
      <c r="P67">
        <f t="shared" si="0"/>
        <v>6.1</v>
      </c>
    </row>
    <row r="68" spans="10:16">
      <c r="J68" s="5"/>
      <c r="L68">
        <f>TMTA!M68</f>
        <v>-1.320824824</v>
      </c>
      <c r="M68">
        <f>TMTA!N68</f>
        <v>6.2</v>
      </c>
      <c r="O68">
        <f>ABS(L68-TMTA!$C$34)</f>
        <v>0.47122087293238291</v>
      </c>
      <c r="P68">
        <f t="shared" si="0"/>
        <v>6.2</v>
      </c>
    </row>
    <row r="69" spans="10:16">
      <c r="J69" s="5"/>
      <c r="L69">
        <f>TMTA!M69</f>
        <v>-1.3191611759999999</v>
      </c>
      <c r="M69">
        <f>TMTA!N69</f>
        <v>6.3</v>
      </c>
      <c r="O69">
        <f>ABS(L69-TMTA!$C$34)</f>
        <v>0.46955722493238283</v>
      </c>
      <c r="P69">
        <f t="shared" si="0"/>
        <v>6.3</v>
      </c>
    </row>
    <row r="70" spans="10:16">
      <c r="J70" s="5"/>
      <c r="L70">
        <f>TMTA!M70</f>
        <v>-1.3158834319999999</v>
      </c>
      <c r="M70">
        <f>TMTA!N70</f>
        <v>6.4</v>
      </c>
      <c r="O70">
        <f>ABS(L70-TMTA!$C$34)</f>
        <v>0.46627948093238281</v>
      </c>
      <c r="P70">
        <f t="shared" si="0"/>
        <v>6.4</v>
      </c>
    </row>
    <row r="71" spans="10:16">
      <c r="J71" s="5"/>
      <c r="L71">
        <f>TMTA!M71</f>
        <v>-1.3070297200000001</v>
      </c>
      <c r="M71">
        <f>TMTA!N71</f>
        <v>6.5</v>
      </c>
      <c r="O71">
        <f>ABS(L71-TMTA!$C$34)</f>
        <v>0.45742576893238296</v>
      </c>
      <c r="P71">
        <f t="shared" ref="P71:P134" si="2">M71</f>
        <v>6.5</v>
      </c>
    </row>
    <row r="72" spans="10:16">
      <c r="J72" s="5"/>
      <c r="L72">
        <f>TMTA!M72</f>
        <v>-1.298176008</v>
      </c>
      <c r="M72">
        <f>TMTA!N72</f>
        <v>6.6</v>
      </c>
      <c r="O72">
        <f>ABS(L72-TMTA!$C$34)</f>
        <v>0.44857205693238289</v>
      </c>
      <c r="P72">
        <f t="shared" si="2"/>
        <v>6.6</v>
      </c>
    </row>
    <row r="73" spans="10:16">
      <c r="J73" s="5"/>
      <c r="L73">
        <f>TMTA!M73</f>
        <v>-1.293868376</v>
      </c>
      <c r="M73">
        <f>TMTA!N73</f>
        <v>6.7</v>
      </c>
      <c r="O73">
        <f>ABS(L73-TMTA!$C$34)</f>
        <v>0.44426442493238294</v>
      </c>
      <c r="P73">
        <f t="shared" si="2"/>
        <v>6.7</v>
      </c>
    </row>
    <row r="74" spans="10:16">
      <c r="J74" s="5"/>
      <c r="L74">
        <f>TMTA!M74</f>
        <v>-1.2917649040000001</v>
      </c>
      <c r="M74">
        <f>TMTA!N74</f>
        <v>6.8</v>
      </c>
      <c r="O74">
        <f>ABS(L74-TMTA!$C$34)</f>
        <v>0.442160952932383</v>
      </c>
      <c r="P74">
        <f t="shared" si="2"/>
        <v>6.8</v>
      </c>
    </row>
    <row r="75" spans="10:16">
      <c r="J75" s="5"/>
      <c r="L75">
        <f>TMTA!M75</f>
        <v>-1.289919</v>
      </c>
      <c r="M75">
        <f>TMTA!N75</f>
        <v>6.9</v>
      </c>
      <c r="O75">
        <f>ABS(L75-TMTA!$C$34)</f>
        <v>0.44031504893238294</v>
      </c>
      <c r="P75">
        <f t="shared" si="2"/>
        <v>6.9</v>
      </c>
    </row>
    <row r="76" spans="10:16">
      <c r="J76" s="5"/>
      <c r="L76">
        <f>TMTA!M76</f>
        <v>-1.289919</v>
      </c>
      <c r="M76">
        <f>TMTA!N76</f>
        <v>7</v>
      </c>
      <c r="O76">
        <f>ABS(L76-TMTA!$C$34)</f>
        <v>0.44031504893238294</v>
      </c>
      <c r="P76">
        <f t="shared" si="2"/>
        <v>7</v>
      </c>
    </row>
    <row r="77" spans="10:16">
      <c r="J77" s="5"/>
      <c r="L77">
        <f>TMTA!M77</f>
        <v>-1.289919</v>
      </c>
      <c r="M77">
        <f>TMTA!N77</f>
        <v>7.1</v>
      </c>
      <c r="O77">
        <f>ABS(L77-TMTA!$C$34)</f>
        <v>0.44031504893238294</v>
      </c>
      <c r="P77">
        <f t="shared" si="2"/>
        <v>7.1</v>
      </c>
    </row>
    <row r="78" spans="10:16">
      <c r="J78" s="5"/>
      <c r="L78">
        <f>TMTA!M78</f>
        <v>-1.287012152</v>
      </c>
      <c r="M78">
        <f>TMTA!N78</f>
        <v>7.2</v>
      </c>
      <c r="O78">
        <f>ABS(L78-TMTA!$C$34)</f>
        <v>0.43740820093238286</v>
      </c>
      <c r="P78">
        <f t="shared" si="2"/>
        <v>7.2</v>
      </c>
    </row>
    <row r="79" spans="10:16">
      <c r="J79" s="5"/>
      <c r="L79">
        <f>TMTA!M79</f>
        <v>-1.2819251679999999</v>
      </c>
      <c r="M79">
        <f>TMTA!N79</f>
        <v>7.3</v>
      </c>
      <c r="O79">
        <f>ABS(L79-TMTA!$C$34)</f>
        <v>0.43232121693238279</v>
      </c>
      <c r="P79">
        <f t="shared" si="2"/>
        <v>7.3</v>
      </c>
    </row>
    <row r="80" spans="10:16">
      <c r="J80" s="5"/>
      <c r="L80">
        <f>TMTA!M80</f>
        <v>-1.2768132160000001</v>
      </c>
      <c r="M80">
        <f>TMTA!N80</f>
        <v>7.4</v>
      </c>
      <c r="O80">
        <f>ABS(L80-TMTA!$C$34)</f>
        <v>0.42720926493238298</v>
      </c>
      <c r="P80">
        <f t="shared" si="2"/>
        <v>7.4</v>
      </c>
    </row>
    <row r="81" spans="10:16">
      <c r="J81" s="5"/>
      <c r="L81">
        <f>TMTA!M81</f>
        <v>-1.2705028</v>
      </c>
      <c r="M81">
        <f>TMTA!N81</f>
        <v>7.5</v>
      </c>
      <c r="O81">
        <f>ABS(L81-TMTA!$C$34)</f>
        <v>0.42089884893238294</v>
      </c>
      <c r="P81">
        <f t="shared" si="2"/>
        <v>7.5</v>
      </c>
    </row>
    <row r="82" spans="10:16">
      <c r="J82" s="5"/>
      <c r="L82">
        <f>TMTA!M82</f>
        <v>-1.264192384</v>
      </c>
      <c r="M82">
        <f>TMTA!N82</f>
        <v>7.6</v>
      </c>
      <c r="O82">
        <f>ABS(L82-TMTA!$C$34)</f>
        <v>0.4145884329323829</v>
      </c>
      <c r="P82">
        <f t="shared" si="2"/>
        <v>7.6</v>
      </c>
    </row>
    <row r="83" spans="10:16">
      <c r="J83" s="5"/>
      <c r="L83">
        <f>TMTA!M83</f>
        <v>-1.260637368</v>
      </c>
      <c r="M83">
        <f>TMTA!N83</f>
        <v>7.7</v>
      </c>
      <c r="O83">
        <f>ABS(L83-TMTA!$C$34)</f>
        <v>0.41103341693238293</v>
      </c>
      <c r="P83">
        <f t="shared" si="2"/>
        <v>7.7</v>
      </c>
    </row>
    <row r="84" spans="10:16">
      <c r="J84" s="5"/>
      <c r="L84">
        <f>TMTA!M84</f>
        <v>-1.2601971519999999</v>
      </c>
      <c r="M84">
        <f>TMTA!N84</f>
        <v>7.8</v>
      </c>
      <c r="O84">
        <f>ABS(L84-TMTA!$C$34)</f>
        <v>0.41059320093238283</v>
      </c>
      <c r="P84">
        <f t="shared" si="2"/>
        <v>7.8</v>
      </c>
    </row>
    <row r="85" spans="10:16">
      <c r="J85" s="5"/>
      <c r="L85">
        <f>TMTA!M85</f>
        <v>-1.259756936</v>
      </c>
      <c r="M85">
        <f>TMTA!N85</f>
        <v>7.9</v>
      </c>
      <c r="O85">
        <f>ABS(L85-TMTA!$C$34)</f>
        <v>0.41015298493238295</v>
      </c>
      <c r="P85">
        <f t="shared" si="2"/>
        <v>7.9</v>
      </c>
    </row>
    <row r="86" spans="10:16">
      <c r="J86" s="5"/>
      <c r="L86">
        <f>TMTA!M86</f>
        <v>-1.25585748</v>
      </c>
      <c r="M86">
        <f>TMTA!N86</f>
        <v>8</v>
      </c>
      <c r="O86">
        <f>ABS(L86-TMTA!$C$34)</f>
        <v>0.40625352893238287</v>
      </c>
      <c r="P86">
        <f t="shared" si="2"/>
        <v>8</v>
      </c>
    </row>
    <row r="87" spans="10:16">
      <c r="J87" s="5"/>
      <c r="L87">
        <f>TMTA!M87</f>
        <v>-1.2516505360000001</v>
      </c>
      <c r="M87">
        <f>TMTA!N87</f>
        <v>8.1</v>
      </c>
      <c r="O87">
        <f>ABS(L87-TMTA!$C$34)</f>
        <v>0.40204658493238299</v>
      </c>
      <c r="P87">
        <f t="shared" si="2"/>
        <v>8.1</v>
      </c>
    </row>
    <row r="88" spans="10:16">
      <c r="J88" s="5"/>
      <c r="L88">
        <f>TMTA!M88</f>
        <v>-1.248378008</v>
      </c>
      <c r="M88">
        <f>TMTA!N88</f>
        <v>8.1999999999999993</v>
      </c>
      <c r="O88">
        <f>ABS(L88-TMTA!$C$34)</f>
        <v>0.39877405693238288</v>
      </c>
      <c r="P88">
        <f t="shared" si="2"/>
        <v>8.1999999999999993</v>
      </c>
    </row>
    <row r="89" spans="10:16">
      <c r="J89" s="5"/>
      <c r="L89">
        <f>TMTA!M89</f>
        <v>-1.2467147519999999</v>
      </c>
      <c r="M89">
        <f>TMTA!N89</f>
        <v>8.3000000000000007</v>
      </c>
      <c r="O89">
        <f>ABS(L89-TMTA!$C$34)</f>
        <v>0.39711080093238282</v>
      </c>
      <c r="P89">
        <f t="shared" si="2"/>
        <v>8.3000000000000007</v>
      </c>
    </row>
    <row r="90" spans="10:16">
      <c r="J90" s="5"/>
      <c r="L90">
        <f>TMTA!M90</f>
        <v>-1.2450514960000001</v>
      </c>
      <c r="M90">
        <f>TMTA!N90</f>
        <v>8.4</v>
      </c>
      <c r="O90">
        <f>ABS(L90-TMTA!$C$34)</f>
        <v>0.39544754493238299</v>
      </c>
      <c r="P90">
        <f t="shared" si="2"/>
        <v>8.4</v>
      </c>
    </row>
    <row r="91" spans="10:16">
      <c r="J91" s="5"/>
      <c r="L91">
        <f>TMTA!M91</f>
        <v>-1.2443866400000001</v>
      </c>
      <c r="M91">
        <f>TMTA!N91</f>
        <v>8.5</v>
      </c>
      <c r="O91">
        <f>ABS(L91-TMTA!$C$34)</f>
        <v>0.394782688932383</v>
      </c>
      <c r="P91">
        <f t="shared" si="2"/>
        <v>8.5</v>
      </c>
    </row>
    <row r="92" spans="10:16">
      <c r="J92" s="5"/>
      <c r="L92">
        <f>TMTA!M92</f>
        <v>-1.243946424</v>
      </c>
      <c r="M92">
        <f>TMTA!N92</f>
        <v>8.6</v>
      </c>
      <c r="O92">
        <f>ABS(L92-TMTA!$C$34)</f>
        <v>0.39434247293238289</v>
      </c>
      <c r="P92">
        <f t="shared" si="2"/>
        <v>8.6</v>
      </c>
    </row>
    <row r="93" spans="10:16">
      <c r="J93" s="5"/>
      <c r="L93">
        <f>TMTA!M93</f>
        <v>-1.2425068720000001</v>
      </c>
      <c r="M93">
        <f>TMTA!N93</f>
        <v>8.6999999999999993</v>
      </c>
      <c r="O93">
        <f>ABS(L93-TMTA!$C$34)</f>
        <v>0.39290292093238299</v>
      </c>
      <c r="P93">
        <f t="shared" si="2"/>
        <v>8.6999999999999993</v>
      </c>
    </row>
    <row r="94" spans="10:16">
      <c r="J94" s="5"/>
      <c r="L94">
        <f>TMTA!M94</f>
        <v>-1.238299928</v>
      </c>
      <c r="M94">
        <f>TMTA!N94</f>
        <v>8.8000000000000007</v>
      </c>
      <c r="O94">
        <f>ABS(L94-TMTA!$C$34)</f>
        <v>0.38869597693238289</v>
      </c>
      <c r="P94">
        <f t="shared" si="2"/>
        <v>8.8000000000000007</v>
      </c>
    </row>
    <row r="95" spans="10:16">
      <c r="J95" s="5"/>
      <c r="L95">
        <f>TMTA!M95</f>
        <v>-1.2340929839999999</v>
      </c>
      <c r="M95">
        <f>TMTA!N95</f>
        <v>8.9</v>
      </c>
      <c r="O95">
        <f>ABS(L95-TMTA!$C$34)</f>
        <v>0.38448903293238279</v>
      </c>
      <c r="P95">
        <f t="shared" si="2"/>
        <v>8.9</v>
      </c>
    </row>
    <row r="96" spans="10:16">
      <c r="J96" s="5"/>
      <c r="L96">
        <f>TMTA!M96</f>
        <v>-1.232891</v>
      </c>
      <c r="M96">
        <f>TMTA!N96</f>
        <v>9</v>
      </c>
      <c r="O96">
        <f>ABS(L96-TMTA!$C$34)</f>
        <v>0.38328704893238286</v>
      </c>
      <c r="P96">
        <f t="shared" si="2"/>
        <v>9</v>
      </c>
    </row>
    <row r="97" spans="10:16">
      <c r="J97" s="5"/>
      <c r="L97">
        <f>TMTA!M97</f>
        <v>-1.232891</v>
      </c>
      <c r="M97">
        <f>TMTA!N97</f>
        <v>9.1</v>
      </c>
      <c r="O97">
        <f>ABS(L97-TMTA!$C$34)</f>
        <v>0.38328704893238286</v>
      </c>
      <c r="P97">
        <f t="shared" si="2"/>
        <v>9.1</v>
      </c>
    </row>
    <row r="98" spans="10:16">
      <c r="J98" s="5"/>
      <c r="L98">
        <f>TMTA!M98</f>
        <v>-1.232132344</v>
      </c>
      <c r="M98">
        <f>TMTA!N98</f>
        <v>9.1999999999999993</v>
      </c>
      <c r="O98">
        <f>ABS(L98-TMTA!$C$34)</f>
        <v>0.38252839293238294</v>
      </c>
      <c r="P98">
        <f t="shared" si="2"/>
        <v>9.1999999999999993</v>
      </c>
    </row>
    <row r="99" spans="10:16">
      <c r="J99" s="5"/>
      <c r="L99">
        <f>TMTA!M99</f>
        <v>-1.2274855760000001</v>
      </c>
      <c r="M99">
        <f>TMTA!N99</f>
        <v>9.3000000000000007</v>
      </c>
      <c r="O99">
        <f>ABS(L99-TMTA!$C$34)</f>
        <v>0.37788162493238298</v>
      </c>
      <c r="P99">
        <f t="shared" si="2"/>
        <v>9.3000000000000007</v>
      </c>
    </row>
    <row r="100" spans="10:16">
      <c r="J100" s="5"/>
      <c r="L100">
        <f>TMTA!M100</f>
        <v>-1.2228388080000001</v>
      </c>
      <c r="M100">
        <f>TMTA!N100</f>
        <v>9.4</v>
      </c>
      <c r="O100">
        <f>ABS(L100-TMTA!$C$34)</f>
        <v>0.37323485693238301</v>
      </c>
      <c r="P100">
        <f t="shared" si="2"/>
        <v>9.4</v>
      </c>
    </row>
    <row r="101" spans="10:16">
      <c r="J101" s="5"/>
      <c r="L101">
        <f>TMTA!M101</f>
        <v>-1.2197491600000001</v>
      </c>
      <c r="M101">
        <f>TMTA!N101</f>
        <v>9.5</v>
      </c>
      <c r="O101">
        <f>ABS(L101-TMTA!$C$34)</f>
        <v>0.37014520893238301</v>
      </c>
      <c r="P101">
        <f t="shared" si="2"/>
        <v>9.5</v>
      </c>
    </row>
    <row r="102" spans="10:16">
      <c r="J102" s="5"/>
      <c r="L102">
        <f>TMTA!M102</f>
        <v>-1.2176456879999999</v>
      </c>
      <c r="M102">
        <f>TMTA!N102</f>
        <v>9.6</v>
      </c>
      <c r="O102">
        <f>ABS(L102-TMTA!$C$34)</f>
        <v>0.36804173693238285</v>
      </c>
      <c r="P102">
        <f t="shared" si="2"/>
        <v>9.6</v>
      </c>
    </row>
    <row r="103" spans="10:16">
      <c r="J103" s="5"/>
      <c r="L103">
        <f>TMTA!M103</f>
        <v>-1.2156440479999999</v>
      </c>
      <c r="M103">
        <f>TMTA!N103</f>
        <v>9.6999999999999993</v>
      </c>
      <c r="O103">
        <f>ABS(L103-TMTA!$C$34)</f>
        <v>0.36604009693238282</v>
      </c>
      <c r="P103">
        <f t="shared" si="2"/>
        <v>9.6999999999999993</v>
      </c>
    </row>
    <row r="104" spans="10:16">
      <c r="J104" s="5"/>
      <c r="L104">
        <f>TMTA!M104</f>
        <v>-1.215203832</v>
      </c>
      <c r="M104">
        <f>TMTA!N104</f>
        <v>9.8000000000000007</v>
      </c>
      <c r="O104">
        <f>ABS(L104-TMTA!$C$34)</f>
        <v>0.36559988093238294</v>
      </c>
      <c r="P104">
        <f t="shared" si="2"/>
        <v>9.8000000000000007</v>
      </c>
    </row>
    <row r="105" spans="10:16">
      <c r="J105" s="5"/>
      <c r="L105">
        <f>TMTA!M105</f>
        <v>-1.2147636159999999</v>
      </c>
      <c r="M105">
        <f>TMTA!N105</f>
        <v>9.9</v>
      </c>
      <c r="O105">
        <f>ABS(L105-TMTA!$C$34)</f>
        <v>0.36515966493238283</v>
      </c>
      <c r="P105">
        <f t="shared" si="2"/>
        <v>9.9</v>
      </c>
    </row>
    <row r="106" spans="10:16">
      <c r="J106" s="5"/>
      <c r="L106">
        <f>TMTA!M106</f>
        <v>-1.209182</v>
      </c>
      <c r="M106">
        <f>TMTA!N106</f>
        <v>10</v>
      </c>
      <c r="O106">
        <f>ABS(L106-TMTA!$C$34)</f>
        <v>0.35957804893238288</v>
      </c>
      <c r="P106">
        <f t="shared" si="2"/>
        <v>10</v>
      </c>
    </row>
    <row r="107" spans="10:16">
      <c r="J107" s="5"/>
      <c r="L107">
        <f>TMTA!M107</f>
        <v>-1.1986646400000001</v>
      </c>
      <c r="M107">
        <f>TMTA!N107</f>
        <v>10.1</v>
      </c>
      <c r="O107">
        <f>ABS(L107-TMTA!$C$34)</f>
        <v>0.34906068893238296</v>
      </c>
      <c r="P107">
        <f t="shared" si="2"/>
        <v>10.1</v>
      </c>
    </row>
    <row r="108" spans="10:16">
      <c r="J108" s="5"/>
      <c r="L108">
        <f>TMTA!M108</f>
        <v>-1.1881472799999999</v>
      </c>
      <c r="M108">
        <f>TMTA!N108</f>
        <v>10.199999999999999</v>
      </c>
      <c r="O108">
        <f>ABS(L108-TMTA!$C$34)</f>
        <v>0.33854332893238281</v>
      </c>
      <c r="P108">
        <f t="shared" si="2"/>
        <v>10.199999999999999</v>
      </c>
    </row>
    <row r="109" spans="10:16">
      <c r="J109" s="5"/>
      <c r="L109">
        <f>TMTA!M109</f>
        <v>-1.183260896</v>
      </c>
      <c r="M109">
        <f>TMTA!N109</f>
        <v>10.3</v>
      </c>
      <c r="O109">
        <f>ABS(L109-TMTA!$C$34)</f>
        <v>0.33365694493238285</v>
      </c>
      <c r="P109">
        <f t="shared" si="2"/>
        <v>10.3</v>
      </c>
    </row>
    <row r="110" spans="10:16">
      <c r="J110" s="5"/>
      <c r="L110">
        <f>TMTA!M110</f>
        <v>-1.178614128</v>
      </c>
      <c r="M110">
        <f>TMTA!N110</f>
        <v>10.4</v>
      </c>
      <c r="O110">
        <f>ABS(L110-TMTA!$C$34)</f>
        <v>0.32901017693238288</v>
      </c>
      <c r="P110">
        <f t="shared" si="2"/>
        <v>10.4</v>
      </c>
    </row>
    <row r="111" spans="10:16">
      <c r="J111" s="5"/>
      <c r="L111">
        <f>TMTA!M111</f>
        <v>-1.1750054400000001</v>
      </c>
      <c r="M111">
        <f>TMTA!N111</f>
        <v>10.5</v>
      </c>
      <c r="O111">
        <f>ABS(L111-TMTA!$C$34)</f>
        <v>0.32540148893238297</v>
      </c>
      <c r="P111">
        <f t="shared" si="2"/>
        <v>10.5</v>
      </c>
    </row>
    <row r="112" spans="10:16">
      <c r="J112" s="5"/>
      <c r="L112">
        <f>TMTA!M112</f>
        <v>-1.1729019679999999</v>
      </c>
      <c r="M112">
        <f>TMTA!N112</f>
        <v>10.6</v>
      </c>
      <c r="O112">
        <f>ABS(L112-TMTA!$C$34)</f>
        <v>0.3232980169323828</v>
      </c>
      <c r="P112">
        <f t="shared" si="2"/>
        <v>10.6</v>
      </c>
    </row>
    <row r="113" spans="10:16">
      <c r="J113" s="5"/>
      <c r="L113">
        <f>TMTA!M113</f>
        <v>-1.170798496</v>
      </c>
      <c r="M113">
        <f>TMTA!N113</f>
        <v>10.7</v>
      </c>
      <c r="O113">
        <f>ABS(L113-TMTA!$C$34)</f>
        <v>0.32119454493238286</v>
      </c>
      <c r="P113">
        <f t="shared" si="2"/>
        <v>10.7</v>
      </c>
    </row>
    <row r="114" spans="10:16">
      <c r="J114" s="5"/>
      <c r="L114">
        <f>TMTA!M114</f>
        <v>-1.1690720160000001</v>
      </c>
      <c r="M114">
        <f>TMTA!N114</f>
        <v>10.8</v>
      </c>
      <c r="O114">
        <f>ABS(L114-TMTA!$C$34)</f>
        <v>0.319468064932383</v>
      </c>
      <c r="P114">
        <f t="shared" si="2"/>
        <v>10.8</v>
      </c>
    </row>
    <row r="115" spans="10:16">
      <c r="J115" s="5"/>
      <c r="L115">
        <f>TMTA!M115</f>
        <v>-1.167408368</v>
      </c>
      <c r="M115">
        <f>TMTA!N115</f>
        <v>10.9</v>
      </c>
      <c r="O115">
        <f>ABS(L115-TMTA!$C$34)</f>
        <v>0.31780441693238293</v>
      </c>
      <c r="P115">
        <f t="shared" si="2"/>
        <v>10.9</v>
      </c>
    </row>
    <row r="116" spans="10:16">
      <c r="J116" s="5"/>
      <c r="L116">
        <f>TMTA!M116</f>
        <v>-1.1661193599999999</v>
      </c>
      <c r="M116">
        <f>TMTA!N116</f>
        <v>11</v>
      </c>
      <c r="O116">
        <f>ABS(L116-TMTA!$C$34)</f>
        <v>0.31651540893238284</v>
      </c>
      <c r="P116">
        <f t="shared" si="2"/>
        <v>11</v>
      </c>
    </row>
    <row r="117" spans="10:16">
      <c r="J117" s="5"/>
      <c r="L117">
        <f>TMTA!M117</f>
        <v>-1.1656795360000001</v>
      </c>
      <c r="M117">
        <f>TMTA!N117</f>
        <v>11.1</v>
      </c>
      <c r="O117">
        <f>ABS(L117-TMTA!$C$34)</f>
        <v>0.31607558493238297</v>
      </c>
      <c r="P117">
        <f t="shared" si="2"/>
        <v>11.1</v>
      </c>
    </row>
    <row r="118" spans="10:16">
      <c r="J118" s="5"/>
      <c r="L118">
        <f>TMTA!M118</f>
        <v>-1.165239712</v>
      </c>
      <c r="M118">
        <f>TMTA!N118</f>
        <v>11.2</v>
      </c>
      <c r="O118">
        <f>ABS(L118-TMTA!$C$34)</f>
        <v>0.31563576093238288</v>
      </c>
      <c r="P118">
        <f t="shared" si="2"/>
        <v>11.2</v>
      </c>
    </row>
    <row r="119" spans="10:16">
      <c r="J119" s="5"/>
      <c r="L119">
        <f>TMTA!M119</f>
        <v>-1.1635436640000001</v>
      </c>
      <c r="M119">
        <f>TMTA!N119</f>
        <v>11.3</v>
      </c>
      <c r="O119">
        <f>ABS(L119-TMTA!$C$34)</f>
        <v>0.31393971293238299</v>
      </c>
      <c r="P119">
        <f t="shared" si="2"/>
        <v>11.3</v>
      </c>
    </row>
    <row r="120" spans="10:16">
      <c r="J120" s="5"/>
      <c r="L120">
        <f>TMTA!M120</f>
        <v>-1.1614401919999999</v>
      </c>
      <c r="M120">
        <f>TMTA!N120</f>
        <v>11.4</v>
      </c>
      <c r="O120">
        <f>ABS(L120-TMTA!$C$34)</f>
        <v>0.31183624093238282</v>
      </c>
      <c r="P120">
        <f t="shared" si="2"/>
        <v>11.4</v>
      </c>
    </row>
    <row r="121" spans="10:16">
      <c r="J121" s="5"/>
      <c r="L121">
        <f>TMTA!M121</f>
        <v>-1.15710048</v>
      </c>
      <c r="M121">
        <f>TMTA!N121</f>
        <v>11.5</v>
      </c>
      <c r="O121">
        <f>ABS(L121-TMTA!$C$34)</f>
        <v>0.30749652893238288</v>
      </c>
      <c r="P121">
        <f t="shared" si="2"/>
        <v>11.5</v>
      </c>
    </row>
    <row r="122" spans="10:16">
      <c r="J122" s="5"/>
      <c r="L122">
        <f>TMTA!M122</f>
        <v>-1.144039432</v>
      </c>
      <c r="M122">
        <f>TMTA!N122</f>
        <v>11.6</v>
      </c>
      <c r="O122">
        <f>ABS(L122-TMTA!$C$34)</f>
        <v>0.29443548093238292</v>
      </c>
      <c r="P122">
        <f t="shared" si="2"/>
        <v>11.6</v>
      </c>
    </row>
    <row r="123" spans="10:16">
      <c r="J123" s="5"/>
      <c r="L123">
        <f>TMTA!M123</f>
        <v>-1.1309783840000001</v>
      </c>
      <c r="M123">
        <f>TMTA!N123</f>
        <v>11.7</v>
      </c>
      <c r="O123">
        <f>ABS(L123-TMTA!$C$34)</f>
        <v>0.28137443293238296</v>
      </c>
      <c r="P123">
        <f t="shared" si="2"/>
        <v>11.7</v>
      </c>
    </row>
    <row r="124" spans="10:16">
      <c r="J124" s="5"/>
      <c r="L124">
        <f>TMTA!M124</f>
        <v>-1.123699864</v>
      </c>
      <c r="M124">
        <f>TMTA!N124</f>
        <v>11.8</v>
      </c>
      <c r="O124">
        <f>ABS(L124-TMTA!$C$34)</f>
        <v>0.27409591293238289</v>
      </c>
      <c r="P124">
        <f t="shared" si="2"/>
        <v>11.8</v>
      </c>
    </row>
    <row r="125" spans="10:16">
      <c r="J125" s="5"/>
      <c r="L125">
        <f>TMTA!M125</f>
        <v>-1.1194933119999999</v>
      </c>
      <c r="M125">
        <f>TMTA!N125</f>
        <v>11.9</v>
      </c>
      <c r="O125">
        <f>ABS(L125-TMTA!$C$34)</f>
        <v>0.2698893609323828</v>
      </c>
      <c r="P125">
        <f t="shared" si="2"/>
        <v>11.9</v>
      </c>
    </row>
    <row r="126" spans="10:16">
      <c r="J126" s="5"/>
      <c r="L126">
        <f>TMTA!M126</f>
        <v>-1.11498228</v>
      </c>
      <c r="M126">
        <f>TMTA!N126</f>
        <v>12</v>
      </c>
      <c r="O126">
        <f>ABS(L126-TMTA!$C$34)</f>
        <v>0.26537832893238289</v>
      </c>
      <c r="P126">
        <f t="shared" si="2"/>
        <v>12</v>
      </c>
    </row>
    <row r="127" spans="10:16">
      <c r="J127" s="5"/>
      <c r="L127">
        <f>TMTA!M127</f>
        <v>-1.107791824</v>
      </c>
      <c r="M127">
        <f>TMTA!N127</f>
        <v>12.1</v>
      </c>
      <c r="O127">
        <f>ABS(L127-TMTA!$C$34)</f>
        <v>0.25818787293238288</v>
      </c>
      <c r="P127">
        <f t="shared" si="2"/>
        <v>12.1</v>
      </c>
    </row>
    <row r="128" spans="10:16">
      <c r="J128" s="5"/>
      <c r="L128">
        <f>TMTA!M128</f>
        <v>-1.100601368</v>
      </c>
      <c r="M128">
        <f>TMTA!N128</f>
        <v>12.2</v>
      </c>
      <c r="O128">
        <f>ABS(L128-TMTA!$C$34)</f>
        <v>0.25099741693238287</v>
      </c>
      <c r="P128">
        <f t="shared" si="2"/>
        <v>12.2</v>
      </c>
    </row>
    <row r="129" spans="10:16">
      <c r="J129" s="5"/>
      <c r="L129">
        <f>TMTA!M129</f>
        <v>-1.0962139440000001</v>
      </c>
      <c r="M129">
        <f>TMTA!N129</f>
        <v>12.3</v>
      </c>
      <c r="O129">
        <f>ABS(L129-TMTA!$C$34)</f>
        <v>0.24660999293238295</v>
      </c>
      <c r="P129">
        <f t="shared" si="2"/>
        <v>12.3</v>
      </c>
    </row>
    <row r="130" spans="10:16">
      <c r="J130" s="5"/>
      <c r="L130">
        <f>TMTA!M130</f>
        <v>-1.0941104719999999</v>
      </c>
      <c r="M130">
        <f>TMTA!N130</f>
        <v>12.4</v>
      </c>
      <c r="O130">
        <f>ABS(L130-TMTA!$C$34)</f>
        <v>0.24450652093238279</v>
      </c>
      <c r="P130">
        <f t="shared" si="2"/>
        <v>12.4</v>
      </c>
    </row>
    <row r="131" spans="10:16">
      <c r="J131" s="5"/>
      <c r="L131">
        <f>TMTA!M131</f>
        <v>-1.0920069999999999</v>
      </c>
      <c r="M131">
        <f>TMTA!N131</f>
        <v>12.5</v>
      </c>
      <c r="O131">
        <f>ABS(L131-TMTA!$C$34)</f>
        <v>0.24240304893238285</v>
      </c>
      <c r="P131">
        <f t="shared" si="2"/>
        <v>12.5</v>
      </c>
    </row>
    <row r="132" spans="10:16">
      <c r="J132" s="5"/>
      <c r="L132">
        <f>TMTA!M132</f>
        <v>-1.085256368</v>
      </c>
      <c r="M132">
        <f>TMTA!N132</f>
        <v>12.6</v>
      </c>
      <c r="O132">
        <f>ABS(L132-TMTA!$C$34)</f>
        <v>0.23565241693238292</v>
      </c>
      <c r="P132">
        <f t="shared" si="2"/>
        <v>12.6</v>
      </c>
    </row>
    <row r="133" spans="10:16">
      <c r="J133" s="5"/>
      <c r="L133">
        <f>TMTA!M133</f>
        <v>-1.0785057360000001</v>
      </c>
      <c r="M133">
        <f>TMTA!N133</f>
        <v>12.7</v>
      </c>
      <c r="O133">
        <f>ABS(L133-TMTA!$C$34)</f>
        <v>0.228901784932383</v>
      </c>
      <c r="P133">
        <f t="shared" si="2"/>
        <v>12.7</v>
      </c>
    </row>
    <row r="134" spans="10:16">
      <c r="J134" s="5"/>
      <c r="L134">
        <f>TMTA!M134</f>
        <v>-1.0728971679999999</v>
      </c>
      <c r="M134">
        <f>TMTA!N134</f>
        <v>12.8</v>
      </c>
      <c r="O134">
        <f>ABS(L134-TMTA!$C$34)</f>
        <v>0.2232932169323828</v>
      </c>
      <c r="P134">
        <f t="shared" si="2"/>
        <v>12.8</v>
      </c>
    </row>
    <row r="135" spans="10:16">
      <c r="J135" s="5"/>
      <c r="L135">
        <f>TMTA!M135</f>
        <v>-1.068690224</v>
      </c>
      <c r="M135">
        <f>TMTA!N135</f>
        <v>12.9</v>
      </c>
      <c r="O135">
        <f>ABS(L135-TMTA!$C$34)</f>
        <v>0.21908627293238292</v>
      </c>
      <c r="P135">
        <f t="shared" ref="P135:P198" si="3">M135</f>
        <v>12.9</v>
      </c>
    </row>
    <row r="136" spans="10:16">
      <c r="J136" s="5"/>
      <c r="L136">
        <f>TMTA!M136</f>
        <v>-1.0644832799999999</v>
      </c>
      <c r="M136">
        <f>TMTA!N136</f>
        <v>13</v>
      </c>
      <c r="O136">
        <f>ABS(L136-TMTA!$C$34)</f>
        <v>0.21487932893238282</v>
      </c>
      <c r="P136">
        <f t="shared" si="3"/>
        <v>13</v>
      </c>
    </row>
    <row r="137" spans="10:16">
      <c r="J137" s="5"/>
      <c r="L137">
        <f>TMTA!M137</f>
        <v>-1.060276336</v>
      </c>
      <c r="M137">
        <f>TMTA!N137</f>
        <v>13.1</v>
      </c>
      <c r="O137">
        <f>ABS(L137-TMTA!$C$34)</f>
        <v>0.21067238493238294</v>
      </c>
      <c r="P137">
        <f t="shared" si="3"/>
        <v>13.1</v>
      </c>
    </row>
    <row r="138" spans="10:16">
      <c r="J138" s="5"/>
      <c r="L138">
        <f>TMTA!M138</f>
        <v>-1.0560693919999999</v>
      </c>
      <c r="M138">
        <f>TMTA!N138</f>
        <v>13.2</v>
      </c>
      <c r="O138">
        <f>ABS(L138-TMTA!$C$34)</f>
        <v>0.20646544093238284</v>
      </c>
      <c r="P138">
        <f t="shared" si="3"/>
        <v>13.2</v>
      </c>
    </row>
    <row r="139" spans="10:16">
      <c r="J139" s="5"/>
      <c r="L139">
        <f>TMTA!M139</f>
        <v>-1.0533220000000001</v>
      </c>
      <c r="M139">
        <f>TMTA!N139</f>
        <v>13.3</v>
      </c>
      <c r="O139">
        <f>ABS(L139-TMTA!$C$34)</f>
        <v>0.20371804893238299</v>
      </c>
      <c r="P139">
        <f t="shared" si="3"/>
        <v>13.3</v>
      </c>
    </row>
    <row r="140" spans="10:16">
      <c r="J140" s="5"/>
      <c r="L140">
        <f>TMTA!M140</f>
        <v>-1.0533220000000001</v>
      </c>
      <c r="M140">
        <f>TMTA!N140</f>
        <v>13.4</v>
      </c>
      <c r="O140">
        <f>ABS(L140-TMTA!$C$34)</f>
        <v>0.20371804893238299</v>
      </c>
      <c r="P140">
        <f t="shared" si="3"/>
        <v>13.4</v>
      </c>
    </row>
    <row r="141" spans="10:16">
      <c r="J141" s="5"/>
      <c r="L141">
        <f>TMTA!M141</f>
        <v>-1.0533220000000001</v>
      </c>
      <c r="M141">
        <f>TMTA!N141</f>
        <v>13.5</v>
      </c>
      <c r="O141">
        <f>ABS(L141-TMTA!$C$34)</f>
        <v>0.20371804893238299</v>
      </c>
      <c r="P141">
        <f t="shared" si="3"/>
        <v>13.5</v>
      </c>
    </row>
    <row r="142" spans="10:16">
      <c r="J142" s="5"/>
      <c r="L142">
        <f>TMTA!M142</f>
        <v>-1.0459247920000001</v>
      </c>
      <c r="M142">
        <f>TMTA!N142</f>
        <v>13.6</v>
      </c>
      <c r="O142">
        <f>ABS(L142-TMTA!$C$34)</f>
        <v>0.196320840932383</v>
      </c>
      <c r="P142">
        <f t="shared" si="3"/>
        <v>13.6</v>
      </c>
    </row>
    <row r="143" spans="10:16">
      <c r="J143" s="5"/>
      <c r="L143">
        <f>TMTA!M143</f>
        <v>-1.0366308639999999</v>
      </c>
      <c r="M143">
        <f>TMTA!N143</f>
        <v>13.7</v>
      </c>
      <c r="O143">
        <f>ABS(L143-TMTA!$C$34)</f>
        <v>0.18702691293238283</v>
      </c>
      <c r="P143">
        <f t="shared" si="3"/>
        <v>13.7</v>
      </c>
    </row>
    <row r="144" spans="10:16">
      <c r="J144" s="5"/>
      <c r="L144">
        <f>TMTA!M144</f>
        <v>-1.028475016</v>
      </c>
      <c r="M144">
        <f>TMTA!N144</f>
        <v>13.8</v>
      </c>
      <c r="O144">
        <f>ABS(L144-TMTA!$C$34)</f>
        <v>0.17887106493238292</v>
      </c>
      <c r="P144">
        <f t="shared" si="3"/>
        <v>13.8</v>
      </c>
    </row>
    <row r="145" spans="10:16">
      <c r="J145" s="5"/>
      <c r="L145">
        <f>TMTA!M145</f>
        <v>-1.0238282480000001</v>
      </c>
      <c r="M145">
        <f>TMTA!N145</f>
        <v>13.9</v>
      </c>
      <c r="O145">
        <f>ABS(L145-TMTA!$C$34)</f>
        <v>0.17422429693238295</v>
      </c>
      <c r="P145">
        <f t="shared" si="3"/>
        <v>13.9</v>
      </c>
    </row>
    <row r="146" spans="10:16">
      <c r="J146" s="5"/>
      <c r="L146">
        <f>TMTA!M146</f>
        <v>-1.0191814800000001</v>
      </c>
      <c r="M146">
        <f>TMTA!N146</f>
        <v>14</v>
      </c>
      <c r="O146">
        <f>ABS(L146-TMTA!$C$34)</f>
        <v>0.16957752893238298</v>
      </c>
      <c r="P146">
        <f t="shared" si="3"/>
        <v>14</v>
      </c>
    </row>
    <row r="147" spans="10:16">
      <c r="J147" s="5"/>
      <c r="L147">
        <f>TMTA!M147</f>
        <v>-1.016604632</v>
      </c>
      <c r="M147">
        <f>TMTA!N147</f>
        <v>14.1</v>
      </c>
      <c r="O147">
        <f>ABS(L147-TMTA!$C$34)</f>
        <v>0.16700068093238285</v>
      </c>
      <c r="P147">
        <f t="shared" si="3"/>
        <v>14.1</v>
      </c>
    </row>
    <row r="148" spans="10:16">
      <c r="J148" s="5"/>
      <c r="L148">
        <f>TMTA!M148</f>
        <v>-1.0149409840000001</v>
      </c>
      <c r="M148">
        <f>TMTA!N148</f>
        <v>14.2</v>
      </c>
      <c r="O148">
        <f>ABS(L148-TMTA!$C$34)</f>
        <v>0.165337032932383</v>
      </c>
      <c r="P148">
        <f t="shared" si="3"/>
        <v>14.2</v>
      </c>
    </row>
    <row r="149" spans="10:16">
      <c r="J149" s="5"/>
      <c r="L149">
        <f>TMTA!M149</f>
        <v>-1.013214504</v>
      </c>
      <c r="M149">
        <f>TMTA!N149</f>
        <v>14.3</v>
      </c>
      <c r="O149">
        <f>ABS(L149-TMTA!$C$34)</f>
        <v>0.16361055293238291</v>
      </c>
      <c r="P149">
        <f t="shared" si="3"/>
        <v>14.3</v>
      </c>
    </row>
    <row r="150" spans="10:16">
      <c r="J150" s="5"/>
      <c r="L150">
        <f>TMTA!M150</f>
        <v>-1.0111110320000001</v>
      </c>
      <c r="M150">
        <f>TMTA!N150</f>
        <v>14.4</v>
      </c>
      <c r="O150">
        <f>ABS(L150-TMTA!$C$34)</f>
        <v>0.16150708093238297</v>
      </c>
      <c r="P150">
        <f t="shared" si="3"/>
        <v>14.4</v>
      </c>
    </row>
    <row r="151" spans="10:16">
      <c r="J151" s="5"/>
      <c r="L151">
        <f>TMTA!M151</f>
        <v>-1.0090075599999999</v>
      </c>
      <c r="M151">
        <f>TMTA!N151</f>
        <v>14.5</v>
      </c>
      <c r="O151">
        <f>ABS(L151-TMTA!$C$34)</f>
        <v>0.15940360893238281</v>
      </c>
      <c r="P151">
        <f t="shared" si="3"/>
        <v>14.5</v>
      </c>
    </row>
    <row r="152" spans="10:16">
      <c r="J152" s="5"/>
      <c r="L152">
        <f>TMTA!M152</f>
        <v>-1.007888696</v>
      </c>
      <c r="M152">
        <f>TMTA!N152</f>
        <v>14.6</v>
      </c>
      <c r="O152">
        <f>ABS(L152-TMTA!$C$34)</f>
        <v>0.15828474493238287</v>
      </c>
      <c r="P152">
        <f t="shared" si="3"/>
        <v>14.6</v>
      </c>
    </row>
    <row r="153" spans="10:16">
      <c r="J153" s="5"/>
      <c r="L153">
        <f>TMTA!M153</f>
        <v>-1.0074488720000001</v>
      </c>
      <c r="M153">
        <f>TMTA!N153</f>
        <v>14.7</v>
      </c>
      <c r="O153">
        <f>ABS(L153-TMTA!$C$34)</f>
        <v>0.157844920932383</v>
      </c>
      <c r="P153">
        <f t="shared" si="3"/>
        <v>14.7</v>
      </c>
    </row>
    <row r="154" spans="10:16">
      <c r="J154" s="5"/>
      <c r="L154">
        <f>TMTA!M154</f>
        <v>-1.006941144</v>
      </c>
      <c r="M154">
        <f>TMTA!N154</f>
        <v>14.8</v>
      </c>
      <c r="O154">
        <f>ABS(L154-TMTA!$C$34)</f>
        <v>0.15733719293238291</v>
      </c>
      <c r="P154">
        <f t="shared" si="3"/>
        <v>14.8</v>
      </c>
    </row>
    <row r="155" spans="10:16">
      <c r="J155" s="5"/>
      <c r="L155">
        <f>TMTA!M155</f>
        <v>-1.0048376720000001</v>
      </c>
      <c r="M155">
        <f>TMTA!N155</f>
        <v>14.9</v>
      </c>
      <c r="O155">
        <f>ABS(L155-TMTA!$C$34)</f>
        <v>0.15523372093238297</v>
      </c>
      <c r="P155">
        <f t="shared" si="3"/>
        <v>14.9</v>
      </c>
    </row>
    <row r="156" spans="10:16">
      <c r="J156" s="5"/>
      <c r="L156">
        <f>TMTA!M156</f>
        <v>-1.0027341999999999</v>
      </c>
      <c r="M156">
        <f>TMTA!N156</f>
        <v>15</v>
      </c>
      <c r="O156">
        <f>ABS(L156-TMTA!$C$34)</f>
        <v>0.15313024893238281</v>
      </c>
      <c r="P156">
        <f t="shared" si="3"/>
        <v>15</v>
      </c>
    </row>
    <row r="157" spans="10:16">
      <c r="J157" s="5"/>
      <c r="L157">
        <f>TMTA!M157</f>
        <v>-1.0016609999999999</v>
      </c>
      <c r="M157">
        <f>TMTA!N157</f>
        <v>15.1</v>
      </c>
      <c r="O157">
        <f>ABS(L157-TMTA!$C$34)</f>
        <v>0.15205704893238281</v>
      </c>
      <c r="P157">
        <f t="shared" si="3"/>
        <v>15.1</v>
      </c>
    </row>
    <row r="158" spans="10:16">
      <c r="J158" s="5"/>
      <c r="L158">
        <f>TMTA!M158</f>
        <v>-1.0016609999999999</v>
      </c>
      <c r="M158">
        <f>TMTA!N158</f>
        <v>15.2</v>
      </c>
      <c r="O158">
        <f>ABS(L158-TMTA!$C$34)</f>
        <v>0.15205704893238281</v>
      </c>
      <c r="P158">
        <f t="shared" si="3"/>
        <v>15.2</v>
      </c>
    </row>
    <row r="159" spans="10:16">
      <c r="J159" s="5"/>
      <c r="L159">
        <f>TMTA!M159</f>
        <v>-1.0016609999999999</v>
      </c>
      <c r="M159">
        <f>TMTA!N159</f>
        <v>15.3</v>
      </c>
      <c r="O159">
        <f>ABS(L159-TMTA!$C$34)</f>
        <v>0.15205704893238281</v>
      </c>
      <c r="P159">
        <f t="shared" si="3"/>
        <v>15.3</v>
      </c>
    </row>
    <row r="160" spans="10:16">
      <c r="J160" s="5"/>
      <c r="L160">
        <f>TMTA!M160</f>
        <v>-0.99178756000000001</v>
      </c>
      <c r="M160">
        <f>TMTA!N160</f>
        <v>15.4</v>
      </c>
      <c r="O160">
        <f>ABS(L160-TMTA!$C$34)</f>
        <v>0.14218360893238291</v>
      </c>
      <c r="P160">
        <f t="shared" si="3"/>
        <v>15.4</v>
      </c>
    </row>
    <row r="161" spans="10:16">
      <c r="J161" s="5"/>
      <c r="L161">
        <f>TMTA!M161</f>
        <v>-0.98127019999999998</v>
      </c>
      <c r="M161">
        <f>TMTA!N161</f>
        <v>15.5</v>
      </c>
      <c r="O161">
        <f>ABS(L161-TMTA!$C$34)</f>
        <v>0.13166624893238288</v>
      </c>
      <c r="P161">
        <f t="shared" si="3"/>
        <v>15.5</v>
      </c>
    </row>
    <row r="162" spans="10:16">
      <c r="J162" s="5"/>
      <c r="L162">
        <f>TMTA!M162</f>
        <v>-0.96860964000000005</v>
      </c>
      <c r="M162">
        <f>TMTA!N162</f>
        <v>15.6</v>
      </c>
      <c r="O162">
        <f>ABS(L162-TMTA!$C$34)</f>
        <v>0.11900568893238295</v>
      </c>
      <c r="P162">
        <f t="shared" si="3"/>
        <v>15.6</v>
      </c>
    </row>
    <row r="163" spans="10:16">
      <c r="J163" s="5"/>
      <c r="L163">
        <f>TMTA!M163</f>
        <v>-0.95256507999999995</v>
      </c>
      <c r="M163">
        <f>TMTA!N163</f>
        <v>15.7</v>
      </c>
      <c r="O163">
        <f>ABS(L163-TMTA!$C$34)</f>
        <v>0.10296112893238285</v>
      </c>
      <c r="P163">
        <f t="shared" si="3"/>
        <v>15.7</v>
      </c>
    </row>
    <row r="164" spans="10:16">
      <c r="J164" s="5"/>
      <c r="L164">
        <f>TMTA!M164</f>
        <v>-0.93652051999999997</v>
      </c>
      <c r="M164">
        <f>TMTA!N164</f>
        <v>15.8</v>
      </c>
      <c r="O164">
        <f>ABS(L164-TMTA!$C$34)</f>
        <v>8.6916568932382865E-2</v>
      </c>
      <c r="P164">
        <f t="shared" si="3"/>
        <v>15.8</v>
      </c>
    </row>
    <row r="165" spans="10:16">
      <c r="J165" s="5"/>
      <c r="L165">
        <f>TMTA!M165</f>
        <v>-0.93250929599999999</v>
      </c>
      <c r="M165">
        <f>TMTA!N165</f>
        <v>15.9</v>
      </c>
      <c r="O165">
        <f>ABS(L165-TMTA!$C$34)</f>
        <v>8.2905344932382885E-2</v>
      </c>
      <c r="P165">
        <f t="shared" si="3"/>
        <v>15.9</v>
      </c>
    </row>
    <row r="166" spans="10:16">
      <c r="J166" s="5"/>
      <c r="L166">
        <f>TMTA!M166</f>
        <v>-0.93084604000000004</v>
      </c>
      <c r="M166">
        <f>TMTA!N166</f>
        <v>16</v>
      </c>
      <c r="O166">
        <f>ABS(L166-TMTA!$C$34)</f>
        <v>8.1242088932382939E-2</v>
      </c>
      <c r="P166">
        <f t="shared" si="3"/>
        <v>16</v>
      </c>
    </row>
    <row r="167" spans="10:16">
      <c r="J167" s="5"/>
      <c r="L167">
        <f>TMTA!M167</f>
        <v>-0.92953222400000002</v>
      </c>
      <c r="M167">
        <f>TMTA!N167</f>
        <v>16.100000000000001</v>
      </c>
      <c r="O167">
        <f>ABS(L167-TMTA!$C$34)</f>
        <v>7.9928272932382916E-2</v>
      </c>
      <c r="P167">
        <f t="shared" si="3"/>
        <v>16.100000000000001</v>
      </c>
    </row>
    <row r="168" spans="10:16">
      <c r="J168" s="5"/>
      <c r="L168">
        <f>TMTA!M168</f>
        <v>-0.92909200800000002</v>
      </c>
      <c r="M168">
        <f>TMTA!N168</f>
        <v>16.2</v>
      </c>
      <c r="O168">
        <f>ABS(L168-TMTA!$C$34)</f>
        <v>7.9488056932382922E-2</v>
      </c>
      <c r="P168">
        <f t="shared" si="3"/>
        <v>16.2</v>
      </c>
    </row>
    <row r="169" spans="10:16">
      <c r="J169" s="5"/>
      <c r="L169">
        <f>TMTA!M169</f>
        <v>-0.92865179200000003</v>
      </c>
      <c r="M169">
        <f>TMTA!N169</f>
        <v>16.3</v>
      </c>
      <c r="O169">
        <f>ABS(L169-TMTA!$C$34)</f>
        <v>7.9047840932382929E-2</v>
      </c>
      <c r="P169">
        <f t="shared" si="3"/>
        <v>16.3</v>
      </c>
    </row>
    <row r="170" spans="10:16">
      <c r="J170" s="5"/>
      <c r="L170">
        <f>TMTA!M170</f>
        <v>-0.92731301600000005</v>
      </c>
      <c r="M170">
        <f>TMTA!N170</f>
        <v>16.399999999999999</v>
      </c>
      <c r="O170">
        <f>ABS(L170-TMTA!$C$34)</f>
        <v>7.7709064932382943E-2</v>
      </c>
      <c r="P170">
        <f t="shared" si="3"/>
        <v>16.399999999999999</v>
      </c>
    </row>
    <row r="171" spans="10:16">
      <c r="J171" s="5"/>
      <c r="L171">
        <f>TMTA!M171</f>
        <v>-0.92564975999999999</v>
      </c>
      <c r="M171">
        <f>TMTA!N171</f>
        <v>16.5</v>
      </c>
      <c r="O171">
        <f>ABS(L171-TMTA!$C$34)</f>
        <v>7.6045808932382886E-2</v>
      </c>
      <c r="P171">
        <f t="shared" si="3"/>
        <v>16.5</v>
      </c>
    </row>
    <row r="172" spans="10:16">
      <c r="J172" s="5"/>
      <c r="L172">
        <f>TMTA!M172</f>
        <v>-0.92343843999999997</v>
      </c>
      <c r="M172">
        <f>TMTA!N172</f>
        <v>16.600000000000001</v>
      </c>
      <c r="O172">
        <f>ABS(L172-TMTA!$C$34)</f>
        <v>7.3834488932382869E-2</v>
      </c>
      <c r="P172">
        <f t="shared" si="3"/>
        <v>16.600000000000001</v>
      </c>
    </row>
    <row r="173" spans="10:16">
      <c r="J173" s="5"/>
      <c r="L173">
        <f>TMTA!M173</f>
        <v>-0.91879127999999999</v>
      </c>
      <c r="M173">
        <f>TMTA!N173</f>
        <v>16.7</v>
      </c>
      <c r="O173">
        <f>ABS(L173-TMTA!$C$34)</f>
        <v>6.9187328932382886E-2</v>
      </c>
      <c r="P173">
        <f t="shared" si="3"/>
        <v>16.7</v>
      </c>
    </row>
    <row r="174" spans="10:16">
      <c r="J174" s="5"/>
      <c r="L174">
        <f>TMTA!M174</f>
        <v>-0.91414412</v>
      </c>
      <c r="M174">
        <f>TMTA!N174</f>
        <v>16.8</v>
      </c>
      <c r="O174">
        <f>ABS(L174-TMTA!$C$34)</f>
        <v>6.4540168932382902E-2</v>
      </c>
      <c r="P174">
        <f t="shared" si="3"/>
        <v>16.8</v>
      </c>
    </row>
    <row r="175" spans="10:16">
      <c r="J175" s="5"/>
      <c r="L175">
        <f>TMTA!M175</f>
        <v>-0.91243700000000005</v>
      </c>
      <c r="M175">
        <f>TMTA!N175</f>
        <v>16.899999999999999</v>
      </c>
      <c r="O175">
        <f>ABS(L175-TMTA!$C$34)</f>
        <v>6.2833048932382951E-2</v>
      </c>
      <c r="P175">
        <f t="shared" si="3"/>
        <v>16.899999999999999</v>
      </c>
    </row>
    <row r="176" spans="10:16">
      <c r="J176" s="5"/>
      <c r="L176">
        <f>TMTA!M176</f>
        <v>-0.91243700000000005</v>
      </c>
      <c r="M176">
        <f>TMTA!N176</f>
        <v>17</v>
      </c>
      <c r="O176">
        <f>ABS(L176-TMTA!$C$34)</f>
        <v>6.2833048932382951E-2</v>
      </c>
      <c r="P176">
        <f t="shared" si="3"/>
        <v>17</v>
      </c>
    </row>
    <row r="177" spans="10:16">
      <c r="J177" s="5"/>
      <c r="L177">
        <f>TMTA!M177</f>
        <v>-0.91226528799999995</v>
      </c>
      <c r="M177">
        <f>TMTA!N177</f>
        <v>17.100000000000001</v>
      </c>
      <c r="O177">
        <f>ABS(L177-TMTA!$C$34)</f>
        <v>6.266133693238285E-2</v>
      </c>
      <c r="P177">
        <f t="shared" si="3"/>
        <v>17.100000000000001</v>
      </c>
    </row>
    <row r="178" spans="10:16">
      <c r="J178" s="5"/>
      <c r="L178">
        <f>TMTA!M178</f>
        <v>-0.91016181600000001</v>
      </c>
      <c r="M178">
        <f>TMTA!N178</f>
        <v>17.2</v>
      </c>
      <c r="O178">
        <f>ABS(L178-TMTA!$C$34)</f>
        <v>6.055786493238291E-2</v>
      </c>
      <c r="P178">
        <f t="shared" si="3"/>
        <v>17.2</v>
      </c>
    </row>
    <row r="179" spans="10:16">
      <c r="J179" s="5"/>
      <c r="L179">
        <f>TMTA!M179</f>
        <v>-0.90805834399999996</v>
      </c>
      <c r="M179">
        <f>TMTA!N179</f>
        <v>17.3</v>
      </c>
      <c r="O179">
        <f>ABS(L179-TMTA!$C$34)</f>
        <v>5.8454392932382859E-2</v>
      </c>
      <c r="P179">
        <f t="shared" si="3"/>
        <v>17.3</v>
      </c>
    </row>
    <row r="180" spans="10:16">
      <c r="J180" s="5"/>
      <c r="L180">
        <f>TMTA!M180</f>
        <v>-0.90683762400000001</v>
      </c>
      <c r="M180">
        <f>TMTA!N180</f>
        <v>17.399999999999999</v>
      </c>
      <c r="O180">
        <f>ABS(L180-TMTA!$C$34)</f>
        <v>5.7233672932382906E-2</v>
      </c>
      <c r="P180">
        <f t="shared" si="3"/>
        <v>17.399999999999999</v>
      </c>
    </row>
    <row r="181" spans="10:16">
      <c r="J181" s="5"/>
      <c r="L181">
        <f>TMTA!M181</f>
        <v>-0.90639780000000003</v>
      </c>
      <c r="M181">
        <f>TMTA!N181</f>
        <v>17.5</v>
      </c>
      <c r="O181">
        <f>ABS(L181-TMTA!$C$34)</f>
        <v>5.6793848932382929E-2</v>
      </c>
      <c r="P181">
        <f t="shared" si="3"/>
        <v>17.5</v>
      </c>
    </row>
    <row r="182" spans="10:16">
      <c r="J182" s="5"/>
      <c r="L182">
        <f>TMTA!M182</f>
        <v>-0.90595797600000005</v>
      </c>
      <c r="M182">
        <f>TMTA!N182</f>
        <v>17.600000000000001</v>
      </c>
      <c r="O182">
        <f>ABS(L182-TMTA!$C$34)</f>
        <v>5.6354024932382951E-2</v>
      </c>
      <c r="P182">
        <f t="shared" si="3"/>
        <v>17.600000000000001</v>
      </c>
    </row>
    <row r="183" spans="10:16">
      <c r="J183" s="5"/>
      <c r="L183">
        <f>TMTA!M183</f>
        <v>-0.90388845600000001</v>
      </c>
      <c r="M183">
        <f>TMTA!N183</f>
        <v>17.7</v>
      </c>
      <c r="O183">
        <f>ABS(L183-TMTA!$C$34)</f>
        <v>5.4284504932382904E-2</v>
      </c>
      <c r="P183">
        <f t="shared" si="3"/>
        <v>17.7</v>
      </c>
    </row>
    <row r="184" spans="10:16">
      <c r="J184" s="5"/>
      <c r="L184">
        <f>TMTA!M184</f>
        <v>-0.90178498399999996</v>
      </c>
      <c r="M184">
        <f>TMTA!N184</f>
        <v>17.8</v>
      </c>
      <c r="O184">
        <f>ABS(L184-TMTA!$C$34)</f>
        <v>5.2181032932382854E-2</v>
      </c>
      <c r="P184">
        <f t="shared" si="3"/>
        <v>17.8</v>
      </c>
    </row>
    <row r="185" spans="10:16">
      <c r="J185" s="5"/>
      <c r="L185">
        <f>TMTA!M185</f>
        <v>-0.89987000800000005</v>
      </c>
      <c r="M185">
        <f>TMTA!N185</f>
        <v>17.899999999999999</v>
      </c>
      <c r="O185">
        <f>ABS(L185-TMTA!$C$34)</f>
        <v>5.0266056932382952E-2</v>
      </c>
      <c r="P185">
        <f t="shared" si="3"/>
        <v>17.899999999999999</v>
      </c>
    </row>
    <row r="186" spans="10:16">
      <c r="J186" s="5"/>
      <c r="L186">
        <f>TMTA!M186</f>
        <v>-0.89820635999999998</v>
      </c>
      <c r="M186">
        <f>TMTA!N186</f>
        <v>18</v>
      </c>
      <c r="O186">
        <f>ABS(L186-TMTA!$C$34)</f>
        <v>4.8602408932382879E-2</v>
      </c>
      <c r="P186">
        <f t="shared" si="3"/>
        <v>18</v>
      </c>
    </row>
    <row r="187" spans="10:16">
      <c r="J187" s="5"/>
      <c r="L187">
        <f>TMTA!M187</f>
        <v>-0.89654271200000002</v>
      </c>
      <c r="M187">
        <f>TMTA!N187</f>
        <v>18.100000000000001</v>
      </c>
      <c r="O187">
        <f>ABS(L187-TMTA!$C$34)</f>
        <v>4.6938760932382917E-2</v>
      </c>
      <c r="P187">
        <f t="shared" si="3"/>
        <v>18.100000000000001</v>
      </c>
    </row>
    <row r="188" spans="10:16">
      <c r="J188" s="5"/>
      <c r="L188">
        <f>TMTA!M188</f>
        <v>-0.89226122399999996</v>
      </c>
      <c r="M188">
        <f>TMTA!N188</f>
        <v>18.2</v>
      </c>
      <c r="O188">
        <f>ABS(L188-TMTA!$C$34)</f>
        <v>4.2657272932382861E-2</v>
      </c>
      <c r="P188">
        <f t="shared" si="3"/>
        <v>18.2</v>
      </c>
    </row>
    <row r="189" spans="10:16">
      <c r="J189" s="5"/>
      <c r="L189">
        <f>TMTA!M189</f>
        <v>-0.887614456</v>
      </c>
      <c r="M189">
        <f>TMTA!N189</f>
        <v>18.3</v>
      </c>
      <c r="O189">
        <f>ABS(L189-TMTA!$C$34)</f>
        <v>3.8010504932382894E-2</v>
      </c>
      <c r="P189">
        <f t="shared" si="3"/>
        <v>18.3</v>
      </c>
    </row>
    <row r="190" spans="10:16">
      <c r="J190" s="5"/>
      <c r="L190">
        <f>TMTA!M190</f>
        <v>-0.88311130400000004</v>
      </c>
      <c r="M190">
        <f>TMTA!N190</f>
        <v>18.399999999999999</v>
      </c>
      <c r="O190">
        <f>ABS(L190-TMTA!$C$34)</f>
        <v>3.3507352932382939E-2</v>
      </c>
      <c r="P190">
        <f t="shared" si="3"/>
        <v>18.399999999999999</v>
      </c>
    </row>
    <row r="191" spans="10:16">
      <c r="J191" s="5"/>
      <c r="L191">
        <f>TMTA!M191</f>
        <v>-0.87890436000000005</v>
      </c>
      <c r="M191">
        <f>TMTA!N191</f>
        <v>18.5</v>
      </c>
      <c r="O191">
        <f>ABS(L191-TMTA!$C$34)</f>
        <v>2.9300408932382949E-2</v>
      </c>
      <c r="P191">
        <f t="shared" si="3"/>
        <v>18.5</v>
      </c>
    </row>
    <row r="192" spans="10:16">
      <c r="J192" s="5"/>
      <c r="L192">
        <f>TMTA!M192</f>
        <v>-0.87469741599999995</v>
      </c>
      <c r="M192">
        <f>TMTA!N192</f>
        <v>18.600000000000001</v>
      </c>
      <c r="O192">
        <f>ABS(L192-TMTA!$C$34)</f>
        <v>2.5093464932382847E-2</v>
      </c>
      <c r="P192">
        <f t="shared" si="3"/>
        <v>18.600000000000001</v>
      </c>
    </row>
    <row r="193" spans="10:16">
      <c r="J193" s="5"/>
      <c r="L193">
        <f>TMTA!M193</f>
        <v>-0.87178034400000004</v>
      </c>
      <c r="M193">
        <f>TMTA!N193</f>
        <v>18.7</v>
      </c>
      <c r="O193">
        <f>ABS(L193-TMTA!$C$34)</f>
        <v>2.2176392932382938E-2</v>
      </c>
      <c r="P193">
        <f t="shared" si="3"/>
        <v>18.7</v>
      </c>
    </row>
    <row r="194" spans="10:16">
      <c r="J194" s="5"/>
      <c r="L194">
        <f>TMTA!M194</f>
        <v>-0.869236656</v>
      </c>
      <c r="M194">
        <f>TMTA!N194</f>
        <v>18.8</v>
      </c>
      <c r="O194">
        <f>ABS(L194-TMTA!$C$34)</f>
        <v>1.9632704932382894E-2</v>
      </c>
      <c r="P194">
        <f t="shared" si="3"/>
        <v>18.8</v>
      </c>
    </row>
    <row r="195" spans="10:16">
      <c r="J195" s="5"/>
      <c r="L195">
        <f>TMTA!M195</f>
        <v>-0.86726400000000003</v>
      </c>
      <c r="M195">
        <f>TMTA!N195</f>
        <v>18.899999999999999</v>
      </c>
      <c r="O195">
        <f>ABS(L195-TMTA!$C$34)</f>
        <v>1.7660048932382932E-2</v>
      </c>
      <c r="P195">
        <f t="shared" si="3"/>
        <v>18.899999999999999</v>
      </c>
    </row>
    <row r="196" spans="10:16">
      <c r="J196" s="5"/>
      <c r="L196">
        <f>TMTA!M196</f>
        <v>-0.86726400000000003</v>
      </c>
      <c r="M196">
        <f>TMTA!N196</f>
        <v>19</v>
      </c>
      <c r="O196">
        <f>ABS(L196-TMTA!$C$34)</f>
        <v>1.7660048932382932E-2</v>
      </c>
      <c r="P196">
        <f t="shared" si="3"/>
        <v>19</v>
      </c>
    </row>
    <row r="197" spans="10:16">
      <c r="J197" s="5"/>
      <c r="L197">
        <f>TMTA!M197</f>
        <v>-0.86726400000000003</v>
      </c>
      <c r="M197">
        <f>TMTA!N197</f>
        <v>19.100000000000001</v>
      </c>
      <c r="O197">
        <f>ABS(L197-TMTA!$C$34)</f>
        <v>1.7660048932382932E-2</v>
      </c>
      <c r="P197">
        <f t="shared" si="3"/>
        <v>19.100000000000001</v>
      </c>
    </row>
    <row r="198" spans="10:16">
      <c r="J198" s="5"/>
      <c r="L198">
        <f>TMTA!M198</f>
        <v>-0.86696779199999996</v>
      </c>
      <c r="M198">
        <f>TMTA!N198</f>
        <v>19.2</v>
      </c>
      <c r="O198">
        <f>ABS(L198-TMTA!$C$34)</f>
        <v>1.7363840932382857E-2</v>
      </c>
      <c r="P198">
        <f t="shared" si="3"/>
        <v>19.2</v>
      </c>
    </row>
    <row r="199" spans="10:16">
      <c r="J199" s="5"/>
      <c r="L199">
        <f>TMTA!M199</f>
        <v>-0.86652796799999998</v>
      </c>
      <c r="M199">
        <f>TMTA!N199</f>
        <v>19.3</v>
      </c>
      <c r="O199">
        <f>ABS(L199-TMTA!$C$34)</f>
        <v>1.6924016932382879E-2</v>
      </c>
      <c r="P199">
        <f t="shared" ref="P199:P262" si="4">M199</f>
        <v>19.3</v>
      </c>
    </row>
    <row r="200" spans="10:16">
      <c r="J200" s="5"/>
      <c r="L200">
        <f>TMTA!M200</f>
        <v>-0.86593828799999994</v>
      </c>
      <c r="M200">
        <f>TMTA!N200</f>
        <v>19.399999999999999</v>
      </c>
      <c r="O200">
        <f>ABS(L200-TMTA!$C$34)</f>
        <v>1.6334336932382842E-2</v>
      </c>
      <c r="P200">
        <f t="shared" si="4"/>
        <v>19.399999999999999</v>
      </c>
    </row>
    <row r="201" spans="10:16">
      <c r="J201" s="5"/>
      <c r="L201">
        <f>TMTA!M201</f>
        <v>-0.86427463999999998</v>
      </c>
      <c r="M201">
        <f>TMTA!N201</f>
        <v>19.5</v>
      </c>
      <c r="O201">
        <f>ABS(L201-TMTA!$C$34)</f>
        <v>1.467068893238288E-2</v>
      </c>
      <c r="P201">
        <f t="shared" si="4"/>
        <v>19.5</v>
      </c>
    </row>
    <row r="202" spans="10:16">
      <c r="J202" s="5"/>
      <c r="L202">
        <f>TMTA!M202</f>
        <v>-0.86261099200000002</v>
      </c>
      <c r="M202">
        <f>TMTA!N202</f>
        <v>19.600000000000001</v>
      </c>
      <c r="O202">
        <f>ABS(L202-TMTA!$C$34)</f>
        <v>1.3007040932382918E-2</v>
      </c>
      <c r="P202">
        <f t="shared" si="4"/>
        <v>19.600000000000001</v>
      </c>
    </row>
    <row r="203" spans="10:16">
      <c r="J203" s="5"/>
      <c r="L203">
        <f>TMTA!M203</f>
        <v>-0.86044468799999996</v>
      </c>
      <c r="M203">
        <f>TMTA!N203</f>
        <v>19.7</v>
      </c>
      <c r="O203">
        <f>ABS(L203-TMTA!$C$34)</f>
        <v>1.0840736932382855E-2</v>
      </c>
      <c r="P203">
        <f t="shared" si="4"/>
        <v>19.7</v>
      </c>
    </row>
    <row r="204" spans="10:16">
      <c r="J204" s="5"/>
      <c r="L204">
        <f>TMTA!M204</f>
        <v>-0.85790139200000004</v>
      </c>
      <c r="M204">
        <f>TMTA!N204</f>
        <v>19.8</v>
      </c>
      <c r="O204">
        <f>ABS(L204-TMTA!$C$34)</f>
        <v>8.2974409323829379E-3</v>
      </c>
      <c r="P204">
        <f t="shared" si="4"/>
        <v>19.8</v>
      </c>
    </row>
    <row r="205" spans="10:16">
      <c r="J205" s="5"/>
      <c r="L205">
        <f>TMTA!M205</f>
        <v>-0.855376048</v>
      </c>
      <c r="M205">
        <f>TMTA!N205</f>
        <v>19.899999999999999</v>
      </c>
      <c r="O205">
        <f>ABS(L205-TMTA!$C$34)</f>
        <v>5.7720969323828974E-3</v>
      </c>
      <c r="P205">
        <f t="shared" si="4"/>
        <v>19.899999999999999</v>
      </c>
    </row>
    <row r="206" spans="10:16">
      <c r="J206" s="5"/>
      <c r="L206">
        <f>TMTA!M206</f>
        <v>-0.85371240000000004</v>
      </c>
      <c r="M206">
        <f>TMTA!N206</f>
        <v>20</v>
      </c>
      <c r="O206">
        <f>ABS(L206-TMTA!$C$34)</f>
        <v>4.1084489323829354E-3</v>
      </c>
      <c r="P206">
        <f t="shared" si="4"/>
        <v>20</v>
      </c>
    </row>
    <row r="207" spans="10:16">
      <c r="J207" s="5"/>
      <c r="L207">
        <f>TMTA!M207</f>
        <v>-0.85204875199999996</v>
      </c>
      <c r="M207">
        <f>TMTA!N207</f>
        <v>20.100000000000001</v>
      </c>
      <c r="O207">
        <f>ABS(L207-TMTA!$C$34)</f>
        <v>2.4448009323828623E-3</v>
      </c>
      <c r="P207">
        <f t="shared" si="4"/>
        <v>20.100000000000001</v>
      </c>
    </row>
    <row r="208" spans="10:16">
      <c r="J208" s="5"/>
      <c r="L208">
        <f>TMTA!M208</f>
        <v>-0.85095955199999995</v>
      </c>
      <c r="M208">
        <f>TMTA!N208</f>
        <v>20.2</v>
      </c>
      <c r="O208">
        <f>ABS(L208-TMTA!$C$34)</f>
        <v>1.35560093238285E-3</v>
      </c>
      <c r="P208">
        <f t="shared" si="4"/>
        <v>20.2</v>
      </c>
    </row>
    <row r="209" spans="10:16">
      <c r="J209" s="5"/>
      <c r="L209">
        <f>TMTA!M209</f>
        <v>-0.85051972799999997</v>
      </c>
      <c r="M209">
        <f>TMTA!N209</f>
        <v>20.3</v>
      </c>
      <c r="O209">
        <f>ABS(L209-TMTA!$C$34)</f>
        <v>9.1577693238287239E-4</v>
      </c>
      <c r="P209">
        <f t="shared" si="4"/>
        <v>20.3</v>
      </c>
    </row>
    <row r="210" spans="10:16">
      <c r="J210" s="5"/>
      <c r="L210">
        <f>TMTA!M210</f>
        <v>-0.850079904</v>
      </c>
      <c r="M210">
        <f>TMTA!N210</f>
        <v>20.399999999999999</v>
      </c>
      <c r="O210">
        <f>ABS(L210-TMTA!$C$34)</f>
        <v>4.7595293238289482E-4</v>
      </c>
      <c r="P210">
        <f t="shared" si="4"/>
        <v>20.399999999999999</v>
      </c>
    </row>
    <row r="211" spans="10:16">
      <c r="J211" s="5"/>
      <c r="L211">
        <f>TMTA!M211</f>
        <v>-0.84618048000000001</v>
      </c>
      <c r="M211">
        <f>TMTA!N211</f>
        <v>20.5</v>
      </c>
      <c r="O211">
        <f>ABS(L211-TMTA!$C$34)</f>
        <v>3.4234710676170899E-3</v>
      </c>
      <c r="P211">
        <f t="shared" si="4"/>
        <v>20.5</v>
      </c>
    </row>
    <row r="212" spans="10:16">
      <c r="J212" s="5"/>
      <c r="L212">
        <f>TMTA!M212</f>
        <v>-0.84197353600000002</v>
      </c>
      <c r="M212">
        <f>TMTA!N212</f>
        <v>20.6</v>
      </c>
      <c r="O212">
        <f>ABS(L212-TMTA!$C$34)</f>
        <v>7.6304150676170801E-3</v>
      </c>
      <c r="P212">
        <f t="shared" si="4"/>
        <v>20.6</v>
      </c>
    </row>
    <row r="213" spans="10:16">
      <c r="J213" s="5"/>
      <c r="L213">
        <f>TMTA!M213</f>
        <v>-0.83837758399999995</v>
      </c>
      <c r="M213">
        <f>TMTA!N213</f>
        <v>20.7</v>
      </c>
      <c r="O213">
        <f>ABS(L213-TMTA!$C$34)</f>
        <v>1.1226367067617149E-2</v>
      </c>
      <c r="P213">
        <f t="shared" si="4"/>
        <v>20.7</v>
      </c>
    </row>
    <row r="214" spans="10:16">
      <c r="J214" s="5"/>
      <c r="L214">
        <f>TMTA!M214</f>
        <v>-0.83583389600000002</v>
      </c>
      <c r="M214">
        <f>TMTA!N214</f>
        <v>20.8</v>
      </c>
      <c r="O214">
        <f>ABS(L214-TMTA!$C$34)</f>
        <v>1.3770055067617082E-2</v>
      </c>
      <c r="P214">
        <f t="shared" si="4"/>
        <v>20.8</v>
      </c>
    </row>
    <row r="215" spans="10:16">
      <c r="J215" s="5"/>
      <c r="L215">
        <f>TMTA!M215</f>
        <v>-0.83329020799999998</v>
      </c>
      <c r="M215">
        <f>TMTA!N215</f>
        <v>20.9</v>
      </c>
      <c r="O215">
        <f>ABS(L215-TMTA!$C$34)</f>
        <v>1.6313743067617126E-2</v>
      </c>
      <c r="P215">
        <f t="shared" si="4"/>
        <v>20.9</v>
      </c>
    </row>
    <row r="216" spans="10:16">
      <c r="J216" s="5"/>
      <c r="L216">
        <f>TMTA!M216</f>
        <v>-0.83146523999999999</v>
      </c>
      <c r="M216">
        <f>TMTA!N216</f>
        <v>21</v>
      </c>
      <c r="O216">
        <f>ABS(L216-TMTA!$C$34)</f>
        <v>1.8138711067617108E-2</v>
      </c>
      <c r="P216">
        <f t="shared" si="4"/>
        <v>21</v>
      </c>
    </row>
    <row r="217" spans="10:16">
      <c r="J217" s="5"/>
      <c r="L217">
        <f>TMTA!M217</f>
        <v>-0.82980198400000005</v>
      </c>
      <c r="M217">
        <f>TMTA!N217</f>
        <v>21.1</v>
      </c>
      <c r="O217">
        <f>ABS(L217-TMTA!$C$34)</f>
        <v>1.9801967067617054E-2</v>
      </c>
      <c r="P217">
        <f t="shared" si="4"/>
        <v>21.1</v>
      </c>
    </row>
    <row r="218" spans="10:16">
      <c r="J218" s="5"/>
      <c r="L218">
        <f>TMTA!M218</f>
        <v>-0.82846320799999995</v>
      </c>
      <c r="M218">
        <f>TMTA!N218</f>
        <v>21.2</v>
      </c>
      <c r="O218">
        <f>ABS(L218-TMTA!$C$34)</f>
        <v>2.1140743067617151E-2</v>
      </c>
      <c r="P218">
        <f t="shared" si="4"/>
        <v>21.2</v>
      </c>
    </row>
    <row r="219" spans="10:16">
      <c r="J219" s="5"/>
      <c r="L219">
        <f>TMTA!M219</f>
        <v>-0.82802299199999996</v>
      </c>
      <c r="M219">
        <f>TMTA!N219</f>
        <v>21.3</v>
      </c>
      <c r="O219">
        <f>ABS(L219-TMTA!$C$34)</f>
        <v>2.1580959067617145E-2</v>
      </c>
      <c r="P219">
        <f t="shared" si="4"/>
        <v>21.3</v>
      </c>
    </row>
    <row r="220" spans="10:16">
      <c r="J220" s="5"/>
      <c r="L220">
        <f>TMTA!M220</f>
        <v>-0.82758277599999996</v>
      </c>
      <c r="M220">
        <f>TMTA!N220</f>
        <v>21.4</v>
      </c>
      <c r="O220">
        <f>ABS(L220-TMTA!$C$34)</f>
        <v>2.2021175067617138E-2</v>
      </c>
      <c r="P220">
        <f t="shared" si="4"/>
        <v>21.4</v>
      </c>
    </row>
    <row r="221" spans="10:16">
      <c r="J221" s="5"/>
      <c r="L221">
        <f>TMTA!M221</f>
        <v>-0.82445204000000005</v>
      </c>
      <c r="M221">
        <f>TMTA!N221</f>
        <v>21.5</v>
      </c>
      <c r="O221">
        <f>ABS(L221-TMTA!$C$34)</f>
        <v>2.515191106761705E-2</v>
      </c>
      <c r="P221">
        <f t="shared" si="4"/>
        <v>21.5</v>
      </c>
    </row>
    <row r="222" spans="10:16">
      <c r="J222" s="5"/>
      <c r="L222">
        <f>TMTA!M222</f>
        <v>-0.82024509599999995</v>
      </c>
      <c r="M222">
        <f>TMTA!N222</f>
        <v>21.6</v>
      </c>
      <c r="O222">
        <f>ABS(L222-TMTA!$C$34)</f>
        <v>2.9358855067617151E-2</v>
      </c>
      <c r="P222">
        <f t="shared" si="4"/>
        <v>21.6</v>
      </c>
    </row>
    <row r="223" spans="10:16">
      <c r="J223" s="5"/>
      <c r="L223">
        <f>TMTA!M223</f>
        <v>-0.81500788000000002</v>
      </c>
      <c r="M223">
        <f>TMTA!N223</f>
        <v>21.7</v>
      </c>
      <c r="O223">
        <f>ABS(L223-TMTA!$C$34)</f>
        <v>3.4596071067617085E-2</v>
      </c>
      <c r="P223">
        <f t="shared" si="4"/>
        <v>21.7</v>
      </c>
    </row>
    <row r="224" spans="10:16">
      <c r="J224" s="5"/>
      <c r="L224">
        <f>TMTA!M224</f>
        <v>-0.80449051999999999</v>
      </c>
      <c r="M224">
        <f>TMTA!N224</f>
        <v>21.8</v>
      </c>
      <c r="O224">
        <f>ABS(L224-TMTA!$C$34)</f>
        <v>4.5113431067617116E-2</v>
      </c>
      <c r="P224">
        <f t="shared" si="4"/>
        <v>21.8</v>
      </c>
    </row>
    <row r="225" spans="10:16">
      <c r="J225" s="5"/>
      <c r="L225">
        <f>TMTA!M225</f>
        <v>-0.79397315999999996</v>
      </c>
      <c r="M225">
        <f>TMTA!N225</f>
        <v>21.9</v>
      </c>
      <c r="O225">
        <f>ABS(L225-TMTA!$C$34)</f>
        <v>5.5630791067617147E-2</v>
      </c>
      <c r="P225">
        <f t="shared" si="4"/>
        <v>21.9</v>
      </c>
    </row>
    <row r="226" spans="10:16">
      <c r="J226" s="5"/>
      <c r="L226">
        <f>TMTA!M226</f>
        <v>-0.78935619999999995</v>
      </c>
      <c r="M226">
        <f>TMTA!N226</f>
        <v>22</v>
      </c>
      <c r="O226">
        <f>ABS(L226-TMTA!$C$34)</f>
        <v>6.024775106761715E-2</v>
      </c>
      <c r="P226">
        <f t="shared" si="4"/>
        <v>22</v>
      </c>
    </row>
    <row r="227" spans="10:16">
      <c r="J227" s="5"/>
      <c r="L227">
        <f>TMTA!M227</f>
        <v>-0.78847615999999998</v>
      </c>
      <c r="M227">
        <f>TMTA!N227</f>
        <v>22.1</v>
      </c>
      <c r="O227">
        <f>ABS(L227-TMTA!$C$34)</f>
        <v>6.1127791067617121E-2</v>
      </c>
      <c r="P227">
        <f t="shared" si="4"/>
        <v>22.1</v>
      </c>
    </row>
    <row r="228" spans="10:16">
      <c r="J228" s="5"/>
      <c r="L228">
        <f>TMTA!M228</f>
        <v>-0.78757509599999997</v>
      </c>
      <c r="M228">
        <f>TMTA!N228</f>
        <v>22.2</v>
      </c>
      <c r="O228">
        <f>ABS(L228-TMTA!$C$34)</f>
        <v>6.2028855067617128E-2</v>
      </c>
      <c r="P228">
        <f t="shared" si="4"/>
        <v>22.2</v>
      </c>
    </row>
    <row r="229" spans="10:16">
      <c r="J229" s="5"/>
      <c r="L229">
        <f>TMTA!M229</f>
        <v>-0.78635166400000001</v>
      </c>
      <c r="M229">
        <f>TMTA!N229</f>
        <v>22.3</v>
      </c>
      <c r="O229">
        <f>ABS(L229-TMTA!$C$34)</f>
        <v>6.3252287067617097E-2</v>
      </c>
      <c r="P229">
        <f t="shared" si="4"/>
        <v>22.3</v>
      </c>
    </row>
    <row r="230" spans="10:16">
      <c r="J230" s="5"/>
      <c r="L230">
        <f>TMTA!M230</f>
        <v>-0.78512823200000004</v>
      </c>
      <c r="M230">
        <f>TMTA!N230</f>
        <v>22.4</v>
      </c>
      <c r="O230">
        <f>ABS(L230-TMTA!$C$34)</f>
        <v>6.4475719067617066E-2</v>
      </c>
      <c r="P230">
        <f t="shared" si="4"/>
        <v>22.4</v>
      </c>
    </row>
    <row r="231" spans="10:16">
      <c r="J231" s="5"/>
      <c r="L231">
        <f>TMTA!M231</f>
        <v>-0.7830068</v>
      </c>
      <c r="M231">
        <f>TMTA!N231</f>
        <v>22.5</v>
      </c>
      <c r="O231">
        <f>ABS(L231-TMTA!$C$34)</f>
        <v>6.65971510676171E-2</v>
      </c>
      <c r="P231">
        <f t="shared" si="4"/>
        <v>22.5</v>
      </c>
    </row>
    <row r="232" spans="10:16">
      <c r="J232" s="5"/>
      <c r="L232">
        <f>TMTA!M232</f>
        <v>-0.78002328799999998</v>
      </c>
      <c r="M232">
        <f>TMTA!N232</f>
        <v>22.6</v>
      </c>
      <c r="O232">
        <f>ABS(L232-TMTA!$C$34)</f>
        <v>6.9580663067617121E-2</v>
      </c>
      <c r="P232">
        <f t="shared" si="4"/>
        <v>22.6</v>
      </c>
    </row>
    <row r="233" spans="10:16">
      <c r="J233" s="5"/>
      <c r="L233">
        <f>TMTA!M233</f>
        <v>-0.77703977599999996</v>
      </c>
      <c r="M233">
        <f>TMTA!N233</f>
        <v>22.7</v>
      </c>
      <c r="O233">
        <f>ABS(L233-TMTA!$C$34)</f>
        <v>7.2564175067617143E-2</v>
      </c>
      <c r="P233">
        <f t="shared" si="4"/>
        <v>22.7</v>
      </c>
    </row>
    <row r="234" spans="10:16">
      <c r="J234" s="5"/>
      <c r="L234">
        <f>TMTA!M234</f>
        <v>-0.77532263199999996</v>
      </c>
      <c r="M234">
        <f>TMTA!N234</f>
        <v>22.8</v>
      </c>
      <c r="O234">
        <f>ABS(L234-TMTA!$C$34)</f>
        <v>7.4281319067617146E-2</v>
      </c>
      <c r="P234">
        <f t="shared" si="4"/>
        <v>22.8</v>
      </c>
    </row>
    <row r="235" spans="10:16">
      <c r="J235" s="5"/>
      <c r="L235">
        <f>TMTA!M235</f>
        <v>-0.77365937600000001</v>
      </c>
      <c r="M235">
        <f>TMTA!N235</f>
        <v>22.9</v>
      </c>
      <c r="O235">
        <f>ABS(L235-TMTA!$C$34)</f>
        <v>7.5944575067617093E-2</v>
      </c>
      <c r="P235">
        <f t="shared" si="4"/>
        <v>22.9</v>
      </c>
    </row>
    <row r="236" spans="10:16">
      <c r="J236" s="5"/>
      <c r="L236">
        <f>TMTA!M236</f>
        <v>-0.77077819999999997</v>
      </c>
      <c r="M236">
        <f>TMTA!N236</f>
        <v>23</v>
      </c>
      <c r="O236">
        <f>ABS(L236-TMTA!$C$34)</f>
        <v>7.8825751067617134E-2</v>
      </c>
      <c r="P236">
        <f t="shared" si="4"/>
        <v>23</v>
      </c>
    </row>
    <row r="237" spans="10:16">
      <c r="J237" s="5"/>
      <c r="L237">
        <f>TMTA!M237</f>
        <v>-0.76613103999999999</v>
      </c>
      <c r="M237">
        <f>TMTA!N237</f>
        <v>23.1</v>
      </c>
      <c r="O237">
        <f>ABS(L237-TMTA!$C$34)</f>
        <v>8.3472911067617117E-2</v>
      </c>
      <c r="P237">
        <f t="shared" si="4"/>
        <v>23.1</v>
      </c>
    </row>
    <row r="238" spans="10:16">
      <c r="J238" s="5"/>
      <c r="L238">
        <f>TMTA!M238</f>
        <v>-0.76148388</v>
      </c>
      <c r="M238">
        <f>TMTA!N238</f>
        <v>23.2</v>
      </c>
      <c r="O238">
        <f>ABS(L238-TMTA!$C$34)</f>
        <v>8.8120071067617101E-2</v>
      </c>
      <c r="P238">
        <f t="shared" si="4"/>
        <v>23.2</v>
      </c>
    </row>
    <row r="239" spans="10:16">
      <c r="J239" s="5"/>
      <c r="L239">
        <f>TMTA!M239</f>
        <v>-0.75864003199999996</v>
      </c>
      <c r="M239">
        <f>TMTA!N239</f>
        <v>23.3</v>
      </c>
      <c r="O239">
        <f>ABS(L239-TMTA!$C$34)</f>
        <v>9.0963919067617138E-2</v>
      </c>
      <c r="P239">
        <f t="shared" si="4"/>
        <v>23.3</v>
      </c>
    </row>
    <row r="240" spans="10:16">
      <c r="J240" s="5"/>
      <c r="L240">
        <f>TMTA!M240</f>
        <v>-0.75609673600000005</v>
      </c>
      <c r="M240">
        <f>TMTA!N240</f>
        <v>23.4</v>
      </c>
      <c r="O240">
        <f>ABS(L240-TMTA!$C$34)</f>
        <v>9.3507215067617055E-2</v>
      </c>
      <c r="P240">
        <f t="shared" si="4"/>
        <v>23.4</v>
      </c>
    </row>
    <row r="241" spans="10:16">
      <c r="J241" s="5"/>
      <c r="L241">
        <f>TMTA!M241</f>
        <v>-0.754332</v>
      </c>
      <c r="M241">
        <f>TMTA!N241</f>
        <v>23.5</v>
      </c>
      <c r="O241">
        <f>ABS(L241-TMTA!$C$34)</f>
        <v>9.52719510676171E-2</v>
      </c>
      <c r="P241">
        <f t="shared" si="4"/>
        <v>23.5</v>
      </c>
    </row>
    <row r="242" spans="10:16">
      <c r="J242" s="5"/>
      <c r="L242">
        <f>TMTA!M242</f>
        <v>-0.754332</v>
      </c>
      <c r="M242">
        <f>TMTA!N242</f>
        <v>23.6</v>
      </c>
      <c r="O242">
        <f>ABS(L242-TMTA!$C$34)</f>
        <v>9.52719510676171E-2</v>
      </c>
      <c r="P242">
        <f t="shared" si="4"/>
        <v>23.6</v>
      </c>
    </row>
    <row r="243" spans="10:16">
      <c r="J243" s="5"/>
      <c r="L243">
        <f>TMTA!M243</f>
        <v>-0.754332</v>
      </c>
      <c r="M243">
        <f>TMTA!N243</f>
        <v>23.7</v>
      </c>
      <c r="O243">
        <f>ABS(L243-TMTA!$C$34)</f>
        <v>9.52719510676171E-2</v>
      </c>
      <c r="P243">
        <f t="shared" si="4"/>
        <v>23.7</v>
      </c>
    </row>
    <row r="244" spans="10:16">
      <c r="J244" s="5"/>
      <c r="L244">
        <f>TMTA!M244</f>
        <v>-0.75274366400000003</v>
      </c>
      <c r="M244">
        <f>TMTA!N244</f>
        <v>23.8</v>
      </c>
      <c r="O244">
        <f>ABS(L244-TMTA!$C$34)</f>
        <v>9.6860287067617068E-2</v>
      </c>
      <c r="P244">
        <f t="shared" si="4"/>
        <v>23.8</v>
      </c>
    </row>
    <row r="245" spans="10:16">
      <c r="J245" s="5"/>
      <c r="L245">
        <f>TMTA!M245</f>
        <v>-0.75064019199999998</v>
      </c>
      <c r="M245">
        <f>TMTA!N245</f>
        <v>23.9</v>
      </c>
      <c r="O245">
        <f>ABS(L245-TMTA!$C$34)</f>
        <v>9.8963759067617119E-2</v>
      </c>
      <c r="P245">
        <f t="shared" si="4"/>
        <v>23.9</v>
      </c>
    </row>
    <row r="246" spans="10:16">
      <c r="J246" s="5"/>
      <c r="L246">
        <f>TMTA!M246</f>
        <v>-0.74896600000000002</v>
      </c>
      <c r="M246">
        <f>TMTA!N246</f>
        <v>24</v>
      </c>
      <c r="O246">
        <f>ABS(L246-TMTA!$C$34)</f>
        <v>0.10063795106761708</v>
      </c>
      <c r="P246">
        <f t="shared" si="4"/>
        <v>24</v>
      </c>
    </row>
    <row r="247" spans="10:16">
      <c r="J247" s="5"/>
      <c r="L247">
        <f>TMTA!M247</f>
        <v>-0.74896600000000002</v>
      </c>
      <c r="M247">
        <f>TMTA!N247</f>
        <v>24.1</v>
      </c>
      <c r="O247">
        <f>ABS(L247-TMTA!$C$34)</f>
        <v>0.10063795106761708</v>
      </c>
      <c r="P247">
        <f t="shared" si="4"/>
        <v>24.1</v>
      </c>
    </row>
    <row r="248" spans="10:16">
      <c r="J248" s="5"/>
      <c r="L248">
        <f>TMTA!M248</f>
        <v>-0.74896600000000002</v>
      </c>
      <c r="M248">
        <f>TMTA!N248</f>
        <v>24.2</v>
      </c>
      <c r="O248">
        <f>ABS(L248-TMTA!$C$34)</f>
        <v>0.10063795106761708</v>
      </c>
      <c r="P248">
        <f t="shared" si="4"/>
        <v>24.2</v>
      </c>
    </row>
    <row r="249" spans="10:16">
      <c r="J249" s="5"/>
      <c r="L249">
        <f>TMTA!M249</f>
        <v>-0.74730481599999998</v>
      </c>
      <c r="M249">
        <f>TMTA!N249</f>
        <v>24.3</v>
      </c>
      <c r="O249">
        <f>ABS(L249-TMTA!$C$34)</f>
        <v>0.10229913506761712</v>
      </c>
      <c r="P249">
        <f t="shared" si="4"/>
        <v>24.3</v>
      </c>
    </row>
    <row r="250" spans="10:16">
      <c r="J250" s="5"/>
      <c r="L250">
        <f>TMTA!M250</f>
        <v>-0.74476112800000005</v>
      </c>
      <c r="M250">
        <f>TMTA!N250</f>
        <v>24.4</v>
      </c>
      <c r="O250">
        <f>ABS(L250-TMTA!$C$34)</f>
        <v>0.10484282306761705</v>
      </c>
      <c r="P250">
        <f t="shared" si="4"/>
        <v>24.4</v>
      </c>
    </row>
    <row r="251" spans="10:16">
      <c r="J251" s="5"/>
      <c r="L251">
        <f>TMTA!M251</f>
        <v>-0.74204771999999997</v>
      </c>
      <c r="M251">
        <f>TMTA!N251</f>
        <v>24.5</v>
      </c>
      <c r="O251">
        <f>ABS(L251-TMTA!$C$34)</f>
        <v>0.10755623106761714</v>
      </c>
      <c r="P251">
        <f t="shared" si="4"/>
        <v>24.5</v>
      </c>
    </row>
    <row r="252" spans="10:16">
      <c r="J252" s="5"/>
      <c r="L252">
        <f>TMTA!M252</f>
        <v>-0.73784077599999998</v>
      </c>
      <c r="M252">
        <f>TMTA!N252</f>
        <v>24.6</v>
      </c>
      <c r="O252">
        <f>ABS(L252-TMTA!$C$34)</f>
        <v>0.11176317506761713</v>
      </c>
      <c r="P252">
        <f t="shared" si="4"/>
        <v>24.6</v>
      </c>
    </row>
    <row r="253" spans="10:16">
      <c r="J253" s="5"/>
      <c r="L253">
        <f>TMTA!M253</f>
        <v>-0.73363383199999999</v>
      </c>
      <c r="M253">
        <f>TMTA!N253</f>
        <v>24.7</v>
      </c>
      <c r="O253">
        <f>ABS(L253-TMTA!$C$34)</f>
        <v>0.11597011906761712</v>
      </c>
      <c r="P253">
        <f t="shared" si="4"/>
        <v>24.7</v>
      </c>
    </row>
    <row r="254" spans="10:16">
      <c r="J254" s="5"/>
      <c r="L254">
        <f>TMTA!M254</f>
        <v>-0.73058594399999999</v>
      </c>
      <c r="M254">
        <f>TMTA!N254</f>
        <v>24.8</v>
      </c>
      <c r="O254">
        <f>ABS(L254-TMTA!$C$34)</f>
        <v>0.11901800706761712</v>
      </c>
      <c r="P254">
        <f t="shared" si="4"/>
        <v>24.8</v>
      </c>
    </row>
    <row r="255" spans="10:16">
      <c r="J255" s="5"/>
      <c r="L255">
        <f>TMTA!M255</f>
        <v>-0.72848247200000005</v>
      </c>
      <c r="M255">
        <f>TMTA!N255</f>
        <v>24.9</v>
      </c>
      <c r="O255">
        <f>ABS(L255-TMTA!$C$34)</f>
        <v>0.12112147906761705</v>
      </c>
      <c r="P255">
        <f t="shared" si="4"/>
        <v>24.9</v>
      </c>
    </row>
    <row r="256" spans="10:16">
      <c r="J256" s="5"/>
      <c r="L256">
        <f>TMTA!M256</f>
        <v>-0.726379</v>
      </c>
      <c r="M256">
        <f>TMTA!N256</f>
        <v>25</v>
      </c>
      <c r="O256">
        <f>ABS(L256-TMTA!$C$34)</f>
        <v>0.12322495106761711</v>
      </c>
      <c r="P256">
        <f t="shared" si="4"/>
        <v>25</v>
      </c>
    </row>
    <row r="257" spans="10:16">
      <c r="J257" s="5"/>
      <c r="L257">
        <f>TMTA!M257</f>
        <v>-0.72427552799999995</v>
      </c>
      <c r="M257">
        <f>TMTA!N257</f>
        <v>25.1</v>
      </c>
      <c r="O257">
        <f>ABS(L257-TMTA!$C$34)</f>
        <v>0.12532842306761716</v>
      </c>
      <c r="P257">
        <f t="shared" si="4"/>
        <v>25.1</v>
      </c>
    </row>
    <row r="258" spans="10:16">
      <c r="J258" s="5"/>
      <c r="L258">
        <f>TMTA!M258</f>
        <v>-0.72217205600000001</v>
      </c>
      <c r="M258">
        <f>TMTA!N258</f>
        <v>25.2</v>
      </c>
      <c r="O258">
        <f>ABS(L258-TMTA!$C$34)</f>
        <v>0.1274318950676171</v>
      </c>
      <c r="P258">
        <f t="shared" si="4"/>
        <v>25.2</v>
      </c>
    </row>
    <row r="259" spans="10:16">
      <c r="J259" s="5"/>
      <c r="L259">
        <f>TMTA!M259</f>
        <v>-0.72101300000000001</v>
      </c>
      <c r="M259">
        <f>TMTA!N259</f>
        <v>25.3</v>
      </c>
      <c r="O259">
        <f>ABS(L259-TMTA!$C$34)</f>
        <v>0.12859095106761709</v>
      </c>
      <c r="P259">
        <f t="shared" si="4"/>
        <v>25.3</v>
      </c>
    </row>
    <row r="260" spans="10:16">
      <c r="J260" s="5"/>
      <c r="L260">
        <f>TMTA!M260</f>
        <v>-0.72101300000000001</v>
      </c>
      <c r="M260">
        <f>TMTA!N260</f>
        <v>25.4</v>
      </c>
      <c r="O260">
        <f>ABS(L260-TMTA!$C$34)</f>
        <v>0.12859095106761709</v>
      </c>
      <c r="P260">
        <f t="shared" si="4"/>
        <v>25.4</v>
      </c>
    </row>
    <row r="261" spans="10:16">
      <c r="J261" s="5"/>
      <c r="L261">
        <f>TMTA!M261</f>
        <v>-0.72101300000000001</v>
      </c>
      <c r="M261">
        <f>TMTA!N261</f>
        <v>25.5</v>
      </c>
      <c r="O261">
        <f>ABS(L261-TMTA!$C$34)</f>
        <v>0.12859095106761709</v>
      </c>
      <c r="P261">
        <f t="shared" si="4"/>
        <v>25.5</v>
      </c>
    </row>
    <row r="262" spans="10:16">
      <c r="J262" s="5"/>
      <c r="L262">
        <f>TMTA!M262</f>
        <v>-0.72101300000000001</v>
      </c>
      <c r="M262">
        <f>TMTA!N262</f>
        <v>25.6</v>
      </c>
      <c r="O262">
        <f>ABS(L262-TMTA!$C$34)</f>
        <v>0.12859095106761709</v>
      </c>
      <c r="P262">
        <f t="shared" si="4"/>
        <v>25.6</v>
      </c>
    </row>
    <row r="263" spans="10:16">
      <c r="J263" s="5"/>
      <c r="L263">
        <f>TMTA!M263</f>
        <v>-0.72101300000000001</v>
      </c>
      <c r="M263">
        <f>TMTA!N263</f>
        <v>25.7</v>
      </c>
      <c r="O263">
        <f>ABS(L263-TMTA!$C$34)</f>
        <v>0.12859095106761709</v>
      </c>
      <c r="P263">
        <f t="shared" ref="P263:P326" si="5">M263</f>
        <v>25.7</v>
      </c>
    </row>
    <row r="264" spans="10:16">
      <c r="J264" s="5"/>
      <c r="L264">
        <f>TMTA!M264</f>
        <v>-0.72086040799999995</v>
      </c>
      <c r="M264">
        <f>TMTA!N264</f>
        <v>25.8</v>
      </c>
      <c r="O264">
        <f>ABS(L264-TMTA!$C$34)</f>
        <v>0.12874354306761715</v>
      </c>
      <c r="P264">
        <f t="shared" si="5"/>
        <v>25.8</v>
      </c>
    </row>
    <row r="265" spans="10:16">
      <c r="J265" s="5"/>
      <c r="L265">
        <f>TMTA!M265</f>
        <v>-0.72042058399999997</v>
      </c>
      <c r="M265">
        <f>TMTA!N265</f>
        <v>25.9</v>
      </c>
      <c r="O265">
        <f>ABS(L265-TMTA!$C$34)</f>
        <v>0.12918336706761713</v>
      </c>
      <c r="P265">
        <f t="shared" si="5"/>
        <v>25.9</v>
      </c>
    </row>
    <row r="266" spans="10:16">
      <c r="J266" s="5"/>
      <c r="L266">
        <f>TMTA!M266</f>
        <v>-0.71998076</v>
      </c>
      <c r="M266">
        <f>TMTA!N266</f>
        <v>26</v>
      </c>
      <c r="O266">
        <f>ABS(L266-TMTA!$C$34)</f>
        <v>0.12962319106761711</v>
      </c>
      <c r="P266">
        <f t="shared" si="5"/>
        <v>26</v>
      </c>
    </row>
    <row r="267" spans="10:16">
      <c r="J267" s="5"/>
      <c r="L267">
        <f>TMTA!M267</f>
        <v>-0.71856687200000002</v>
      </c>
      <c r="M267">
        <f>TMTA!N267</f>
        <v>26.1</v>
      </c>
      <c r="O267">
        <f>ABS(L267-TMTA!$C$34)</f>
        <v>0.13103707906761708</v>
      </c>
      <c r="P267">
        <f t="shared" si="5"/>
        <v>26.1</v>
      </c>
    </row>
    <row r="268" spans="10:16">
      <c r="J268" s="5"/>
      <c r="L268">
        <f>TMTA!M268</f>
        <v>-0.71690322399999995</v>
      </c>
      <c r="M268">
        <f>TMTA!N268</f>
        <v>26.2</v>
      </c>
      <c r="O268">
        <f>ABS(L268-TMTA!$C$34)</f>
        <v>0.13270072706761715</v>
      </c>
      <c r="P268">
        <f t="shared" si="5"/>
        <v>26.2</v>
      </c>
    </row>
    <row r="269" spans="10:16">
      <c r="J269" s="5"/>
      <c r="L269">
        <f>TMTA!M269</f>
        <v>-0.71564700000000003</v>
      </c>
      <c r="M269">
        <f>TMTA!N269</f>
        <v>26.3</v>
      </c>
      <c r="O269">
        <f>ABS(L269-TMTA!$C$34)</f>
        <v>0.13395695106761707</v>
      </c>
      <c r="P269">
        <f t="shared" si="5"/>
        <v>26.3</v>
      </c>
    </row>
    <row r="270" spans="10:16">
      <c r="J270" s="5"/>
      <c r="L270">
        <f>TMTA!M270</f>
        <v>-0.71564700000000003</v>
      </c>
      <c r="M270">
        <f>TMTA!N270</f>
        <v>26.4</v>
      </c>
      <c r="O270">
        <f>ABS(L270-TMTA!$C$34)</f>
        <v>0.13395695106761707</v>
      </c>
      <c r="P270">
        <f t="shared" si="5"/>
        <v>26.4</v>
      </c>
    </row>
    <row r="271" spans="10:16">
      <c r="J271" s="5"/>
      <c r="L271">
        <f>TMTA!M271</f>
        <v>-0.71564700000000003</v>
      </c>
      <c r="M271">
        <f>TMTA!N271</f>
        <v>26.5</v>
      </c>
      <c r="O271">
        <f>ABS(L271-TMTA!$C$34)</f>
        <v>0.13395695106761707</v>
      </c>
      <c r="P271">
        <f t="shared" si="5"/>
        <v>26.5</v>
      </c>
    </row>
    <row r="272" spans="10:16">
      <c r="J272" s="5"/>
      <c r="L272">
        <f>TMTA!M272</f>
        <v>-0.71242271199999996</v>
      </c>
      <c r="M272">
        <f>TMTA!N272</f>
        <v>26.6</v>
      </c>
      <c r="O272">
        <f>ABS(L272-TMTA!$C$34)</f>
        <v>0.13718123906761714</v>
      </c>
      <c r="P272">
        <f t="shared" si="5"/>
        <v>26.6</v>
      </c>
    </row>
    <row r="273" spans="10:16">
      <c r="J273" s="5"/>
      <c r="L273">
        <f>TMTA!M273</f>
        <v>-0.70777594399999999</v>
      </c>
      <c r="M273">
        <f>TMTA!N273</f>
        <v>26.7</v>
      </c>
      <c r="O273">
        <f>ABS(L273-TMTA!$C$34)</f>
        <v>0.14182800706761711</v>
      </c>
      <c r="P273">
        <f t="shared" si="5"/>
        <v>26.7</v>
      </c>
    </row>
    <row r="274" spans="10:16">
      <c r="J274" s="5"/>
      <c r="L274">
        <f>TMTA!M274</f>
        <v>-0.70319200800000004</v>
      </c>
      <c r="M274">
        <f>TMTA!N274</f>
        <v>26.8</v>
      </c>
      <c r="O274">
        <f>ABS(L274-TMTA!$C$34)</f>
        <v>0.14641194306761707</v>
      </c>
      <c r="P274">
        <f t="shared" si="5"/>
        <v>26.8</v>
      </c>
    </row>
    <row r="275" spans="10:16">
      <c r="J275" s="5"/>
      <c r="L275">
        <f>TMTA!M275</f>
        <v>-0.69898506400000004</v>
      </c>
      <c r="M275">
        <f>TMTA!N275</f>
        <v>26.9</v>
      </c>
      <c r="O275">
        <f>ABS(L275-TMTA!$C$34)</f>
        <v>0.15061888706761706</v>
      </c>
      <c r="P275">
        <f t="shared" si="5"/>
        <v>26.9</v>
      </c>
    </row>
    <row r="276" spans="10:16">
      <c r="J276" s="5"/>
      <c r="L276">
        <f>TMTA!M276</f>
        <v>-0.69477812000000005</v>
      </c>
      <c r="M276">
        <f>TMTA!N276</f>
        <v>27</v>
      </c>
      <c r="O276">
        <f>ABS(L276-TMTA!$C$34)</f>
        <v>0.15482583106761705</v>
      </c>
      <c r="P276">
        <f t="shared" si="5"/>
        <v>27</v>
      </c>
    </row>
    <row r="277" spans="10:16">
      <c r="J277" s="5"/>
      <c r="L277">
        <f>TMTA!M277</f>
        <v>-0.69031063999999998</v>
      </c>
      <c r="M277">
        <f>TMTA!N277</f>
        <v>27.1</v>
      </c>
      <c r="O277">
        <f>ABS(L277-TMTA!$C$34)</f>
        <v>0.15929331106761713</v>
      </c>
      <c r="P277">
        <f t="shared" si="5"/>
        <v>27.1</v>
      </c>
    </row>
    <row r="278" spans="10:16">
      <c r="J278" s="5"/>
      <c r="L278">
        <f>TMTA!M278</f>
        <v>-0.68566347999999999</v>
      </c>
      <c r="M278">
        <f>TMTA!N278</f>
        <v>27.2</v>
      </c>
      <c r="O278">
        <f>ABS(L278-TMTA!$C$34)</f>
        <v>0.16394047106761711</v>
      </c>
      <c r="P278">
        <f t="shared" si="5"/>
        <v>27.2</v>
      </c>
    </row>
    <row r="279" spans="10:16">
      <c r="J279" s="5"/>
      <c r="L279">
        <f>TMTA!M279</f>
        <v>-0.68112014399999998</v>
      </c>
      <c r="M279">
        <f>TMTA!N279</f>
        <v>27.3</v>
      </c>
      <c r="O279">
        <f>ABS(L279-TMTA!$C$34)</f>
        <v>0.16848380706761712</v>
      </c>
      <c r="P279">
        <f t="shared" si="5"/>
        <v>27.3</v>
      </c>
    </row>
    <row r="280" spans="10:16">
      <c r="J280" s="5"/>
      <c r="L280">
        <f>TMTA!M280</f>
        <v>-0.67901667200000004</v>
      </c>
      <c r="M280">
        <f>TMTA!N280</f>
        <v>27.4</v>
      </c>
      <c r="O280">
        <f>ABS(L280-TMTA!$C$34)</f>
        <v>0.17058727906761706</v>
      </c>
      <c r="P280">
        <f t="shared" si="5"/>
        <v>27.4</v>
      </c>
    </row>
    <row r="281" spans="10:16">
      <c r="J281" s="5"/>
      <c r="L281">
        <f>TMTA!M281</f>
        <v>-0.67691319999999999</v>
      </c>
      <c r="M281">
        <f>TMTA!N281</f>
        <v>27.5</v>
      </c>
      <c r="O281">
        <f>ABS(L281-TMTA!$C$34)</f>
        <v>0.17269075106761711</v>
      </c>
      <c r="P281">
        <f t="shared" si="5"/>
        <v>27.5</v>
      </c>
    </row>
    <row r="282" spans="10:16">
      <c r="J282" s="5"/>
      <c r="L282">
        <f>TMTA!M282</f>
        <v>-0.67584</v>
      </c>
      <c r="M282">
        <f>TMTA!N282</f>
        <v>27.6</v>
      </c>
      <c r="O282">
        <f>ABS(L282-TMTA!$C$34)</f>
        <v>0.17376395106761711</v>
      </c>
      <c r="P282">
        <f t="shared" si="5"/>
        <v>27.6</v>
      </c>
    </row>
    <row r="283" spans="10:16">
      <c r="J283" s="5"/>
      <c r="L283">
        <f>TMTA!M283</f>
        <v>-0.67584</v>
      </c>
      <c r="M283">
        <f>TMTA!N283</f>
        <v>27.7</v>
      </c>
      <c r="O283">
        <f>ABS(L283-TMTA!$C$34)</f>
        <v>0.17376395106761711</v>
      </c>
      <c r="P283">
        <f t="shared" si="5"/>
        <v>27.7</v>
      </c>
    </row>
    <row r="284" spans="10:16">
      <c r="J284" s="5"/>
      <c r="L284">
        <f>TMTA!M284</f>
        <v>-0.67584</v>
      </c>
      <c r="M284">
        <f>TMTA!N284</f>
        <v>27.8</v>
      </c>
      <c r="O284">
        <f>ABS(L284-TMTA!$C$34)</f>
        <v>0.17376395106761711</v>
      </c>
      <c r="P284">
        <f t="shared" si="5"/>
        <v>27.8</v>
      </c>
    </row>
    <row r="285" spans="10:16">
      <c r="J285" s="5"/>
      <c r="L285">
        <f>TMTA!M285</f>
        <v>-0.67147772800000005</v>
      </c>
      <c r="M285">
        <f>TMTA!N285</f>
        <v>27.9</v>
      </c>
      <c r="O285">
        <f>ABS(L285-TMTA!$C$34)</f>
        <v>0.17812622306761705</v>
      </c>
      <c r="P285">
        <f t="shared" si="5"/>
        <v>27.9</v>
      </c>
    </row>
    <row r="286" spans="10:16">
      <c r="J286" s="5"/>
      <c r="L286">
        <f>TMTA!M286</f>
        <v>-0.66683095999999997</v>
      </c>
      <c r="M286">
        <f>TMTA!N286</f>
        <v>28</v>
      </c>
      <c r="O286">
        <f>ABS(L286-TMTA!$C$34)</f>
        <v>0.18277299106761713</v>
      </c>
      <c r="P286">
        <f t="shared" si="5"/>
        <v>28</v>
      </c>
    </row>
    <row r="287" spans="10:16">
      <c r="J287" s="5"/>
      <c r="L287">
        <f>TMTA!M287</f>
        <v>-0.66055277599999995</v>
      </c>
      <c r="M287">
        <f>TMTA!N287</f>
        <v>28.1</v>
      </c>
      <c r="O287">
        <f>ABS(L287-TMTA!$C$34)</f>
        <v>0.18905117506761715</v>
      </c>
      <c r="P287">
        <f t="shared" si="5"/>
        <v>28.1</v>
      </c>
    </row>
    <row r="288" spans="10:16">
      <c r="J288" s="5"/>
      <c r="L288">
        <f>TMTA!M288</f>
        <v>-0.65169867199999998</v>
      </c>
      <c r="M288">
        <f>TMTA!N288</f>
        <v>28.2</v>
      </c>
      <c r="O288">
        <f>ABS(L288-TMTA!$C$34)</f>
        <v>0.19790527906761712</v>
      </c>
      <c r="P288">
        <f t="shared" si="5"/>
        <v>28.2</v>
      </c>
    </row>
    <row r="289" spans="10:16">
      <c r="J289" s="5"/>
      <c r="L289">
        <f>TMTA!M289</f>
        <v>-0.64284456800000001</v>
      </c>
      <c r="M289">
        <f>TMTA!N289</f>
        <v>28.3</v>
      </c>
      <c r="O289">
        <f>ABS(L289-TMTA!$C$34)</f>
        <v>0.2067593830676171</v>
      </c>
      <c r="P289">
        <f t="shared" si="5"/>
        <v>28.3</v>
      </c>
    </row>
    <row r="290" spans="10:16">
      <c r="J290" s="5"/>
      <c r="L290">
        <f>TMTA!M290</f>
        <v>-0.64037531199999997</v>
      </c>
      <c r="M290">
        <f>TMTA!N290</f>
        <v>28.4</v>
      </c>
      <c r="O290">
        <f>ABS(L290-TMTA!$C$34)</f>
        <v>0.20922863906761713</v>
      </c>
      <c r="P290">
        <f t="shared" si="5"/>
        <v>28.4</v>
      </c>
    </row>
    <row r="291" spans="10:16">
      <c r="J291" s="5"/>
      <c r="L291">
        <f>TMTA!M291</f>
        <v>-0.63915188000000001</v>
      </c>
      <c r="M291">
        <f>TMTA!N291</f>
        <v>28.5</v>
      </c>
      <c r="O291">
        <f>ABS(L291-TMTA!$C$34)</f>
        <v>0.2104520710676171</v>
      </c>
      <c r="P291">
        <f t="shared" si="5"/>
        <v>28.5</v>
      </c>
    </row>
    <row r="292" spans="10:16">
      <c r="J292" s="5"/>
      <c r="L292">
        <f>TMTA!M292</f>
        <v>-0.63815233599999999</v>
      </c>
      <c r="M292">
        <f>TMTA!N292</f>
        <v>28.6</v>
      </c>
      <c r="O292">
        <f>ABS(L292-TMTA!$C$34)</f>
        <v>0.21145161506761712</v>
      </c>
      <c r="P292">
        <f t="shared" si="5"/>
        <v>28.6</v>
      </c>
    </row>
    <row r="293" spans="10:16">
      <c r="J293" s="5"/>
      <c r="L293">
        <f>TMTA!M293</f>
        <v>-0.63771251200000001</v>
      </c>
      <c r="M293">
        <f>TMTA!N293</f>
        <v>28.7</v>
      </c>
      <c r="O293">
        <f>ABS(L293-TMTA!$C$34)</f>
        <v>0.21189143906761709</v>
      </c>
      <c r="P293">
        <f t="shared" si="5"/>
        <v>28.7</v>
      </c>
    </row>
    <row r="294" spans="10:16">
      <c r="J294" s="5"/>
      <c r="L294">
        <f>TMTA!M294</f>
        <v>-0.63727268800000003</v>
      </c>
      <c r="M294">
        <f>TMTA!N294</f>
        <v>28.8</v>
      </c>
      <c r="O294">
        <f>ABS(L294-TMTA!$C$34)</f>
        <v>0.21233126306761707</v>
      </c>
      <c r="P294">
        <f t="shared" si="5"/>
        <v>28.8</v>
      </c>
    </row>
    <row r="295" spans="10:16">
      <c r="J295" s="5"/>
      <c r="L295">
        <f>TMTA!M295</f>
        <v>-0.63561059200000003</v>
      </c>
      <c r="M295">
        <f>TMTA!N295</f>
        <v>28.9</v>
      </c>
      <c r="O295">
        <f>ABS(L295-TMTA!$C$34)</f>
        <v>0.21399335906761707</v>
      </c>
      <c r="P295">
        <f t="shared" si="5"/>
        <v>28.9</v>
      </c>
    </row>
    <row r="296" spans="10:16">
      <c r="J296" s="5"/>
      <c r="L296">
        <f>TMTA!M296</f>
        <v>-0.63350711999999998</v>
      </c>
      <c r="M296">
        <f>TMTA!N296</f>
        <v>29</v>
      </c>
      <c r="O296">
        <f>ABS(L296-TMTA!$C$34)</f>
        <v>0.21609683106761712</v>
      </c>
      <c r="P296">
        <f t="shared" si="5"/>
        <v>29</v>
      </c>
    </row>
    <row r="297" spans="10:16">
      <c r="J297" s="5"/>
      <c r="L297">
        <f>TMTA!M297</f>
        <v>-0.63140364800000004</v>
      </c>
      <c r="M297">
        <f>TMTA!N297</f>
        <v>29.1</v>
      </c>
      <c r="O297">
        <f>ABS(L297-TMTA!$C$34)</f>
        <v>0.21820030306761706</v>
      </c>
      <c r="P297">
        <f t="shared" si="5"/>
        <v>29.1</v>
      </c>
    </row>
    <row r="298" spans="10:16">
      <c r="J298" s="5"/>
      <c r="L298">
        <f>TMTA!M298</f>
        <v>-0.62930017599999999</v>
      </c>
      <c r="M298">
        <f>TMTA!N298</f>
        <v>29.2</v>
      </c>
      <c r="O298">
        <f>ABS(L298-TMTA!$C$34)</f>
        <v>0.22030377506761711</v>
      </c>
      <c r="P298">
        <f t="shared" si="5"/>
        <v>29.2</v>
      </c>
    </row>
    <row r="299" spans="10:16">
      <c r="J299" s="5"/>
      <c r="L299">
        <f>TMTA!M299</f>
        <v>-0.62719670400000005</v>
      </c>
      <c r="M299">
        <f>TMTA!N299</f>
        <v>29.3</v>
      </c>
      <c r="O299">
        <f>ABS(L299-TMTA!$C$34)</f>
        <v>0.22240724706761705</v>
      </c>
      <c r="P299">
        <f t="shared" si="5"/>
        <v>29.3</v>
      </c>
    </row>
    <row r="300" spans="10:16">
      <c r="J300" s="5"/>
      <c r="L300">
        <f>TMTA!M300</f>
        <v>-0.62481472800000004</v>
      </c>
      <c r="M300">
        <f>TMTA!N300</f>
        <v>29.4</v>
      </c>
      <c r="O300">
        <f>ABS(L300-TMTA!$C$34)</f>
        <v>0.22478922306761706</v>
      </c>
      <c r="P300">
        <f t="shared" si="5"/>
        <v>29.4</v>
      </c>
    </row>
    <row r="301" spans="10:16">
      <c r="J301" s="5"/>
      <c r="L301">
        <f>TMTA!M301</f>
        <v>-0.62227104</v>
      </c>
      <c r="M301">
        <f>TMTA!N301</f>
        <v>29.5</v>
      </c>
      <c r="O301">
        <f>ABS(L301-TMTA!$C$34)</f>
        <v>0.2273329110676171</v>
      </c>
      <c r="P301">
        <f t="shared" si="5"/>
        <v>29.5</v>
      </c>
    </row>
    <row r="302" spans="10:16">
      <c r="J302" s="5"/>
      <c r="L302">
        <f>TMTA!M302</f>
        <v>-0.61989909600000004</v>
      </c>
      <c r="M302">
        <f>TMTA!N302</f>
        <v>29.6</v>
      </c>
      <c r="O302">
        <f>ABS(L302-TMTA!$C$34)</f>
        <v>0.22970485506761706</v>
      </c>
      <c r="P302">
        <f t="shared" si="5"/>
        <v>29.6</v>
      </c>
    </row>
    <row r="303" spans="10:16">
      <c r="J303" s="5"/>
      <c r="L303">
        <f>TMTA!M303</f>
        <v>-0.61945927199999995</v>
      </c>
      <c r="M303">
        <f>TMTA!N303</f>
        <v>29.7</v>
      </c>
      <c r="O303">
        <f>ABS(L303-TMTA!$C$34)</f>
        <v>0.23014467906761715</v>
      </c>
      <c r="P303">
        <f t="shared" si="5"/>
        <v>29.7</v>
      </c>
    </row>
    <row r="304" spans="10:16">
      <c r="J304" s="5"/>
      <c r="L304">
        <f>TMTA!M304</f>
        <v>-0.61901944799999997</v>
      </c>
      <c r="M304">
        <f>TMTA!N304</f>
        <v>29.8</v>
      </c>
      <c r="O304">
        <f>ABS(L304-TMTA!$C$34)</f>
        <v>0.23058450306761713</v>
      </c>
      <c r="P304">
        <f t="shared" si="5"/>
        <v>29.8</v>
      </c>
    </row>
    <row r="305" spans="10:16">
      <c r="J305" s="5"/>
      <c r="L305">
        <f>TMTA!M305</f>
        <v>-0.61658074399999996</v>
      </c>
      <c r="M305">
        <f>TMTA!N305</f>
        <v>29.9</v>
      </c>
      <c r="O305">
        <f>ABS(L305-TMTA!$C$34)</f>
        <v>0.23302320706761714</v>
      </c>
      <c r="P305">
        <f t="shared" si="5"/>
        <v>29.9</v>
      </c>
    </row>
    <row r="306" spans="10:16">
      <c r="J306" s="5"/>
      <c r="L306">
        <f>TMTA!M306</f>
        <v>-0.61237379999999997</v>
      </c>
      <c r="M306">
        <f>TMTA!N306</f>
        <v>30</v>
      </c>
      <c r="O306">
        <f>ABS(L306-TMTA!$C$34)</f>
        <v>0.23723015106761713</v>
      </c>
      <c r="P306">
        <f t="shared" si="5"/>
        <v>30</v>
      </c>
    </row>
    <row r="307" spans="10:16">
      <c r="J307" s="5"/>
      <c r="L307">
        <f>TMTA!M307</f>
        <v>-0.60816685599999998</v>
      </c>
      <c r="M307">
        <f>TMTA!N307</f>
        <v>30.1</v>
      </c>
      <c r="O307">
        <f>ABS(L307-TMTA!$C$34)</f>
        <v>0.24143709506761712</v>
      </c>
      <c r="P307">
        <f t="shared" si="5"/>
        <v>30.1</v>
      </c>
    </row>
    <row r="308" spans="10:16">
      <c r="J308" s="5"/>
      <c r="L308">
        <f>TMTA!M308</f>
        <v>-0.60808099999999998</v>
      </c>
      <c r="M308">
        <f>TMTA!N308</f>
        <v>30.2</v>
      </c>
      <c r="O308">
        <f>ABS(L308-TMTA!$C$34)</f>
        <v>0.24152295106761712</v>
      </c>
      <c r="P308">
        <f t="shared" si="5"/>
        <v>30.2</v>
      </c>
    </row>
    <row r="309" spans="10:16">
      <c r="J309" s="5"/>
      <c r="L309">
        <f>TMTA!M309</f>
        <v>-0.60808099999999998</v>
      </c>
      <c r="M309">
        <f>TMTA!N309</f>
        <v>30.3</v>
      </c>
      <c r="O309">
        <f>ABS(L309-TMTA!$C$34)</f>
        <v>0.24152295106761712</v>
      </c>
      <c r="P309">
        <f t="shared" si="5"/>
        <v>30.3</v>
      </c>
    </row>
    <row r="310" spans="10:16">
      <c r="J310" s="5"/>
      <c r="L310">
        <f>TMTA!M310</f>
        <v>-0.60717951199999998</v>
      </c>
      <c r="M310">
        <f>TMTA!N310</f>
        <v>30.4</v>
      </c>
      <c r="O310">
        <f>ABS(L310-TMTA!$C$34)</f>
        <v>0.24242443906761713</v>
      </c>
      <c r="P310">
        <f t="shared" si="5"/>
        <v>30.4</v>
      </c>
    </row>
    <row r="311" spans="10:16">
      <c r="J311" s="5"/>
      <c r="L311">
        <f>TMTA!M311</f>
        <v>-0.60507604000000004</v>
      </c>
      <c r="M311">
        <f>TMTA!N311</f>
        <v>30.5</v>
      </c>
      <c r="O311">
        <f>ABS(L311-TMTA!$C$34)</f>
        <v>0.24452791106761707</v>
      </c>
      <c r="P311">
        <f t="shared" si="5"/>
        <v>30.5</v>
      </c>
    </row>
    <row r="312" spans="10:16">
      <c r="J312" s="5"/>
      <c r="L312">
        <f>TMTA!M312</f>
        <v>-0.60297256799999999</v>
      </c>
      <c r="M312">
        <f>TMTA!N312</f>
        <v>30.6</v>
      </c>
      <c r="O312">
        <f>ABS(L312-TMTA!$C$34)</f>
        <v>0.24663138306761712</v>
      </c>
      <c r="P312">
        <f t="shared" si="5"/>
        <v>30.6</v>
      </c>
    </row>
    <row r="313" spans="10:16">
      <c r="J313" s="5"/>
      <c r="L313">
        <f>TMTA!M313</f>
        <v>-0.59902319199999998</v>
      </c>
      <c r="M313">
        <f>TMTA!N313</f>
        <v>30.7</v>
      </c>
      <c r="O313">
        <f>ABS(L313-TMTA!$C$34)</f>
        <v>0.25058075906761712</v>
      </c>
      <c r="P313">
        <f t="shared" si="5"/>
        <v>30.7</v>
      </c>
    </row>
    <row r="314" spans="10:16">
      <c r="J314" s="5"/>
      <c r="L314">
        <f>TMTA!M314</f>
        <v>-0.59481624799999999</v>
      </c>
      <c r="M314">
        <f>TMTA!N314</f>
        <v>30.8</v>
      </c>
      <c r="O314">
        <f>ABS(L314-TMTA!$C$34)</f>
        <v>0.25478770306761711</v>
      </c>
      <c r="P314">
        <f t="shared" si="5"/>
        <v>30.8</v>
      </c>
    </row>
    <row r="315" spans="10:16">
      <c r="J315" s="5"/>
      <c r="L315">
        <f>TMTA!M315</f>
        <v>-0.59115240800000002</v>
      </c>
      <c r="M315">
        <f>TMTA!N315</f>
        <v>30.9</v>
      </c>
      <c r="O315">
        <f>ABS(L315-TMTA!$C$34)</f>
        <v>0.25845154306761708</v>
      </c>
      <c r="P315">
        <f t="shared" si="5"/>
        <v>30.9</v>
      </c>
    </row>
    <row r="316" spans="10:16">
      <c r="J316" s="5"/>
      <c r="L316">
        <f>TMTA!M316</f>
        <v>-0.58860871999999997</v>
      </c>
      <c r="M316">
        <f>TMTA!N316</f>
        <v>31</v>
      </c>
      <c r="O316">
        <f>ABS(L316-TMTA!$C$34)</f>
        <v>0.26099523106761713</v>
      </c>
      <c r="P316">
        <f t="shared" si="5"/>
        <v>31</v>
      </c>
    </row>
    <row r="317" spans="10:16">
      <c r="J317" s="5"/>
      <c r="L317">
        <f>TMTA!M317</f>
        <v>-0.58606503200000004</v>
      </c>
      <c r="M317">
        <f>TMTA!N317</f>
        <v>31.1</v>
      </c>
      <c r="O317">
        <f>ABS(L317-TMTA!$C$34)</f>
        <v>0.26353891906761706</v>
      </c>
      <c r="P317">
        <f t="shared" si="5"/>
        <v>31.1</v>
      </c>
    </row>
    <row r="318" spans="10:16">
      <c r="J318" s="5"/>
      <c r="L318">
        <f>TMTA!M318</f>
        <v>-0.58549399999999996</v>
      </c>
      <c r="M318">
        <f>TMTA!N318</f>
        <v>31.2</v>
      </c>
      <c r="O318">
        <f>ABS(L318-TMTA!$C$34)</f>
        <v>0.26410995106761714</v>
      </c>
      <c r="P318">
        <f t="shared" si="5"/>
        <v>31.2</v>
      </c>
    </row>
    <row r="319" spans="10:16">
      <c r="J319" s="5"/>
      <c r="L319">
        <f>TMTA!M319</f>
        <v>-0.58549399999999996</v>
      </c>
      <c r="M319">
        <f>TMTA!N319</f>
        <v>31.3</v>
      </c>
      <c r="O319">
        <f>ABS(L319-TMTA!$C$34)</f>
        <v>0.26410995106761714</v>
      </c>
      <c r="P319">
        <f t="shared" si="5"/>
        <v>31.3</v>
      </c>
    </row>
    <row r="320" spans="10:16">
      <c r="J320" s="5"/>
      <c r="L320">
        <f>TMTA!M320</f>
        <v>-0.58512061599999998</v>
      </c>
      <c r="M320">
        <f>TMTA!N320</f>
        <v>31.4</v>
      </c>
      <c r="O320">
        <f>ABS(L320-TMTA!$C$34)</f>
        <v>0.26448333506761712</v>
      </c>
      <c r="P320">
        <f t="shared" si="5"/>
        <v>31.4</v>
      </c>
    </row>
    <row r="321" spans="10:16">
      <c r="J321" s="5"/>
      <c r="L321">
        <f>TMTA!M321</f>
        <v>-0.58345736000000004</v>
      </c>
      <c r="M321">
        <f>TMTA!N321</f>
        <v>31.5</v>
      </c>
      <c r="O321">
        <f>ABS(L321-TMTA!$C$34)</f>
        <v>0.26614659106761707</v>
      </c>
      <c r="P321">
        <f t="shared" si="5"/>
        <v>31.5</v>
      </c>
    </row>
    <row r="322" spans="10:16">
      <c r="J322" s="5"/>
      <c r="L322">
        <f>TMTA!M322</f>
        <v>-0.58179410399999998</v>
      </c>
      <c r="M322">
        <f>TMTA!N322</f>
        <v>31.6</v>
      </c>
      <c r="O322">
        <f>ABS(L322-TMTA!$C$34)</f>
        <v>0.26780984706761712</v>
      </c>
      <c r="P322">
        <f t="shared" si="5"/>
        <v>31.6</v>
      </c>
    </row>
    <row r="323" spans="10:16">
      <c r="J323" s="5"/>
      <c r="L323">
        <f>TMTA!M323</f>
        <v>-0.58125099999999996</v>
      </c>
      <c r="M323">
        <f>TMTA!N323</f>
        <v>31.7</v>
      </c>
      <c r="O323">
        <f>ABS(L323-TMTA!$C$34)</f>
        <v>0.26835295106761714</v>
      </c>
      <c r="P323">
        <f t="shared" si="5"/>
        <v>31.7</v>
      </c>
    </row>
    <row r="324" spans="10:16">
      <c r="J324" s="5"/>
      <c r="L324">
        <f>TMTA!M324</f>
        <v>-0.58125099999999996</v>
      </c>
      <c r="M324">
        <f>TMTA!N324</f>
        <v>31.8</v>
      </c>
      <c r="O324">
        <f>ABS(L324-TMTA!$C$34)</f>
        <v>0.26835295106761714</v>
      </c>
      <c r="P324">
        <f t="shared" si="5"/>
        <v>31.8</v>
      </c>
    </row>
    <row r="325" spans="10:16">
      <c r="J325" s="5"/>
      <c r="L325">
        <f>TMTA!M325</f>
        <v>-0.58125099999999996</v>
      </c>
      <c r="M325">
        <f>TMTA!N325</f>
        <v>31.9</v>
      </c>
      <c r="O325">
        <f>ABS(L325-TMTA!$C$34)</f>
        <v>0.26835295106761714</v>
      </c>
      <c r="P325">
        <f t="shared" si="5"/>
        <v>31.9</v>
      </c>
    </row>
    <row r="326" spans="10:16">
      <c r="J326" s="5"/>
      <c r="L326">
        <f>TMTA!M326</f>
        <v>-0.58125099999999996</v>
      </c>
      <c r="M326">
        <f>TMTA!N326</f>
        <v>32</v>
      </c>
      <c r="O326">
        <f>ABS(L326-TMTA!$C$34)</f>
        <v>0.26835295106761714</v>
      </c>
      <c r="P326">
        <f t="shared" si="5"/>
        <v>32</v>
      </c>
    </row>
    <row r="327" spans="10:16">
      <c r="J327" s="5"/>
      <c r="L327">
        <f>TMTA!M327</f>
        <v>-0.58125099999999996</v>
      </c>
      <c r="M327">
        <f>TMTA!N327</f>
        <v>32.1</v>
      </c>
      <c r="O327">
        <f>ABS(L327-TMTA!$C$34)</f>
        <v>0.26835295106761714</v>
      </c>
      <c r="P327">
        <f t="shared" ref="P327:P390" si="6">M327</f>
        <v>32.1</v>
      </c>
    </row>
    <row r="328" spans="10:16">
      <c r="J328" s="5"/>
      <c r="L328">
        <f>TMTA!M328</f>
        <v>-0.58004901600000003</v>
      </c>
      <c r="M328">
        <f>TMTA!N328</f>
        <v>32.200000000000003</v>
      </c>
      <c r="O328">
        <f>ABS(L328-TMTA!$C$34)</f>
        <v>0.26955493506761707</v>
      </c>
      <c r="P328">
        <f t="shared" si="6"/>
        <v>32.200000000000003</v>
      </c>
    </row>
    <row r="329" spans="10:16">
      <c r="J329" s="5"/>
      <c r="L329">
        <f>TMTA!M329</f>
        <v>-0.57794554399999998</v>
      </c>
      <c r="M329">
        <f>TMTA!N329</f>
        <v>32.299999999999997</v>
      </c>
      <c r="O329">
        <f>ABS(L329-TMTA!$C$34)</f>
        <v>0.27165840706761712</v>
      </c>
      <c r="P329">
        <f t="shared" si="6"/>
        <v>32.299999999999997</v>
      </c>
    </row>
    <row r="330" spans="10:16">
      <c r="J330" s="5"/>
      <c r="L330">
        <f>TMTA!M330</f>
        <v>-0.57587601600000005</v>
      </c>
      <c r="M330">
        <f>TMTA!N330</f>
        <v>32.4</v>
      </c>
      <c r="O330">
        <f>ABS(L330-TMTA!$C$34)</f>
        <v>0.27372793506761706</v>
      </c>
      <c r="P330">
        <f t="shared" si="6"/>
        <v>32.4</v>
      </c>
    </row>
    <row r="331" spans="10:16">
      <c r="J331" s="5"/>
      <c r="L331">
        <f>TMTA!M331</f>
        <v>-0.57543580000000005</v>
      </c>
      <c r="M331">
        <f>TMTA!N331</f>
        <v>32.5</v>
      </c>
      <c r="O331">
        <f>ABS(L331-TMTA!$C$34)</f>
        <v>0.27416815106761705</v>
      </c>
      <c r="P331">
        <f t="shared" si="6"/>
        <v>32.5</v>
      </c>
    </row>
    <row r="332" spans="10:16">
      <c r="J332" s="5"/>
      <c r="L332">
        <f>TMTA!M332</f>
        <v>-0.57499558399999995</v>
      </c>
      <c r="M332">
        <f>TMTA!N332</f>
        <v>32.6</v>
      </c>
      <c r="O332">
        <f>ABS(L332-TMTA!$C$34)</f>
        <v>0.27460836706761715</v>
      </c>
      <c r="P332">
        <f t="shared" si="6"/>
        <v>32.6</v>
      </c>
    </row>
    <row r="333" spans="10:16">
      <c r="J333" s="5"/>
      <c r="L333">
        <f>TMTA!M333</f>
        <v>-0.57455555199999997</v>
      </c>
      <c r="M333">
        <f>TMTA!N333</f>
        <v>32.700000000000003</v>
      </c>
      <c r="O333">
        <f>ABS(L333-TMTA!$C$34)</f>
        <v>0.27504839906761713</v>
      </c>
      <c r="P333">
        <f t="shared" si="6"/>
        <v>32.700000000000003</v>
      </c>
    </row>
    <row r="334" spans="10:16">
      <c r="J334" s="5"/>
      <c r="L334">
        <f>TMTA!M334</f>
        <v>-0.57411572799999999</v>
      </c>
      <c r="M334">
        <f>TMTA!N334</f>
        <v>32.799999999999997</v>
      </c>
      <c r="O334">
        <f>ABS(L334-TMTA!$C$34)</f>
        <v>0.27548822306761711</v>
      </c>
      <c r="P334">
        <f t="shared" si="6"/>
        <v>32.799999999999997</v>
      </c>
    </row>
    <row r="335" spans="10:16">
      <c r="J335" s="5"/>
      <c r="L335">
        <f>TMTA!M335</f>
        <v>-0.57367590400000001</v>
      </c>
      <c r="M335">
        <f>TMTA!N335</f>
        <v>32.9</v>
      </c>
      <c r="O335">
        <f>ABS(L335-TMTA!$C$34)</f>
        <v>0.27592804706761709</v>
      </c>
      <c r="P335">
        <f t="shared" si="6"/>
        <v>32.9</v>
      </c>
    </row>
    <row r="336" spans="10:16">
      <c r="J336" s="5"/>
      <c r="L336">
        <f>TMTA!M336</f>
        <v>-0.57170823999999998</v>
      </c>
      <c r="M336">
        <f>TMTA!N336</f>
        <v>33</v>
      </c>
      <c r="O336">
        <f>ABS(L336-TMTA!$C$34)</f>
        <v>0.27789571106761712</v>
      </c>
      <c r="P336">
        <f t="shared" si="6"/>
        <v>33</v>
      </c>
    </row>
    <row r="337" spans="10:16">
      <c r="J337" s="5"/>
      <c r="L337">
        <f>TMTA!M337</f>
        <v>-0.56960476800000004</v>
      </c>
      <c r="M337">
        <f>TMTA!N337</f>
        <v>33.1</v>
      </c>
      <c r="O337">
        <f>ABS(L337-TMTA!$C$34)</f>
        <v>0.27999918306761706</v>
      </c>
      <c r="P337">
        <f t="shared" si="6"/>
        <v>33.1</v>
      </c>
    </row>
    <row r="338" spans="10:16">
      <c r="J338" s="5"/>
      <c r="L338">
        <f>TMTA!M338</f>
        <v>-0.56689030399999996</v>
      </c>
      <c r="M338">
        <f>TMTA!N338</f>
        <v>33.200000000000003</v>
      </c>
      <c r="O338">
        <f>ABS(L338-TMTA!$C$34)</f>
        <v>0.28271364706761715</v>
      </c>
      <c r="P338">
        <f t="shared" si="6"/>
        <v>33.200000000000003</v>
      </c>
    </row>
    <row r="339" spans="10:16">
      <c r="J339" s="5"/>
      <c r="L339">
        <f>TMTA!M339</f>
        <v>-0.56312357599999996</v>
      </c>
      <c r="M339">
        <f>TMTA!N339</f>
        <v>33.299999999999997</v>
      </c>
      <c r="O339">
        <f>ABS(L339-TMTA!$C$34)</f>
        <v>0.28648037506761714</v>
      </c>
      <c r="P339">
        <f t="shared" si="6"/>
        <v>33.299999999999997</v>
      </c>
    </row>
    <row r="340" spans="10:16">
      <c r="J340" s="5"/>
      <c r="L340">
        <f>TMTA!M340</f>
        <v>-0.55935684799999996</v>
      </c>
      <c r="M340">
        <f>TMTA!N340</f>
        <v>33.4</v>
      </c>
      <c r="O340">
        <f>ABS(L340-TMTA!$C$34)</f>
        <v>0.29024710306761714</v>
      </c>
      <c r="P340">
        <f t="shared" si="6"/>
        <v>33.4</v>
      </c>
    </row>
    <row r="341" spans="10:16">
      <c r="J341" s="5"/>
      <c r="L341">
        <f>TMTA!M341</f>
        <v>-0.55866499999999997</v>
      </c>
      <c r="M341">
        <f>TMTA!N341</f>
        <v>33.5</v>
      </c>
      <c r="O341">
        <f>ABS(L341-TMTA!$C$34)</f>
        <v>0.29093895106761714</v>
      </c>
      <c r="P341">
        <f t="shared" si="6"/>
        <v>33.5</v>
      </c>
    </row>
    <row r="342" spans="10:16">
      <c r="J342" s="5"/>
      <c r="L342">
        <f>TMTA!M342</f>
        <v>-0.55866499999999997</v>
      </c>
      <c r="M342">
        <f>TMTA!N342</f>
        <v>33.6</v>
      </c>
      <c r="O342">
        <f>ABS(L342-TMTA!$C$34)</f>
        <v>0.29093895106761714</v>
      </c>
      <c r="P342">
        <f t="shared" si="6"/>
        <v>33.6</v>
      </c>
    </row>
    <row r="343" spans="10:16">
      <c r="J343" s="5"/>
      <c r="L343">
        <f>TMTA!M343</f>
        <v>-0.55854820800000005</v>
      </c>
      <c r="M343">
        <f>TMTA!N343</f>
        <v>33.700000000000003</v>
      </c>
      <c r="O343">
        <f>ABS(L343-TMTA!$C$34)</f>
        <v>0.29105574306761706</v>
      </c>
      <c r="P343">
        <f t="shared" si="6"/>
        <v>33.700000000000003</v>
      </c>
    </row>
    <row r="344" spans="10:16">
      <c r="J344" s="5"/>
      <c r="L344">
        <f>TMTA!M344</f>
        <v>-0.55810799200000005</v>
      </c>
      <c r="M344">
        <f>TMTA!N344</f>
        <v>33.799999999999997</v>
      </c>
      <c r="O344">
        <f>ABS(L344-TMTA!$C$34)</f>
        <v>0.29149595906761705</v>
      </c>
      <c r="P344">
        <f t="shared" si="6"/>
        <v>33.799999999999997</v>
      </c>
    </row>
    <row r="345" spans="10:16">
      <c r="J345" s="5"/>
      <c r="L345">
        <f>TMTA!M345</f>
        <v>-0.55766777599999995</v>
      </c>
      <c r="M345">
        <f>TMTA!N345</f>
        <v>33.9</v>
      </c>
      <c r="O345">
        <f>ABS(L345-TMTA!$C$34)</f>
        <v>0.29193617506761715</v>
      </c>
      <c r="P345">
        <f t="shared" si="6"/>
        <v>33.9</v>
      </c>
    </row>
    <row r="346" spans="10:16">
      <c r="J346" s="5"/>
      <c r="L346">
        <f>TMTA!M346</f>
        <v>-0.55453704000000004</v>
      </c>
      <c r="M346">
        <f>TMTA!N346</f>
        <v>34</v>
      </c>
      <c r="O346">
        <f>ABS(L346-TMTA!$C$34)</f>
        <v>0.29506691106761707</v>
      </c>
      <c r="P346">
        <f t="shared" si="6"/>
        <v>34</v>
      </c>
    </row>
    <row r="347" spans="10:16">
      <c r="J347" s="5"/>
      <c r="L347">
        <f>TMTA!M347</f>
        <v>-0.55033009600000005</v>
      </c>
      <c r="M347">
        <f>TMTA!N347</f>
        <v>34.1</v>
      </c>
      <c r="O347">
        <f>ABS(L347-TMTA!$C$34)</f>
        <v>0.29927385506761706</v>
      </c>
      <c r="P347">
        <f t="shared" si="6"/>
        <v>34.1</v>
      </c>
    </row>
    <row r="348" spans="10:16">
      <c r="J348" s="5"/>
      <c r="L348">
        <f>TMTA!M348</f>
        <v>-0.54646657600000004</v>
      </c>
      <c r="M348">
        <f>TMTA!N348</f>
        <v>34.200000000000003</v>
      </c>
      <c r="O348">
        <f>ABS(L348-TMTA!$C$34)</f>
        <v>0.30313737506761707</v>
      </c>
      <c r="P348">
        <f t="shared" si="6"/>
        <v>34.200000000000003</v>
      </c>
    </row>
    <row r="349" spans="10:16">
      <c r="J349" s="5"/>
      <c r="L349">
        <f>TMTA!M349</f>
        <v>-0.54436310399999999</v>
      </c>
      <c r="M349">
        <f>TMTA!N349</f>
        <v>34.299999999999997</v>
      </c>
      <c r="O349">
        <f>ABS(L349-TMTA!$C$34)</f>
        <v>0.30524084706761712</v>
      </c>
      <c r="P349">
        <f t="shared" si="6"/>
        <v>34.299999999999997</v>
      </c>
    </row>
    <row r="350" spans="10:16">
      <c r="J350" s="5"/>
      <c r="L350">
        <f>TMTA!M350</f>
        <v>-0.54225963200000005</v>
      </c>
      <c r="M350">
        <f>TMTA!N350</f>
        <v>34.4</v>
      </c>
      <c r="O350">
        <f>ABS(L350-TMTA!$C$34)</f>
        <v>0.30734431906761706</v>
      </c>
      <c r="P350">
        <f t="shared" si="6"/>
        <v>34.4</v>
      </c>
    </row>
    <row r="351" spans="10:16">
      <c r="J351" s="5"/>
      <c r="L351">
        <f>TMTA!M351</f>
        <v>-0.54015616</v>
      </c>
      <c r="M351">
        <f>TMTA!N351</f>
        <v>34.5</v>
      </c>
      <c r="O351">
        <f>ABS(L351-TMTA!$C$34)</f>
        <v>0.30944779106761711</v>
      </c>
      <c r="P351">
        <f t="shared" si="6"/>
        <v>34.5</v>
      </c>
    </row>
    <row r="352" spans="10:16">
      <c r="J352" s="5"/>
      <c r="L352">
        <f>TMTA!M352</f>
        <v>-0.53805268799999995</v>
      </c>
      <c r="M352">
        <f>TMTA!N352</f>
        <v>34.6</v>
      </c>
      <c r="O352">
        <f>ABS(L352-TMTA!$C$34)</f>
        <v>0.31155126306761716</v>
      </c>
      <c r="P352">
        <f t="shared" si="6"/>
        <v>34.6</v>
      </c>
    </row>
    <row r="353" spans="10:16">
      <c r="J353" s="5"/>
      <c r="L353">
        <f>TMTA!M353</f>
        <v>-0.53607800000000005</v>
      </c>
      <c r="M353">
        <f>TMTA!N353</f>
        <v>34.700000000000003</v>
      </c>
      <c r="O353">
        <f>ABS(L353-TMTA!$C$34)</f>
        <v>0.31352595106761705</v>
      </c>
      <c r="P353">
        <f t="shared" si="6"/>
        <v>34.700000000000003</v>
      </c>
    </row>
    <row r="354" spans="10:16">
      <c r="J354" s="5"/>
      <c r="L354">
        <f>TMTA!M354</f>
        <v>-0.53607800000000005</v>
      </c>
      <c r="M354">
        <f>TMTA!N354</f>
        <v>34.799999999999997</v>
      </c>
      <c r="O354">
        <f>ABS(L354-TMTA!$C$34)</f>
        <v>0.31352595106761705</v>
      </c>
      <c r="P354">
        <f t="shared" si="6"/>
        <v>34.799999999999997</v>
      </c>
    </row>
    <row r="355" spans="10:16">
      <c r="J355" s="5"/>
      <c r="L355">
        <f>TMTA!M355</f>
        <v>-0.53607800000000005</v>
      </c>
      <c r="M355">
        <f>TMTA!N355</f>
        <v>34.9</v>
      </c>
      <c r="O355">
        <f>ABS(L355-TMTA!$C$34)</f>
        <v>0.31352595106761705</v>
      </c>
      <c r="P355">
        <f t="shared" si="6"/>
        <v>34.9</v>
      </c>
    </row>
    <row r="356" spans="10:16">
      <c r="J356" s="5"/>
      <c r="L356">
        <f>TMTA!M356</f>
        <v>-0.53478040000000004</v>
      </c>
      <c r="M356">
        <f>TMTA!N356</f>
        <v>35</v>
      </c>
      <c r="O356">
        <f>ABS(L356-TMTA!$C$34)</f>
        <v>0.31482355106761706</v>
      </c>
      <c r="P356">
        <f t="shared" si="6"/>
        <v>35</v>
      </c>
    </row>
    <row r="357" spans="10:16">
      <c r="J357" s="5"/>
      <c r="L357">
        <f>TMTA!M357</f>
        <v>-0.53223710400000002</v>
      </c>
      <c r="M357">
        <f>TMTA!N357</f>
        <v>35.1</v>
      </c>
      <c r="O357">
        <f>ABS(L357-TMTA!$C$34)</f>
        <v>0.31736684706761709</v>
      </c>
      <c r="P357">
        <f t="shared" si="6"/>
        <v>35.1</v>
      </c>
    </row>
    <row r="358" spans="10:16">
      <c r="J358" s="5"/>
      <c r="L358">
        <f>TMTA!M358</f>
        <v>-0.52969380799999999</v>
      </c>
      <c r="M358">
        <f>TMTA!N358</f>
        <v>35.200000000000003</v>
      </c>
      <c r="O358">
        <f>ABS(L358-TMTA!$C$34)</f>
        <v>0.31991014306761711</v>
      </c>
      <c r="P358">
        <f t="shared" si="6"/>
        <v>35.200000000000003</v>
      </c>
    </row>
    <row r="359" spans="10:16">
      <c r="J359" s="5"/>
      <c r="L359">
        <f>TMTA!M359</f>
        <v>-0.52757238399999995</v>
      </c>
      <c r="M359">
        <f>TMTA!N359</f>
        <v>35.299999999999997</v>
      </c>
      <c r="O359">
        <f>ABS(L359-TMTA!$C$34)</f>
        <v>0.32203156706761715</v>
      </c>
      <c r="P359">
        <f t="shared" si="6"/>
        <v>35.299999999999997</v>
      </c>
    </row>
    <row r="360" spans="10:16">
      <c r="J360" s="5"/>
      <c r="L360">
        <f>TMTA!M360</f>
        <v>-0.52546891200000001</v>
      </c>
      <c r="M360">
        <f>TMTA!N360</f>
        <v>35.4</v>
      </c>
      <c r="O360">
        <f>ABS(L360-TMTA!$C$34)</f>
        <v>0.32413503906761709</v>
      </c>
      <c r="P360">
        <f t="shared" si="6"/>
        <v>35.4</v>
      </c>
    </row>
    <row r="361" spans="10:16">
      <c r="J361" s="5"/>
      <c r="L361">
        <f>TMTA!M361</f>
        <v>-0.52232719999999999</v>
      </c>
      <c r="M361">
        <f>TMTA!N361</f>
        <v>35.5</v>
      </c>
      <c r="O361">
        <f>ABS(L361-TMTA!$C$34)</f>
        <v>0.32727675106761711</v>
      </c>
      <c r="P361">
        <f t="shared" si="6"/>
        <v>35.5</v>
      </c>
    </row>
    <row r="362" spans="10:16">
      <c r="J362" s="5"/>
      <c r="L362">
        <f>TMTA!M362</f>
        <v>-0.51768004000000001</v>
      </c>
      <c r="M362">
        <f>TMTA!N362</f>
        <v>35.6</v>
      </c>
      <c r="O362">
        <f>ABS(L362-TMTA!$C$34)</f>
        <v>0.33192391106761709</v>
      </c>
      <c r="P362">
        <f t="shared" si="6"/>
        <v>35.6</v>
      </c>
    </row>
    <row r="363" spans="10:16">
      <c r="J363" s="5"/>
      <c r="L363">
        <f>TMTA!M363</f>
        <v>-0.51303288000000002</v>
      </c>
      <c r="M363">
        <f>TMTA!N363</f>
        <v>35.700000000000003</v>
      </c>
      <c r="O363">
        <f>ABS(L363-TMTA!$C$34)</f>
        <v>0.33657107106761708</v>
      </c>
      <c r="P363">
        <f t="shared" si="6"/>
        <v>35.700000000000003</v>
      </c>
    </row>
    <row r="364" spans="10:16">
      <c r="J364" s="5"/>
      <c r="L364">
        <f>TMTA!M364</f>
        <v>-0.51056602399999995</v>
      </c>
      <c r="M364">
        <f>TMTA!N364</f>
        <v>35.799999999999997</v>
      </c>
      <c r="O364">
        <f>ABS(L364-TMTA!$C$34)</f>
        <v>0.33903792706761715</v>
      </c>
      <c r="P364">
        <f t="shared" si="6"/>
        <v>35.799999999999997</v>
      </c>
    </row>
    <row r="365" spans="10:16">
      <c r="J365" s="5"/>
      <c r="L365">
        <f>TMTA!M365</f>
        <v>-0.50846255200000001</v>
      </c>
      <c r="M365">
        <f>TMTA!N365</f>
        <v>35.9</v>
      </c>
      <c r="O365">
        <f>ABS(L365-TMTA!$C$34)</f>
        <v>0.34114139906761709</v>
      </c>
      <c r="P365">
        <f t="shared" si="6"/>
        <v>35.9</v>
      </c>
    </row>
    <row r="366" spans="10:16">
      <c r="J366" s="5"/>
      <c r="L366">
        <f>TMTA!M366</f>
        <v>-0.50635907999999996</v>
      </c>
      <c r="M366">
        <f>TMTA!N366</f>
        <v>36</v>
      </c>
      <c r="O366">
        <f>ABS(L366-TMTA!$C$34)</f>
        <v>0.34324487106761714</v>
      </c>
      <c r="P366">
        <f t="shared" si="6"/>
        <v>36</v>
      </c>
    </row>
    <row r="367" spans="10:16">
      <c r="J367" s="5"/>
      <c r="L367">
        <f>TMTA!M367</f>
        <v>-0.50425560800000002</v>
      </c>
      <c r="M367">
        <f>TMTA!N367</f>
        <v>36.1</v>
      </c>
      <c r="O367">
        <f>ABS(L367-TMTA!$C$34)</f>
        <v>0.34534834306761708</v>
      </c>
      <c r="P367">
        <f t="shared" si="6"/>
        <v>36.1</v>
      </c>
    </row>
    <row r="368" spans="10:16">
      <c r="J368" s="5"/>
      <c r="L368">
        <f>TMTA!M368</f>
        <v>-0.50215213599999997</v>
      </c>
      <c r="M368">
        <f>TMTA!N368</f>
        <v>36.200000000000003</v>
      </c>
      <c r="O368">
        <f>ABS(L368-TMTA!$C$34)</f>
        <v>0.34745181506761713</v>
      </c>
      <c r="P368">
        <f t="shared" si="6"/>
        <v>36.200000000000003</v>
      </c>
    </row>
    <row r="369" spans="10:16">
      <c r="J369" s="5"/>
      <c r="L369">
        <f>TMTA!M369</f>
        <v>-0.501637</v>
      </c>
      <c r="M369">
        <f>TMTA!N369</f>
        <v>36.299999999999997</v>
      </c>
      <c r="O369">
        <f>ABS(L369-TMTA!$C$34)</f>
        <v>0.3479669510676171</v>
      </c>
      <c r="P369">
        <f t="shared" si="6"/>
        <v>36.299999999999997</v>
      </c>
    </row>
    <row r="370" spans="10:16">
      <c r="J370" s="5"/>
      <c r="L370">
        <f>TMTA!M370</f>
        <v>-0.501637</v>
      </c>
      <c r="M370">
        <f>TMTA!N370</f>
        <v>36.4</v>
      </c>
      <c r="O370">
        <f>ABS(L370-TMTA!$C$34)</f>
        <v>0.3479669510676171</v>
      </c>
      <c r="P370">
        <f t="shared" si="6"/>
        <v>36.4</v>
      </c>
    </row>
    <row r="371" spans="10:16">
      <c r="J371" s="5"/>
      <c r="L371">
        <f>TMTA!M371</f>
        <v>-0.501637</v>
      </c>
      <c r="M371">
        <f>TMTA!N371</f>
        <v>36.5</v>
      </c>
      <c r="O371">
        <f>ABS(L371-TMTA!$C$34)</f>
        <v>0.3479669510676171</v>
      </c>
      <c r="P371">
        <f t="shared" si="6"/>
        <v>36.5</v>
      </c>
    </row>
    <row r="372" spans="10:16">
      <c r="J372" s="5"/>
      <c r="L372">
        <f>TMTA!M372</f>
        <v>-0.501637</v>
      </c>
      <c r="M372">
        <f>TMTA!N372</f>
        <v>36.6</v>
      </c>
      <c r="O372">
        <f>ABS(L372-TMTA!$C$34)</f>
        <v>0.3479669510676171</v>
      </c>
      <c r="P372">
        <f t="shared" si="6"/>
        <v>36.6</v>
      </c>
    </row>
    <row r="373" spans="10:16">
      <c r="J373" s="5"/>
      <c r="L373">
        <f>TMTA!M373</f>
        <v>-0.501637</v>
      </c>
      <c r="M373">
        <f>TMTA!N373</f>
        <v>36.700000000000003</v>
      </c>
      <c r="O373">
        <f>ABS(L373-TMTA!$C$34)</f>
        <v>0.3479669510676171</v>
      </c>
      <c r="P373">
        <f t="shared" si="6"/>
        <v>36.700000000000003</v>
      </c>
    </row>
    <row r="374" spans="10:16">
      <c r="J374" s="5"/>
      <c r="L374">
        <f>TMTA!M374</f>
        <v>-0.49888960799999998</v>
      </c>
      <c r="M374">
        <f>TMTA!N374</f>
        <v>36.799999999999997</v>
      </c>
      <c r="O374">
        <f>ABS(L374-TMTA!$C$34)</f>
        <v>0.35071434306761712</v>
      </c>
      <c r="P374">
        <f t="shared" si="6"/>
        <v>36.799999999999997</v>
      </c>
    </row>
    <row r="375" spans="10:16">
      <c r="J375" s="5"/>
      <c r="L375">
        <f>TMTA!M375</f>
        <v>-0.49468266399999999</v>
      </c>
      <c r="M375">
        <f>TMTA!N375</f>
        <v>36.9</v>
      </c>
      <c r="O375">
        <f>ABS(L375-TMTA!$C$34)</f>
        <v>0.35492128706761711</v>
      </c>
      <c r="P375">
        <f t="shared" si="6"/>
        <v>36.9</v>
      </c>
    </row>
    <row r="376" spans="10:16">
      <c r="J376" s="5"/>
      <c r="L376">
        <f>TMTA!M376</f>
        <v>-0.49000156</v>
      </c>
      <c r="M376">
        <f>TMTA!N376</f>
        <v>37</v>
      </c>
      <c r="O376">
        <f>ABS(L376-TMTA!$C$34)</f>
        <v>0.3596023910676171</v>
      </c>
      <c r="P376">
        <f t="shared" si="6"/>
        <v>37</v>
      </c>
    </row>
    <row r="377" spans="10:16">
      <c r="J377" s="5"/>
      <c r="L377">
        <f>TMTA!M377</f>
        <v>-0.48114784799999999</v>
      </c>
      <c r="M377">
        <f>TMTA!N377</f>
        <v>37.1</v>
      </c>
      <c r="O377">
        <f>ABS(L377-TMTA!$C$34)</f>
        <v>0.36845610306761711</v>
      </c>
      <c r="P377">
        <f t="shared" si="6"/>
        <v>37.1</v>
      </c>
    </row>
    <row r="378" spans="10:16">
      <c r="J378" s="5"/>
      <c r="L378">
        <f>TMTA!M378</f>
        <v>-0.47229413599999998</v>
      </c>
      <c r="M378">
        <f>TMTA!N378</f>
        <v>37.200000000000003</v>
      </c>
      <c r="O378">
        <f>ABS(L378-TMTA!$C$34)</f>
        <v>0.37730981506761713</v>
      </c>
      <c r="P378">
        <f t="shared" si="6"/>
        <v>37.200000000000003</v>
      </c>
    </row>
    <row r="379" spans="10:16">
      <c r="J379" s="5"/>
      <c r="L379">
        <f>TMTA!M379</f>
        <v>-0.46807643199999999</v>
      </c>
      <c r="M379">
        <f>TMTA!N379</f>
        <v>37.299999999999997</v>
      </c>
      <c r="O379">
        <f>ABS(L379-TMTA!$C$34)</f>
        <v>0.38152751906761712</v>
      </c>
      <c r="P379">
        <f t="shared" si="6"/>
        <v>37.299999999999997</v>
      </c>
    </row>
    <row r="380" spans="10:16">
      <c r="J380" s="5"/>
      <c r="L380">
        <f>TMTA!M380</f>
        <v>-0.46763621599999999</v>
      </c>
      <c r="M380">
        <f>TMTA!N380</f>
        <v>37.4</v>
      </c>
      <c r="O380">
        <f>ABS(L380-TMTA!$C$34)</f>
        <v>0.38196773506761711</v>
      </c>
      <c r="P380">
        <f t="shared" si="6"/>
        <v>37.4</v>
      </c>
    </row>
    <row r="381" spans="10:16">
      <c r="J381" s="5"/>
      <c r="L381">
        <f>TMTA!M381</f>
        <v>-0.467196</v>
      </c>
      <c r="M381">
        <f>TMTA!N381</f>
        <v>37.5</v>
      </c>
      <c r="O381">
        <f>ABS(L381-TMTA!$C$34)</f>
        <v>0.3824079510676171</v>
      </c>
      <c r="P381">
        <f t="shared" si="6"/>
        <v>37.5</v>
      </c>
    </row>
    <row r="382" spans="10:16">
      <c r="J382" s="5"/>
      <c r="L382">
        <f>TMTA!M382</f>
        <v>-0.465532744</v>
      </c>
      <c r="M382">
        <f>TMTA!N382</f>
        <v>37.6</v>
      </c>
      <c r="O382">
        <f>ABS(L382-TMTA!$C$34)</f>
        <v>0.3840712070676171</v>
      </c>
      <c r="P382">
        <f t="shared" si="6"/>
        <v>37.6</v>
      </c>
    </row>
    <row r="383" spans="10:16">
      <c r="J383" s="5"/>
      <c r="L383">
        <f>TMTA!M383</f>
        <v>-0.463869488</v>
      </c>
      <c r="M383">
        <f>TMTA!N383</f>
        <v>37.700000000000003</v>
      </c>
      <c r="O383">
        <f>ABS(L383-TMTA!$C$34)</f>
        <v>0.38573446306761711</v>
      </c>
      <c r="P383">
        <f t="shared" si="6"/>
        <v>37.700000000000003</v>
      </c>
    </row>
    <row r="384" spans="10:16">
      <c r="J384" s="5"/>
      <c r="L384">
        <f>TMTA!M384</f>
        <v>-0.46275535200000001</v>
      </c>
      <c r="M384">
        <f>TMTA!N384</f>
        <v>37.799999999999997</v>
      </c>
      <c r="O384">
        <f>ABS(L384-TMTA!$C$34)</f>
        <v>0.38684859906761709</v>
      </c>
      <c r="P384">
        <f t="shared" si="6"/>
        <v>37.799999999999997</v>
      </c>
    </row>
    <row r="385" spans="10:16">
      <c r="J385" s="5"/>
      <c r="L385">
        <f>TMTA!M385</f>
        <v>-0.46231513600000002</v>
      </c>
      <c r="M385">
        <f>TMTA!N385</f>
        <v>37.9</v>
      </c>
      <c r="O385">
        <f>ABS(L385-TMTA!$C$34)</f>
        <v>0.38728881506761709</v>
      </c>
      <c r="P385">
        <f t="shared" si="6"/>
        <v>37.9</v>
      </c>
    </row>
    <row r="386" spans="10:16">
      <c r="J386" s="5"/>
      <c r="L386">
        <f>TMTA!M386</f>
        <v>-0.46187492000000002</v>
      </c>
      <c r="M386">
        <f>TMTA!N386</f>
        <v>38</v>
      </c>
      <c r="O386">
        <f>ABS(L386-TMTA!$C$34)</f>
        <v>0.38772903106761708</v>
      </c>
      <c r="P386">
        <f t="shared" si="6"/>
        <v>38</v>
      </c>
    </row>
    <row r="387" spans="10:16">
      <c r="J387" s="5"/>
      <c r="L387">
        <f>TMTA!M387</f>
        <v>-0.45844763199999999</v>
      </c>
      <c r="M387">
        <f>TMTA!N387</f>
        <v>38.1</v>
      </c>
      <c r="O387">
        <f>ABS(L387-TMTA!$C$34)</f>
        <v>0.39115631906761711</v>
      </c>
      <c r="P387">
        <f t="shared" si="6"/>
        <v>38.1</v>
      </c>
    </row>
    <row r="388" spans="10:16">
      <c r="J388" s="5"/>
      <c r="L388">
        <f>TMTA!M388</f>
        <v>-0.454680904</v>
      </c>
      <c r="M388">
        <f>TMTA!N388</f>
        <v>38.200000000000003</v>
      </c>
      <c r="O388">
        <f>ABS(L388-TMTA!$C$34)</f>
        <v>0.39492304706761711</v>
      </c>
      <c r="P388">
        <f t="shared" si="6"/>
        <v>38.200000000000003</v>
      </c>
    </row>
    <row r="389" spans="10:16">
      <c r="J389" s="5"/>
      <c r="L389">
        <f>TMTA!M389</f>
        <v>-0.45206827199999999</v>
      </c>
      <c r="M389">
        <f>TMTA!N389</f>
        <v>38.299999999999997</v>
      </c>
      <c r="O389">
        <f>ABS(L389-TMTA!$C$34)</f>
        <v>0.39753567906761711</v>
      </c>
      <c r="P389">
        <f t="shared" si="6"/>
        <v>38.299999999999997</v>
      </c>
    </row>
    <row r="390" spans="10:16">
      <c r="J390" s="5"/>
      <c r="L390">
        <f>TMTA!M390</f>
        <v>-0.451628056</v>
      </c>
      <c r="M390">
        <f>TMTA!N390</f>
        <v>38.4</v>
      </c>
      <c r="O390">
        <f>ABS(L390-TMTA!$C$34)</f>
        <v>0.3979758950676171</v>
      </c>
      <c r="P390">
        <f t="shared" si="6"/>
        <v>38.4</v>
      </c>
    </row>
    <row r="391" spans="10:16">
      <c r="J391" s="5"/>
      <c r="L391">
        <f>TMTA!M391</f>
        <v>-0.45118784000000001</v>
      </c>
      <c r="M391">
        <f>TMTA!N391</f>
        <v>38.5</v>
      </c>
      <c r="O391">
        <f>ABS(L391-TMTA!$C$34)</f>
        <v>0.3984161110676171</v>
      </c>
      <c r="P391">
        <f t="shared" ref="P391:P454" si="7">M391</f>
        <v>38.5</v>
      </c>
    </row>
    <row r="392" spans="10:16">
      <c r="J392" s="5"/>
      <c r="L392">
        <f>TMTA!M392</f>
        <v>-0.44272704000000002</v>
      </c>
      <c r="M392">
        <f>TMTA!N392</f>
        <v>38.6</v>
      </c>
      <c r="O392">
        <f>ABS(L392-TMTA!$C$34)</f>
        <v>0.40687691106761709</v>
      </c>
      <c r="P392">
        <f t="shared" si="7"/>
        <v>38.6</v>
      </c>
    </row>
    <row r="393" spans="10:16">
      <c r="J393" s="5"/>
      <c r="L393">
        <f>TMTA!M393</f>
        <v>-0.43220967999999998</v>
      </c>
      <c r="M393">
        <f>TMTA!N393</f>
        <v>38.700000000000003</v>
      </c>
      <c r="O393">
        <f>ABS(L393-TMTA!$C$34)</f>
        <v>0.41739427106761712</v>
      </c>
      <c r="P393">
        <f t="shared" si="7"/>
        <v>38.700000000000003</v>
      </c>
    </row>
    <row r="394" spans="10:16">
      <c r="J394" s="5"/>
      <c r="L394">
        <f>TMTA!M394</f>
        <v>-0.424160288</v>
      </c>
      <c r="M394">
        <f>TMTA!N394</f>
        <v>38.799999999999997</v>
      </c>
      <c r="O394">
        <f>ABS(L394-TMTA!$C$34)</f>
        <v>0.42544366306761711</v>
      </c>
      <c r="P394">
        <f t="shared" si="7"/>
        <v>38.799999999999997</v>
      </c>
    </row>
    <row r="395" spans="10:16">
      <c r="J395" s="5"/>
      <c r="L395">
        <f>TMTA!M395</f>
        <v>-0.42372046400000002</v>
      </c>
      <c r="M395">
        <f>TMTA!N395</f>
        <v>38.9</v>
      </c>
      <c r="O395">
        <f>ABS(L395-TMTA!$C$34)</f>
        <v>0.42588348706761708</v>
      </c>
      <c r="P395">
        <f t="shared" si="7"/>
        <v>38.9</v>
      </c>
    </row>
    <row r="396" spans="10:16">
      <c r="J396" s="5"/>
      <c r="L396">
        <f>TMTA!M396</f>
        <v>-0.42328063999999999</v>
      </c>
      <c r="M396">
        <f>TMTA!N396</f>
        <v>39</v>
      </c>
      <c r="O396">
        <f>ABS(L396-TMTA!$C$34)</f>
        <v>0.42632331106761712</v>
      </c>
      <c r="P396">
        <f t="shared" si="7"/>
        <v>39</v>
      </c>
    </row>
    <row r="397" spans="10:16">
      <c r="J397" s="5"/>
      <c r="L397">
        <f>TMTA!M397</f>
        <v>-0.42138099200000001</v>
      </c>
      <c r="M397">
        <f>TMTA!N397</f>
        <v>39.1</v>
      </c>
      <c r="O397">
        <f>ABS(L397-TMTA!$C$34)</f>
        <v>0.42822295906761709</v>
      </c>
      <c r="P397">
        <f t="shared" si="7"/>
        <v>39.1</v>
      </c>
    </row>
    <row r="398" spans="10:16">
      <c r="J398" s="5"/>
      <c r="L398">
        <f>TMTA!M398</f>
        <v>-0.41883730400000002</v>
      </c>
      <c r="M398">
        <f>TMTA!N398</f>
        <v>39.200000000000003</v>
      </c>
      <c r="O398">
        <f>ABS(L398-TMTA!$C$34)</f>
        <v>0.43076664706761708</v>
      </c>
      <c r="P398">
        <f t="shared" si="7"/>
        <v>39.200000000000003</v>
      </c>
    </row>
    <row r="399" spans="10:16">
      <c r="J399" s="5"/>
      <c r="L399">
        <f>TMTA!M399</f>
        <v>-0.416657</v>
      </c>
      <c r="M399">
        <f>TMTA!N399</f>
        <v>39.299999999999997</v>
      </c>
      <c r="O399">
        <f>ABS(L399-TMTA!$C$34)</f>
        <v>0.4329469510676171</v>
      </c>
      <c r="P399">
        <f t="shared" si="7"/>
        <v>39.299999999999997</v>
      </c>
    </row>
    <row r="400" spans="10:16">
      <c r="J400" s="5"/>
      <c r="L400">
        <f>TMTA!M400</f>
        <v>-0.416657</v>
      </c>
      <c r="M400">
        <f>TMTA!N400</f>
        <v>39.4</v>
      </c>
      <c r="O400">
        <f>ABS(L400-TMTA!$C$34)</f>
        <v>0.4329469510676171</v>
      </c>
      <c r="P400">
        <f t="shared" si="7"/>
        <v>39.4</v>
      </c>
    </row>
    <row r="401" spans="10:16">
      <c r="J401" s="5"/>
      <c r="L401">
        <f>TMTA!M401</f>
        <v>-0.416657</v>
      </c>
      <c r="M401">
        <f>TMTA!N401</f>
        <v>39.5</v>
      </c>
      <c r="O401">
        <f>ABS(L401-TMTA!$C$34)</f>
        <v>0.4329469510676171</v>
      </c>
      <c r="P401">
        <f t="shared" si="7"/>
        <v>39.5</v>
      </c>
    </row>
    <row r="402" spans="10:16">
      <c r="J402" s="5"/>
      <c r="L402">
        <f>TMTA!M402</f>
        <v>-0.41515178400000002</v>
      </c>
      <c r="M402">
        <f>TMTA!N402</f>
        <v>39.6</v>
      </c>
      <c r="O402">
        <f>ABS(L402-TMTA!$C$34)</f>
        <v>0.43445216706761708</v>
      </c>
      <c r="P402">
        <f t="shared" si="7"/>
        <v>39.6</v>
      </c>
    </row>
    <row r="403" spans="10:16">
      <c r="J403" s="5"/>
      <c r="L403">
        <f>TMTA!M403</f>
        <v>-0.412608488</v>
      </c>
      <c r="M403">
        <f>TMTA!N403</f>
        <v>39.700000000000003</v>
      </c>
      <c r="O403">
        <f>ABS(L403-TMTA!$C$34)</f>
        <v>0.43699546306761711</v>
      </c>
      <c r="P403">
        <f t="shared" si="7"/>
        <v>39.700000000000003</v>
      </c>
    </row>
    <row r="404" spans="10:16">
      <c r="J404" s="5"/>
      <c r="L404">
        <f>TMTA!M404</f>
        <v>-0.41001524</v>
      </c>
      <c r="M404">
        <f>TMTA!N404</f>
        <v>39.799999999999997</v>
      </c>
      <c r="O404">
        <f>ABS(L404-TMTA!$C$34)</f>
        <v>0.4395887110676171</v>
      </c>
      <c r="P404">
        <f t="shared" si="7"/>
        <v>39.799999999999997</v>
      </c>
    </row>
    <row r="405" spans="10:16">
      <c r="J405" s="5"/>
      <c r="L405">
        <f>TMTA!M405</f>
        <v>-0.40624811999999999</v>
      </c>
      <c r="M405">
        <f>TMTA!N405</f>
        <v>39.9</v>
      </c>
      <c r="O405">
        <f>ABS(L405-TMTA!$C$34)</f>
        <v>0.44335583106761711</v>
      </c>
      <c r="P405">
        <f t="shared" si="7"/>
        <v>39.9</v>
      </c>
    </row>
    <row r="406" spans="10:16">
      <c r="J406" s="5"/>
      <c r="L406">
        <f>TMTA!M406</f>
        <v>-0.40248099999999998</v>
      </c>
      <c r="M406">
        <f>TMTA!N406</f>
        <v>40</v>
      </c>
      <c r="O406">
        <f>ABS(L406-TMTA!$C$34)</f>
        <v>0.44712295106761712</v>
      </c>
      <c r="P406">
        <f t="shared" si="7"/>
        <v>40</v>
      </c>
    </row>
    <row r="407" spans="10:16">
      <c r="J407" s="5"/>
      <c r="L407">
        <f>TMTA!M407</f>
        <v>-0.398498456</v>
      </c>
      <c r="M407">
        <f>TMTA!N407</f>
        <v>40.1</v>
      </c>
      <c r="O407">
        <f>ABS(L407-TMTA!$C$34)</f>
        <v>0.4511054950676171</v>
      </c>
      <c r="P407">
        <f t="shared" si="7"/>
        <v>40.1</v>
      </c>
    </row>
    <row r="408" spans="10:16">
      <c r="J408" s="5"/>
      <c r="L408">
        <f>TMTA!M408</f>
        <v>-0.39429151200000001</v>
      </c>
      <c r="M408">
        <f>TMTA!N408</f>
        <v>40.200000000000003</v>
      </c>
      <c r="O408">
        <f>ABS(L408-TMTA!$C$34)</f>
        <v>0.45531243906761709</v>
      </c>
      <c r="P408">
        <f t="shared" si="7"/>
        <v>40.200000000000003</v>
      </c>
    </row>
    <row r="409" spans="10:16">
      <c r="J409" s="5"/>
      <c r="L409">
        <f>TMTA!M409</f>
        <v>-0.39008456800000002</v>
      </c>
      <c r="M409">
        <f>TMTA!N409</f>
        <v>40.299999999999997</v>
      </c>
      <c r="O409">
        <f>ABS(L409-TMTA!$C$34)</f>
        <v>0.45951938306761708</v>
      </c>
      <c r="P409">
        <f t="shared" si="7"/>
        <v>40.299999999999997</v>
      </c>
    </row>
    <row r="410" spans="10:16">
      <c r="J410" s="5"/>
      <c r="L410">
        <f>TMTA!M410</f>
        <v>-0.38702615200000001</v>
      </c>
      <c r="M410">
        <f>TMTA!N410</f>
        <v>40.4</v>
      </c>
      <c r="O410">
        <f>ABS(L410-TMTA!$C$34)</f>
        <v>0.46257779906761709</v>
      </c>
      <c r="P410">
        <f t="shared" si="7"/>
        <v>40.4</v>
      </c>
    </row>
    <row r="411" spans="10:16">
      <c r="J411" s="5"/>
      <c r="L411">
        <f>TMTA!M411</f>
        <v>-0.38404263999999999</v>
      </c>
      <c r="M411">
        <f>TMTA!N411</f>
        <v>40.5</v>
      </c>
      <c r="O411">
        <f>ABS(L411-TMTA!$C$34)</f>
        <v>0.46556131106761711</v>
      </c>
      <c r="P411">
        <f t="shared" si="7"/>
        <v>40.5</v>
      </c>
    </row>
    <row r="412" spans="10:16">
      <c r="J412" s="5"/>
      <c r="L412">
        <f>TMTA!M412</f>
        <v>-0.38157106400000002</v>
      </c>
      <c r="M412">
        <f>TMTA!N412</f>
        <v>40.6</v>
      </c>
      <c r="O412">
        <f>ABS(L412-TMTA!$C$34)</f>
        <v>0.46803288706761709</v>
      </c>
      <c r="P412">
        <f t="shared" si="7"/>
        <v>40.6</v>
      </c>
    </row>
    <row r="413" spans="10:16">
      <c r="J413" s="5"/>
      <c r="L413">
        <f>TMTA!M413</f>
        <v>-0.37990780800000001</v>
      </c>
      <c r="M413">
        <f>TMTA!N413</f>
        <v>40.700000000000003</v>
      </c>
      <c r="O413">
        <f>ABS(L413-TMTA!$C$34)</f>
        <v>0.46969614306761709</v>
      </c>
      <c r="P413">
        <f t="shared" si="7"/>
        <v>40.700000000000003</v>
      </c>
    </row>
    <row r="414" spans="10:16">
      <c r="J414" s="5"/>
      <c r="L414">
        <f>TMTA!M414</f>
        <v>-0.37824455200000001</v>
      </c>
      <c r="M414">
        <f>TMTA!N414</f>
        <v>40.799999999999997</v>
      </c>
      <c r="O414">
        <f>ABS(L414-TMTA!$C$34)</f>
        <v>0.47135939906761709</v>
      </c>
      <c r="P414">
        <f t="shared" si="7"/>
        <v>40.799999999999997</v>
      </c>
    </row>
    <row r="415" spans="10:16">
      <c r="J415" s="5"/>
      <c r="L415">
        <f>TMTA!M415</f>
        <v>-0.37760465599999998</v>
      </c>
      <c r="M415">
        <f>TMTA!N415</f>
        <v>40.9</v>
      </c>
      <c r="O415">
        <f>ABS(L415-TMTA!$C$34)</f>
        <v>0.47199929506761712</v>
      </c>
      <c r="P415">
        <f t="shared" si="7"/>
        <v>40.9</v>
      </c>
    </row>
    <row r="416" spans="10:16">
      <c r="J416" s="5"/>
      <c r="L416">
        <f>TMTA!M416</f>
        <v>-0.37716443999999999</v>
      </c>
      <c r="M416">
        <f>TMTA!N416</f>
        <v>41</v>
      </c>
      <c r="O416">
        <f>ABS(L416-TMTA!$C$34)</f>
        <v>0.47243951106761711</v>
      </c>
      <c r="P416">
        <f t="shared" si="7"/>
        <v>41</v>
      </c>
    </row>
    <row r="417" spans="10:16">
      <c r="J417" s="5"/>
      <c r="L417">
        <f>TMTA!M417</f>
        <v>-0.376249008</v>
      </c>
      <c r="M417">
        <f>TMTA!N417</f>
        <v>41.1</v>
      </c>
      <c r="O417">
        <f>ABS(L417-TMTA!$C$34)</f>
        <v>0.47335494306761711</v>
      </c>
      <c r="P417">
        <f t="shared" si="7"/>
        <v>41.1</v>
      </c>
    </row>
    <row r="418" spans="10:16">
      <c r="J418" s="5"/>
      <c r="L418">
        <f>TMTA!M418</f>
        <v>-0.374145536</v>
      </c>
      <c r="M418">
        <f>TMTA!N418</f>
        <v>41.2</v>
      </c>
      <c r="O418">
        <f>ABS(L418-TMTA!$C$34)</f>
        <v>0.4754584150676171</v>
      </c>
      <c r="P418">
        <f t="shared" si="7"/>
        <v>41.2</v>
      </c>
    </row>
    <row r="419" spans="10:16">
      <c r="J419" s="5"/>
      <c r="L419">
        <f>TMTA!M419</f>
        <v>-0.37204206400000001</v>
      </c>
      <c r="M419">
        <f>TMTA!N419</f>
        <v>41.3</v>
      </c>
      <c r="O419">
        <f>ABS(L419-TMTA!$C$34)</f>
        <v>0.4775618870676171</v>
      </c>
      <c r="P419">
        <f t="shared" si="7"/>
        <v>41.3</v>
      </c>
    </row>
    <row r="420" spans="10:16">
      <c r="J420" s="5"/>
      <c r="L420">
        <f>TMTA!M420</f>
        <v>-0.37026201600000003</v>
      </c>
      <c r="M420">
        <f>TMTA!N420</f>
        <v>41.4</v>
      </c>
      <c r="O420">
        <f>ABS(L420-TMTA!$C$34)</f>
        <v>0.47934193506761708</v>
      </c>
      <c r="P420">
        <f t="shared" si="7"/>
        <v>41.4</v>
      </c>
    </row>
    <row r="421" spans="10:16">
      <c r="J421" s="5"/>
      <c r="L421">
        <f>TMTA!M421</f>
        <v>-0.36859876000000003</v>
      </c>
      <c r="M421">
        <f>TMTA!N421</f>
        <v>41.5</v>
      </c>
      <c r="O421">
        <f>ABS(L421-TMTA!$C$34)</f>
        <v>0.48100519106761708</v>
      </c>
      <c r="P421">
        <f t="shared" si="7"/>
        <v>41.5</v>
      </c>
    </row>
    <row r="422" spans="10:16">
      <c r="J422" s="5"/>
      <c r="L422">
        <f>TMTA!M422</f>
        <v>-0.36646829600000003</v>
      </c>
      <c r="M422">
        <f>TMTA!N422</f>
        <v>41.6</v>
      </c>
      <c r="O422">
        <f>ABS(L422-TMTA!$C$34)</f>
        <v>0.48313565506761708</v>
      </c>
      <c r="P422">
        <f t="shared" si="7"/>
        <v>41.6</v>
      </c>
    </row>
    <row r="423" spans="10:16">
      <c r="J423" s="5"/>
      <c r="L423">
        <f>TMTA!M423</f>
        <v>-0.36226135199999998</v>
      </c>
      <c r="M423">
        <f>TMTA!N423</f>
        <v>41.7</v>
      </c>
      <c r="O423">
        <f>ABS(L423-TMTA!$C$34)</f>
        <v>0.48734259906761712</v>
      </c>
      <c r="P423">
        <f t="shared" si="7"/>
        <v>41.7</v>
      </c>
    </row>
    <row r="424" spans="10:16">
      <c r="J424" s="5"/>
      <c r="L424">
        <f>TMTA!M424</f>
        <v>-0.35805440799999999</v>
      </c>
      <c r="M424">
        <f>TMTA!N424</f>
        <v>41.8</v>
      </c>
      <c r="O424">
        <f>ABS(L424-TMTA!$C$34)</f>
        <v>0.49154954306761711</v>
      </c>
      <c r="P424">
        <f t="shared" si="7"/>
        <v>41.8</v>
      </c>
    </row>
    <row r="425" spans="10:16">
      <c r="J425" s="5"/>
      <c r="L425">
        <f>TMTA!M425</f>
        <v>-0.35623049600000001</v>
      </c>
      <c r="M425">
        <f>TMTA!N425</f>
        <v>41.9</v>
      </c>
      <c r="O425">
        <f>ABS(L425-TMTA!$C$34)</f>
        <v>0.49337345506761709</v>
      </c>
      <c r="P425">
        <f t="shared" si="7"/>
        <v>41.9</v>
      </c>
    </row>
    <row r="426" spans="10:16">
      <c r="J426" s="5"/>
      <c r="L426">
        <f>TMTA!M426</f>
        <v>-0.35579028000000001</v>
      </c>
      <c r="M426">
        <f>TMTA!N426</f>
        <v>42</v>
      </c>
      <c r="O426">
        <f>ABS(L426-TMTA!$C$34)</f>
        <v>0.49381367106761709</v>
      </c>
      <c r="P426">
        <f t="shared" si="7"/>
        <v>42</v>
      </c>
    </row>
    <row r="427" spans="10:16">
      <c r="J427" s="5"/>
      <c r="L427">
        <f>TMTA!M427</f>
        <v>-0.35517838400000001</v>
      </c>
      <c r="M427">
        <f>TMTA!N427</f>
        <v>42.1</v>
      </c>
      <c r="O427">
        <f>ABS(L427-TMTA!$C$34)</f>
        <v>0.49442556706761709</v>
      </c>
      <c r="P427">
        <f t="shared" si="7"/>
        <v>42.1</v>
      </c>
    </row>
    <row r="428" spans="10:16">
      <c r="J428" s="5"/>
      <c r="L428">
        <f>TMTA!M428</f>
        <v>-0.35263508799999999</v>
      </c>
      <c r="M428">
        <f>TMTA!N428</f>
        <v>42.2</v>
      </c>
      <c r="O428">
        <f>ABS(L428-TMTA!$C$34)</f>
        <v>0.49696886306761712</v>
      </c>
      <c r="P428">
        <f t="shared" si="7"/>
        <v>42.2</v>
      </c>
    </row>
    <row r="429" spans="10:16">
      <c r="J429" s="5"/>
      <c r="L429">
        <f>TMTA!M429</f>
        <v>-0.35009179200000001</v>
      </c>
      <c r="M429">
        <f>TMTA!N429</f>
        <v>42.3</v>
      </c>
      <c r="O429">
        <f>ABS(L429-TMTA!$C$34)</f>
        <v>0.49951215906761709</v>
      </c>
      <c r="P429">
        <f t="shared" si="7"/>
        <v>42.3</v>
      </c>
    </row>
    <row r="430" spans="10:16">
      <c r="J430" s="5"/>
      <c r="L430">
        <f>TMTA!M430</f>
        <v>-0.348015248</v>
      </c>
      <c r="M430">
        <f>TMTA!N430</f>
        <v>42.4</v>
      </c>
      <c r="O430">
        <f>ABS(L430-TMTA!$C$34)</f>
        <v>0.50158870306761716</v>
      </c>
      <c r="P430">
        <f t="shared" si="7"/>
        <v>42.4</v>
      </c>
    </row>
    <row r="431" spans="10:16">
      <c r="J431" s="5"/>
      <c r="L431">
        <f>TMTA!M431</f>
        <v>-0.34635159999999998</v>
      </c>
      <c r="M431">
        <f>TMTA!N431</f>
        <v>42.5</v>
      </c>
      <c r="O431">
        <f>ABS(L431-TMTA!$C$34)</f>
        <v>0.50325235106761712</v>
      </c>
      <c r="P431">
        <f t="shared" si="7"/>
        <v>42.5</v>
      </c>
    </row>
    <row r="432" spans="10:16">
      <c r="J432" s="5"/>
      <c r="L432">
        <f>TMTA!M432</f>
        <v>-0.34468795200000002</v>
      </c>
      <c r="M432">
        <f>TMTA!N432</f>
        <v>42.6</v>
      </c>
      <c r="O432">
        <f>ABS(L432-TMTA!$C$34)</f>
        <v>0.50491599906761708</v>
      </c>
      <c r="P432">
        <f t="shared" si="7"/>
        <v>42.6</v>
      </c>
    </row>
    <row r="433" spans="10:16">
      <c r="J433" s="5"/>
      <c r="L433">
        <f>TMTA!M433</f>
        <v>-0.34422315199999998</v>
      </c>
      <c r="M433">
        <f>TMTA!N433</f>
        <v>42.7</v>
      </c>
      <c r="O433">
        <f>ABS(L433-TMTA!$C$34)</f>
        <v>0.50538079906761713</v>
      </c>
      <c r="P433">
        <f t="shared" si="7"/>
        <v>42.7</v>
      </c>
    </row>
    <row r="434" spans="10:16">
      <c r="J434" s="5"/>
      <c r="L434">
        <f>TMTA!M434</f>
        <v>-0.343783328</v>
      </c>
      <c r="M434">
        <f>TMTA!N434</f>
        <v>42.8</v>
      </c>
      <c r="O434">
        <f>ABS(L434-TMTA!$C$34)</f>
        <v>0.5058206230676171</v>
      </c>
      <c r="P434">
        <f t="shared" si="7"/>
        <v>42.8</v>
      </c>
    </row>
    <row r="435" spans="10:16">
      <c r="J435" s="5"/>
      <c r="L435">
        <f>TMTA!M435</f>
        <v>-0.34172902399999999</v>
      </c>
      <c r="M435">
        <f>TMTA!N435</f>
        <v>42.9</v>
      </c>
      <c r="O435">
        <f>ABS(L435-TMTA!$C$34)</f>
        <v>0.50787492706761705</v>
      </c>
      <c r="P435">
        <f t="shared" si="7"/>
        <v>42.9</v>
      </c>
    </row>
    <row r="436" spans="10:16">
      <c r="J436" s="5"/>
      <c r="L436">
        <f>TMTA!M436</f>
        <v>-0.33752208</v>
      </c>
      <c r="M436">
        <f>TMTA!N436</f>
        <v>43</v>
      </c>
      <c r="O436">
        <f>ABS(L436-TMTA!$C$34)</f>
        <v>0.51208187106761716</v>
      </c>
      <c r="P436">
        <f t="shared" si="7"/>
        <v>43</v>
      </c>
    </row>
    <row r="437" spans="10:16">
      <c r="J437" s="5"/>
      <c r="L437">
        <f>TMTA!M437</f>
        <v>-0.33331513600000001</v>
      </c>
      <c r="M437">
        <f>TMTA!N437</f>
        <v>43.1</v>
      </c>
      <c r="O437">
        <f>ABS(L437-TMTA!$C$34)</f>
        <v>0.51628881506761704</v>
      </c>
      <c r="P437">
        <f t="shared" si="7"/>
        <v>43.1</v>
      </c>
    </row>
    <row r="438" spans="10:16">
      <c r="J438" s="5"/>
      <c r="L438">
        <f>TMTA!M438</f>
        <v>-0.33279999999999998</v>
      </c>
      <c r="M438">
        <f>TMTA!N438</f>
        <v>43.2</v>
      </c>
      <c r="O438">
        <f>ABS(L438-TMTA!$C$34)</f>
        <v>0.51680395106761712</v>
      </c>
      <c r="P438">
        <f t="shared" si="7"/>
        <v>43.2</v>
      </c>
    </row>
    <row r="439" spans="10:16">
      <c r="J439" s="5"/>
      <c r="L439">
        <f>TMTA!M439</f>
        <v>-0.33279999999999998</v>
      </c>
      <c r="M439">
        <f>TMTA!N439</f>
        <v>43.3</v>
      </c>
      <c r="O439">
        <f>ABS(L439-TMTA!$C$34)</f>
        <v>0.51680395106761712</v>
      </c>
      <c r="P439">
        <f t="shared" si="7"/>
        <v>43.3</v>
      </c>
    </row>
    <row r="440" spans="10:16">
      <c r="J440" s="5"/>
      <c r="L440">
        <f>TMTA!M440</f>
        <v>-0.33059571199999999</v>
      </c>
      <c r="M440">
        <f>TMTA!N440</f>
        <v>43.4</v>
      </c>
      <c r="O440">
        <f>ABS(L440-TMTA!$C$34)</f>
        <v>0.51900823906761717</v>
      </c>
      <c r="P440">
        <f t="shared" si="7"/>
        <v>43.4</v>
      </c>
    </row>
    <row r="441" spans="10:16">
      <c r="J441" s="5"/>
      <c r="L441">
        <f>TMTA!M441</f>
        <v>-0.32384508000000001</v>
      </c>
      <c r="M441">
        <f>TMTA!N441</f>
        <v>43.5</v>
      </c>
      <c r="O441">
        <f>ABS(L441-TMTA!$C$34)</f>
        <v>0.5257588710676171</v>
      </c>
      <c r="P441">
        <f t="shared" si="7"/>
        <v>43.5</v>
      </c>
    </row>
    <row r="442" spans="10:16">
      <c r="J442" s="5"/>
      <c r="L442">
        <f>TMTA!M442</f>
        <v>-0.31709444799999997</v>
      </c>
      <c r="M442">
        <f>TMTA!N442</f>
        <v>43.6</v>
      </c>
      <c r="O442">
        <f>ABS(L442-TMTA!$C$34)</f>
        <v>0.53250950306761713</v>
      </c>
      <c r="P442">
        <f t="shared" si="7"/>
        <v>43.6</v>
      </c>
    </row>
    <row r="443" spans="10:16">
      <c r="J443" s="5"/>
      <c r="L443">
        <f>TMTA!M443</f>
        <v>-0.31034412</v>
      </c>
      <c r="M443">
        <f>TMTA!N443</f>
        <v>43.7</v>
      </c>
      <c r="O443">
        <f>ABS(L443-TMTA!$C$34)</f>
        <v>0.5392598310676171</v>
      </c>
      <c r="P443">
        <f t="shared" si="7"/>
        <v>43.7</v>
      </c>
    </row>
    <row r="444" spans="10:16">
      <c r="J444" s="5"/>
      <c r="L444">
        <f>TMTA!M444</f>
        <v>-0.30359387999999998</v>
      </c>
      <c r="M444">
        <f>TMTA!N444</f>
        <v>43.8</v>
      </c>
      <c r="O444">
        <f>ABS(L444-TMTA!$C$34)</f>
        <v>0.54601007106761712</v>
      </c>
      <c r="P444">
        <f t="shared" si="7"/>
        <v>43.8</v>
      </c>
    </row>
    <row r="445" spans="10:16">
      <c r="J445" s="5"/>
      <c r="L445">
        <f>TMTA!M445</f>
        <v>-0.29835899999999999</v>
      </c>
      <c r="M445">
        <f>TMTA!N445</f>
        <v>43.9</v>
      </c>
      <c r="O445">
        <f>ABS(L445-TMTA!$C$34)</f>
        <v>0.55124495106761717</v>
      </c>
      <c r="P445">
        <f t="shared" si="7"/>
        <v>43.9</v>
      </c>
    </row>
    <row r="446" spans="10:16">
      <c r="J446" s="5"/>
      <c r="L446">
        <f>TMTA!M446</f>
        <v>-0.29835899999999999</v>
      </c>
      <c r="M446">
        <f>TMTA!N446</f>
        <v>44</v>
      </c>
      <c r="O446">
        <f>ABS(L446-TMTA!$C$34)</f>
        <v>0.55124495106761717</v>
      </c>
      <c r="P446">
        <f t="shared" si="7"/>
        <v>44</v>
      </c>
    </row>
    <row r="447" spans="10:16">
      <c r="J447" s="5"/>
      <c r="L447">
        <f>TMTA!M447</f>
        <v>-0.29835899999999999</v>
      </c>
      <c r="M447">
        <f>TMTA!N447</f>
        <v>44.1</v>
      </c>
      <c r="O447">
        <f>ABS(L447-TMTA!$C$34)</f>
        <v>0.55124495106761717</v>
      </c>
      <c r="P447">
        <f t="shared" si="7"/>
        <v>44.1</v>
      </c>
    </row>
    <row r="448" spans="10:16">
      <c r="J448" s="5"/>
      <c r="L448">
        <f>TMTA!M448</f>
        <v>-0.29723858399999997</v>
      </c>
      <c r="M448">
        <f>TMTA!N448</f>
        <v>44.2</v>
      </c>
      <c r="O448">
        <f>ABS(L448-TMTA!$C$34)</f>
        <v>0.55236536706761719</v>
      </c>
      <c r="P448">
        <f t="shared" si="7"/>
        <v>44.2</v>
      </c>
    </row>
    <row r="449" spans="10:16">
      <c r="J449" s="5"/>
      <c r="L449">
        <f>TMTA!M449</f>
        <v>-0.29557493600000001</v>
      </c>
      <c r="M449">
        <f>TMTA!N449</f>
        <v>44.3</v>
      </c>
      <c r="O449">
        <f>ABS(L449-TMTA!$C$34)</f>
        <v>0.55402901506761704</v>
      </c>
      <c r="P449">
        <f t="shared" si="7"/>
        <v>44.3</v>
      </c>
    </row>
    <row r="450" spans="10:16">
      <c r="J450" s="5"/>
      <c r="L450">
        <f>TMTA!M450</f>
        <v>-0.294061144</v>
      </c>
      <c r="M450">
        <f>TMTA!N450</f>
        <v>44.4</v>
      </c>
      <c r="O450">
        <f>ABS(L450-TMTA!$C$34)</f>
        <v>0.55554280706761716</v>
      </c>
      <c r="P450">
        <f t="shared" si="7"/>
        <v>44.4</v>
      </c>
    </row>
    <row r="451" spans="10:16">
      <c r="J451" s="5"/>
      <c r="L451">
        <f>TMTA!M451</f>
        <v>-0.29362132000000002</v>
      </c>
      <c r="M451">
        <f>TMTA!N451</f>
        <v>44.5</v>
      </c>
      <c r="O451">
        <f>ABS(L451-TMTA!$C$34)</f>
        <v>0.55598263106761703</v>
      </c>
      <c r="P451">
        <f t="shared" si="7"/>
        <v>44.5</v>
      </c>
    </row>
    <row r="452" spans="10:16">
      <c r="J452" s="5"/>
      <c r="L452">
        <f>TMTA!M452</f>
        <v>-0.29318149599999999</v>
      </c>
      <c r="M452">
        <f>TMTA!N452</f>
        <v>44.6</v>
      </c>
      <c r="O452">
        <f>ABS(L452-TMTA!$C$34)</f>
        <v>0.55642245506761712</v>
      </c>
      <c r="P452">
        <f t="shared" si="7"/>
        <v>44.6</v>
      </c>
    </row>
    <row r="453" spans="10:16">
      <c r="J453" s="5"/>
      <c r="L453">
        <f>TMTA!M453</f>
        <v>-0.292993</v>
      </c>
      <c r="M453">
        <f>TMTA!N453</f>
        <v>44.7</v>
      </c>
      <c r="O453">
        <f>ABS(L453-TMTA!$C$34)</f>
        <v>0.55661095106761715</v>
      </c>
      <c r="P453">
        <f t="shared" si="7"/>
        <v>44.7</v>
      </c>
    </row>
    <row r="454" spans="10:16">
      <c r="J454" s="5"/>
      <c r="L454">
        <f>TMTA!M454</f>
        <v>-0.292993</v>
      </c>
      <c r="M454">
        <f>TMTA!N454</f>
        <v>44.8</v>
      </c>
      <c r="O454">
        <f>ABS(L454-TMTA!$C$34)</f>
        <v>0.55661095106761715</v>
      </c>
      <c r="P454">
        <f t="shared" si="7"/>
        <v>44.8</v>
      </c>
    </row>
    <row r="455" spans="10:16">
      <c r="J455" s="5"/>
      <c r="L455">
        <f>TMTA!M455</f>
        <v>-0.29285523200000002</v>
      </c>
      <c r="M455">
        <f>TMTA!N455</f>
        <v>44.9</v>
      </c>
      <c r="O455">
        <f>ABS(L455-TMTA!$C$34)</f>
        <v>0.55674871906761703</v>
      </c>
      <c r="P455">
        <f t="shared" ref="P455:P518" si="8">M455</f>
        <v>44.9</v>
      </c>
    </row>
    <row r="456" spans="10:16">
      <c r="J456" s="5"/>
      <c r="L456">
        <f>TMTA!M456</f>
        <v>-0.28610459999999999</v>
      </c>
      <c r="M456">
        <f>TMTA!N456</f>
        <v>45</v>
      </c>
      <c r="O456">
        <f>ABS(L456-TMTA!$C$34)</f>
        <v>0.56349935106761717</v>
      </c>
      <c r="P456">
        <f t="shared" si="8"/>
        <v>45</v>
      </c>
    </row>
    <row r="457" spans="10:16">
      <c r="J457" s="5"/>
      <c r="L457">
        <f>TMTA!M457</f>
        <v>-0.27935396800000001</v>
      </c>
      <c r="M457">
        <f>TMTA!N457</f>
        <v>45.1</v>
      </c>
      <c r="O457">
        <f>ABS(L457-TMTA!$C$34)</f>
        <v>0.57024998306761709</v>
      </c>
      <c r="P457">
        <f t="shared" si="8"/>
        <v>45.1</v>
      </c>
    </row>
    <row r="458" spans="10:16">
      <c r="J458" s="5"/>
      <c r="L458">
        <f>TMTA!M458</f>
        <v>-0.274991288</v>
      </c>
      <c r="M458">
        <f>TMTA!N458</f>
        <v>45.2</v>
      </c>
      <c r="O458">
        <f>ABS(L458-TMTA!$C$34)</f>
        <v>0.57461266306761716</v>
      </c>
      <c r="P458">
        <f t="shared" si="8"/>
        <v>45.2</v>
      </c>
    </row>
    <row r="459" spans="10:16">
      <c r="J459" s="5"/>
      <c r="L459">
        <f>TMTA!M459</f>
        <v>-0.273328032</v>
      </c>
      <c r="M459">
        <f>TMTA!N459</f>
        <v>45.3</v>
      </c>
      <c r="O459">
        <f>ABS(L459-TMTA!$C$34)</f>
        <v>0.5762759190676171</v>
      </c>
      <c r="P459">
        <f t="shared" si="8"/>
        <v>45.3</v>
      </c>
    </row>
    <row r="460" spans="10:16">
      <c r="J460" s="5"/>
      <c r="L460">
        <f>TMTA!M460</f>
        <v>-0.271664776</v>
      </c>
      <c r="M460">
        <f>TMTA!N460</f>
        <v>45.4</v>
      </c>
      <c r="O460">
        <f>ABS(L460-TMTA!$C$34)</f>
        <v>0.57793917506761705</v>
      </c>
      <c r="P460">
        <f t="shared" si="8"/>
        <v>45.4</v>
      </c>
    </row>
    <row r="461" spans="10:16">
      <c r="J461" s="5"/>
      <c r="L461">
        <f>TMTA!M461</f>
        <v>-0.27112471999999999</v>
      </c>
      <c r="M461">
        <f>TMTA!N461</f>
        <v>45.5</v>
      </c>
      <c r="O461">
        <f>ABS(L461-TMTA!$C$34)</f>
        <v>0.57847923106761712</v>
      </c>
      <c r="P461">
        <f t="shared" si="8"/>
        <v>45.5</v>
      </c>
    </row>
    <row r="462" spans="10:16">
      <c r="J462" s="5"/>
      <c r="L462">
        <f>TMTA!M462</f>
        <v>-0.27068450399999999</v>
      </c>
      <c r="M462">
        <f>TMTA!N462</f>
        <v>45.6</v>
      </c>
      <c r="O462">
        <f>ABS(L462-TMTA!$C$34)</f>
        <v>0.57891944706761711</v>
      </c>
      <c r="P462">
        <f t="shared" si="8"/>
        <v>45.6</v>
      </c>
    </row>
    <row r="463" spans="10:16">
      <c r="J463" s="5"/>
      <c r="L463">
        <f>TMTA!M463</f>
        <v>-0.26560820800000001</v>
      </c>
      <c r="M463">
        <f>TMTA!N463</f>
        <v>45.7</v>
      </c>
      <c r="O463">
        <f>ABS(L463-TMTA!$C$34)</f>
        <v>0.58399574306761703</v>
      </c>
      <c r="P463">
        <f t="shared" si="8"/>
        <v>45.7</v>
      </c>
    </row>
    <row r="464" spans="10:16">
      <c r="J464" s="5"/>
      <c r="L464">
        <f>TMTA!M464</f>
        <v>-0.25254755200000001</v>
      </c>
      <c r="M464">
        <f>TMTA!N464</f>
        <v>45.8</v>
      </c>
      <c r="O464">
        <f>ABS(L464-TMTA!$C$34)</f>
        <v>0.59705639906761709</v>
      </c>
      <c r="P464">
        <f t="shared" si="8"/>
        <v>45.8</v>
      </c>
    </row>
    <row r="465" spans="10:16">
      <c r="J465" s="5"/>
      <c r="L465">
        <f>TMTA!M465</f>
        <v>-0.239486896</v>
      </c>
      <c r="M465">
        <f>TMTA!N465</f>
        <v>45.9</v>
      </c>
      <c r="O465">
        <f>ABS(L465-TMTA!$C$34)</f>
        <v>0.61011705506761715</v>
      </c>
      <c r="P465">
        <f t="shared" si="8"/>
        <v>45.9</v>
      </c>
    </row>
    <row r="466" spans="10:16">
      <c r="J466" s="5"/>
      <c r="L466">
        <f>TMTA!M466</f>
        <v>-0.23501152</v>
      </c>
      <c r="M466">
        <f>TMTA!N466</f>
        <v>46</v>
      </c>
      <c r="O466">
        <f>ABS(L466-TMTA!$C$34)</f>
        <v>0.61459243106761707</v>
      </c>
      <c r="P466">
        <f t="shared" si="8"/>
        <v>46</v>
      </c>
    </row>
    <row r="467" spans="10:16">
      <c r="J467" s="5"/>
      <c r="L467">
        <f>TMTA!M467</f>
        <v>-0.23246783200000001</v>
      </c>
      <c r="M467">
        <f>TMTA!N467</f>
        <v>46.1</v>
      </c>
      <c r="O467">
        <f>ABS(L467-TMTA!$C$34)</f>
        <v>0.61713611906761712</v>
      </c>
      <c r="P467">
        <f t="shared" si="8"/>
        <v>46.1</v>
      </c>
    </row>
    <row r="468" spans="10:16">
      <c r="J468" s="5"/>
      <c r="L468">
        <f>TMTA!M468</f>
        <v>-0.22959966400000001</v>
      </c>
      <c r="M468">
        <f>TMTA!N468</f>
        <v>46.2</v>
      </c>
      <c r="O468">
        <f>ABS(L468-TMTA!$C$34)</f>
        <v>0.62000428706761712</v>
      </c>
      <c r="P468">
        <f t="shared" si="8"/>
        <v>46.2</v>
      </c>
    </row>
    <row r="469" spans="10:16">
      <c r="J469" s="5"/>
      <c r="L469">
        <f>TMTA!M469</f>
        <v>-0.22583293600000001</v>
      </c>
      <c r="M469">
        <f>TMTA!N469</f>
        <v>46.3</v>
      </c>
      <c r="O469">
        <f>ABS(L469-TMTA!$C$34)</f>
        <v>0.62377101506761712</v>
      </c>
      <c r="P469">
        <f t="shared" si="8"/>
        <v>46.3</v>
      </c>
    </row>
    <row r="470" spans="10:16">
      <c r="J470" s="5"/>
      <c r="L470">
        <f>TMTA!M470</f>
        <v>-0.22206620799999999</v>
      </c>
      <c r="M470">
        <f>TMTA!N470</f>
        <v>46.4</v>
      </c>
      <c r="O470">
        <f>ABS(L470-TMTA!$C$34)</f>
        <v>0.62753774306761712</v>
      </c>
      <c r="P470">
        <f t="shared" si="8"/>
        <v>46.4</v>
      </c>
    </row>
    <row r="471" spans="10:16">
      <c r="J471" s="5"/>
      <c r="L471">
        <f>TMTA!M471</f>
        <v>-0.22067555999999999</v>
      </c>
      <c r="M471">
        <f>TMTA!N471</f>
        <v>46.5</v>
      </c>
      <c r="O471">
        <f>ABS(L471-TMTA!$C$34)</f>
        <v>0.62892839106761711</v>
      </c>
      <c r="P471">
        <f t="shared" si="8"/>
        <v>46.5</v>
      </c>
    </row>
    <row r="472" spans="10:16">
      <c r="J472" s="5"/>
      <c r="L472">
        <f>TMTA!M472</f>
        <v>-0.220235344</v>
      </c>
      <c r="M472">
        <f>TMTA!N472</f>
        <v>46.6</v>
      </c>
      <c r="O472">
        <f>ABS(L472-TMTA!$C$34)</f>
        <v>0.6293686070676171</v>
      </c>
      <c r="P472">
        <f t="shared" si="8"/>
        <v>46.6</v>
      </c>
    </row>
    <row r="473" spans="10:16">
      <c r="J473" s="5"/>
      <c r="L473">
        <f>TMTA!M473</f>
        <v>-0.219523576</v>
      </c>
      <c r="M473">
        <f>TMTA!N473</f>
        <v>46.7</v>
      </c>
      <c r="O473">
        <f>ABS(L473-TMTA!$C$34)</f>
        <v>0.63008037506761716</v>
      </c>
      <c r="P473">
        <f t="shared" si="8"/>
        <v>46.7</v>
      </c>
    </row>
    <row r="474" spans="10:16">
      <c r="J474" s="5"/>
      <c r="L474">
        <f>TMTA!M474</f>
        <v>-0.217420104</v>
      </c>
      <c r="M474">
        <f>TMTA!N474</f>
        <v>46.8</v>
      </c>
      <c r="O474">
        <f>ABS(L474-TMTA!$C$34)</f>
        <v>0.6321838470676171</v>
      </c>
      <c r="P474">
        <f t="shared" si="8"/>
        <v>46.8</v>
      </c>
    </row>
    <row r="475" spans="10:16">
      <c r="J475" s="5"/>
      <c r="L475">
        <f>TMTA!M475</f>
        <v>-0.21531663200000001</v>
      </c>
      <c r="M475">
        <f>TMTA!N475</f>
        <v>46.9</v>
      </c>
      <c r="O475">
        <f>ABS(L475-TMTA!$C$34)</f>
        <v>0.63428731906761704</v>
      </c>
      <c r="P475">
        <f t="shared" si="8"/>
        <v>46.9</v>
      </c>
    </row>
    <row r="476" spans="10:16">
      <c r="J476" s="5"/>
      <c r="L476">
        <f>TMTA!M476</f>
        <v>-0.21165603999999999</v>
      </c>
      <c r="M476">
        <f>TMTA!N476</f>
        <v>47</v>
      </c>
      <c r="O476">
        <f>ABS(L476-TMTA!$C$34)</f>
        <v>0.63794791106761717</v>
      </c>
      <c r="P476">
        <f t="shared" si="8"/>
        <v>47</v>
      </c>
    </row>
    <row r="477" spans="10:16">
      <c r="J477" s="5"/>
      <c r="L477">
        <f>TMTA!M477</f>
        <v>-0.20700927199999999</v>
      </c>
      <c r="M477">
        <f>TMTA!N477</f>
        <v>47.1</v>
      </c>
      <c r="O477">
        <f>ABS(L477-TMTA!$C$34)</f>
        <v>0.64259467906761714</v>
      </c>
      <c r="P477">
        <f t="shared" si="8"/>
        <v>47.1</v>
      </c>
    </row>
    <row r="478" spans="10:16">
      <c r="J478" s="5"/>
      <c r="L478">
        <f>TMTA!M478</f>
        <v>-0.20213186399999999</v>
      </c>
      <c r="M478">
        <f>TMTA!N478</f>
        <v>47.2</v>
      </c>
      <c r="O478">
        <f>ABS(L478-TMTA!$C$34)</f>
        <v>0.64747208706761716</v>
      </c>
      <c r="P478">
        <f t="shared" si="8"/>
        <v>47.2</v>
      </c>
    </row>
    <row r="479" spans="10:16">
      <c r="J479" s="5"/>
      <c r="L479">
        <f>TMTA!M479</f>
        <v>-0.19371797599999899</v>
      </c>
      <c r="M479">
        <f>TMTA!N479</f>
        <v>47.3</v>
      </c>
      <c r="O479">
        <f>ABS(L479-TMTA!$C$34)</f>
        <v>0.65588597506761814</v>
      </c>
      <c r="P479">
        <f t="shared" si="8"/>
        <v>47.3</v>
      </c>
    </row>
    <row r="480" spans="10:16">
      <c r="J480" s="5"/>
      <c r="L480">
        <f>TMTA!M480</f>
        <v>-0.18530408800000001</v>
      </c>
      <c r="M480">
        <f>TMTA!N480</f>
        <v>47.4</v>
      </c>
      <c r="O480">
        <f>ABS(L480-TMTA!$C$34)</f>
        <v>0.66429986306761712</v>
      </c>
      <c r="P480">
        <f t="shared" si="8"/>
        <v>47.4</v>
      </c>
    </row>
    <row r="481" spans="10:16">
      <c r="J481" s="5"/>
      <c r="L481">
        <f>TMTA!M481</f>
        <v>-0.18118300000000001</v>
      </c>
      <c r="M481">
        <f>TMTA!N481</f>
        <v>47.5</v>
      </c>
      <c r="O481">
        <f>ABS(L481-TMTA!$C$34)</f>
        <v>0.66842095106761712</v>
      </c>
      <c r="P481">
        <f t="shared" si="8"/>
        <v>47.5</v>
      </c>
    </row>
    <row r="482" spans="10:16">
      <c r="J482" s="5"/>
      <c r="L482">
        <f>TMTA!M482</f>
        <v>-0.18118300000000001</v>
      </c>
      <c r="M482">
        <f>TMTA!N482</f>
        <v>47.6</v>
      </c>
      <c r="O482">
        <f>ABS(L482-TMTA!$C$34)</f>
        <v>0.66842095106761712</v>
      </c>
      <c r="P482">
        <f t="shared" si="8"/>
        <v>47.6</v>
      </c>
    </row>
    <row r="483" spans="10:16">
      <c r="J483" s="5"/>
      <c r="L483">
        <f>TMTA!M483</f>
        <v>-0.18118300000000001</v>
      </c>
      <c r="M483">
        <f>TMTA!N483</f>
        <v>47.7</v>
      </c>
      <c r="O483">
        <f>ABS(L483-TMTA!$C$34)</f>
        <v>0.66842095106761712</v>
      </c>
      <c r="P483">
        <f t="shared" si="8"/>
        <v>47.7</v>
      </c>
    </row>
    <row r="484" spans="10:16">
      <c r="J484" s="5"/>
      <c r="L484">
        <f>TMTA!M484</f>
        <v>-0.17916538400000001</v>
      </c>
      <c r="M484">
        <f>TMTA!N484</f>
        <v>47.8</v>
      </c>
      <c r="O484">
        <f>ABS(L484-TMTA!$C$34)</f>
        <v>0.67043856706761706</v>
      </c>
      <c r="P484">
        <f t="shared" si="8"/>
        <v>47.8</v>
      </c>
    </row>
    <row r="485" spans="10:16">
      <c r="J485" s="5"/>
      <c r="L485">
        <f>TMTA!M485</f>
        <v>-0.17706191199999999</v>
      </c>
      <c r="M485">
        <f>TMTA!N485</f>
        <v>47.9</v>
      </c>
      <c r="O485">
        <f>ABS(L485-TMTA!$C$34)</f>
        <v>0.67254203906761711</v>
      </c>
      <c r="P485">
        <f t="shared" si="8"/>
        <v>47.9</v>
      </c>
    </row>
    <row r="486" spans="10:16">
      <c r="J486" s="5"/>
      <c r="L486">
        <f>TMTA!M486</f>
        <v>-0.17563732000000001</v>
      </c>
      <c r="M486">
        <f>TMTA!N486</f>
        <v>48</v>
      </c>
      <c r="O486">
        <f>ABS(L486-TMTA!$C$34)</f>
        <v>0.67396663106761712</v>
      </c>
      <c r="P486">
        <f t="shared" si="8"/>
        <v>48</v>
      </c>
    </row>
    <row r="487" spans="10:16">
      <c r="J487" s="5"/>
      <c r="L487">
        <f>TMTA!M487</f>
        <v>-0.17519710399999999</v>
      </c>
      <c r="M487">
        <f>TMTA!N487</f>
        <v>48.1</v>
      </c>
      <c r="O487">
        <f>ABS(L487-TMTA!$C$34)</f>
        <v>0.67440684706761711</v>
      </c>
      <c r="P487">
        <f t="shared" si="8"/>
        <v>48.1</v>
      </c>
    </row>
    <row r="488" spans="10:16">
      <c r="J488" s="5"/>
      <c r="L488">
        <f>TMTA!M488</f>
        <v>-0.174756888</v>
      </c>
      <c r="M488">
        <f>TMTA!N488</f>
        <v>48.2</v>
      </c>
      <c r="O488">
        <f>ABS(L488-TMTA!$C$34)</f>
        <v>0.6748470630676171</v>
      </c>
      <c r="P488">
        <f t="shared" si="8"/>
        <v>48.2</v>
      </c>
    </row>
    <row r="489" spans="10:16">
      <c r="J489" s="5"/>
      <c r="L489">
        <f>TMTA!M489</f>
        <v>-0.17469399999999999</v>
      </c>
      <c r="M489">
        <f>TMTA!N489</f>
        <v>48.3</v>
      </c>
      <c r="O489">
        <f>ABS(L489-TMTA!$C$34)</f>
        <v>0.67490995106761709</v>
      </c>
      <c r="P489">
        <f t="shared" si="8"/>
        <v>48.3</v>
      </c>
    </row>
    <row r="490" spans="10:16">
      <c r="J490" s="5"/>
      <c r="L490">
        <f>TMTA!M490</f>
        <v>-0.17469399999999999</v>
      </c>
      <c r="M490">
        <f>TMTA!N490</f>
        <v>48.4</v>
      </c>
      <c r="O490">
        <f>ABS(L490-TMTA!$C$34)</f>
        <v>0.67490995106761709</v>
      </c>
      <c r="P490">
        <f t="shared" si="8"/>
        <v>48.4</v>
      </c>
    </row>
    <row r="491" spans="10:16">
      <c r="J491" s="5"/>
      <c r="L491">
        <f>TMTA!M491</f>
        <v>-0.17340616</v>
      </c>
      <c r="M491">
        <f>TMTA!N491</f>
        <v>48.5</v>
      </c>
      <c r="O491">
        <f>ABS(L491-TMTA!$C$34)</f>
        <v>0.67619779106761713</v>
      </c>
      <c r="P491">
        <f t="shared" si="8"/>
        <v>48.5</v>
      </c>
    </row>
    <row r="492" spans="10:16">
      <c r="J492" s="5"/>
      <c r="L492">
        <f>TMTA!M492</f>
        <v>-0.16919921600000001</v>
      </c>
      <c r="M492">
        <f>TMTA!N492</f>
        <v>48.6</v>
      </c>
      <c r="O492">
        <f>ABS(L492-TMTA!$C$34)</f>
        <v>0.68040473506761712</v>
      </c>
      <c r="P492">
        <f t="shared" si="8"/>
        <v>48.6</v>
      </c>
    </row>
    <row r="493" spans="10:16">
      <c r="J493" s="5"/>
      <c r="L493">
        <f>TMTA!M493</f>
        <v>-0.164992272</v>
      </c>
      <c r="M493">
        <f>TMTA!N493</f>
        <v>48.7</v>
      </c>
      <c r="O493">
        <f>ABS(L493-TMTA!$C$34)</f>
        <v>0.68461167906761711</v>
      </c>
      <c r="P493">
        <f t="shared" si="8"/>
        <v>48.7</v>
      </c>
    </row>
    <row r="494" spans="10:16">
      <c r="J494" s="5"/>
      <c r="L494">
        <f>TMTA!M494</f>
        <v>-0.163962</v>
      </c>
      <c r="M494">
        <f>TMTA!N494</f>
        <v>48.8</v>
      </c>
      <c r="O494">
        <f>ABS(L494-TMTA!$C$34)</f>
        <v>0.68564195106761705</v>
      </c>
      <c r="P494">
        <f t="shared" si="8"/>
        <v>48.8</v>
      </c>
    </row>
    <row r="495" spans="10:16">
      <c r="J495" s="5"/>
      <c r="L495">
        <f>TMTA!M495</f>
        <v>-0.163962</v>
      </c>
      <c r="M495">
        <f>TMTA!N495</f>
        <v>48.9</v>
      </c>
      <c r="O495">
        <f>ABS(L495-TMTA!$C$34)</f>
        <v>0.68564195106761705</v>
      </c>
      <c r="P495">
        <f t="shared" si="8"/>
        <v>48.9</v>
      </c>
    </row>
    <row r="496" spans="10:16">
      <c r="J496" s="5"/>
      <c r="L496">
        <f>TMTA!M496</f>
        <v>-0.16387224</v>
      </c>
      <c r="M496">
        <f>TMTA!N496</f>
        <v>49</v>
      </c>
      <c r="O496">
        <f>ABS(L496-TMTA!$C$34)</f>
        <v>0.6857317110676171</v>
      </c>
      <c r="P496">
        <f t="shared" si="8"/>
        <v>49</v>
      </c>
    </row>
    <row r="497" spans="10:16">
      <c r="J497" s="5"/>
      <c r="L497">
        <f>TMTA!M497</f>
        <v>-0.163432416</v>
      </c>
      <c r="M497">
        <f>TMTA!N497</f>
        <v>49.1</v>
      </c>
      <c r="O497">
        <f>ABS(L497-TMTA!$C$34)</f>
        <v>0.68617153506761708</v>
      </c>
      <c r="P497">
        <f t="shared" si="8"/>
        <v>49.1</v>
      </c>
    </row>
    <row r="498" spans="10:16">
      <c r="J498" s="5"/>
      <c r="L498">
        <f>TMTA!M498</f>
        <v>-0.16299259199999999</v>
      </c>
      <c r="M498">
        <f>TMTA!N498</f>
        <v>49.2</v>
      </c>
      <c r="O498">
        <f>ABS(L498-TMTA!$C$34)</f>
        <v>0.68661135906761706</v>
      </c>
      <c r="P498">
        <f t="shared" si="8"/>
        <v>49.2</v>
      </c>
    </row>
    <row r="499" spans="10:16">
      <c r="J499" s="5"/>
      <c r="L499">
        <f>TMTA!M499</f>
        <v>-0.161753536</v>
      </c>
      <c r="M499">
        <f>TMTA!N499</f>
        <v>49.3</v>
      </c>
      <c r="O499">
        <f>ABS(L499-TMTA!$C$34)</f>
        <v>0.68785041506761713</v>
      </c>
      <c r="P499">
        <f t="shared" si="8"/>
        <v>49.3</v>
      </c>
    </row>
    <row r="500" spans="10:16">
      <c r="J500" s="5"/>
      <c r="L500">
        <f>TMTA!M500</f>
        <v>-0.16008988800000001</v>
      </c>
      <c r="M500">
        <f>TMTA!N500</f>
        <v>49.4</v>
      </c>
      <c r="O500">
        <f>ABS(L500-TMTA!$C$34)</f>
        <v>0.68951406306761709</v>
      </c>
      <c r="P500">
        <f t="shared" si="8"/>
        <v>49.4</v>
      </c>
    </row>
    <row r="501" spans="10:16">
      <c r="J501" s="5"/>
      <c r="L501">
        <f>TMTA!M501</f>
        <v>-0.15795207999999999</v>
      </c>
      <c r="M501">
        <f>TMTA!N501</f>
        <v>49.5</v>
      </c>
      <c r="O501">
        <f>ABS(L501-TMTA!$C$34)</f>
        <v>0.69165187106761716</v>
      </c>
      <c r="P501">
        <f t="shared" si="8"/>
        <v>49.5</v>
      </c>
    </row>
    <row r="502" spans="10:16">
      <c r="J502" s="5"/>
      <c r="L502">
        <f>TMTA!M502</f>
        <v>-0.15164166400000001</v>
      </c>
      <c r="M502">
        <f>TMTA!N502</f>
        <v>49.6</v>
      </c>
      <c r="O502">
        <f>ABS(L502-TMTA!$C$34)</f>
        <v>0.69796228706761709</v>
      </c>
      <c r="P502">
        <f t="shared" si="8"/>
        <v>49.6</v>
      </c>
    </row>
    <row r="503" spans="10:16">
      <c r="J503" s="5"/>
      <c r="L503">
        <f>TMTA!M503</f>
        <v>-0.145331248</v>
      </c>
      <c r="M503">
        <f>TMTA!N503</f>
        <v>49.7</v>
      </c>
      <c r="O503">
        <f>ABS(L503-TMTA!$C$34)</f>
        <v>0.70427270306761713</v>
      </c>
      <c r="P503">
        <f t="shared" si="8"/>
        <v>49.7</v>
      </c>
    </row>
    <row r="504" spans="10:16">
      <c r="J504" s="5"/>
      <c r="L504">
        <f>TMTA!M504</f>
        <v>-0.14225564800000001</v>
      </c>
      <c r="M504">
        <f>TMTA!N504</f>
        <v>49.8</v>
      </c>
      <c r="O504">
        <f>ABS(L504-TMTA!$C$34)</f>
        <v>0.70734830306761709</v>
      </c>
      <c r="P504">
        <f t="shared" si="8"/>
        <v>49.8</v>
      </c>
    </row>
    <row r="505" spans="10:16">
      <c r="J505" s="5"/>
      <c r="L505">
        <f>TMTA!M505</f>
        <v>-0.14181582400000001</v>
      </c>
      <c r="M505">
        <f>TMTA!N505</f>
        <v>49.9</v>
      </c>
      <c r="O505">
        <f>ABS(L505-TMTA!$C$34)</f>
        <v>0.70778812706761707</v>
      </c>
      <c r="P505">
        <f t="shared" si="8"/>
        <v>49.9</v>
      </c>
    </row>
    <row r="506" spans="10:16">
      <c r="J506" s="5"/>
      <c r="L506">
        <f>TMTA!M506</f>
        <v>-0.141376</v>
      </c>
      <c r="M506">
        <f>TMTA!N506</f>
        <v>50</v>
      </c>
      <c r="O506">
        <f>ABS(L506-TMTA!$C$34)</f>
        <v>0.70822795106761705</v>
      </c>
      <c r="P506">
        <f t="shared" si="8"/>
        <v>50</v>
      </c>
    </row>
    <row r="507" spans="10:16">
      <c r="J507" s="5"/>
      <c r="L507">
        <f>TMTA!M507</f>
        <v>-0.13672883999999999</v>
      </c>
      <c r="M507">
        <f>TMTA!N507</f>
        <v>50.1</v>
      </c>
      <c r="O507">
        <f>ABS(L507-TMTA!$C$34)</f>
        <v>0.71287511106761714</v>
      </c>
      <c r="P507">
        <f t="shared" si="8"/>
        <v>50.1</v>
      </c>
    </row>
    <row r="508" spans="10:16">
      <c r="J508" s="5"/>
      <c r="L508">
        <f>TMTA!M508</f>
        <v>-0.13208168000000001</v>
      </c>
      <c r="M508">
        <f>TMTA!N508</f>
        <v>50.2</v>
      </c>
      <c r="O508">
        <f>ABS(L508-TMTA!$C$34)</f>
        <v>0.71752227106761712</v>
      </c>
      <c r="P508">
        <f t="shared" si="8"/>
        <v>50.2</v>
      </c>
    </row>
    <row r="509" spans="10:16">
      <c r="J509" s="5"/>
      <c r="L509">
        <f>TMTA!M509</f>
        <v>-0.12857658399999999</v>
      </c>
      <c r="M509">
        <f>TMTA!N509</f>
        <v>50.3</v>
      </c>
      <c r="O509">
        <f>ABS(L509-TMTA!$C$34)</f>
        <v>0.72102736706761705</v>
      </c>
      <c r="P509">
        <f t="shared" si="8"/>
        <v>50.3</v>
      </c>
    </row>
    <row r="510" spans="10:16">
      <c r="J510" s="5"/>
      <c r="L510">
        <f>TMTA!M510</f>
        <v>-0.126473112</v>
      </c>
      <c r="M510">
        <f>TMTA!N510</f>
        <v>50.4</v>
      </c>
      <c r="O510">
        <f>ABS(L510-TMTA!$C$34)</f>
        <v>0.7231308390676171</v>
      </c>
      <c r="P510">
        <f t="shared" si="8"/>
        <v>50.4</v>
      </c>
    </row>
    <row r="511" spans="10:16">
      <c r="J511" s="5"/>
      <c r="L511">
        <f>TMTA!M511</f>
        <v>-0.12436964</v>
      </c>
      <c r="M511">
        <f>TMTA!N511</f>
        <v>50.5</v>
      </c>
      <c r="O511">
        <f>ABS(L511-TMTA!$C$34)</f>
        <v>0.72523431106761715</v>
      </c>
      <c r="P511">
        <f t="shared" si="8"/>
        <v>50.5</v>
      </c>
    </row>
    <row r="512" spans="10:16">
      <c r="J512" s="5"/>
      <c r="L512">
        <f>TMTA!M512</f>
        <v>-0.124155</v>
      </c>
      <c r="M512">
        <f>TMTA!N512</f>
        <v>50.6</v>
      </c>
      <c r="O512">
        <f>ABS(L512-TMTA!$C$34)</f>
        <v>0.72544895106761709</v>
      </c>
      <c r="P512">
        <f t="shared" si="8"/>
        <v>50.6</v>
      </c>
    </row>
    <row r="513" spans="10:16">
      <c r="J513" s="5"/>
      <c r="L513">
        <f>TMTA!M513</f>
        <v>-0.124155</v>
      </c>
      <c r="M513">
        <f>TMTA!N513</f>
        <v>50.7</v>
      </c>
      <c r="O513">
        <f>ABS(L513-TMTA!$C$34)</f>
        <v>0.72544895106761709</v>
      </c>
      <c r="P513">
        <f t="shared" si="8"/>
        <v>50.7</v>
      </c>
    </row>
    <row r="514" spans="10:16">
      <c r="J514" s="5"/>
      <c r="L514">
        <f>TMTA!M514</f>
        <v>-0.123577952</v>
      </c>
      <c r="M514">
        <f>TMTA!N514</f>
        <v>50.8</v>
      </c>
      <c r="O514">
        <f>ABS(L514-TMTA!$C$34)</f>
        <v>0.72602599906761711</v>
      </c>
      <c r="P514">
        <f t="shared" si="8"/>
        <v>50.8</v>
      </c>
    </row>
    <row r="515" spans="10:16">
      <c r="J515" s="5"/>
      <c r="L515">
        <f>TMTA!M515</f>
        <v>-0.121914696</v>
      </c>
      <c r="M515">
        <f>TMTA!N515</f>
        <v>50.9</v>
      </c>
      <c r="O515">
        <f>ABS(L515-TMTA!$C$34)</f>
        <v>0.72768925506761706</v>
      </c>
      <c r="P515">
        <f t="shared" si="8"/>
        <v>50.9</v>
      </c>
    </row>
    <row r="516" spans="10:16">
      <c r="J516" s="5"/>
      <c r="L516">
        <f>TMTA!M516</f>
        <v>-0.12025144</v>
      </c>
      <c r="M516">
        <f>TMTA!N516</f>
        <v>51</v>
      </c>
      <c r="O516">
        <f>ABS(L516-TMTA!$C$34)</f>
        <v>0.72935251106761712</v>
      </c>
      <c r="P516">
        <f t="shared" si="8"/>
        <v>51</v>
      </c>
    </row>
    <row r="517" spans="10:16">
      <c r="J517" s="5"/>
      <c r="L517">
        <f>TMTA!M517</f>
        <v>-0.11621324</v>
      </c>
      <c r="M517">
        <f>TMTA!N517</f>
        <v>51.1</v>
      </c>
      <c r="O517">
        <f>ABS(L517-TMTA!$C$34)</f>
        <v>0.73339071106761711</v>
      </c>
      <c r="P517">
        <f t="shared" si="8"/>
        <v>51.1</v>
      </c>
    </row>
    <row r="518" spans="10:16">
      <c r="J518" s="5"/>
      <c r="L518">
        <f>TMTA!M518</f>
        <v>-0.11156608</v>
      </c>
      <c r="M518">
        <f>TMTA!N518</f>
        <v>51.2</v>
      </c>
      <c r="O518">
        <f>ABS(L518-TMTA!$C$34)</f>
        <v>0.73803787106761709</v>
      </c>
      <c r="P518">
        <f t="shared" si="8"/>
        <v>51.2</v>
      </c>
    </row>
    <row r="519" spans="10:16">
      <c r="J519" s="5"/>
      <c r="L519">
        <f>TMTA!M519</f>
        <v>-0.107026728</v>
      </c>
      <c r="M519">
        <f>TMTA!N519</f>
        <v>51.3</v>
      </c>
      <c r="O519">
        <f>ABS(L519-TMTA!$C$34)</f>
        <v>0.74257722306761709</v>
      </c>
      <c r="P519">
        <f t="shared" ref="P519:P582" si="9">M519</f>
        <v>51.3</v>
      </c>
    </row>
    <row r="520" spans="10:16">
      <c r="J520" s="5"/>
      <c r="L520">
        <f>TMTA!M520</f>
        <v>-0.102819784</v>
      </c>
      <c r="M520">
        <f>TMTA!N520</f>
        <v>51.4</v>
      </c>
      <c r="O520">
        <f>ABS(L520-TMTA!$C$34)</f>
        <v>0.74678416706761708</v>
      </c>
      <c r="P520">
        <f t="shared" si="9"/>
        <v>51.4</v>
      </c>
    </row>
    <row r="521" spans="10:16">
      <c r="J521" s="5"/>
      <c r="L521">
        <f>TMTA!M521</f>
        <v>-9.8612839999999993E-2</v>
      </c>
      <c r="M521">
        <f>TMTA!N521</f>
        <v>51.5</v>
      </c>
      <c r="O521">
        <f>ABS(L521-TMTA!$C$34)</f>
        <v>0.75099111106761707</v>
      </c>
      <c r="P521">
        <f t="shared" si="9"/>
        <v>51.5</v>
      </c>
    </row>
    <row r="522" spans="10:16">
      <c r="J522" s="5"/>
      <c r="L522">
        <f>TMTA!M522</f>
        <v>-9.2641160000000097E-2</v>
      </c>
      <c r="M522">
        <f>TMTA!N522</f>
        <v>51.6</v>
      </c>
      <c r="O522">
        <f>ABS(L522-TMTA!$C$34)</f>
        <v>0.75696279106761699</v>
      </c>
      <c r="P522">
        <f t="shared" si="9"/>
        <v>51.6</v>
      </c>
    </row>
    <row r="523" spans="10:16">
      <c r="J523" s="5"/>
      <c r="L523">
        <f>TMTA!M523</f>
        <v>-8.5890919999999704E-2</v>
      </c>
      <c r="M523">
        <f>TMTA!N523</f>
        <v>51.7</v>
      </c>
      <c r="O523">
        <f>ABS(L523-TMTA!$C$34)</f>
        <v>0.76371303106761745</v>
      </c>
      <c r="P523">
        <f t="shared" si="9"/>
        <v>51.7</v>
      </c>
    </row>
    <row r="524" spans="10:16">
      <c r="J524" s="5"/>
      <c r="L524">
        <f>TMTA!M524</f>
        <v>-7.9804503999999901E-2</v>
      </c>
      <c r="M524">
        <f>TMTA!N524</f>
        <v>51.8</v>
      </c>
      <c r="O524">
        <f>ABS(L524-TMTA!$C$34)</f>
        <v>0.76979944706761716</v>
      </c>
      <c r="P524">
        <f t="shared" si="9"/>
        <v>51.8</v>
      </c>
    </row>
    <row r="525" spans="10:16">
      <c r="J525" s="5"/>
      <c r="L525">
        <f>TMTA!M525</f>
        <v>-7.7701031999999906E-2</v>
      </c>
      <c r="M525">
        <f>TMTA!N525</f>
        <v>51.9</v>
      </c>
      <c r="O525">
        <f>ABS(L525-TMTA!$C$34)</f>
        <v>0.77190291906761721</v>
      </c>
      <c r="P525">
        <f t="shared" si="9"/>
        <v>51.9</v>
      </c>
    </row>
    <row r="526" spans="10:16">
      <c r="J526" s="5"/>
      <c r="L526">
        <f>TMTA!M526</f>
        <v>-7.5597559999999994E-2</v>
      </c>
      <c r="M526">
        <f>TMTA!N526</f>
        <v>52</v>
      </c>
      <c r="O526">
        <f>ABS(L526-TMTA!$C$34)</f>
        <v>0.77400639106761715</v>
      </c>
      <c r="P526">
        <f t="shared" si="9"/>
        <v>52</v>
      </c>
    </row>
    <row r="527" spans="10:16">
      <c r="J527" s="5"/>
      <c r="L527">
        <f>TMTA!M527</f>
        <v>-7.4739E-2</v>
      </c>
      <c r="M527">
        <f>TMTA!N527</f>
        <v>52.1</v>
      </c>
      <c r="O527">
        <f>ABS(L527-TMTA!$C$34)</f>
        <v>0.7748649510676171</v>
      </c>
      <c r="P527">
        <f t="shared" si="9"/>
        <v>52.1</v>
      </c>
    </row>
    <row r="528" spans="10:16">
      <c r="J528" s="5"/>
      <c r="L528">
        <f>TMTA!M528</f>
        <v>-7.4739E-2</v>
      </c>
      <c r="M528">
        <f>TMTA!N528</f>
        <v>52.2</v>
      </c>
      <c r="O528">
        <f>ABS(L528-TMTA!$C$34)</f>
        <v>0.7748649510676171</v>
      </c>
      <c r="P528">
        <f t="shared" si="9"/>
        <v>52.2</v>
      </c>
    </row>
    <row r="529" spans="10:16">
      <c r="J529" s="5"/>
      <c r="L529">
        <f>TMTA!M529</f>
        <v>-7.4617223999999899E-2</v>
      </c>
      <c r="M529">
        <f>TMTA!N529</f>
        <v>52.3</v>
      </c>
      <c r="O529">
        <f>ABS(L529-TMTA!$C$34)</f>
        <v>0.77498672706761718</v>
      </c>
      <c r="P529">
        <f t="shared" si="9"/>
        <v>52.3</v>
      </c>
    </row>
    <row r="530" spans="10:16">
      <c r="J530" s="5"/>
      <c r="L530">
        <f>TMTA!M530</f>
        <v>-7.1633711999999905E-2</v>
      </c>
      <c r="M530">
        <f>TMTA!N530</f>
        <v>52.4</v>
      </c>
      <c r="O530">
        <f>ABS(L530-TMTA!$C$34)</f>
        <v>0.7779702390676172</v>
      </c>
      <c r="P530">
        <f t="shared" si="9"/>
        <v>52.4</v>
      </c>
    </row>
    <row r="531" spans="10:16">
      <c r="J531" s="5"/>
      <c r="L531">
        <f>TMTA!M531</f>
        <v>-6.8650199999999897E-2</v>
      </c>
      <c r="M531">
        <f>TMTA!N531</f>
        <v>52.5</v>
      </c>
      <c r="O531">
        <f>ABS(L531-TMTA!$C$34)</f>
        <v>0.78095375106761722</v>
      </c>
      <c r="P531">
        <f t="shared" si="9"/>
        <v>52.5</v>
      </c>
    </row>
    <row r="532" spans="10:16">
      <c r="J532" s="5"/>
      <c r="L532">
        <f>TMTA!M532</f>
        <v>-6.4252607999999906E-2</v>
      </c>
      <c r="M532">
        <f>TMTA!N532</f>
        <v>52.6</v>
      </c>
      <c r="O532">
        <f>ABS(L532-TMTA!$C$34)</f>
        <v>0.78535134306761722</v>
      </c>
      <c r="P532">
        <f t="shared" si="9"/>
        <v>52.6</v>
      </c>
    </row>
    <row r="533" spans="10:16">
      <c r="J533" s="5"/>
      <c r="L533">
        <f>TMTA!M533</f>
        <v>-5.8382016000000002E-2</v>
      </c>
      <c r="M533">
        <f>TMTA!N533</f>
        <v>52.7</v>
      </c>
      <c r="O533">
        <f>ABS(L533-TMTA!$C$34)</f>
        <v>0.79122193506761707</v>
      </c>
      <c r="P533">
        <f t="shared" si="9"/>
        <v>52.7</v>
      </c>
    </row>
    <row r="534" spans="10:16">
      <c r="J534" s="5"/>
      <c r="L534">
        <f>TMTA!M534</f>
        <v>-5.2511424000000001E-2</v>
      </c>
      <c r="M534">
        <f>TMTA!N534</f>
        <v>52.8</v>
      </c>
      <c r="O534">
        <f>ABS(L534-TMTA!$C$34)</f>
        <v>0.79709252706761713</v>
      </c>
      <c r="P534">
        <f t="shared" si="9"/>
        <v>52.8</v>
      </c>
    </row>
    <row r="535" spans="10:16">
      <c r="J535" s="5"/>
      <c r="L535">
        <f>TMTA!M535</f>
        <v>-5.1739104000000001E-2</v>
      </c>
      <c r="M535">
        <f>TMTA!N535</f>
        <v>52.9</v>
      </c>
      <c r="O535">
        <f>ABS(L535-TMTA!$C$34)</f>
        <v>0.79786484706761707</v>
      </c>
      <c r="P535">
        <f t="shared" si="9"/>
        <v>52.9</v>
      </c>
    </row>
    <row r="536" spans="10:16">
      <c r="J536" s="5"/>
      <c r="L536">
        <f>TMTA!M536</f>
        <v>-5.1299280000000003E-2</v>
      </c>
      <c r="M536">
        <f>TMTA!N536</f>
        <v>53</v>
      </c>
      <c r="O536">
        <f>ABS(L536-TMTA!$C$34)</f>
        <v>0.79830467106761716</v>
      </c>
      <c r="P536">
        <f t="shared" si="9"/>
        <v>53</v>
      </c>
    </row>
    <row r="537" spans="10:16">
      <c r="J537" s="5"/>
      <c r="L537">
        <f>TMTA!M537</f>
        <v>-5.0214367999999898E-2</v>
      </c>
      <c r="M537">
        <f>TMTA!N537</f>
        <v>53.1</v>
      </c>
      <c r="O537">
        <f>ABS(L537-TMTA!$C$34)</f>
        <v>0.7993895830676172</v>
      </c>
      <c r="P537">
        <f t="shared" si="9"/>
        <v>53.1</v>
      </c>
    </row>
    <row r="538" spans="10:16">
      <c r="J538" s="5"/>
      <c r="L538">
        <f>TMTA!M538</f>
        <v>-4.8110895999999903E-2</v>
      </c>
      <c r="M538">
        <f>TMTA!N538</f>
        <v>53.2</v>
      </c>
      <c r="O538">
        <f>ABS(L538-TMTA!$C$34)</f>
        <v>0.80149305506761714</v>
      </c>
      <c r="P538">
        <f t="shared" si="9"/>
        <v>53.2</v>
      </c>
    </row>
    <row r="539" spans="10:16">
      <c r="J539" s="5"/>
      <c r="L539">
        <f>TMTA!M539</f>
        <v>-4.6007423999999998E-2</v>
      </c>
      <c r="M539">
        <f>TMTA!N539</f>
        <v>53.3</v>
      </c>
      <c r="O539">
        <f>ABS(L539-TMTA!$C$34)</f>
        <v>0.80359652706761708</v>
      </c>
      <c r="P539">
        <f t="shared" si="9"/>
        <v>53.3</v>
      </c>
    </row>
    <row r="540" spans="10:16">
      <c r="J540" s="5"/>
      <c r="L540">
        <f>TMTA!M540</f>
        <v>-4.5664000000000003E-2</v>
      </c>
      <c r="M540">
        <f>TMTA!N540</f>
        <v>53.4</v>
      </c>
      <c r="O540">
        <f>ABS(L540-TMTA!$C$34)</f>
        <v>0.80393995106761706</v>
      </c>
      <c r="P540">
        <f t="shared" si="9"/>
        <v>53.4</v>
      </c>
    </row>
    <row r="541" spans="10:16">
      <c r="J541" s="5"/>
      <c r="L541">
        <f>TMTA!M541</f>
        <v>-4.5664000000000003E-2</v>
      </c>
      <c r="M541">
        <f>TMTA!N541</f>
        <v>53.5</v>
      </c>
      <c r="O541">
        <f>ABS(L541-TMTA!$C$34)</f>
        <v>0.80393995106761706</v>
      </c>
      <c r="P541">
        <f t="shared" si="9"/>
        <v>53.5</v>
      </c>
    </row>
    <row r="542" spans="10:16">
      <c r="J542" s="5"/>
      <c r="L542">
        <f>TMTA!M542</f>
        <v>-4.5063007999999898E-2</v>
      </c>
      <c r="M542">
        <f>TMTA!N542</f>
        <v>53.6</v>
      </c>
      <c r="O542">
        <f>ABS(L542-TMTA!$C$34)</f>
        <v>0.80454094306761725</v>
      </c>
      <c r="P542">
        <f t="shared" si="9"/>
        <v>53.6</v>
      </c>
    </row>
    <row r="543" spans="10:16">
      <c r="J543" s="5"/>
      <c r="L543">
        <f>TMTA!M543</f>
        <v>-4.2959535999999902E-2</v>
      </c>
      <c r="M543">
        <f>TMTA!N543</f>
        <v>53.7</v>
      </c>
      <c r="O543">
        <f>ABS(L543-TMTA!$C$34)</f>
        <v>0.80664441506761719</v>
      </c>
      <c r="P543">
        <f t="shared" si="9"/>
        <v>53.7</v>
      </c>
    </row>
    <row r="544" spans="10:16">
      <c r="J544" s="5"/>
      <c r="L544">
        <f>TMTA!M544</f>
        <v>-4.08560639999999E-2</v>
      </c>
      <c r="M544">
        <f>TMTA!N544</f>
        <v>53.8</v>
      </c>
      <c r="O544">
        <f>ABS(L544-TMTA!$C$34)</f>
        <v>0.80874788706761724</v>
      </c>
      <c r="P544">
        <f t="shared" si="9"/>
        <v>53.8</v>
      </c>
    </row>
    <row r="545" spans="10:16">
      <c r="J545" s="5"/>
      <c r="L545">
        <f>TMTA!M545</f>
        <v>-3.8752591999999898E-2</v>
      </c>
      <c r="M545">
        <f>TMTA!N545</f>
        <v>53.9</v>
      </c>
      <c r="O545">
        <f>ABS(L545-TMTA!$C$34)</f>
        <v>0.81085135906761718</v>
      </c>
      <c r="P545">
        <f t="shared" si="9"/>
        <v>53.9</v>
      </c>
    </row>
    <row r="546" spans="10:16">
      <c r="J546" s="5"/>
      <c r="L546">
        <f>TMTA!M546</f>
        <v>-3.664912E-2</v>
      </c>
      <c r="M546">
        <f>TMTA!N546</f>
        <v>54</v>
      </c>
      <c r="O546">
        <f>ABS(L546-TMTA!$C$34)</f>
        <v>0.81295483106761712</v>
      </c>
      <c r="P546">
        <f t="shared" si="9"/>
        <v>54</v>
      </c>
    </row>
    <row r="547" spans="10:16">
      <c r="J547" s="5"/>
      <c r="L547">
        <f>TMTA!M547</f>
        <v>-3.4851144000000001E-2</v>
      </c>
      <c r="M547">
        <f>TMTA!N547</f>
        <v>54.1</v>
      </c>
      <c r="O547">
        <f>ABS(L547-TMTA!$C$34)</f>
        <v>0.8147528070676171</v>
      </c>
      <c r="P547">
        <f t="shared" si="9"/>
        <v>54.1</v>
      </c>
    </row>
    <row r="548" spans="10:16">
      <c r="J548" s="5"/>
      <c r="L548">
        <f>TMTA!M548</f>
        <v>-3.4410928E-2</v>
      </c>
      <c r="M548">
        <f>TMTA!N548</f>
        <v>54.2</v>
      </c>
      <c r="O548">
        <f>ABS(L548-TMTA!$C$34)</f>
        <v>0.8151930230676171</v>
      </c>
      <c r="P548">
        <f t="shared" si="9"/>
        <v>54.2</v>
      </c>
    </row>
    <row r="549" spans="10:16">
      <c r="J549" s="5"/>
      <c r="L549">
        <f>TMTA!M549</f>
        <v>-3.3970712E-2</v>
      </c>
      <c r="M549">
        <f>TMTA!N549</f>
        <v>54.3</v>
      </c>
      <c r="O549">
        <f>ABS(L549-TMTA!$C$34)</f>
        <v>0.81563323906761709</v>
      </c>
      <c r="P549">
        <f t="shared" si="9"/>
        <v>54.3</v>
      </c>
    </row>
    <row r="550" spans="10:16">
      <c r="J550" s="5"/>
      <c r="L550">
        <f>TMTA!M550</f>
        <v>-3.2478231999999899E-2</v>
      </c>
      <c r="M550">
        <f>TMTA!N550</f>
        <v>54.4</v>
      </c>
      <c r="O550">
        <f>ABS(L550-TMTA!$C$34)</f>
        <v>0.81712571906761722</v>
      </c>
      <c r="P550">
        <f t="shared" si="9"/>
        <v>54.4</v>
      </c>
    </row>
    <row r="551" spans="10:16">
      <c r="J551" s="5"/>
      <c r="L551">
        <f>TMTA!M551</f>
        <v>-3.03747599999999E-2</v>
      </c>
      <c r="M551">
        <f>TMTA!N551</f>
        <v>54.5</v>
      </c>
      <c r="O551">
        <f>ABS(L551-TMTA!$C$34)</f>
        <v>0.81922919106761716</v>
      </c>
      <c r="P551">
        <f t="shared" si="9"/>
        <v>54.5</v>
      </c>
    </row>
    <row r="552" spans="10:16">
      <c r="J552" s="5"/>
      <c r="L552">
        <f>TMTA!M552</f>
        <v>-2.8307223999999999E-2</v>
      </c>
      <c r="M552">
        <f>TMTA!N552</f>
        <v>54.6</v>
      </c>
      <c r="O552">
        <f>ABS(L552-TMTA!$C$34)</f>
        <v>0.82129672706761714</v>
      </c>
      <c r="P552">
        <f t="shared" si="9"/>
        <v>54.6</v>
      </c>
    </row>
    <row r="553" spans="10:16">
      <c r="J553" s="5"/>
      <c r="L553">
        <f>TMTA!M553</f>
        <v>-2.6643968000000001E-2</v>
      </c>
      <c r="M553">
        <f>TMTA!N553</f>
        <v>54.7</v>
      </c>
      <c r="O553">
        <f>ABS(L553-TMTA!$C$34)</f>
        <v>0.82295998306761708</v>
      </c>
      <c r="P553">
        <f t="shared" si="9"/>
        <v>54.7</v>
      </c>
    </row>
    <row r="554" spans="10:16">
      <c r="J554" s="5"/>
      <c r="L554">
        <f>TMTA!M554</f>
        <v>-2.4980711999999902E-2</v>
      </c>
      <c r="M554">
        <f>TMTA!N554</f>
        <v>54.8</v>
      </c>
      <c r="O554">
        <f>ABS(L554-TMTA!$C$34)</f>
        <v>0.82462323906761725</v>
      </c>
      <c r="P554">
        <f t="shared" si="9"/>
        <v>54.8</v>
      </c>
    </row>
    <row r="555" spans="10:16">
      <c r="J555" s="5"/>
      <c r="L555">
        <f>TMTA!M555</f>
        <v>-2.3966623999999999E-2</v>
      </c>
      <c r="M555">
        <f>TMTA!N555</f>
        <v>54.9</v>
      </c>
      <c r="O555">
        <f>ABS(L555-TMTA!$C$34)</f>
        <v>0.82563732706761706</v>
      </c>
      <c r="P555">
        <f t="shared" si="9"/>
        <v>54.9</v>
      </c>
    </row>
    <row r="556" spans="10:16">
      <c r="J556" s="5"/>
      <c r="L556">
        <f>TMTA!M556</f>
        <v>-2.35268E-2</v>
      </c>
      <c r="M556">
        <f>TMTA!N556</f>
        <v>55</v>
      </c>
      <c r="O556">
        <f>ABS(L556-TMTA!$C$34)</f>
        <v>0.82607715106761714</v>
      </c>
      <c r="P556">
        <f t="shared" si="9"/>
        <v>55</v>
      </c>
    </row>
    <row r="557" spans="10:16">
      <c r="J557" s="5"/>
      <c r="L557">
        <f>TMTA!M557</f>
        <v>-2.3086975999999999E-2</v>
      </c>
      <c r="M557">
        <f>TMTA!N557</f>
        <v>55.1</v>
      </c>
      <c r="O557">
        <f>ABS(L557-TMTA!$C$34)</f>
        <v>0.82651697506761712</v>
      </c>
      <c r="P557">
        <f t="shared" si="9"/>
        <v>55.1</v>
      </c>
    </row>
    <row r="558" spans="10:16">
      <c r="J558" s="5"/>
      <c r="L558">
        <f>TMTA!M558</f>
        <v>-2.1448303999999901E-2</v>
      </c>
      <c r="M558">
        <f>TMTA!N558</f>
        <v>55.2</v>
      </c>
      <c r="O558">
        <f>ABS(L558-TMTA!$C$34)</f>
        <v>0.82815564706761724</v>
      </c>
      <c r="P558">
        <f t="shared" si="9"/>
        <v>55.2</v>
      </c>
    </row>
    <row r="559" spans="10:16">
      <c r="J559" s="5"/>
      <c r="L559">
        <f>TMTA!M559</f>
        <v>-1.9784656000000001E-2</v>
      </c>
      <c r="M559">
        <f>TMTA!N559</f>
        <v>55.3</v>
      </c>
      <c r="O559">
        <f>ABS(L559-TMTA!$C$34)</f>
        <v>0.82981929506761709</v>
      </c>
      <c r="P559">
        <f t="shared" si="9"/>
        <v>55.3</v>
      </c>
    </row>
    <row r="560" spans="10:16">
      <c r="J560" s="5"/>
      <c r="L560">
        <f>TMTA!M560</f>
        <v>-1.8834E-2</v>
      </c>
      <c r="M560">
        <f>TMTA!N560</f>
        <v>55.4</v>
      </c>
      <c r="O560">
        <f>ABS(L560-TMTA!$C$34)</f>
        <v>0.83076995106761709</v>
      </c>
      <c r="P560">
        <f t="shared" si="9"/>
        <v>55.4</v>
      </c>
    </row>
    <row r="561" spans="10:16">
      <c r="J561" s="5"/>
      <c r="L561">
        <f>TMTA!M561</f>
        <v>-1.8834E-2</v>
      </c>
      <c r="M561">
        <f>TMTA!N561</f>
        <v>55.5</v>
      </c>
      <c r="O561">
        <f>ABS(L561-TMTA!$C$34)</f>
        <v>0.83076995106761709</v>
      </c>
      <c r="P561">
        <f t="shared" si="9"/>
        <v>55.5</v>
      </c>
    </row>
    <row r="562" spans="10:16">
      <c r="J562" s="5"/>
      <c r="L562">
        <f>TMTA!M562</f>
        <v>-1.8834E-2</v>
      </c>
      <c r="M562">
        <f>TMTA!N562</f>
        <v>55.6</v>
      </c>
      <c r="O562">
        <f>ABS(L562-TMTA!$C$34)</f>
        <v>0.83076995106761709</v>
      </c>
      <c r="P562">
        <f t="shared" si="9"/>
        <v>55.6</v>
      </c>
    </row>
    <row r="563" spans="10:16">
      <c r="J563" s="5"/>
      <c r="L563">
        <f>TMTA!M563</f>
        <v>-1.8447688E-2</v>
      </c>
      <c r="M563">
        <f>TMTA!N563</f>
        <v>55.7</v>
      </c>
      <c r="O563">
        <f>ABS(L563-TMTA!$C$34)</f>
        <v>0.83115626306761714</v>
      </c>
      <c r="P563">
        <f t="shared" si="9"/>
        <v>55.7</v>
      </c>
    </row>
    <row r="564" spans="10:16">
      <c r="J564" s="5"/>
      <c r="L564">
        <f>TMTA!M564</f>
        <v>-1.8007472E-2</v>
      </c>
      <c r="M564">
        <f>TMTA!N564</f>
        <v>55.8</v>
      </c>
      <c r="O564">
        <f>ABS(L564-TMTA!$C$34)</f>
        <v>0.83159647906761713</v>
      </c>
      <c r="P564">
        <f t="shared" si="9"/>
        <v>55.8</v>
      </c>
    </row>
    <row r="565" spans="10:16">
      <c r="J565" s="5"/>
      <c r="L565">
        <f>TMTA!M565</f>
        <v>-1.6880535999999901E-2</v>
      </c>
      <c r="M565">
        <f>TMTA!N565</f>
        <v>55.9</v>
      </c>
      <c r="O565">
        <f>ABS(L565-TMTA!$C$34)</f>
        <v>0.83272341506761716</v>
      </c>
      <c r="P565">
        <f t="shared" si="9"/>
        <v>55.9</v>
      </c>
    </row>
    <row r="566" spans="10:16">
      <c r="J566" s="5"/>
      <c r="L566">
        <f>TMTA!M566</f>
        <v>-1.43372399999999E-2</v>
      </c>
      <c r="M566">
        <f>TMTA!N566</f>
        <v>56</v>
      </c>
      <c r="O566">
        <f>ABS(L566-TMTA!$C$34)</f>
        <v>0.83526671106761718</v>
      </c>
      <c r="P566">
        <f t="shared" si="9"/>
        <v>56</v>
      </c>
    </row>
    <row r="567" spans="10:16">
      <c r="J567" s="5"/>
      <c r="L567">
        <f>TMTA!M567</f>
        <v>-1.1793943999999799E-2</v>
      </c>
      <c r="M567">
        <f>TMTA!N567</f>
        <v>56.1</v>
      </c>
      <c r="O567">
        <f>ABS(L567-TMTA!$C$34)</f>
        <v>0.83781000706761732</v>
      </c>
      <c r="P567">
        <f t="shared" si="9"/>
        <v>56.1</v>
      </c>
    </row>
    <row r="568" spans="10:16">
      <c r="J568" s="5"/>
      <c r="L568">
        <f>TMTA!M568</f>
        <v>-9.9328239999998697E-3</v>
      </c>
      <c r="M568">
        <f>TMTA!N568</f>
        <v>56.2</v>
      </c>
      <c r="O568">
        <f>ABS(L568-TMTA!$C$34)</f>
        <v>0.83967112706761726</v>
      </c>
      <c r="P568">
        <f t="shared" si="9"/>
        <v>56.2</v>
      </c>
    </row>
    <row r="569" spans="10:16">
      <c r="J569" s="5"/>
      <c r="L569">
        <f>TMTA!M569</f>
        <v>-8.2691759999998903E-3</v>
      </c>
      <c r="M569">
        <f>TMTA!N569</f>
        <v>56.3</v>
      </c>
      <c r="O569">
        <f>ABS(L569-TMTA!$C$34)</f>
        <v>0.84133477506761722</v>
      </c>
      <c r="P569">
        <f t="shared" si="9"/>
        <v>56.3</v>
      </c>
    </row>
    <row r="570" spans="10:16">
      <c r="J570" s="5"/>
      <c r="L570">
        <f>TMTA!M570</f>
        <v>-6.4080559999998496E-3</v>
      </c>
      <c r="M570">
        <f>TMTA!N570</f>
        <v>56.4</v>
      </c>
      <c r="O570">
        <f>ABS(L570-TMTA!$C$34)</f>
        <v>0.84319589506761727</v>
      </c>
      <c r="P570">
        <f t="shared" si="9"/>
        <v>56.4</v>
      </c>
    </row>
    <row r="571" spans="10:16">
      <c r="J571" s="5"/>
      <c r="L571">
        <f>TMTA!M571</f>
        <v>-3.8647599999998799E-3</v>
      </c>
      <c r="M571">
        <f>TMTA!N571</f>
        <v>56.5</v>
      </c>
      <c r="O571">
        <f>ABS(L571-TMTA!$C$34)</f>
        <v>0.84573919106761719</v>
      </c>
      <c r="P571">
        <f t="shared" si="9"/>
        <v>56.5</v>
      </c>
    </row>
    <row r="572" spans="10:16">
      <c r="J572" s="5"/>
      <c r="L572">
        <f>TMTA!M572</f>
        <v>-1.3214639999999101E-3</v>
      </c>
      <c r="M572">
        <f>TMTA!N572</f>
        <v>56.6</v>
      </c>
      <c r="O572">
        <f>ABS(L572-TMTA!$C$34)</f>
        <v>0.84828248706761722</v>
      </c>
      <c r="P572">
        <f t="shared" si="9"/>
        <v>56.6</v>
      </c>
    </row>
    <row r="573" spans="10:16">
      <c r="J573" s="5"/>
      <c r="L573">
        <f>TMTA!M573</f>
        <v>-4.9100000000000001E-4</v>
      </c>
      <c r="M573">
        <f>TMTA!N573</f>
        <v>56.7</v>
      </c>
      <c r="O573">
        <f>ABS(L573-TMTA!$C$34)</f>
        <v>0.84911295106761708</v>
      </c>
      <c r="P573">
        <f t="shared" si="9"/>
        <v>56.7</v>
      </c>
    </row>
    <row r="574" spans="10:16">
      <c r="J574" s="5"/>
      <c r="L574">
        <f>TMTA!M574</f>
        <v>-4.9100000000000001E-4</v>
      </c>
      <c r="M574">
        <f>TMTA!N574</f>
        <v>56.8</v>
      </c>
      <c r="O574">
        <f>ABS(L574-TMTA!$C$34)</f>
        <v>0.84911295106761708</v>
      </c>
      <c r="P574">
        <f t="shared" si="9"/>
        <v>56.8</v>
      </c>
    </row>
    <row r="575" spans="10:16">
      <c r="J575" s="5"/>
      <c r="L575">
        <f>TMTA!M575</f>
        <v>2.8170400000048699E-4</v>
      </c>
      <c r="M575">
        <f>TMTA!N575</f>
        <v>56.9</v>
      </c>
      <c r="O575">
        <f>ABS(L575-TMTA!$C$34)</f>
        <v>0.8498856550676176</v>
      </c>
      <c r="P575">
        <f t="shared" si="9"/>
        <v>56.9</v>
      </c>
    </row>
    <row r="576" spans="10:16">
      <c r="J576" s="5"/>
      <c r="L576">
        <f>TMTA!M576</f>
        <v>6.5921200000004197E-3</v>
      </c>
      <c r="M576">
        <f>TMTA!N576</f>
        <v>57</v>
      </c>
      <c r="O576">
        <f>ABS(L576-TMTA!$C$34)</f>
        <v>0.85619607106761753</v>
      </c>
      <c r="P576">
        <f t="shared" si="9"/>
        <v>57</v>
      </c>
    </row>
    <row r="577" spans="10:16">
      <c r="J577" s="5"/>
      <c r="L577">
        <f>TMTA!M577</f>
        <v>1.29025360000004E-2</v>
      </c>
      <c r="M577">
        <f>TMTA!N577</f>
        <v>57.1</v>
      </c>
      <c r="O577">
        <f>ABS(L577-TMTA!$C$34)</f>
        <v>0.86250648706761746</v>
      </c>
      <c r="P577">
        <f t="shared" si="9"/>
        <v>57.1</v>
      </c>
    </row>
    <row r="578" spans="10:16">
      <c r="J578" s="5"/>
      <c r="L578">
        <f>TMTA!M578</f>
        <v>1.5858328000000001E-2</v>
      </c>
      <c r="M578">
        <f>TMTA!N578</f>
        <v>57.2</v>
      </c>
      <c r="O578">
        <f>ABS(L578-TMTA!$C$34)</f>
        <v>0.86546227906761708</v>
      </c>
      <c r="P578">
        <f t="shared" si="9"/>
        <v>57.2</v>
      </c>
    </row>
    <row r="579" spans="10:16">
      <c r="J579" s="5"/>
      <c r="L579">
        <f>TMTA!M579</f>
        <v>1.6298152E-2</v>
      </c>
      <c r="M579">
        <f>TMTA!N579</f>
        <v>57.3</v>
      </c>
      <c r="O579">
        <f>ABS(L579-TMTA!$C$34)</f>
        <v>0.86590210306761706</v>
      </c>
      <c r="P579">
        <f t="shared" si="9"/>
        <v>57.3</v>
      </c>
    </row>
    <row r="580" spans="10:16">
      <c r="J580" s="5"/>
      <c r="L580">
        <f>TMTA!M580</f>
        <v>1.6771936000000199E-2</v>
      </c>
      <c r="M580">
        <f>TMTA!N580</f>
        <v>57.4</v>
      </c>
      <c r="O580">
        <f>ABS(L580-TMTA!$C$34)</f>
        <v>0.86637588706761726</v>
      </c>
      <c r="P580">
        <f t="shared" si="9"/>
        <v>57.4</v>
      </c>
    </row>
    <row r="581" spans="10:16">
      <c r="J581" s="5"/>
      <c r="L581">
        <f>TMTA!M581</f>
        <v>1.8875800000000199E-2</v>
      </c>
      <c r="M581">
        <f>TMTA!N581</f>
        <v>57.5</v>
      </c>
      <c r="O581">
        <f>ABS(L581-TMTA!$C$34)</f>
        <v>0.86847975106761732</v>
      </c>
      <c r="P581">
        <f t="shared" si="9"/>
        <v>57.5</v>
      </c>
    </row>
    <row r="582" spans="10:16">
      <c r="J582" s="5"/>
      <c r="L582">
        <f>TMTA!M582</f>
        <v>2.09796640000002E-2</v>
      </c>
      <c r="M582">
        <f>TMTA!N582</f>
        <v>57.6</v>
      </c>
      <c r="O582">
        <f>ABS(L582-TMTA!$C$34)</f>
        <v>0.87058361506761728</v>
      </c>
      <c r="P582">
        <f t="shared" si="9"/>
        <v>57.6</v>
      </c>
    </row>
    <row r="583" spans="10:16">
      <c r="J583" s="5"/>
      <c r="L583">
        <f>TMTA!M583</f>
        <v>2.3083159999999801E-2</v>
      </c>
      <c r="M583">
        <f>TMTA!N583</f>
        <v>57.7</v>
      </c>
      <c r="O583">
        <f>ABS(L583-TMTA!$C$34)</f>
        <v>0.87268711106761687</v>
      </c>
      <c r="P583">
        <f t="shared" ref="P583:P646" si="10">M583</f>
        <v>57.7</v>
      </c>
    </row>
    <row r="584" spans="10:16">
      <c r="J584" s="5"/>
      <c r="L584">
        <f>TMTA!M584</f>
        <v>2.5186239999999999E-2</v>
      </c>
      <c r="M584">
        <f>TMTA!N584</f>
        <v>57.8</v>
      </c>
      <c r="O584">
        <f>ABS(L584-TMTA!$C$34)</f>
        <v>0.87479019106761713</v>
      </c>
      <c r="P584">
        <f t="shared" si="10"/>
        <v>57.8</v>
      </c>
    </row>
    <row r="585" spans="10:16">
      <c r="J585" s="5"/>
      <c r="L585">
        <f>TMTA!M585</f>
        <v>2.7289319999999902E-2</v>
      </c>
      <c r="M585">
        <f>TMTA!N585</f>
        <v>57.9</v>
      </c>
      <c r="O585">
        <f>ABS(L585-TMTA!$C$34)</f>
        <v>0.87689327106761705</v>
      </c>
      <c r="P585">
        <f t="shared" si="10"/>
        <v>57.9</v>
      </c>
    </row>
    <row r="586" spans="10:16">
      <c r="J586" s="5"/>
      <c r="L586">
        <f>TMTA!M586</f>
        <v>3.3660559999999701E-2</v>
      </c>
      <c r="M586">
        <f>TMTA!N586</f>
        <v>58</v>
      </c>
      <c r="O586">
        <f>ABS(L586-TMTA!$C$34)</f>
        <v>0.88326451106761683</v>
      </c>
      <c r="P586">
        <f t="shared" si="10"/>
        <v>58</v>
      </c>
    </row>
    <row r="587" spans="10:16">
      <c r="J587" s="5"/>
      <c r="L587">
        <f>TMTA!M587</f>
        <v>4.04111919999997E-2</v>
      </c>
      <c r="M587">
        <f>TMTA!N587</f>
        <v>58.1</v>
      </c>
      <c r="O587">
        <f>ABS(L587-TMTA!$C$34)</f>
        <v>0.89001514306761675</v>
      </c>
      <c r="P587">
        <f t="shared" si="10"/>
        <v>58.1</v>
      </c>
    </row>
    <row r="588" spans="10:16">
      <c r="J588" s="5"/>
      <c r="L588">
        <f>TMTA!M588</f>
        <v>4.7772815999999503E-2</v>
      </c>
      <c r="M588">
        <f>TMTA!N588</f>
        <v>58.2</v>
      </c>
      <c r="O588">
        <f>ABS(L588-TMTA!$C$34)</f>
        <v>0.8973767670676166</v>
      </c>
      <c r="P588">
        <f t="shared" si="10"/>
        <v>58.2</v>
      </c>
    </row>
    <row r="589" spans="10:16">
      <c r="J589" s="5"/>
      <c r="L589">
        <f>TMTA!M589</f>
        <v>5.61867039999994E-2</v>
      </c>
      <c r="M589">
        <f>TMTA!N589</f>
        <v>58.3</v>
      </c>
      <c r="O589">
        <f>ABS(L589-TMTA!$C$34)</f>
        <v>0.90579065506761647</v>
      </c>
      <c r="P589">
        <f t="shared" si="10"/>
        <v>58.3</v>
      </c>
    </row>
    <row r="590" spans="10:16">
      <c r="J590" s="5"/>
      <c r="L590">
        <f>TMTA!M590</f>
        <v>6.4600591999999901E-2</v>
      </c>
      <c r="M590">
        <f>TMTA!N590</f>
        <v>58.4</v>
      </c>
      <c r="O590">
        <f>ABS(L590-TMTA!$C$34)</f>
        <v>0.914204543067617</v>
      </c>
      <c r="P590">
        <f t="shared" si="10"/>
        <v>58.4</v>
      </c>
    </row>
    <row r="591" spans="10:16">
      <c r="J591" s="5"/>
      <c r="L591">
        <f>TMTA!M591</f>
        <v>6.6505040000000001E-2</v>
      </c>
      <c r="M591">
        <f>TMTA!N591</f>
        <v>58.5</v>
      </c>
      <c r="O591">
        <f>ABS(L591-TMTA!$C$34)</f>
        <v>0.91610899106761712</v>
      </c>
      <c r="P591">
        <f t="shared" si="10"/>
        <v>58.5</v>
      </c>
    </row>
    <row r="592" spans="10:16">
      <c r="J592" s="5"/>
      <c r="L592">
        <f>TMTA!M592</f>
        <v>6.6944864000000007E-2</v>
      </c>
      <c r="M592">
        <f>TMTA!N592</f>
        <v>58.6</v>
      </c>
      <c r="O592">
        <f>ABS(L592-TMTA!$C$34)</f>
        <v>0.9165488150676171</v>
      </c>
      <c r="P592">
        <f t="shared" si="10"/>
        <v>58.6</v>
      </c>
    </row>
    <row r="593" spans="10:16">
      <c r="J593" s="5"/>
      <c r="L593">
        <f>TMTA!M593</f>
        <v>6.7709375999999905E-2</v>
      </c>
      <c r="M593">
        <f>TMTA!N593</f>
        <v>58.7</v>
      </c>
      <c r="O593">
        <f>ABS(L593-TMTA!$C$34)</f>
        <v>0.91731332706761703</v>
      </c>
      <c r="P593">
        <f t="shared" si="10"/>
        <v>58.7</v>
      </c>
    </row>
    <row r="594" spans="10:16">
      <c r="J594" s="5"/>
      <c r="L594">
        <f>TMTA!M594</f>
        <v>6.9373023999999894E-2</v>
      </c>
      <c r="M594">
        <f>TMTA!N594</f>
        <v>58.8</v>
      </c>
      <c r="O594">
        <f>ABS(L594-TMTA!$C$34)</f>
        <v>0.918976975067617</v>
      </c>
      <c r="P594">
        <f t="shared" si="10"/>
        <v>58.8</v>
      </c>
    </row>
    <row r="595" spans="10:16">
      <c r="J595" s="5"/>
      <c r="L595">
        <f>TMTA!M595</f>
        <v>7.1036671999999898E-2</v>
      </c>
      <c r="M595">
        <f>TMTA!N595</f>
        <v>58.9</v>
      </c>
      <c r="O595">
        <f>ABS(L595-TMTA!$C$34)</f>
        <v>0.92064062306761696</v>
      </c>
      <c r="P595">
        <f t="shared" si="10"/>
        <v>58.9</v>
      </c>
    </row>
    <row r="596" spans="10:16">
      <c r="J596" s="5"/>
      <c r="L596">
        <f>TMTA!M596</f>
        <v>7.182616E-2</v>
      </c>
      <c r="M596">
        <f>TMTA!N596</f>
        <v>59</v>
      </c>
      <c r="O596">
        <f>ABS(L596-TMTA!$C$34)</f>
        <v>0.92143011106761707</v>
      </c>
      <c r="P596">
        <f t="shared" si="10"/>
        <v>59</v>
      </c>
    </row>
    <row r="597" spans="10:16">
      <c r="J597" s="5"/>
      <c r="L597">
        <f>TMTA!M597</f>
        <v>7.2265984000000005E-2</v>
      </c>
      <c r="M597">
        <f>TMTA!N597</f>
        <v>59.1</v>
      </c>
      <c r="O597">
        <f>ABS(L597-TMTA!$C$34)</f>
        <v>0.92186993506761716</v>
      </c>
      <c r="P597">
        <f t="shared" si="10"/>
        <v>59.1</v>
      </c>
    </row>
    <row r="598" spans="10:16">
      <c r="J598" s="5"/>
      <c r="L598">
        <f>TMTA!M598</f>
        <v>7.2977423999999999E-2</v>
      </c>
      <c r="M598">
        <f>TMTA!N598</f>
        <v>59.2</v>
      </c>
      <c r="O598">
        <f>ABS(L598-TMTA!$C$34)</f>
        <v>0.92258137506761706</v>
      </c>
      <c r="P598">
        <f t="shared" si="10"/>
        <v>59.2</v>
      </c>
    </row>
    <row r="599" spans="10:16">
      <c r="J599" s="5"/>
      <c r="L599">
        <f>TMTA!M599</f>
        <v>7.5080895999999897E-2</v>
      </c>
      <c r="M599">
        <f>TMTA!N599</f>
        <v>59.3</v>
      </c>
      <c r="O599">
        <f>ABS(L599-TMTA!$C$34)</f>
        <v>0.924684847067617</v>
      </c>
      <c r="P599">
        <f t="shared" si="10"/>
        <v>59.3</v>
      </c>
    </row>
    <row r="600" spans="10:16">
      <c r="J600" s="5"/>
      <c r="L600">
        <f>TMTA!M600</f>
        <v>7.7184367999999906E-2</v>
      </c>
      <c r="M600">
        <f>TMTA!N600</f>
        <v>59.4</v>
      </c>
      <c r="O600">
        <f>ABS(L600-TMTA!$C$34)</f>
        <v>0.92678831906761705</v>
      </c>
      <c r="P600">
        <f t="shared" si="10"/>
        <v>59.4</v>
      </c>
    </row>
    <row r="601" spans="10:16">
      <c r="J601" s="5"/>
      <c r="L601">
        <f>TMTA!M601</f>
        <v>8.8841519999999105E-2</v>
      </c>
      <c r="M601">
        <f>TMTA!N601</f>
        <v>59.5</v>
      </c>
      <c r="O601">
        <f>ABS(L601-TMTA!$C$34)</f>
        <v>0.93844547106761622</v>
      </c>
      <c r="P601">
        <f t="shared" si="10"/>
        <v>59.5</v>
      </c>
    </row>
    <row r="602" spans="10:16">
      <c r="J602" s="5"/>
      <c r="L602">
        <f>TMTA!M602</f>
        <v>0.106549335999999</v>
      </c>
      <c r="M602">
        <f>TMTA!N602</f>
        <v>59.6</v>
      </c>
      <c r="O602">
        <f>ABS(L602-TMTA!$C$34)</f>
        <v>0.95615328706761615</v>
      </c>
      <c r="P602">
        <f t="shared" si="10"/>
        <v>59.6</v>
      </c>
    </row>
    <row r="603" spans="10:16">
      <c r="J603" s="5"/>
      <c r="L603">
        <f>TMTA!M603</f>
        <v>0.123301784</v>
      </c>
      <c r="M603">
        <f>TMTA!N603</f>
        <v>59.7</v>
      </c>
      <c r="O603">
        <f>ABS(L603-TMTA!$C$34)</f>
        <v>0.97290573506761713</v>
      </c>
      <c r="P603">
        <f t="shared" si="10"/>
        <v>59.7</v>
      </c>
    </row>
    <row r="604" spans="10:16">
      <c r="J604" s="5"/>
      <c r="L604">
        <f>TMTA!M604</f>
        <v>0.12540525599999999</v>
      </c>
      <c r="M604">
        <f>TMTA!N604</f>
        <v>59.8</v>
      </c>
      <c r="O604">
        <f>ABS(L604-TMTA!$C$34)</f>
        <v>0.97500920706761707</v>
      </c>
      <c r="P604">
        <f t="shared" si="10"/>
        <v>59.8</v>
      </c>
    </row>
    <row r="605" spans="10:16">
      <c r="J605" s="5"/>
      <c r="L605">
        <f>TMTA!M605</f>
        <v>0.12750872799999999</v>
      </c>
      <c r="M605">
        <f>TMTA!N605</f>
        <v>59.9</v>
      </c>
      <c r="O605">
        <f>ABS(L605-TMTA!$C$34)</f>
        <v>0.97711267906761712</v>
      </c>
      <c r="P605">
        <f t="shared" si="10"/>
        <v>59.9</v>
      </c>
    </row>
    <row r="606" spans="10:16">
      <c r="J606" s="5"/>
      <c r="L606">
        <f>TMTA!M606</f>
        <v>0.13091</v>
      </c>
      <c r="M606">
        <f>TMTA!N606</f>
        <v>60</v>
      </c>
      <c r="O606">
        <f>ABS(L606-TMTA!$C$34)</f>
        <v>0.98051395106761707</v>
      </c>
      <c r="P606">
        <f t="shared" si="10"/>
        <v>60</v>
      </c>
    </row>
    <row r="607" spans="10:16">
      <c r="J607" s="5"/>
      <c r="L607">
        <f>TMTA!M607</f>
        <v>0.13555716000000001</v>
      </c>
      <c r="M607">
        <f>TMTA!N607</f>
        <v>60.1</v>
      </c>
      <c r="O607">
        <f>ABS(L607-TMTA!$C$34)</f>
        <v>0.98516111106761706</v>
      </c>
      <c r="P607">
        <f t="shared" si="10"/>
        <v>60.1</v>
      </c>
    </row>
    <row r="608" spans="10:16">
      <c r="J608" s="5"/>
      <c r="L608">
        <f>TMTA!M608</f>
        <v>0.14020431999999999</v>
      </c>
      <c r="M608">
        <f>TMTA!N608</f>
        <v>60.2</v>
      </c>
      <c r="O608">
        <f>ABS(L608-TMTA!$C$34)</f>
        <v>0.98980827106761704</v>
      </c>
      <c r="P608">
        <f t="shared" si="10"/>
        <v>60.2</v>
      </c>
    </row>
    <row r="609" spans="10:16">
      <c r="J609" s="5"/>
      <c r="L609">
        <f>TMTA!M609</f>
        <v>0.14039399999999999</v>
      </c>
      <c r="M609">
        <f>TMTA!N609</f>
        <v>60.3</v>
      </c>
      <c r="O609">
        <f>ABS(L609-TMTA!$C$34)</f>
        <v>0.98999795106761712</v>
      </c>
      <c r="P609">
        <f t="shared" si="10"/>
        <v>60.3</v>
      </c>
    </row>
    <row r="610" spans="10:16">
      <c r="J610" s="5"/>
      <c r="L610">
        <f>TMTA!M610</f>
        <v>0.14039399999999999</v>
      </c>
      <c r="M610">
        <f>TMTA!N610</f>
        <v>60.4</v>
      </c>
      <c r="O610">
        <f>ABS(L610-TMTA!$C$34)</f>
        <v>0.98999795106761712</v>
      </c>
      <c r="P610">
        <f t="shared" si="10"/>
        <v>60.4</v>
      </c>
    </row>
    <row r="611" spans="10:16">
      <c r="J611" s="5"/>
      <c r="L611">
        <f>TMTA!M611</f>
        <v>0.14107288000000001</v>
      </c>
      <c r="M611">
        <f>TMTA!N611</f>
        <v>60.5</v>
      </c>
      <c r="O611">
        <f>ABS(L611-TMTA!$C$34)</f>
        <v>0.99067683106761706</v>
      </c>
      <c r="P611">
        <f t="shared" si="10"/>
        <v>60.5</v>
      </c>
    </row>
    <row r="612" spans="10:16">
      <c r="J612" s="5"/>
      <c r="L612">
        <f>TMTA!M612</f>
        <v>0.14273613600000001</v>
      </c>
      <c r="M612">
        <f>TMTA!N612</f>
        <v>60.6</v>
      </c>
      <c r="O612">
        <f>ABS(L612-TMTA!$C$34)</f>
        <v>0.99234008706761712</v>
      </c>
      <c r="P612">
        <f t="shared" si="10"/>
        <v>60.6</v>
      </c>
    </row>
    <row r="613" spans="10:16">
      <c r="J613" s="5"/>
      <c r="L613">
        <f>TMTA!M613</f>
        <v>0.14439939199999999</v>
      </c>
      <c r="M613">
        <f>TMTA!N613</f>
        <v>60.7</v>
      </c>
      <c r="O613">
        <f>ABS(L613-TMTA!$C$34)</f>
        <v>0.99400334306761706</v>
      </c>
      <c r="P613">
        <f t="shared" si="10"/>
        <v>60.7</v>
      </c>
    </row>
    <row r="614" spans="10:16">
      <c r="J614" s="5"/>
      <c r="L614">
        <f>TMTA!M614</f>
        <v>0.145014328</v>
      </c>
      <c r="M614">
        <f>TMTA!N614</f>
        <v>60.8</v>
      </c>
      <c r="O614">
        <f>ABS(L614-TMTA!$C$34)</f>
        <v>0.99461827906761713</v>
      </c>
      <c r="P614">
        <f t="shared" si="10"/>
        <v>60.8</v>
      </c>
    </row>
    <row r="615" spans="10:16">
      <c r="J615" s="5"/>
      <c r="L615">
        <f>TMTA!M615</f>
        <v>0.14545454399999999</v>
      </c>
      <c r="M615">
        <f>TMTA!N615</f>
        <v>60.9</v>
      </c>
      <c r="O615">
        <f>ABS(L615-TMTA!$C$34)</f>
        <v>0.99505849506761712</v>
      </c>
      <c r="P615">
        <f t="shared" si="10"/>
        <v>60.9</v>
      </c>
    </row>
    <row r="616" spans="10:16">
      <c r="J616" s="5"/>
      <c r="L616">
        <f>TMTA!M616</f>
        <v>0.14589463999999999</v>
      </c>
      <c r="M616">
        <f>TMTA!N616</f>
        <v>61</v>
      </c>
      <c r="O616">
        <f>ABS(L616-TMTA!$C$34)</f>
        <v>0.99549859106761707</v>
      </c>
      <c r="P616">
        <f t="shared" si="10"/>
        <v>61</v>
      </c>
    </row>
    <row r="617" spans="10:16">
      <c r="J617" s="5"/>
      <c r="L617">
        <f>TMTA!M617</f>
        <v>0.146334464</v>
      </c>
      <c r="M617">
        <f>TMTA!N617</f>
        <v>61.1</v>
      </c>
      <c r="O617">
        <f>ABS(L617-TMTA!$C$34)</f>
        <v>0.99593841506761716</v>
      </c>
      <c r="P617">
        <f t="shared" si="10"/>
        <v>61.1</v>
      </c>
    </row>
    <row r="618" spans="10:16">
      <c r="J618" s="5"/>
      <c r="L618">
        <f>TMTA!M618</f>
        <v>0.146774288</v>
      </c>
      <c r="M618">
        <f>TMTA!N618</f>
        <v>61.2</v>
      </c>
      <c r="O618">
        <f>ABS(L618-TMTA!$C$34)</f>
        <v>0.99637823906761713</v>
      </c>
      <c r="P618">
        <f t="shared" si="10"/>
        <v>61.2</v>
      </c>
    </row>
    <row r="619" spans="10:16">
      <c r="J619" s="5"/>
      <c r="L619">
        <f>TMTA!M619</f>
        <v>0.14813822400000001</v>
      </c>
      <c r="M619">
        <f>TMTA!N619</f>
        <v>61.3</v>
      </c>
      <c r="O619">
        <f>ABS(L619-TMTA!$C$34)</f>
        <v>0.99774217506761709</v>
      </c>
      <c r="P619">
        <f t="shared" si="10"/>
        <v>61.3</v>
      </c>
    </row>
    <row r="620" spans="10:16">
      <c r="J620" s="5"/>
      <c r="L620">
        <f>TMTA!M620</f>
        <v>0.149801872</v>
      </c>
      <c r="M620">
        <f>TMTA!N620</f>
        <v>61.4</v>
      </c>
      <c r="O620">
        <f>ABS(L620-TMTA!$C$34)</f>
        <v>0.99940582306761705</v>
      </c>
      <c r="P620">
        <f t="shared" si="10"/>
        <v>61.4</v>
      </c>
    </row>
    <row r="621" spans="10:16">
      <c r="J621" s="5"/>
      <c r="L621">
        <f>TMTA!M621</f>
        <v>0.15198455999999999</v>
      </c>
      <c r="M621">
        <f>TMTA!N621</f>
        <v>61.5</v>
      </c>
      <c r="O621">
        <f>ABS(L621-TMTA!$C$34)</f>
        <v>1.001588511067617</v>
      </c>
      <c r="P621">
        <f t="shared" si="10"/>
        <v>61.5</v>
      </c>
    </row>
    <row r="622" spans="10:16">
      <c r="J622" s="5"/>
      <c r="L622">
        <f>TMTA!M622</f>
        <v>0.15619150400000001</v>
      </c>
      <c r="M622">
        <f>TMTA!N622</f>
        <v>61.6</v>
      </c>
      <c r="O622">
        <f>ABS(L622-TMTA!$C$34)</f>
        <v>1.0057954550676171</v>
      </c>
      <c r="P622">
        <f t="shared" si="10"/>
        <v>61.6</v>
      </c>
    </row>
    <row r="623" spans="10:16">
      <c r="J623" s="5"/>
      <c r="L623">
        <f>TMTA!M623</f>
        <v>0.160398448</v>
      </c>
      <c r="M623">
        <f>TMTA!N623</f>
        <v>61.7</v>
      </c>
      <c r="O623">
        <f>ABS(L623-TMTA!$C$34)</f>
        <v>1.010002399067617</v>
      </c>
      <c r="P623">
        <f t="shared" si="10"/>
        <v>61.7</v>
      </c>
    </row>
    <row r="624" spans="10:16">
      <c r="J624" s="5"/>
      <c r="L624">
        <f>TMTA!M624</f>
        <v>0.16323169600000001</v>
      </c>
      <c r="M624">
        <f>TMTA!N624</f>
        <v>61.8</v>
      </c>
      <c r="O624">
        <f>ABS(L624-TMTA!$C$34)</f>
        <v>1.0128356470676172</v>
      </c>
      <c r="P624">
        <f t="shared" si="10"/>
        <v>61.8</v>
      </c>
    </row>
    <row r="625" spans="10:16">
      <c r="J625" s="5"/>
      <c r="L625">
        <f>TMTA!M625</f>
        <v>0.165335168</v>
      </c>
      <c r="M625">
        <f>TMTA!N625</f>
        <v>61.9</v>
      </c>
      <c r="O625">
        <f>ABS(L625-TMTA!$C$34)</f>
        <v>1.0149391190676171</v>
      </c>
      <c r="P625">
        <f t="shared" si="10"/>
        <v>61.9</v>
      </c>
    </row>
    <row r="626" spans="10:16">
      <c r="J626" s="5"/>
      <c r="L626">
        <f>TMTA!M626</f>
        <v>0.16774307999999999</v>
      </c>
      <c r="M626">
        <f>TMTA!N626</f>
        <v>62</v>
      </c>
      <c r="O626">
        <f>ABS(L626-TMTA!$C$34)</f>
        <v>1.0173470310676171</v>
      </c>
      <c r="P626">
        <f t="shared" si="10"/>
        <v>62</v>
      </c>
    </row>
    <row r="627" spans="10:16">
      <c r="J627" s="5"/>
      <c r="L627">
        <f>TMTA!M627</f>
        <v>0.17283006400000001</v>
      </c>
      <c r="M627">
        <f>TMTA!N627</f>
        <v>62.1</v>
      </c>
      <c r="O627">
        <f>ABS(L627-TMTA!$C$34)</f>
        <v>1.022434015067617</v>
      </c>
      <c r="P627">
        <f t="shared" si="10"/>
        <v>62.1</v>
      </c>
    </row>
    <row r="628" spans="10:16">
      <c r="J628" s="5"/>
      <c r="L628">
        <f>TMTA!M628</f>
        <v>0.17791704799999999</v>
      </c>
      <c r="M628">
        <f>TMTA!N628</f>
        <v>62.2</v>
      </c>
      <c r="O628">
        <f>ABS(L628-TMTA!$C$34)</f>
        <v>1.0275209990676171</v>
      </c>
      <c r="P628">
        <f t="shared" si="10"/>
        <v>62.2</v>
      </c>
    </row>
    <row r="629" spans="10:16">
      <c r="J629" s="5"/>
      <c r="L629">
        <f>TMTA!M629</f>
        <v>0.18111748799999999</v>
      </c>
      <c r="M629">
        <f>TMTA!N629</f>
        <v>62.3</v>
      </c>
      <c r="O629">
        <f>ABS(L629-TMTA!$C$34)</f>
        <v>1.0307214390676172</v>
      </c>
      <c r="P629">
        <f t="shared" si="10"/>
        <v>62.3</v>
      </c>
    </row>
    <row r="630" spans="10:16">
      <c r="J630" s="5"/>
      <c r="L630">
        <f>TMTA!M630</f>
        <v>0.18278074399999999</v>
      </c>
      <c r="M630">
        <f>TMTA!N630</f>
        <v>62.4</v>
      </c>
      <c r="O630">
        <f>ABS(L630-TMTA!$C$34)</f>
        <v>1.0323846950676172</v>
      </c>
      <c r="P630">
        <f t="shared" si="10"/>
        <v>62.4</v>
      </c>
    </row>
    <row r="631" spans="10:16">
      <c r="J631" s="5"/>
      <c r="L631">
        <f>TMTA!M631</f>
        <v>0.184444</v>
      </c>
      <c r="M631">
        <f>TMTA!N631</f>
        <v>62.5</v>
      </c>
      <c r="O631">
        <f>ABS(L631-TMTA!$C$34)</f>
        <v>1.034047951067617</v>
      </c>
      <c r="P631">
        <f t="shared" si="10"/>
        <v>62.5</v>
      </c>
    </row>
    <row r="632" spans="10:16">
      <c r="J632" s="5"/>
      <c r="L632">
        <f>TMTA!M632</f>
        <v>0.184444</v>
      </c>
      <c r="M632">
        <f>TMTA!N632</f>
        <v>62.6</v>
      </c>
      <c r="O632">
        <f>ABS(L632-TMTA!$C$34)</f>
        <v>1.034047951067617</v>
      </c>
      <c r="P632">
        <f t="shared" si="10"/>
        <v>62.6</v>
      </c>
    </row>
    <row r="633" spans="10:16">
      <c r="J633" s="5"/>
      <c r="L633">
        <f>TMTA!M633</f>
        <v>0.184444</v>
      </c>
      <c r="M633">
        <f>TMTA!N633</f>
        <v>62.7</v>
      </c>
      <c r="O633">
        <f>ABS(L633-TMTA!$C$34)</f>
        <v>1.034047951067617</v>
      </c>
      <c r="P633">
        <f t="shared" si="10"/>
        <v>62.7</v>
      </c>
    </row>
    <row r="634" spans="10:16">
      <c r="J634" s="5"/>
      <c r="L634">
        <f>TMTA!M634</f>
        <v>0.185388416</v>
      </c>
      <c r="M634">
        <f>TMTA!N634</f>
        <v>62.8</v>
      </c>
      <c r="O634">
        <f>ABS(L634-TMTA!$C$34)</f>
        <v>1.0349923670676171</v>
      </c>
      <c r="P634">
        <f t="shared" si="10"/>
        <v>62.8</v>
      </c>
    </row>
    <row r="635" spans="10:16">
      <c r="J635" s="5"/>
      <c r="L635">
        <f>TMTA!M635</f>
        <v>0.187491888</v>
      </c>
      <c r="M635">
        <f>TMTA!N635</f>
        <v>62.9</v>
      </c>
      <c r="O635">
        <f>ABS(L635-TMTA!$C$34)</f>
        <v>1.037095839067617</v>
      </c>
      <c r="P635">
        <f t="shared" si="10"/>
        <v>62.9</v>
      </c>
    </row>
    <row r="636" spans="10:16">
      <c r="J636" s="5"/>
      <c r="L636">
        <f>TMTA!M636</f>
        <v>0.18959535999999999</v>
      </c>
      <c r="M636">
        <f>TMTA!N636</f>
        <v>63</v>
      </c>
      <c r="O636">
        <f>ABS(L636-TMTA!$C$34)</f>
        <v>1.039199311067617</v>
      </c>
      <c r="P636">
        <f t="shared" si="10"/>
        <v>63</v>
      </c>
    </row>
    <row r="637" spans="10:16">
      <c r="J637" s="5"/>
      <c r="L637">
        <f>TMTA!M637</f>
        <v>0.19358766399999999</v>
      </c>
      <c r="M637">
        <f>TMTA!N637</f>
        <v>63.1</v>
      </c>
      <c r="O637">
        <f>ABS(L637-TMTA!$C$34)</f>
        <v>1.043191615067617</v>
      </c>
      <c r="P637">
        <f t="shared" si="10"/>
        <v>63.1</v>
      </c>
    </row>
    <row r="638" spans="10:16">
      <c r="J638" s="5"/>
      <c r="L638">
        <f>TMTA!M638</f>
        <v>0.19779460800000001</v>
      </c>
      <c r="M638">
        <f>TMTA!N638</f>
        <v>63.2</v>
      </c>
      <c r="O638">
        <f>ABS(L638-TMTA!$C$34)</f>
        <v>1.0473985590676171</v>
      </c>
      <c r="P638">
        <f t="shared" si="10"/>
        <v>63.2</v>
      </c>
    </row>
    <row r="639" spans="10:16">
      <c r="J639" s="5"/>
      <c r="L639">
        <f>TMTA!M639</f>
        <v>0.201424504</v>
      </c>
      <c r="M639">
        <f>TMTA!N639</f>
        <v>63.3</v>
      </c>
      <c r="O639">
        <f>ABS(L639-TMTA!$C$34)</f>
        <v>1.051028455067617</v>
      </c>
      <c r="P639">
        <f t="shared" si="10"/>
        <v>63.3</v>
      </c>
    </row>
    <row r="640" spans="10:16">
      <c r="J640" s="5"/>
      <c r="L640">
        <f>TMTA!M640</f>
        <v>0.20396819199999999</v>
      </c>
      <c r="M640">
        <f>TMTA!N640</f>
        <v>63.4</v>
      </c>
      <c r="O640">
        <f>ABS(L640-TMTA!$C$34)</f>
        <v>1.053572143067617</v>
      </c>
      <c r="P640">
        <f t="shared" si="10"/>
        <v>63.4</v>
      </c>
    </row>
    <row r="641" spans="10:16">
      <c r="J641" s="5"/>
      <c r="L641">
        <f>TMTA!M641</f>
        <v>0.20651188000000001</v>
      </c>
      <c r="M641">
        <f>TMTA!N641</f>
        <v>63.5</v>
      </c>
      <c r="O641">
        <f>ABS(L641-TMTA!$C$34)</f>
        <v>1.0561158310676171</v>
      </c>
      <c r="P641">
        <f t="shared" si="10"/>
        <v>63.5</v>
      </c>
    </row>
    <row r="642" spans="10:16">
      <c r="J642" s="5"/>
      <c r="L642">
        <f>TMTA!M642</f>
        <v>0.21072944800000001</v>
      </c>
      <c r="M642">
        <f>TMTA!N642</f>
        <v>63.6</v>
      </c>
      <c r="O642">
        <f>ABS(L642-TMTA!$C$34)</f>
        <v>1.0603333990676171</v>
      </c>
      <c r="P642">
        <f t="shared" si="10"/>
        <v>63.6</v>
      </c>
    </row>
    <row r="643" spans="10:16">
      <c r="J643" s="5"/>
      <c r="L643">
        <f>TMTA!M643</f>
        <v>0.21537621600000001</v>
      </c>
      <c r="M643">
        <f>TMTA!N643</f>
        <v>63.7</v>
      </c>
      <c r="O643">
        <f>ABS(L643-TMTA!$C$34)</f>
        <v>1.0649801670676171</v>
      </c>
      <c r="P643">
        <f t="shared" si="10"/>
        <v>63.7</v>
      </c>
    </row>
    <row r="644" spans="10:16">
      <c r="J644" s="5"/>
      <c r="L644">
        <f>TMTA!M644</f>
        <v>0.21991527199999999</v>
      </c>
      <c r="M644">
        <f>TMTA!N644</f>
        <v>63.8</v>
      </c>
      <c r="O644">
        <f>ABS(L644-TMTA!$C$34)</f>
        <v>1.0695192230676172</v>
      </c>
      <c r="P644">
        <f t="shared" si="10"/>
        <v>63.8</v>
      </c>
    </row>
    <row r="645" spans="10:16">
      <c r="J645" s="5"/>
      <c r="L645">
        <f>TMTA!M645</f>
        <v>0.22412221600000001</v>
      </c>
      <c r="M645">
        <f>TMTA!N645</f>
        <v>63.9</v>
      </c>
      <c r="O645">
        <f>ABS(L645-TMTA!$C$34)</f>
        <v>1.073726167067617</v>
      </c>
      <c r="P645">
        <f t="shared" si="10"/>
        <v>63.9</v>
      </c>
    </row>
    <row r="646" spans="10:16">
      <c r="J646" s="5"/>
      <c r="L646">
        <f>TMTA!M646</f>
        <v>0.22832916</v>
      </c>
      <c r="M646">
        <f>TMTA!N646</f>
        <v>64</v>
      </c>
      <c r="O646">
        <f>ABS(L646-TMTA!$C$34)</f>
        <v>1.0779331110676171</v>
      </c>
      <c r="P646">
        <f t="shared" si="10"/>
        <v>64</v>
      </c>
    </row>
    <row r="647" spans="10:16">
      <c r="J647" s="5"/>
      <c r="L647">
        <f>TMTA!M647</f>
        <v>0.23253610399999999</v>
      </c>
      <c r="M647">
        <f>TMTA!N647</f>
        <v>64.099999999999994</v>
      </c>
      <c r="O647">
        <f>ABS(L647-TMTA!$C$34)</f>
        <v>1.082140055067617</v>
      </c>
      <c r="P647">
        <f t="shared" ref="P647:P710" si="11">M647</f>
        <v>64.099999999999994</v>
      </c>
    </row>
    <row r="648" spans="10:16">
      <c r="J648" s="5"/>
      <c r="L648">
        <f>TMTA!M648</f>
        <v>0.23674304800000001</v>
      </c>
      <c r="M648">
        <f>TMTA!N648</f>
        <v>64.2</v>
      </c>
      <c r="O648">
        <f>ABS(L648-TMTA!$C$34)</f>
        <v>1.0863469990676171</v>
      </c>
      <c r="P648">
        <f t="shared" si="11"/>
        <v>64.2</v>
      </c>
    </row>
    <row r="649" spans="10:16">
      <c r="J649" s="5"/>
      <c r="L649">
        <f>TMTA!M649</f>
        <v>0.24044341599999999</v>
      </c>
      <c r="M649">
        <f>TMTA!N649</f>
        <v>64.3</v>
      </c>
      <c r="O649">
        <f>ABS(L649-TMTA!$C$34)</f>
        <v>1.0900473670676172</v>
      </c>
      <c r="P649">
        <f t="shared" si="11"/>
        <v>64.3</v>
      </c>
    </row>
    <row r="650" spans="10:16">
      <c r="J650" s="5"/>
      <c r="L650">
        <f>TMTA!M650</f>
        <v>0.24110432800000001</v>
      </c>
      <c r="M650">
        <f>TMTA!N650</f>
        <v>64.400000000000006</v>
      </c>
      <c r="O650">
        <f>ABS(L650-TMTA!$C$34)</f>
        <v>1.090708279067617</v>
      </c>
      <c r="P650">
        <f t="shared" si="11"/>
        <v>64.400000000000006</v>
      </c>
    </row>
    <row r="651" spans="10:16">
      <c r="J651" s="5"/>
      <c r="L651">
        <f>TMTA!M651</f>
        <v>0.24176523999999999</v>
      </c>
      <c r="M651">
        <f>TMTA!N651</f>
        <v>64.5</v>
      </c>
      <c r="O651">
        <f>ABS(L651-TMTA!$C$34)</f>
        <v>1.0913691910676171</v>
      </c>
      <c r="P651">
        <f t="shared" si="11"/>
        <v>64.5</v>
      </c>
    </row>
    <row r="652" spans="10:16">
      <c r="J652" s="5"/>
      <c r="L652">
        <f>TMTA!M652</f>
        <v>0.24314929599999999</v>
      </c>
      <c r="M652">
        <f>TMTA!N652</f>
        <v>64.599999999999994</v>
      </c>
      <c r="O652">
        <f>ABS(L652-TMTA!$C$34)</f>
        <v>1.0927532470676171</v>
      </c>
      <c r="P652">
        <f t="shared" si="11"/>
        <v>64.599999999999994</v>
      </c>
    </row>
    <row r="653" spans="10:16">
      <c r="J653" s="5"/>
      <c r="L653">
        <f>TMTA!M653</f>
        <v>0.24503207199999999</v>
      </c>
      <c r="M653">
        <f>TMTA!N653</f>
        <v>64.7</v>
      </c>
      <c r="O653">
        <f>ABS(L653-TMTA!$C$34)</f>
        <v>1.0946360230676171</v>
      </c>
      <c r="P653">
        <f t="shared" si="11"/>
        <v>64.7</v>
      </c>
    </row>
    <row r="654" spans="10:16">
      <c r="J654" s="5"/>
      <c r="L654">
        <f>TMTA!M654</f>
        <v>0.24709556799999999</v>
      </c>
      <c r="M654">
        <f>TMTA!N654</f>
        <v>64.8</v>
      </c>
      <c r="O654">
        <f>ABS(L654-TMTA!$C$34)</f>
        <v>1.096699519067617</v>
      </c>
      <c r="P654">
        <f t="shared" si="11"/>
        <v>64.8</v>
      </c>
    </row>
    <row r="655" spans="10:16">
      <c r="J655" s="5"/>
      <c r="L655">
        <f>TMTA!M655</f>
        <v>0.25340598399999997</v>
      </c>
      <c r="M655">
        <f>TMTA!N655</f>
        <v>64.900000000000006</v>
      </c>
      <c r="O655">
        <f>ABS(L655-TMTA!$C$34)</f>
        <v>1.103009935067617</v>
      </c>
      <c r="P655">
        <f t="shared" si="11"/>
        <v>64.900000000000006</v>
      </c>
    </row>
    <row r="656" spans="10:16">
      <c r="J656" s="5"/>
      <c r="L656">
        <f>TMTA!M656</f>
        <v>0.25971640000000001</v>
      </c>
      <c r="M656">
        <f>TMTA!N656</f>
        <v>65</v>
      </c>
      <c r="O656">
        <f>ABS(L656-TMTA!$C$34)</f>
        <v>1.1093203510676171</v>
      </c>
      <c r="P656">
        <f t="shared" si="11"/>
        <v>65</v>
      </c>
    </row>
    <row r="657" spans="10:16">
      <c r="J657" s="5"/>
      <c r="L657">
        <f>TMTA!M657</f>
        <v>0.26645785599999999</v>
      </c>
      <c r="M657">
        <f>TMTA!N657</f>
        <v>65.099999999999994</v>
      </c>
      <c r="O657">
        <f>ABS(L657-TMTA!$C$34)</f>
        <v>1.1160618070676172</v>
      </c>
      <c r="P657">
        <f t="shared" si="11"/>
        <v>65.099999999999994</v>
      </c>
    </row>
    <row r="658" spans="10:16">
      <c r="J658" s="5"/>
      <c r="L658">
        <f>TMTA!M658</f>
        <v>0.273648312</v>
      </c>
      <c r="M658">
        <f>TMTA!N658</f>
        <v>65.2</v>
      </c>
      <c r="O658">
        <f>ABS(L658-TMTA!$C$34)</f>
        <v>1.1232522630676172</v>
      </c>
      <c r="P658">
        <f t="shared" si="11"/>
        <v>65.2</v>
      </c>
    </row>
    <row r="659" spans="10:16">
      <c r="J659" s="5"/>
      <c r="L659">
        <f>TMTA!M659</f>
        <v>0.28083876800000002</v>
      </c>
      <c r="M659">
        <f>TMTA!N659</f>
        <v>65.3</v>
      </c>
      <c r="O659">
        <f>ABS(L659-TMTA!$C$34)</f>
        <v>1.1304427190676172</v>
      </c>
      <c r="P659">
        <f t="shared" si="11"/>
        <v>65.3</v>
      </c>
    </row>
    <row r="660" spans="10:16">
      <c r="J660" s="5"/>
      <c r="L660">
        <f>TMTA!M660</f>
        <v>0.28284042399999998</v>
      </c>
      <c r="M660">
        <f>TMTA!N660</f>
        <v>65.400000000000006</v>
      </c>
      <c r="O660">
        <f>ABS(L660-TMTA!$C$34)</f>
        <v>1.132444375067617</v>
      </c>
      <c r="P660">
        <f t="shared" si="11"/>
        <v>65.400000000000006</v>
      </c>
    </row>
    <row r="661" spans="10:16">
      <c r="J661" s="5"/>
      <c r="L661">
        <f>TMTA!M661</f>
        <v>0.28450367999999998</v>
      </c>
      <c r="M661">
        <f>TMTA!N661</f>
        <v>65.5</v>
      </c>
      <c r="O661">
        <f>ABS(L661-TMTA!$C$34)</f>
        <v>1.134107631067617</v>
      </c>
      <c r="P661">
        <f t="shared" si="11"/>
        <v>65.5</v>
      </c>
    </row>
    <row r="662" spans="10:16">
      <c r="J662" s="5"/>
      <c r="L662">
        <f>TMTA!M662</f>
        <v>0.28659390400000001</v>
      </c>
      <c r="M662">
        <f>TMTA!N662</f>
        <v>65.599999999999994</v>
      </c>
      <c r="O662">
        <f>ABS(L662-TMTA!$C$34)</f>
        <v>1.1361978550676171</v>
      </c>
      <c r="P662">
        <f t="shared" si="11"/>
        <v>65.599999999999994</v>
      </c>
    </row>
    <row r="663" spans="10:16">
      <c r="J663" s="5"/>
      <c r="L663">
        <f>TMTA!M663</f>
        <v>0.28935828800000002</v>
      </c>
      <c r="M663">
        <f>TMTA!N663</f>
        <v>65.7</v>
      </c>
      <c r="O663">
        <f>ABS(L663-TMTA!$C$34)</f>
        <v>1.1389622390676171</v>
      </c>
      <c r="P663">
        <f t="shared" si="11"/>
        <v>65.7</v>
      </c>
    </row>
    <row r="664" spans="10:16">
      <c r="J664" s="5"/>
      <c r="L664">
        <f>TMTA!M664</f>
        <v>0.29212267200000003</v>
      </c>
      <c r="M664">
        <f>TMTA!N664</f>
        <v>65.8</v>
      </c>
      <c r="O664">
        <f>ABS(L664-TMTA!$C$34)</f>
        <v>1.1417266230676171</v>
      </c>
      <c r="P664">
        <f t="shared" si="11"/>
        <v>65.8</v>
      </c>
    </row>
    <row r="665" spans="10:16">
      <c r="J665" s="5"/>
      <c r="L665">
        <f>TMTA!M665</f>
        <v>0.292574</v>
      </c>
      <c r="M665">
        <f>TMTA!N665</f>
        <v>65.900000000000006</v>
      </c>
      <c r="O665">
        <f>ABS(L665-TMTA!$C$34)</f>
        <v>1.1421779510676171</v>
      </c>
      <c r="P665">
        <f t="shared" si="11"/>
        <v>65.900000000000006</v>
      </c>
    </row>
    <row r="666" spans="10:16">
      <c r="J666" s="5"/>
      <c r="L666">
        <f>TMTA!M666</f>
        <v>0.292574</v>
      </c>
      <c r="M666">
        <f>TMTA!N666</f>
        <v>66</v>
      </c>
      <c r="O666">
        <f>ABS(L666-TMTA!$C$34)</f>
        <v>1.1421779510676171</v>
      </c>
      <c r="P666">
        <f t="shared" si="11"/>
        <v>66</v>
      </c>
    </row>
    <row r="667" spans="10:16">
      <c r="J667" s="5"/>
      <c r="L667">
        <f>TMTA!M667</f>
        <v>0.29298616</v>
      </c>
      <c r="M667">
        <f>TMTA!N667</f>
        <v>66.099999999999994</v>
      </c>
      <c r="O667">
        <f>ABS(L667-TMTA!$C$34)</f>
        <v>1.1425901110676171</v>
      </c>
      <c r="P667">
        <f t="shared" si="11"/>
        <v>66.099999999999994</v>
      </c>
    </row>
    <row r="668" spans="10:16">
      <c r="J668" s="5"/>
      <c r="L668">
        <f>TMTA!M668</f>
        <v>0.29442871999999998</v>
      </c>
      <c r="M668">
        <f>TMTA!N668</f>
        <v>66.2</v>
      </c>
      <c r="O668">
        <f>ABS(L668-TMTA!$C$34)</f>
        <v>1.1440326710676172</v>
      </c>
      <c r="P668">
        <f t="shared" si="11"/>
        <v>66.2</v>
      </c>
    </row>
    <row r="669" spans="10:16">
      <c r="J669" s="5"/>
      <c r="L669">
        <f>TMTA!M669</f>
        <v>0.29587128000000001</v>
      </c>
      <c r="M669">
        <f>TMTA!N669</f>
        <v>66.3</v>
      </c>
      <c r="O669">
        <f>ABS(L669-TMTA!$C$34)</f>
        <v>1.1454752310676171</v>
      </c>
      <c r="P669">
        <f t="shared" si="11"/>
        <v>66.3</v>
      </c>
    </row>
    <row r="670" spans="10:16">
      <c r="J670" s="5"/>
      <c r="L670">
        <f>TMTA!M670</f>
        <v>0.29625400000000002</v>
      </c>
      <c r="M670">
        <f>TMTA!N670</f>
        <v>66.400000000000006</v>
      </c>
      <c r="O670">
        <f>ABS(L670-TMTA!$C$34)</f>
        <v>1.145857951067617</v>
      </c>
      <c r="P670">
        <f t="shared" si="11"/>
        <v>66.400000000000006</v>
      </c>
    </row>
    <row r="671" spans="10:16">
      <c r="J671" s="5"/>
      <c r="L671">
        <f>TMTA!M671</f>
        <v>0.29625400000000002</v>
      </c>
      <c r="M671">
        <f>TMTA!N671</f>
        <v>66.5</v>
      </c>
      <c r="O671">
        <f>ABS(L671-TMTA!$C$34)</f>
        <v>1.145857951067617</v>
      </c>
      <c r="P671">
        <f t="shared" si="11"/>
        <v>66.5</v>
      </c>
    </row>
    <row r="672" spans="10:16">
      <c r="J672" s="5"/>
      <c r="L672">
        <f>TMTA!M672</f>
        <v>0.29633485599999998</v>
      </c>
      <c r="M672">
        <f>TMTA!N672</f>
        <v>66.599999999999994</v>
      </c>
      <c r="O672">
        <f>ABS(L672-TMTA!$C$34)</f>
        <v>1.1459388070676171</v>
      </c>
      <c r="P672">
        <f t="shared" si="11"/>
        <v>66.599999999999994</v>
      </c>
    </row>
    <row r="673" spans="10:16">
      <c r="J673" s="5"/>
      <c r="L673">
        <f>TMTA!M673</f>
        <v>0.29677507199999997</v>
      </c>
      <c r="M673">
        <f>TMTA!N673</f>
        <v>66.7</v>
      </c>
      <c r="O673">
        <f>ABS(L673-TMTA!$C$34)</f>
        <v>1.1463790230676172</v>
      </c>
      <c r="P673">
        <f t="shared" si="11"/>
        <v>66.7</v>
      </c>
    </row>
    <row r="674" spans="10:16">
      <c r="J674" s="5"/>
      <c r="L674">
        <f>TMTA!M674</f>
        <v>0.29721528800000002</v>
      </c>
      <c r="M674">
        <f>TMTA!N674</f>
        <v>66.8</v>
      </c>
      <c r="O674">
        <f>ABS(L674-TMTA!$C$34)</f>
        <v>1.1468192390676171</v>
      </c>
      <c r="P674">
        <f t="shared" si="11"/>
        <v>66.8</v>
      </c>
    </row>
    <row r="675" spans="10:16">
      <c r="J675" s="5"/>
      <c r="L675">
        <f>TMTA!M675</f>
        <v>0.304309096</v>
      </c>
      <c r="M675">
        <f>TMTA!N675</f>
        <v>66.900000000000006</v>
      </c>
      <c r="O675">
        <f>ABS(L675-TMTA!$C$34)</f>
        <v>1.1539130470676171</v>
      </c>
      <c r="P675">
        <f t="shared" si="11"/>
        <v>66.900000000000006</v>
      </c>
    </row>
    <row r="676" spans="10:16">
      <c r="J676" s="5"/>
      <c r="L676">
        <f>TMTA!M676</f>
        <v>0.31526628000000101</v>
      </c>
      <c r="M676">
        <f>TMTA!N676</f>
        <v>67</v>
      </c>
      <c r="O676">
        <f>ABS(L676-TMTA!$C$34)</f>
        <v>1.164870231067618</v>
      </c>
      <c r="P676">
        <f t="shared" si="11"/>
        <v>67</v>
      </c>
    </row>
    <row r="677" spans="10:16">
      <c r="J677" s="5"/>
      <c r="L677">
        <f>TMTA!M677</f>
        <v>0.32711796000000198</v>
      </c>
      <c r="M677">
        <f>TMTA!N677</f>
        <v>67.099999999999994</v>
      </c>
      <c r="O677">
        <f>ABS(L677-TMTA!$C$34)</f>
        <v>1.176721911067619</v>
      </c>
      <c r="P677">
        <f t="shared" si="11"/>
        <v>67.099999999999994</v>
      </c>
    </row>
    <row r="678" spans="10:16">
      <c r="J678" s="5"/>
      <c r="L678">
        <f>TMTA!M678</f>
        <v>0.34903272000000202</v>
      </c>
      <c r="M678">
        <f>TMTA!N678</f>
        <v>67.2</v>
      </c>
      <c r="O678">
        <f>ABS(L678-TMTA!$C$34)</f>
        <v>1.1986366710676191</v>
      </c>
      <c r="P678">
        <f t="shared" si="11"/>
        <v>67.2</v>
      </c>
    </row>
    <row r="679" spans="10:16">
      <c r="J679" s="5"/>
      <c r="L679">
        <f>TMTA!M679</f>
        <v>0.37094748000000199</v>
      </c>
      <c r="M679">
        <f>TMTA!N679</f>
        <v>67.3</v>
      </c>
      <c r="O679">
        <f>ABS(L679-TMTA!$C$34)</f>
        <v>1.2205514310676191</v>
      </c>
      <c r="P679">
        <f t="shared" si="11"/>
        <v>67.3</v>
      </c>
    </row>
    <row r="680" spans="10:16">
      <c r="J680" s="5"/>
      <c r="L680">
        <f>TMTA!M680</f>
        <v>0.38346625600000001</v>
      </c>
      <c r="M680">
        <f>TMTA!N680</f>
        <v>67.400000000000006</v>
      </c>
      <c r="O680">
        <f>ABS(L680-TMTA!$C$34)</f>
        <v>1.2330702070676172</v>
      </c>
      <c r="P680">
        <f t="shared" si="11"/>
        <v>67.400000000000006</v>
      </c>
    </row>
    <row r="681" spans="10:16">
      <c r="J681" s="5"/>
      <c r="L681">
        <f>TMTA!M681</f>
        <v>0.3876732</v>
      </c>
      <c r="M681">
        <f>TMTA!N681</f>
        <v>67.5</v>
      </c>
      <c r="O681">
        <f>ABS(L681-TMTA!$C$34)</f>
        <v>1.237277151067617</v>
      </c>
      <c r="P681">
        <f t="shared" si="11"/>
        <v>67.5</v>
      </c>
    </row>
    <row r="682" spans="10:16">
      <c r="J682" s="5"/>
      <c r="L682">
        <f>TMTA!M682</f>
        <v>0.39188014399999999</v>
      </c>
      <c r="M682">
        <f>TMTA!N682</f>
        <v>67.599999999999994</v>
      </c>
      <c r="O682">
        <f>ABS(L682-TMTA!$C$34)</f>
        <v>1.2414840950676171</v>
      </c>
      <c r="P682">
        <f t="shared" si="11"/>
        <v>67.599999999999994</v>
      </c>
    </row>
    <row r="683" spans="10:16">
      <c r="J683" s="5"/>
      <c r="L683">
        <f>TMTA!M683</f>
        <v>0.39239723199999998</v>
      </c>
      <c r="M683">
        <f>TMTA!N683</f>
        <v>67.7</v>
      </c>
      <c r="O683">
        <f>ABS(L683-TMTA!$C$34)</f>
        <v>1.2420011830676172</v>
      </c>
      <c r="P683">
        <f t="shared" si="11"/>
        <v>67.7</v>
      </c>
    </row>
    <row r="684" spans="10:16">
      <c r="J684" s="5"/>
      <c r="L684">
        <f>TMTA!M684</f>
        <v>0.39283744799999998</v>
      </c>
      <c r="M684">
        <f>TMTA!N684</f>
        <v>67.8</v>
      </c>
      <c r="O684">
        <f>ABS(L684-TMTA!$C$34)</f>
        <v>1.2424413990676171</v>
      </c>
      <c r="P684">
        <f t="shared" si="11"/>
        <v>67.8</v>
      </c>
    </row>
    <row r="685" spans="10:16">
      <c r="J685" s="5"/>
      <c r="L685">
        <f>TMTA!M685</f>
        <v>0.39318358399999997</v>
      </c>
      <c r="M685">
        <f>TMTA!N685</f>
        <v>67.900000000000006</v>
      </c>
      <c r="O685">
        <f>ABS(L685-TMTA!$C$34)</f>
        <v>1.2427875350676172</v>
      </c>
      <c r="P685">
        <f t="shared" si="11"/>
        <v>67.900000000000006</v>
      </c>
    </row>
    <row r="686" spans="10:16">
      <c r="J686" s="5"/>
      <c r="L686">
        <f>TMTA!M686</f>
        <v>0.39340428</v>
      </c>
      <c r="M686">
        <f>TMTA!N686</f>
        <v>68</v>
      </c>
      <c r="O686">
        <f>ABS(L686-TMTA!$C$34)</f>
        <v>1.2430082310676172</v>
      </c>
      <c r="P686">
        <f t="shared" si="11"/>
        <v>68</v>
      </c>
    </row>
    <row r="687" spans="10:16">
      <c r="J687" s="5"/>
      <c r="L687">
        <f>TMTA!M687</f>
        <v>0.39362497600000002</v>
      </c>
      <c r="M687">
        <f>TMTA!N687</f>
        <v>68.099999999999994</v>
      </c>
      <c r="O687">
        <f>ABS(L687-TMTA!$C$34)</f>
        <v>1.2432289270676171</v>
      </c>
      <c r="P687">
        <f t="shared" si="11"/>
        <v>68.099999999999994</v>
      </c>
    </row>
    <row r="688" spans="10:16">
      <c r="J688" s="5"/>
      <c r="L688">
        <f>TMTA!M688</f>
        <v>0.393652</v>
      </c>
      <c r="M688">
        <f>TMTA!N688</f>
        <v>68.2</v>
      </c>
      <c r="O688">
        <f>ABS(L688-TMTA!$C$34)</f>
        <v>1.2432559510676171</v>
      </c>
      <c r="P688">
        <f t="shared" si="11"/>
        <v>68.2</v>
      </c>
    </row>
    <row r="689" spans="10:16">
      <c r="J689" s="5"/>
      <c r="L689">
        <f>TMTA!M689</f>
        <v>0.393652</v>
      </c>
      <c r="M689">
        <f>TMTA!N689</f>
        <v>68.3</v>
      </c>
      <c r="O689">
        <f>ABS(L689-TMTA!$C$34)</f>
        <v>1.2432559510676171</v>
      </c>
      <c r="P689">
        <f t="shared" si="11"/>
        <v>68.3</v>
      </c>
    </row>
    <row r="690" spans="10:16">
      <c r="J690" s="5"/>
      <c r="L690">
        <f>TMTA!M690</f>
        <v>0.394953632</v>
      </c>
      <c r="M690">
        <f>TMTA!N690</f>
        <v>68.400000000000006</v>
      </c>
      <c r="O690">
        <f>ABS(L690-TMTA!$C$34)</f>
        <v>1.2445575830676172</v>
      </c>
      <c r="P690">
        <f t="shared" si="11"/>
        <v>68.400000000000006</v>
      </c>
    </row>
    <row r="691" spans="10:16">
      <c r="J691" s="5"/>
      <c r="L691">
        <f>TMTA!M691</f>
        <v>0.39893988000000002</v>
      </c>
      <c r="M691">
        <f>TMTA!N691</f>
        <v>68.5</v>
      </c>
      <c r="O691">
        <f>ABS(L691-TMTA!$C$34)</f>
        <v>1.2485438310676171</v>
      </c>
      <c r="P691">
        <f t="shared" si="11"/>
        <v>68.5</v>
      </c>
    </row>
    <row r="692" spans="10:16">
      <c r="J692" s="5"/>
      <c r="L692">
        <f>TMTA!M692</f>
        <v>0.40292612799999999</v>
      </c>
      <c r="M692">
        <f>TMTA!N692</f>
        <v>68.599999999999994</v>
      </c>
      <c r="O692">
        <f>ABS(L692-TMTA!$C$34)</f>
        <v>1.252530079067617</v>
      </c>
      <c r="P692">
        <f t="shared" si="11"/>
        <v>68.599999999999994</v>
      </c>
    </row>
    <row r="693" spans="10:16">
      <c r="J693" s="5"/>
      <c r="L693">
        <f>TMTA!M693</f>
        <v>0.40416208799999997</v>
      </c>
      <c r="M693">
        <f>TMTA!N693</f>
        <v>68.7</v>
      </c>
      <c r="O693">
        <f>ABS(L693-TMTA!$C$34)</f>
        <v>1.2537660390676171</v>
      </c>
      <c r="P693">
        <f t="shared" si="11"/>
        <v>68.7</v>
      </c>
    </row>
    <row r="694" spans="10:16">
      <c r="J694" s="5"/>
      <c r="L694">
        <f>TMTA!M694</f>
        <v>0.40460191200000001</v>
      </c>
      <c r="M694">
        <f>TMTA!N694</f>
        <v>68.8</v>
      </c>
      <c r="O694">
        <f>ABS(L694-TMTA!$C$34)</f>
        <v>1.2542058630676172</v>
      </c>
      <c r="P694">
        <f t="shared" si="11"/>
        <v>68.8</v>
      </c>
    </row>
    <row r="695" spans="10:16">
      <c r="J695" s="5"/>
      <c r="L695">
        <f>TMTA!M695</f>
        <v>0.406831832</v>
      </c>
      <c r="M695">
        <f>TMTA!N695</f>
        <v>68.900000000000006</v>
      </c>
      <c r="O695">
        <f>ABS(L695-TMTA!$C$34)</f>
        <v>1.2564357830676172</v>
      </c>
      <c r="P695">
        <f t="shared" si="11"/>
        <v>68.900000000000006</v>
      </c>
    </row>
    <row r="696" spans="10:16">
      <c r="J696" s="5"/>
      <c r="L696">
        <f>TMTA!M696</f>
        <v>0.41524571999999998</v>
      </c>
      <c r="M696">
        <f>TMTA!N696</f>
        <v>69</v>
      </c>
      <c r="O696">
        <f>ABS(L696-TMTA!$C$34)</f>
        <v>1.2648496710676171</v>
      </c>
      <c r="P696">
        <f t="shared" si="11"/>
        <v>69</v>
      </c>
    </row>
    <row r="697" spans="10:16">
      <c r="J697" s="5"/>
      <c r="L697">
        <f>TMTA!M697</f>
        <v>0.42365960800000002</v>
      </c>
      <c r="M697">
        <f>TMTA!N697</f>
        <v>69.099999999999994</v>
      </c>
      <c r="O697">
        <f>ABS(L697-TMTA!$C$34)</f>
        <v>1.2732635590676171</v>
      </c>
      <c r="P697">
        <f t="shared" si="11"/>
        <v>69.099999999999994</v>
      </c>
    </row>
    <row r="698" spans="10:16">
      <c r="J698" s="5"/>
      <c r="L698">
        <f>TMTA!M698</f>
        <v>0.42782362400000001</v>
      </c>
      <c r="M698">
        <f>TMTA!N698</f>
        <v>69.2</v>
      </c>
      <c r="O698">
        <f>ABS(L698-TMTA!$C$34)</f>
        <v>1.2774275750676172</v>
      </c>
      <c r="P698">
        <f t="shared" si="11"/>
        <v>69.2</v>
      </c>
    </row>
    <row r="699" spans="10:16">
      <c r="J699" s="5"/>
      <c r="L699">
        <f>TMTA!M699</f>
        <v>0.42992709600000001</v>
      </c>
      <c r="M699">
        <f>TMTA!N699</f>
        <v>69.3</v>
      </c>
      <c r="O699">
        <f>ABS(L699-TMTA!$C$34)</f>
        <v>1.2795310470676171</v>
      </c>
      <c r="P699">
        <f t="shared" si="11"/>
        <v>69.3</v>
      </c>
    </row>
    <row r="700" spans="10:16">
      <c r="J700" s="5"/>
      <c r="L700">
        <f>TMTA!M700</f>
        <v>0.43291103199999997</v>
      </c>
      <c r="M700">
        <f>TMTA!N700</f>
        <v>69.400000000000006</v>
      </c>
      <c r="O700">
        <f>ABS(L700-TMTA!$C$34)</f>
        <v>1.282514983067617</v>
      </c>
      <c r="P700">
        <f t="shared" si="11"/>
        <v>69.400000000000006</v>
      </c>
    </row>
    <row r="701" spans="10:16">
      <c r="J701" s="5"/>
      <c r="L701">
        <f>TMTA!M701</f>
        <v>0.44220495999999998</v>
      </c>
      <c r="M701">
        <f>TMTA!N701</f>
        <v>69.5</v>
      </c>
      <c r="O701">
        <f>ABS(L701-TMTA!$C$34)</f>
        <v>1.291808911067617</v>
      </c>
      <c r="P701">
        <f t="shared" si="11"/>
        <v>69.5</v>
      </c>
    </row>
    <row r="702" spans="10:16">
      <c r="J702" s="5"/>
      <c r="L702">
        <f>TMTA!M702</f>
        <v>0.45149888800000099</v>
      </c>
      <c r="M702">
        <f>TMTA!N702</f>
        <v>69.599999999999994</v>
      </c>
      <c r="O702">
        <f>ABS(L702-TMTA!$C$34)</f>
        <v>1.301102839067618</v>
      </c>
      <c r="P702">
        <f t="shared" si="11"/>
        <v>69.599999999999994</v>
      </c>
    </row>
    <row r="703" spans="10:16">
      <c r="J703" s="5"/>
      <c r="L703">
        <f>TMTA!M703</f>
        <v>0.45643265599999999</v>
      </c>
      <c r="M703">
        <f>TMTA!N703</f>
        <v>69.7</v>
      </c>
      <c r="O703">
        <f>ABS(L703-TMTA!$C$34)</f>
        <v>1.306036607067617</v>
      </c>
      <c r="P703">
        <f t="shared" si="11"/>
        <v>69.7</v>
      </c>
    </row>
    <row r="704" spans="10:16">
      <c r="J704" s="5"/>
      <c r="L704">
        <f>TMTA!M704</f>
        <v>0.45809630400000001</v>
      </c>
      <c r="M704">
        <f>TMTA!N704</f>
        <v>69.8</v>
      </c>
      <c r="O704">
        <f>ABS(L704-TMTA!$C$34)</f>
        <v>1.3077002550676171</v>
      </c>
      <c r="P704">
        <f t="shared" si="11"/>
        <v>69.8</v>
      </c>
    </row>
    <row r="705" spans="10:16">
      <c r="J705" s="5"/>
      <c r="L705">
        <f>TMTA!M705</f>
        <v>0.45977790400000002</v>
      </c>
      <c r="M705">
        <f>TMTA!N705</f>
        <v>69.900000000000006</v>
      </c>
      <c r="O705">
        <f>ABS(L705-TMTA!$C$34)</f>
        <v>1.3093818550676171</v>
      </c>
      <c r="P705">
        <f t="shared" si="11"/>
        <v>69.900000000000006</v>
      </c>
    </row>
    <row r="706" spans="10:16">
      <c r="J706" s="5"/>
      <c r="L706">
        <f>TMTA!M706</f>
        <v>0.46232119999999999</v>
      </c>
      <c r="M706">
        <f>TMTA!N706</f>
        <v>70</v>
      </c>
      <c r="O706">
        <f>ABS(L706-TMTA!$C$34)</f>
        <v>1.3119251510676171</v>
      </c>
      <c r="P706">
        <f t="shared" si="11"/>
        <v>70</v>
      </c>
    </row>
    <row r="707" spans="10:16">
      <c r="J707" s="5"/>
      <c r="L707">
        <f>TMTA!M707</f>
        <v>0.46486449600000002</v>
      </c>
      <c r="M707">
        <f>TMTA!N707</f>
        <v>70.099999999999994</v>
      </c>
      <c r="O707">
        <f>ABS(L707-TMTA!$C$34)</f>
        <v>1.3144684470676171</v>
      </c>
      <c r="P707">
        <f t="shared" si="11"/>
        <v>70.099999999999994</v>
      </c>
    </row>
    <row r="708" spans="10:16">
      <c r="J708" s="5"/>
      <c r="L708">
        <f>TMTA!M708</f>
        <v>0.46720134400000002</v>
      </c>
      <c r="M708">
        <f>TMTA!N708</f>
        <v>70.2</v>
      </c>
      <c r="O708">
        <f>ABS(L708-TMTA!$C$34)</f>
        <v>1.316805295067617</v>
      </c>
      <c r="P708">
        <f t="shared" si="11"/>
        <v>70.2</v>
      </c>
    </row>
    <row r="709" spans="10:16">
      <c r="J709" s="5"/>
      <c r="L709">
        <f>TMTA!M709</f>
        <v>0.46930481600000001</v>
      </c>
      <c r="M709">
        <f>TMTA!N709</f>
        <v>70.3</v>
      </c>
      <c r="O709">
        <f>ABS(L709-TMTA!$C$34)</f>
        <v>1.3189087670676172</v>
      </c>
      <c r="P709">
        <f t="shared" si="11"/>
        <v>70.3</v>
      </c>
    </row>
    <row r="710" spans="10:16">
      <c r="J710" s="5"/>
      <c r="L710">
        <f>TMTA!M710</f>
        <v>0.47140828800000001</v>
      </c>
      <c r="M710">
        <f>TMTA!N710</f>
        <v>70.400000000000006</v>
      </c>
      <c r="O710">
        <f>ABS(L710-TMTA!$C$34)</f>
        <v>1.3210122390676171</v>
      </c>
      <c r="P710">
        <f t="shared" si="11"/>
        <v>70.400000000000006</v>
      </c>
    </row>
    <row r="711" spans="10:16">
      <c r="J711" s="5"/>
      <c r="L711">
        <f>TMTA!M711</f>
        <v>0.47198427999999998</v>
      </c>
      <c r="M711">
        <f>TMTA!N711</f>
        <v>70.5</v>
      </c>
      <c r="O711">
        <f>ABS(L711-TMTA!$C$34)</f>
        <v>1.321588231067617</v>
      </c>
      <c r="P711">
        <f t="shared" ref="P711:P774" si="12">M711</f>
        <v>70.5</v>
      </c>
    </row>
    <row r="712" spans="10:16">
      <c r="J712" s="5"/>
      <c r="L712">
        <f>TMTA!M712</f>
        <v>0.47242449600000003</v>
      </c>
      <c r="M712">
        <f>TMTA!N712</f>
        <v>70.599999999999994</v>
      </c>
      <c r="O712">
        <f>ABS(L712-TMTA!$C$34)</f>
        <v>1.3220284470676171</v>
      </c>
      <c r="P712">
        <f t="shared" si="12"/>
        <v>70.599999999999994</v>
      </c>
    </row>
    <row r="713" spans="10:16">
      <c r="J713" s="5"/>
      <c r="L713">
        <f>TMTA!M713</f>
        <v>0.47579381599999998</v>
      </c>
      <c r="M713">
        <f>TMTA!N713</f>
        <v>70.7</v>
      </c>
      <c r="O713">
        <f>ABS(L713-TMTA!$C$34)</f>
        <v>1.3253977670676171</v>
      </c>
      <c r="P713">
        <f t="shared" si="12"/>
        <v>70.7</v>
      </c>
    </row>
    <row r="714" spans="10:16">
      <c r="J714" s="5"/>
      <c r="L714">
        <f>TMTA!M714</f>
        <v>0.48420770400000002</v>
      </c>
      <c r="M714">
        <f>TMTA!N714</f>
        <v>70.8</v>
      </c>
      <c r="O714">
        <f>ABS(L714-TMTA!$C$34)</f>
        <v>1.3338116550676171</v>
      </c>
      <c r="P714">
        <f t="shared" si="12"/>
        <v>70.8</v>
      </c>
    </row>
    <row r="715" spans="10:16">
      <c r="J715" s="5"/>
      <c r="L715">
        <f>TMTA!M715</f>
        <v>0.492621592</v>
      </c>
      <c r="M715">
        <f>TMTA!N715</f>
        <v>70.900000000000006</v>
      </c>
      <c r="O715">
        <f>ABS(L715-TMTA!$C$34)</f>
        <v>1.3422255430676171</v>
      </c>
      <c r="P715">
        <f t="shared" si="12"/>
        <v>70.900000000000006</v>
      </c>
    </row>
    <row r="716" spans="10:16">
      <c r="J716" s="5"/>
      <c r="L716">
        <f>TMTA!M716</f>
        <v>0.49624316000000002</v>
      </c>
      <c r="M716">
        <f>TMTA!N716</f>
        <v>71</v>
      </c>
      <c r="O716">
        <f>ABS(L716-TMTA!$C$34)</f>
        <v>1.3458471110676171</v>
      </c>
      <c r="P716">
        <f t="shared" si="12"/>
        <v>71</v>
      </c>
    </row>
    <row r="717" spans="10:16">
      <c r="J717" s="5"/>
      <c r="L717">
        <f>TMTA!M717</f>
        <v>0.49878645599999999</v>
      </c>
      <c r="M717">
        <f>TMTA!N717</f>
        <v>71.099999999999994</v>
      </c>
      <c r="O717">
        <f>ABS(L717-TMTA!$C$34)</f>
        <v>1.3483904070676171</v>
      </c>
      <c r="P717">
        <f t="shared" si="12"/>
        <v>71.099999999999994</v>
      </c>
    </row>
    <row r="718" spans="10:16">
      <c r="J718" s="5"/>
      <c r="L718">
        <f>TMTA!M718</f>
        <v>0.50065499999999996</v>
      </c>
      <c r="M718">
        <f>TMTA!N718</f>
        <v>71.2</v>
      </c>
      <c r="O718">
        <f>ABS(L718-TMTA!$C$34)</f>
        <v>1.3502589510676171</v>
      </c>
      <c r="P718">
        <f t="shared" si="12"/>
        <v>71.2</v>
      </c>
    </row>
    <row r="719" spans="10:16">
      <c r="J719" s="5"/>
      <c r="L719">
        <f>TMTA!M719</f>
        <v>0.50065499999999996</v>
      </c>
      <c r="M719">
        <f>TMTA!N719</f>
        <v>71.3</v>
      </c>
      <c r="O719">
        <f>ABS(L719-TMTA!$C$34)</f>
        <v>1.3502589510676171</v>
      </c>
      <c r="P719">
        <f t="shared" si="12"/>
        <v>71.3</v>
      </c>
    </row>
    <row r="720" spans="10:16">
      <c r="J720" s="5"/>
      <c r="L720">
        <f>TMTA!M720</f>
        <v>0.50065499999999996</v>
      </c>
      <c r="M720">
        <f>TMTA!N720</f>
        <v>71.400000000000006</v>
      </c>
      <c r="O720">
        <f>ABS(L720-TMTA!$C$34)</f>
        <v>1.3502589510676171</v>
      </c>
      <c r="P720">
        <f t="shared" si="12"/>
        <v>71.400000000000006</v>
      </c>
    </row>
    <row r="721" spans="10:16">
      <c r="J721" s="5"/>
      <c r="L721">
        <f>TMTA!M721</f>
        <v>0.50484828000000004</v>
      </c>
      <c r="M721">
        <f>TMTA!N721</f>
        <v>71.5</v>
      </c>
      <c r="O721">
        <f>ABS(L721-TMTA!$C$34)</f>
        <v>1.3544522310676173</v>
      </c>
      <c r="P721">
        <f t="shared" si="12"/>
        <v>71.5</v>
      </c>
    </row>
    <row r="722" spans="10:16">
      <c r="J722" s="5"/>
      <c r="L722">
        <f>TMTA!M722</f>
        <v>0.51071887199999999</v>
      </c>
      <c r="M722">
        <f>TMTA!N722</f>
        <v>71.599999999999994</v>
      </c>
      <c r="O722">
        <f>ABS(L722-TMTA!$C$34)</f>
        <v>1.3603228230676172</v>
      </c>
      <c r="P722">
        <f t="shared" si="12"/>
        <v>71.599999999999994</v>
      </c>
    </row>
    <row r="723" spans="10:16">
      <c r="J723" s="5"/>
      <c r="L723">
        <f>TMTA!M723</f>
        <v>0.51604623199999999</v>
      </c>
      <c r="M723">
        <f>TMTA!N723</f>
        <v>71.7</v>
      </c>
      <c r="O723">
        <f>ABS(L723-TMTA!$C$34)</f>
        <v>1.3656501830676171</v>
      </c>
      <c r="P723">
        <f t="shared" si="12"/>
        <v>71.7</v>
      </c>
    </row>
    <row r="724" spans="10:16">
      <c r="J724" s="5"/>
      <c r="L724">
        <f>TMTA!M724</f>
        <v>0.51858952800000002</v>
      </c>
      <c r="M724">
        <f>TMTA!N724</f>
        <v>71.8</v>
      </c>
      <c r="O724">
        <f>ABS(L724-TMTA!$C$34)</f>
        <v>1.3681934790676171</v>
      </c>
      <c r="P724">
        <f t="shared" si="12"/>
        <v>71.8</v>
      </c>
    </row>
    <row r="725" spans="10:16">
      <c r="J725" s="5"/>
      <c r="L725">
        <f>TMTA!M725</f>
        <v>0.52113282400000005</v>
      </c>
      <c r="M725">
        <f>TMTA!N725</f>
        <v>71.900000000000006</v>
      </c>
      <c r="O725">
        <f>ABS(L725-TMTA!$C$34)</f>
        <v>1.3707367750676172</v>
      </c>
      <c r="P725">
        <f t="shared" si="12"/>
        <v>71.900000000000006</v>
      </c>
    </row>
    <row r="726" spans="10:16">
      <c r="J726" s="5"/>
      <c r="L726">
        <f>TMTA!M726</f>
        <v>0.52367635999999995</v>
      </c>
      <c r="M726">
        <f>TMTA!N726</f>
        <v>72</v>
      </c>
      <c r="O726">
        <f>ABS(L726-TMTA!$C$34)</f>
        <v>1.3732803110676171</v>
      </c>
      <c r="P726">
        <f t="shared" si="12"/>
        <v>72</v>
      </c>
    </row>
    <row r="727" spans="10:16">
      <c r="J727" s="5"/>
      <c r="L727">
        <f>TMTA!M727</f>
        <v>0.526220048</v>
      </c>
      <c r="M727">
        <f>TMTA!N727</f>
        <v>72.099999999999994</v>
      </c>
      <c r="O727">
        <f>ABS(L727-TMTA!$C$34)</f>
        <v>1.3758239990676171</v>
      </c>
      <c r="P727">
        <f t="shared" si="12"/>
        <v>72.099999999999994</v>
      </c>
    </row>
    <row r="728" spans="10:16">
      <c r="J728" s="5"/>
      <c r="L728">
        <f>TMTA!M728</f>
        <v>0.52883861600000004</v>
      </c>
      <c r="M728">
        <f>TMTA!N728</f>
        <v>72.2</v>
      </c>
      <c r="O728">
        <f>ABS(L728-TMTA!$C$34)</f>
        <v>1.378442567067617</v>
      </c>
      <c r="P728">
        <f t="shared" si="12"/>
        <v>72.2</v>
      </c>
    </row>
    <row r="729" spans="10:16">
      <c r="J729" s="5"/>
      <c r="L729">
        <f>TMTA!M729</f>
        <v>0.53260534400000004</v>
      </c>
      <c r="M729">
        <f>TMTA!N729</f>
        <v>72.3</v>
      </c>
      <c r="O729">
        <f>ABS(L729-TMTA!$C$34)</f>
        <v>1.382209295067617</v>
      </c>
      <c r="P729">
        <f t="shared" si="12"/>
        <v>72.3</v>
      </c>
    </row>
    <row r="730" spans="10:16">
      <c r="J730" s="5"/>
      <c r="L730">
        <f>TMTA!M730</f>
        <v>0.53637207200000003</v>
      </c>
      <c r="M730">
        <f>TMTA!N730</f>
        <v>72.400000000000006</v>
      </c>
      <c r="O730">
        <f>ABS(L730-TMTA!$C$34)</f>
        <v>1.385976023067617</v>
      </c>
      <c r="P730">
        <f t="shared" si="12"/>
        <v>72.400000000000006</v>
      </c>
    </row>
    <row r="731" spans="10:16">
      <c r="J731" s="5"/>
      <c r="L731">
        <f>TMTA!M731</f>
        <v>0.53821699999999995</v>
      </c>
      <c r="M731">
        <f>TMTA!N731</f>
        <v>72.5</v>
      </c>
      <c r="O731">
        <f>ABS(L731-TMTA!$C$34)</f>
        <v>1.3878209510676172</v>
      </c>
      <c r="P731">
        <f t="shared" si="12"/>
        <v>72.5</v>
      </c>
    </row>
    <row r="732" spans="10:16">
      <c r="J732" s="5"/>
      <c r="L732">
        <f>TMTA!M732</f>
        <v>0.53821699999999995</v>
      </c>
      <c r="M732">
        <f>TMTA!N732</f>
        <v>72.599999999999994</v>
      </c>
      <c r="O732">
        <f>ABS(L732-TMTA!$C$34)</f>
        <v>1.3878209510676172</v>
      </c>
      <c r="P732">
        <f t="shared" si="12"/>
        <v>72.599999999999994</v>
      </c>
    </row>
    <row r="733" spans="10:16">
      <c r="J733" s="5"/>
      <c r="L733">
        <f>TMTA!M733</f>
        <v>0.53821699999999995</v>
      </c>
      <c r="M733">
        <f>TMTA!N733</f>
        <v>72.7</v>
      </c>
      <c r="O733">
        <f>ABS(L733-TMTA!$C$34)</f>
        <v>1.3878209510676172</v>
      </c>
      <c r="P733">
        <f t="shared" si="12"/>
        <v>72.7</v>
      </c>
    </row>
    <row r="734" spans="10:16">
      <c r="J734" s="5"/>
      <c r="L734">
        <f>TMTA!M734</f>
        <v>0.54086855199999995</v>
      </c>
      <c r="M734">
        <f>TMTA!N734</f>
        <v>72.8</v>
      </c>
      <c r="O734">
        <f>ABS(L734-TMTA!$C$34)</f>
        <v>1.390472503067617</v>
      </c>
      <c r="P734">
        <f t="shared" si="12"/>
        <v>72.8</v>
      </c>
    </row>
    <row r="735" spans="10:16">
      <c r="J735" s="5"/>
      <c r="L735">
        <f>TMTA!M735</f>
        <v>0.54363293599999996</v>
      </c>
      <c r="M735">
        <f>TMTA!N735</f>
        <v>72.900000000000006</v>
      </c>
      <c r="O735">
        <f>ABS(L735-TMTA!$C$34)</f>
        <v>1.3932368870676171</v>
      </c>
      <c r="P735">
        <f t="shared" si="12"/>
        <v>72.900000000000006</v>
      </c>
    </row>
    <row r="736" spans="10:16">
      <c r="J736" s="5"/>
      <c r="L736">
        <f>TMTA!M736</f>
        <v>0.545269</v>
      </c>
      <c r="M736">
        <f>TMTA!N736</f>
        <v>73</v>
      </c>
      <c r="O736">
        <f>ABS(L736-TMTA!$C$34)</f>
        <v>1.394872951067617</v>
      </c>
      <c r="P736">
        <f t="shared" si="12"/>
        <v>73</v>
      </c>
    </row>
    <row r="737" spans="10:16">
      <c r="J737" s="5"/>
      <c r="L737">
        <f>TMTA!M737</f>
        <v>0.545269</v>
      </c>
      <c r="M737">
        <f>TMTA!N737</f>
        <v>73.099999999999994</v>
      </c>
      <c r="O737">
        <f>ABS(L737-TMTA!$C$34)</f>
        <v>1.394872951067617</v>
      </c>
      <c r="P737">
        <f t="shared" si="12"/>
        <v>73.099999999999994</v>
      </c>
    </row>
    <row r="738" spans="10:16">
      <c r="J738" s="5"/>
      <c r="L738">
        <f>TMTA!M738</f>
        <v>0.545269</v>
      </c>
      <c r="M738">
        <f>TMTA!N738</f>
        <v>73.2</v>
      </c>
      <c r="O738">
        <f>ABS(L738-TMTA!$C$34)</f>
        <v>1.394872951067617</v>
      </c>
      <c r="P738">
        <f t="shared" si="12"/>
        <v>73.2</v>
      </c>
    </row>
    <row r="739" spans="10:16">
      <c r="J739" s="5"/>
      <c r="L739">
        <f>TMTA!M739</f>
        <v>0.55484869599999997</v>
      </c>
      <c r="M739">
        <f>TMTA!N739</f>
        <v>73.3</v>
      </c>
      <c r="O739">
        <f>ABS(L739-TMTA!$C$34)</f>
        <v>1.4044526470676171</v>
      </c>
      <c r="P739">
        <f t="shared" si="12"/>
        <v>73.3</v>
      </c>
    </row>
    <row r="740" spans="10:16">
      <c r="J740" s="5"/>
      <c r="L740">
        <f>TMTA!M740</f>
        <v>0.566025008</v>
      </c>
      <c r="M740">
        <f>TMTA!N740</f>
        <v>73.400000000000006</v>
      </c>
      <c r="O740">
        <f>ABS(L740-TMTA!$C$34)</f>
        <v>1.4156289590676172</v>
      </c>
      <c r="P740">
        <f t="shared" si="12"/>
        <v>73.400000000000006</v>
      </c>
    </row>
    <row r="741" spans="10:16">
      <c r="J741" s="5"/>
      <c r="L741">
        <f>TMTA!M741</f>
        <v>0.57428928000000001</v>
      </c>
      <c r="M741">
        <f>TMTA!N741</f>
        <v>73.5</v>
      </c>
      <c r="O741">
        <f>ABS(L741-TMTA!$C$34)</f>
        <v>1.4238932310676171</v>
      </c>
      <c r="P741">
        <f t="shared" si="12"/>
        <v>73.5</v>
      </c>
    </row>
    <row r="742" spans="10:16">
      <c r="J742" s="5"/>
      <c r="L742">
        <f>TMTA!M742</f>
        <v>0.57595292799999998</v>
      </c>
      <c r="M742">
        <f>TMTA!N742</f>
        <v>73.599999999999994</v>
      </c>
      <c r="O742">
        <f>ABS(L742-TMTA!$C$34)</f>
        <v>1.4255568790676172</v>
      </c>
      <c r="P742">
        <f t="shared" si="12"/>
        <v>73.599999999999994</v>
      </c>
    </row>
    <row r="743" spans="10:16">
      <c r="J743" s="5"/>
      <c r="L743">
        <f>TMTA!M743</f>
        <v>0.57761657600000005</v>
      </c>
      <c r="M743">
        <f>TMTA!N743</f>
        <v>73.7</v>
      </c>
      <c r="O743">
        <f>ABS(L743-TMTA!$C$34)</f>
        <v>1.4272205270676173</v>
      </c>
      <c r="P743">
        <f t="shared" si="12"/>
        <v>73.7</v>
      </c>
    </row>
    <row r="744" spans="10:16">
      <c r="J744" s="5"/>
      <c r="L744">
        <f>TMTA!M744</f>
        <v>0.57802399999999998</v>
      </c>
      <c r="M744">
        <f>TMTA!N744</f>
        <v>73.8</v>
      </c>
      <c r="O744">
        <f>ABS(L744-TMTA!$C$34)</f>
        <v>1.4276279510676171</v>
      </c>
      <c r="P744">
        <f t="shared" si="12"/>
        <v>73.8</v>
      </c>
    </row>
    <row r="745" spans="10:16">
      <c r="J745" s="5"/>
      <c r="L745">
        <f>TMTA!M745</f>
        <v>0.57802399999999998</v>
      </c>
      <c r="M745">
        <f>TMTA!N745</f>
        <v>73.900000000000006</v>
      </c>
      <c r="O745">
        <f>ABS(L745-TMTA!$C$34)</f>
        <v>1.4276279510676171</v>
      </c>
      <c r="P745">
        <f t="shared" si="12"/>
        <v>73.900000000000006</v>
      </c>
    </row>
    <row r="746" spans="10:16">
      <c r="J746" s="5"/>
      <c r="L746">
        <f>TMTA!M746</f>
        <v>0.57802399999999998</v>
      </c>
      <c r="M746">
        <f>TMTA!N746</f>
        <v>74</v>
      </c>
      <c r="O746">
        <f>ABS(L746-TMTA!$C$34)</f>
        <v>1.4276279510676171</v>
      </c>
      <c r="P746">
        <f t="shared" si="12"/>
        <v>74</v>
      </c>
    </row>
    <row r="747" spans="10:16">
      <c r="J747" s="5"/>
      <c r="L747">
        <f>TMTA!M747</f>
        <v>0.57802399999999998</v>
      </c>
      <c r="M747">
        <f>TMTA!N747</f>
        <v>74.099999999999994</v>
      </c>
      <c r="O747">
        <f>ABS(L747-TMTA!$C$34)</f>
        <v>1.4276279510676171</v>
      </c>
      <c r="P747">
        <f t="shared" si="12"/>
        <v>74.099999999999994</v>
      </c>
    </row>
    <row r="748" spans="10:16">
      <c r="J748" s="5"/>
      <c r="L748">
        <f>TMTA!M748</f>
        <v>0.57802399999999998</v>
      </c>
      <c r="M748">
        <f>TMTA!N748</f>
        <v>74.2</v>
      </c>
      <c r="O748">
        <f>ABS(L748-TMTA!$C$34)</f>
        <v>1.4276279510676171</v>
      </c>
      <c r="P748">
        <f t="shared" si="12"/>
        <v>74.2</v>
      </c>
    </row>
    <row r="749" spans="10:16">
      <c r="J749" s="5"/>
      <c r="L749">
        <f>TMTA!M749</f>
        <v>0.58105862399999997</v>
      </c>
      <c r="M749">
        <f>TMTA!N749</f>
        <v>74.3</v>
      </c>
      <c r="O749">
        <f>ABS(L749-TMTA!$C$34)</f>
        <v>1.430662575067617</v>
      </c>
      <c r="P749">
        <f t="shared" si="12"/>
        <v>74.3</v>
      </c>
    </row>
    <row r="750" spans="10:16">
      <c r="J750" s="5"/>
      <c r="L750">
        <f>TMTA!M750</f>
        <v>0.58570539200000005</v>
      </c>
      <c r="M750">
        <f>TMTA!N750</f>
        <v>74.400000000000006</v>
      </c>
      <c r="O750">
        <f>ABS(L750-TMTA!$C$34)</f>
        <v>1.4353093430676171</v>
      </c>
      <c r="P750">
        <f t="shared" si="12"/>
        <v>74.400000000000006</v>
      </c>
    </row>
    <row r="751" spans="10:16">
      <c r="J751" s="5"/>
      <c r="L751">
        <f>TMTA!M751</f>
        <v>0.59009263999999995</v>
      </c>
      <c r="M751">
        <f>TMTA!N751</f>
        <v>74.5</v>
      </c>
      <c r="O751">
        <f>ABS(L751-TMTA!$C$34)</f>
        <v>1.4396965910676172</v>
      </c>
      <c r="P751">
        <f t="shared" si="12"/>
        <v>74.5</v>
      </c>
    </row>
    <row r="752" spans="10:16">
      <c r="J752" s="5"/>
      <c r="L752">
        <f>TMTA!M752</f>
        <v>0.592196112</v>
      </c>
      <c r="M752">
        <f>TMTA!N752</f>
        <v>74.599999999999994</v>
      </c>
      <c r="O752">
        <f>ABS(L752-TMTA!$C$34)</f>
        <v>1.4418000630676171</v>
      </c>
      <c r="P752">
        <f t="shared" si="12"/>
        <v>74.599999999999994</v>
      </c>
    </row>
    <row r="753" spans="10:16">
      <c r="J753" s="5"/>
      <c r="L753">
        <f>TMTA!M753</f>
        <v>0.59429958400000005</v>
      </c>
      <c r="M753">
        <f>TMTA!N753</f>
        <v>74.7</v>
      </c>
      <c r="O753">
        <f>ABS(L753-TMTA!$C$34)</f>
        <v>1.443903535067617</v>
      </c>
      <c r="P753">
        <f t="shared" si="12"/>
        <v>74.7</v>
      </c>
    </row>
    <row r="754" spans="10:16">
      <c r="J754" s="5"/>
      <c r="L754">
        <f>TMTA!M754</f>
        <v>0.59664562399999999</v>
      </c>
      <c r="M754">
        <f>TMTA!N754</f>
        <v>74.8</v>
      </c>
      <c r="O754">
        <f>ABS(L754-TMTA!$C$34)</f>
        <v>1.446249575067617</v>
      </c>
      <c r="P754">
        <f t="shared" si="12"/>
        <v>74.8</v>
      </c>
    </row>
    <row r="755" spans="10:16">
      <c r="J755" s="5"/>
      <c r="L755">
        <f>TMTA!M755</f>
        <v>0.59918931200000003</v>
      </c>
      <c r="M755">
        <f>TMTA!N755</f>
        <v>74.900000000000006</v>
      </c>
      <c r="O755">
        <f>ABS(L755-TMTA!$C$34)</f>
        <v>1.4487932630676172</v>
      </c>
      <c r="P755">
        <f t="shared" si="12"/>
        <v>74.900000000000006</v>
      </c>
    </row>
    <row r="756" spans="10:16">
      <c r="J756" s="5"/>
      <c r="L756">
        <f>TMTA!M756</f>
        <v>0.60173299999999996</v>
      </c>
      <c r="M756">
        <f>TMTA!N756</f>
        <v>75</v>
      </c>
      <c r="O756">
        <f>ABS(L756-TMTA!$C$34)</f>
        <v>1.4513369510676171</v>
      </c>
      <c r="P756">
        <f t="shared" si="12"/>
        <v>75</v>
      </c>
    </row>
    <row r="757" spans="10:16">
      <c r="J757" s="5"/>
      <c r="L757">
        <f>TMTA!M757</f>
        <v>0.60339664800000004</v>
      </c>
      <c r="M757">
        <f>TMTA!N757</f>
        <v>75.099999999999994</v>
      </c>
      <c r="O757">
        <f>ABS(L757-TMTA!$C$34)</f>
        <v>1.4530005990676171</v>
      </c>
      <c r="P757">
        <f t="shared" si="12"/>
        <v>75.099999999999994</v>
      </c>
    </row>
    <row r="758" spans="10:16">
      <c r="J758" s="5"/>
      <c r="L758">
        <f>TMTA!M758</f>
        <v>0.605060296</v>
      </c>
      <c r="M758">
        <f>TMTA!N758</f>
        <v>75.2</v>
      </c>
      <c r="O758">
        <f>ABS(L758-TMTA!$C$34)</f>
        <v>1.4546642470676172</v>
      </c>
      <c r="P758">
        <f t="shared" si="12"/>
        <v>75.2</v>
      </c>
    </row>
    <row r="759" spans="10:16">
      <c r="J759" s="5"/>
      <c r="L759">
        <f>TMTA!M759</f>
        <v>0.61089655200000004</v>
      </c>
      <c r="M759">
        <f>TMTA!N759</f>
        <v>75.3</v>
      </c>
      <c r="O759">
        <f>ABS(L759-TMTA!$C$34)</f>
        <v>1.460500503067617</v>
      </c>
      <c r="P759">
        <f t="shared" si="12"/>
        <v>75.3</v>
      </c>
    </row>
    <row r="760" spans="10:16">
      <c r="J760" s="5"/>
      <c r="L760">
        <f>TMTA!M760</f>
        <v>0.62185373600000005</v>
      </c>
      <c r="M760">
        <f>TMTA!N760</f>
        <v>75.400000000000006</v>
      </c>
      <c r="O760">
        <f>ABS(L760-TMTA!$C$34)</f>
        <v>1.471457687067617</v>
      </c>
      <c r="P760">
        <f t="shared" si="12"/>
        <v>75.400000000000006</v>
      </c>
    </row>
    <row r="761" spans="10:16">
      <c r="J761" s="5"/>
      <c r="L761">
        <f>TMTA!M761</f>
        <v>0.63281091999999906</v>
      </c>
      <c r="M761">
        <f>TMTA!N761</f>
        <v>75.5</v>
      </c>
      <c r="O761">
        <f>ABS(L761-TMTA!$C$34)</f>
        <v>1.4824148710676162</v>
      </c>
      <c r="P761">
        <f t="shared" si="12"/>
        <v>75.5</v>
      </c>
    </row>
    <row r="762" spans="10:16">
      <c r="J762" s="5"/>
      <c r="L762">
        <f>TMTA!M762</f>
        <v>0.63621277600000004</v>
      </c>
      <c r="M762">
        <f>TMTA!N762</f>
        <v>75.599999999999994</v>
      </c>
      <c r="O762">
        <f>ABS(L762-TMTA!$C$34)</f>
        <v>1.485816727067617</v>
      </c>
      <c r="P762">
        <f t="shared" si="12"/>
        <v>75.599999999999994</v>
      </c>
    </row>
    <row r="763" spans="10:16">
      <c r="J763" s="5"/>
      <c r="L763">
        <f>TMTA!M763</f>
        <v>0.63875607199999995</v>
      </c>
      <c r="M763">
        <f>TMTA!N763</f>
        <v>75.7</v>
      </c>
      <c r="O763">
        <f>ABS(L763-TMTA!$C$34)</f>
        <v>1.4883600230676171</v>
      </c>
      <c r="P763">
        <f t="shared" si="12"/>
        <v>75.7</v>
      </c>
    </row>
    <row r="764" spans="10:16">
      <c r="J764" s="5"/>
      <c r="L764">
        <f>TMTA!M764</f>
        <v>0.64114677600000003</v>
      </c>
      <c r="M764">
        <f>TMTA!N764</f>
        <v>75.8</v>
      </c>
      <c r="O764">
        <f>ABS(L764-TMTA!$C$34)</f>
        <v>1.490750727067617</v>
      </c>
      <c r="P764">
        <f t="shared" si="12"/>
        <v>75.8</v>
      </c>
    </row>
    <row r="765" spans="10:16">
      <c r="J765" s="5"/>
      <c r="L765">
        <f>TMTA!M765</f>
        <v>0.64325024799999997</v>
      </c>
      <c r="M765">
        <f>TMTA!N765</f>
        <v>75.900000000000006</v>
      </c>
      <c r="O765">
        <f>ABS(L765-TMTA!$C$34)</f>
        <v>1.492854199067617</v>
      </c>
      <c r="P765">
        <f t="shared" si="12"/>
        <v>75.900000000000006</v>
      </c>
    </row>
    <row r="766" spans="10:16">
      <c r="J766" s="5"/>
      <c r="L766">
        <f>TMTA!M766</f>
        <v>0.64535372000000002</v>
      </c>
      <c r="M766">
        <f>TMTA!N766</f>
        <v>76</v>
      </c>
      <c r="O766">
        <f>ABS(L766-TMTA!$C$34)</f>
        <v>1.4949576710676171</v>
      </c>
      <c r="P766">
        <f t="shared" si="12"/>
        <v>76</v>
      </c>
    </row>
    <row r="767" spans="10:16">
      <c r="J767" s="5"/>
      <c r="L767">
        <f>TMTA!M767</f>
        <v>0.64595896799999997</v>
      </c>
      <c r="M767">
        <f>TMTA!N767</f>
        <v>76.099999999999994</v>
      </c>
      <c r="O767">
        <f>ABS(L767-TMTA!$C$34)</f>
        <v>1.4955629190676172</v>
      </c>
      <c r="P767">
        <f t="shared" si="12"/>
        <v>76.099999999999994</v>
      </c>
    </row>
    <row r="768" spans="10:16">
      <c r="J768" s="5"/>
      <c r="L768">
        <f>TMTA!M768</f>
        <v>0.64618005599999995</v>
      </c>
      <c r="M768">
        <f>TMTA!N768</f>
        <v>76.2</v>
      </c>
      <c r="O768">
        <f>ABS(L768-TMTA!$C$34)</f>
        <v>1.4957840070676172</v>
      </c>
      <c r="P768">
        <f t="shared" si="12"/>
        <v>76.2</v>
      </c>
    </row>
    <row r="769" spans="10:16">
      <c r="J769" s="5"/>
      <c r="L769">
        <f>TMTA!M769</f>
        <v>0.647838264</v>
      </c>
      <c r="M769">
        <f>TMTA!N769</f>
        <v>76.3</v>
      </c>
      <c r="O769">
        <f>ABS(L769-TMTA!$C$34)</f>
        <v>1.497442215067617</v>
      </c>
      <c r="P769">
        <f t="shared" si="12"/>
        <v>76.3</v>
      </c>
    </row>
    <row r="770" spans="10:16">
      <c r="J770" s="5"/>
      <c r="L770">
        <f>TMTA!M770</f>
        <v>0.65392759199999995</v>
      </c>
      <c r="M770">
        <f>TMTA!N770</f>
        <v>76.400000000000006</v>
      </c>
      <c r="O770">
        <f>ABS(L770-TMTA!$C$34)</f>
        <v>1.503531543067617</v>
      </c>
      <c r="P770">
        <f t="shared" si="12"/>
        <v>76.400000000000006</v>
      </c>
    </row>
    <row r="771" spans="10:16">
      <c r="J771" s="5"/>
      <c r="L771">
        <f>TMTA!M771</f>
        <v>0.66001692000000001</v>
      </c>
      <c r="M771">
        <f>TMTA!N771</f>
        <v>76.5</v>
      </c>
      <c r="O771">
        <f>ABS(L771-TMTA!$C$34)</f>
        <v>1.5096208710676171</v>
      </c>
      <c r="P771">
        <f t="shared" si="12"/>
        <v>76.5</v>
      </c>
    </row>
    <row r="772" spans="10:16">
      <c r="J772" s="5"/>
      <c r="L772">
        <f>TMTA!M772</f>
        <v>0.66188100000000005</v>
      </c>
      <c r="M772">
        <f>TMTA!N772</f>
        <v>76.599999999999994</v>
      </c>
      <c r="O772">
        <f>ABS(L772-TMTA!$C$34)</f>
        <v>1.5114849510676172</v>
      </c>
      <c r="P772">
        <f t="shared" si="12"/>
        <v>76.599999999999994</v>
      </c>
    </row>
    <row r="773" spans="10:16">
      <c r="J773" s="5"/>
      <c r="L773">
        <f>TMTA!M773</f>
        <v>0.66188100000000005</v>
      </c>
      <c r="M773">
        <f>TMTA!N773</f>
        <v>76.7</v>
      </c>
      <c r="O773">
        <f>ABS(L773-TMTA!$C$34)</f>
        <v>1.5114849510676172</v>
      </c>
      <c r="P773">
        <f t="shared" si="12"/>
        <v>76.7</v>
      </c>
    </row>
    <row r="774" spans="10:16">
      <c r="J774" s="5"/>
      <c r="L774">
        <f>TMTA!M774</f>
        <v>0.66350920000000002</v>
      </c>
      <c r="M774">
        <f>TMTA!N774</f>
        <v>76.8</v>
      </c>
      <c r="O774">
        <f>ABS(L774-TMTA!$C$34)</f>
        <v>1.5131131510676172</v>
      </c>
      <c r="P774">
        <f t="shared" si="12"/>
        <v>76.8</v>
      </c>
    </row>
    <row r="775" spans="10:16">
      <c r="J775" s="5"/>
      <c r="L775">
        <f>TMTA!M775</f>
        <v>0.67490659999999902</v>
      </c>
      <c r="M775">
        <f>TMTA!N775</f>
        <v>76.900000000000006</v>
      </c>
      <c r="O775">
        <f>ABS(L775-TMTA!$C$34)</f>
        <v>1.5245105510676162</v>
      </c>
      <c r="P775">
        <f t="shared" ref="P775:P838" si="13">M775</f>
        <v>76.900000000000006</v>
      </c>
    </row>
    <row r="776" spans="10:16">
      <c r="J776" s="5"/>
      <c r="L776">
        <f>TMTA!M776</f>
        <v>0.68630400000000102</v>
      </c>
      <c r="M776">
        <f>TMTA!N776</f>
        <v>77</v>
      </c>
      <c r="O776">
        <f>ABS(L776-TMTA!$C$34)</f>
        <v>1.5359079510676181</v>
      </c>
      <c r="P776">
        <f t="shared" si="13"/>
        <v>77</v>
      </c>
    </row>
    <row r="777" spans="10:16">
      <c r="J777" s="5"/>
      <c r="L777">
        <f>TMTA!M777</f>
        <v>0.69095600000000001</v>
      </c>
      <c r="M777">
        <f>TMTA!N777</f>
        <v>77.099999999999994</v>
      </c>
      <c r="O777">
        <f>ABS(L777-TMTA!$C$34)</f>
        <v>1.5405599510676171</v>
      </c>
      <c r="P777">
        <f t="shared" si="13"/>
        <v>77.099999999999994</v>
      </c>
    </row>
    <row r="778" spans="10:16">
      <c r="J778" s="5"/>
      <c r="L778">
        <f>TMTA!M778</f>
        <v>0.69095600000000001</v>
      </c>
      <c r="M778">
        <f>TMTA!N778</f>
        <v>77.2</v>
      </c>
      <c r="O778">
        <f>ABS(L778-TMTA!$C$34)</f>
        <v>1.5405599510676171</v>
      </c>
      <c r="P778">
        <f t="shared" si="13"/>
        <v>77.2</v>
      </c>
    </row>
    <row r="779" spans="10:16">
      <c r="J779" s="5"/>
      <c r="L779">
        <f>TMTA!M779</f>
        <v>0.69102390400000002</v>
      </c>
      <c r="M779">
        <f>TMTA!N779</f>
        <v>77.3</v>
      </c>
      <c r="O779">
        <f>ABS(L779-TMTA!$C$34)</f>
        <v>1.5406278550676171</v>
      </c>
      <c r="P779">
        <f t="shared" si="13"/>
        <v>77.3</v>
      </c>
    </row>
    <row r="780" spans="10:16">
      <c r="J780" s="5"/>
      <c r="L780">
        <f>TMTA!M780</f>
        <v>0.69268755199999998</v>
      </c>
      <c r="M780">
        <f>TMTA!N780</f>
        <v>77.400000000000006</v>
      </c>
      <c r="O780">
        <f>ABS(L780-TMTA!$C$34)</f>
        <v>1.542291503067617</v>
      </c>
      <c r="P780">
        <f t="shared" si="13"/>
        <v>77.400000000000006</v>
      </c>
    </row>
    <row r="781" spans="10:16">
      <c r="J781" s="5"/>
      <c r="L781">
        <f>TMTA!M781</f>
        <v>0.69435119999999995</v>
      </c>
      <c r="M781">
        <f>TMTA!N781</f>
        <v>77.5</v>
      </c>
      <c r="O781">
        <f>ABS(L781-TMTA!$C$34)</f>
        <v>1.543955151067617</v>
      </c>
      <c r="P781">
        <f t="shared" si="13"/>
        <v>77.5</v>
      </c>
    </row>
    <row r="782" spans="10:16">
      <c r="J782" s="5"/>
      <c r="L782">
        <f>TMTA!M782</f>
        <v>0.70078240000000003</v>
      </c>
      <c r="M782">
        <f>TMTA!N782</f>
        <v>77.599999999999994</v>
      </c>
      <c r="O782">
        <f>ABS(L782-TMTA!$C$34)</f>
        <v>1.5503863510676172</v>
      </c>
      <c r="P782">
        <f t="shared" si="13"/>
        <v>77.599999999999994</v>
      </c>
    </row>
    <row r="783" spans="10:16">
      <c r="J783" s="5"/>
      <c r="L783">
        <f>TMTA!M783</f>
        <v>0.71217980000000003</v>
      </c>
      <c r="M783">
        <f>TMTA!N783</f>
        <v>77.7</v>
      </c>
      <c r="O783">
        <f>ABS(L783-TMTA!$C$34)</f>
        <v>1.5617837510676171</v>
      </c>
      <c r="P783">
        <f t="shared" si="13"/>
        <v>77.7</v>
      </c>
    </row>
    <row r="784" spans="10:16">
      <c r="J784" s="5"/>
      <c r="L784">
        <f>TMTA!M784</f>
        <v>0.72357720000000003</v>
      </c>
      <c r="M784">
        <f>TMTA!N784</f>
        <v>77.8</v>
      </c>
      <c r="O784">
        <f>ABS(L784-TMTA!$C$34)</f>
        <v>1.573181151067617</v>
      </c>
      <c r="P784">
        <f t="shared" si="13"/>
        <v>77.8</v>
      </c>
    </row>
    <row r="785" spans="10:16">
      <c r="J785" s="5"/>
      <c r="L785">
        <f>TMTA!M785</f>
        <v>0.73258664799999995</v>
      </c>
      <c r="M785">
        <f>TMTA!N785</f>
        <v>77.900000000000006</v>
      </c>
      <c r="O785">
        <f>ABS(L785-TMTA!$C$34)</f>
        <v>1.5821905990676171</v>
      </c>
      <c r="P785">
        <f t="shared" si="13"/>
        <v>77.900000000000006</v>
      </c>
    </row>
    <row r="786" spans="10:16">
      <c r="J786" s="5"/>
      <c r="L786">
        <f>TMTA!M786</f>
        <v>0.74144036000000002</v>
      </c>
      <c r="M786">
        <f>TMTA!N786</f>
        <v>78</v>
      </c>
      <c r="O786">
        <f>ABS(L786-TMTA!$C$34)</f>
        <v>1.5910443110676171</v>
      </c>
      <c r="P786">
        <f t="shared" si="13"/>
        <v>78</v>
      </c>
    </row>
    <row r="787" spans="10:16">
      <c r="J787" s="5"/>
      <c r="L787">
        <f>TMTA!M787</f>
        <v>0.74849226400000002</v>
      </c>
      <c r="M787">
        <f>TMTA!N787</f>
        <v>78.099999999999994</v>
      </c>
      <c r="O787">
        <f>ABS(L787-TMTA!$C$34)</f>
        <v>1.598096215067617</v>
      </c>
      <c r="P787">
        <f t="shared" si="13"/>
        <v>78.099999999999994</v>
      </c>
    </row>
    <row r="788" spans="10:16">
      <c r="J788" s="5"/>
      <c r="L788">
        <f>TMTA!M788</f>
        <v>0.75269920800000001</v>
      </c>
      <c r="M788">
        <f>TMTA!N788</f>
        <v>78.2</v>
      </c>
      <c r="O788">
        <f>ABS(L788-TMTA!$C$34)</f>
        <v>1.6023031590676171</v>
      </c>
      <c r="P788">
        <f t="shared" si="13"/>
        <v>78.2</v>
      </c>
    </row>
    <row r="789" spans="10:16">
      <c r="J789" s="5"/>
      <c r="L789">
        <f>TMTA!M789</f>
        <v>0.756906152</v>
      </c>
      <c r="M789">
        <f>TMTA!N789</f>
        <v>78.3</v>
      </c>
      <c r="O789">
        <f>ABS(L789-TMTA!$C$34)</f>
        <v>1.6065101030676172</v>
      </c>
      <c r="P789">
        <f t="shared" si="13"/>
        <v>78.3</v>
      </c>
    </row>
    <row r="790" spans="10:16">
      <c r="J790" s="5"/>
      <c r="L790">
        <f>TMTA!M790</f>
        <v>0.76536955200000101</v>
      </c>
      <c r="M790">
        <f>TMTA!N790</f>
        <v>78.400000000000006</v>
      </c>
      <c r="O790">
        <f>ABS(L790-TMTA!$C$34)</f>
        <v>1.6149735030676182</v>
      </c>
      <c r="P790">
        <f t="shared" si="13"/>
        <v>78.400000000000006</v>
      </c>
    </row>
    <row r="791" spans="10:16">
      <c r="J791" s="5"/>
      <c r="L791">
        <f>TMTA!M791</f>
        <v>0.77466348000000096</v>
      </c>
      <c r="M791">
        <f>TMTA!N791</f>
        <v>78.5</v>
      </c>
      <c r="O791">
        <f>ABS(L791-TMTA!$C$34)</f>
        <v>1.6242674310676182</v>
      </c>
      <c r="P791">
        <f t="shared" si="13"/>
        <v>78.5</v>
      </c>
    </row>
    <row r="792" spans="10:16">
      <c r="J792" s="5"/>
      <c r="L792">
        <f>TMTA!M792</f>
        <v>0.78130200000000005</v>
      </c>
      <c r="M792">
        <f>TMTA!N792</f>
        <v>78.599999999999994</v>
      </c>
      <c r="O792">
        <f>ABS(L792-TMTA!$C$34)</f>
        <v>1.6309059510676172</v>
      </c>
      <c r="P792">
        <f t="shared" si="13"/>
        <v>78.599999999999994</v>
      </c>
    </row>
    <row r="793" spans="10:16">
      <c r="J793" s="5"/>
      <c r="L793">
        <f>TMTA!M793</f>
        <v>0.78130200000000005</v>
      </c>
      <c r="M793">
        <f>TMTA!N793</f>
        <v>78.7</v>
      </c>
      <c r="O793">
        <f>ABS(L793-TMTA!$C$34)</f>
        <v>1.6309059510676172</v>
      </c>
      <c r="P793">
        <f t="shared" si="13"/>
        <v>78.7</v>
      </c>
    </row>
    <row r="794" spans="10:16">
      <c r="J794" s="5"/>
      <c r="L794">
        <f>TMTA!M794</f>
        <v>0.78130200000000005</v>
      </c>
      <c r="M794">
        <f>TMTA!N794</f>
        <v>78.8</v>
      </c>
      <c r="O794">
        <f>ABS(L794-TMTA!$C$34)</f>
        <v>1.6309059510676172</v>
      </c>
      <c r="P794">
        <f t="shared" si="13"/>
        <v>78.8</v>
      </c>
    </row>
    <row r="795" spans="10:16">
      <c r="J795" s="5"/>
      <c r="L795">
        <f>TMTA!M795</f>
        <v>0.78130200000000005</v>
      </c>
      <c r="M795">
        <f>TMTA!N795</f>
        <v>78.900000000000006</v>
      </c>
      <c r="O795">
        <f>ABS(L795-TMTA!$C$34)</f>
        <v>1.6309059510676172</v>
      </c>
      <c r="P795">
        <f t="shared" si="13"/>
        <v>78.900000000000006</v>
      </c>
    </row>
    <row r="796" spans="10:16">
      <c r="J796" s="5"/>
      <c r="L796">
        <f>TMTA!M796</f>
        <v>0.78130200000000005</v>
      </c>
      <c r="M796">
        <f>TMTA!N796</f>
        <v>79</v>
      </c>
      <c r="O796">
        <f>ABS(L796-TMTA!$C$34)</f>
        <v>1.6309059510676172</v>
      </c>
      <c r="P796">
        <f t="shared" si="13"/>
        <v>79</v>
      </c>
    </row>
    <row r="797" spans="10:16">
      <c r="J797" s="5"/>
      <c r="L797">
        <f>TMTA!M797</f>
        <v>0.78254191200000001</v>
      </c>
      <c r="M797">
        <f>TMTA!N797</f>
        <v>79.099999999999994</v>
      </c>
      <c r="O797">
        <f>ABS(L797-TMTA!$C$34)</f>
        <v>1.6321458630676171</v>
      </c>
      <c r="P797">
        <f t="shared" si="13"/>
        <v>79.099999999999994</v>
      </c>
    </row>
    <row r="798" spans="10:16">
      <c r="J798" s="5"/>
      <c r="L798">
        <f>TMTA!M798</f>
        <v>0.78929254400000004</v>
      </c>
      <c r="M798">
        <f>TMTA!N798</f>
        <v>79.2</v>
      </c>
      <c r="O798">
        <f>ABS(L798-TMTA!$C$34)</f>
        <v>1.638896495067617</v>
      </c>
      <c r="P798">
        <f t="shared" si="13"/>
        <v>79.2</v>
      </c>
    </row>
    <row r="799" spans="10:16">
      <c r="J799" s="5"/>
      <c r="L799">
        <f>TMTA!M799</f>
        <v>0.79604317599999996</v>
      </c>
      <c r="M799">
        <f>TMTA!N799</f>
        <v>79.3</v>
      </c>
      <c r="O799">
        <f>ABS(L799-TMTA!$C$34)</f>
        <v>1.6456471270676172</v>
      </c>
      <c r="P799">
        <f t="shared" si="13"/>
        <v>79.3</v>
      </c>
    </row>
    <row r="800" spans="10:16">
      <c r="J800" s="5"/>
      <c r="L800">
        <f>TMTA!M800</f>
        <v>0.80251530400000004</v>
      </c>
      <c r="M800">
        <f>TMTA!N800</f>
        <v>79.400000000000006</v>
      </c>
      <c r="O800">
        <f>ABS(L800-TMTA!$C$34)</f>
        <v>1.6521192550676171</v>
      </c>
      <c r="P800">
        <f t="shared" si="13"/>
        <v>79.400000000000006</v>
      </c>
    </row>
    <row r="801" spans="10:16">
      <c r="J801" s="5"/>
      <c r="L801">
        <f>TMTA!M801</f>
        <v>0.80882572000000097</v>
      </c>
      <c r="M801">
        <f>TMTA!N801</f>
        <v>79.5</v>
      </c>
      <c r="O801">
        <f>ABS(L801-TMTA!$C$34)</f>
        <v>1.6584296710676181</v>
      </c>
      <c r="P801">
        <f t="shared" si="13"/>
        <v>79.5</v>
      </c>
    </row>
    <row r="802" spans="10:16">
      <c r="J802" s="5"/>
      <c r="L802">
        <f>TMTA!M802</f>
        <v>0.81479271200000003</v>
      </c>
      <c r="M802">
        <f>TMTA!N802</f>
        <v>79.599999999999994</v>
      </c>
      <c r="O802">
        <f>ABS(L802-TMTA!$C$34)</f>
        <v>1.6643966630676172</v>
      </c>
      <c r="P802">
        <f t="shared" si="13"/>
        <v>79.599999999999994</v>
      </c>
    </row>
    <row r="803" spans="10:16">
      <c r="J803" s="5"/>
      <c r="L803">
        <f>TMTA!M803</f>
        <v>0.81689618399999997</v>
      </c>
      <c r="M803">
        <f>TMTA!N803</f>
        <v>79.7</v>
      </c>
      <c r="O803">
        <f>ABS(L803-TMTA!$C$34)</f>
        <v>1.6665001350676172</v>
      </c>
      <c r="P803">
        <f t="shared" si="13"/>
        <v>79.7</v>
      </c>
    </row>
    <row r="804" spans="10:16">
      <c r="J804" s="5"/>
      <c r="L804">
        <f>TMTA!M804</f>
        <v>0.81899965600000002</v>
      </c>
      <c r="M804">
        <f>TMTA!N804</f>
        <v>79.8</v>
      </c>
      <c r="O804">
        <f>ABS(L804-TMTA!$C$34)</f>
        <v>1.6686036070676171</v>
      </c>
      <c r="P804">
        <f t="shared" si="13"/>
        <v>79.8</v>
      </c>
    </row>
    <row r="805" spans="10:16">
      <c r="J805" s="5"/>
      <c r="L805">
        <f>TMTA!M805</f>
        <v>0.82110312799999996</v>
      </c>
      <c r="M805">
        <f>TMTA!N805</f>
        <v>79.900000000000006</v>
      </c>
      <c r="O805">
        <f>ABS(L805-TMTA!$C$34)</f>
        <v>1.6707070790676171</v>
      </c>
      <c r="P805">
        <f t="shared" si="13"/>
        <v>79.900000000000006</v>
      </c>
    </row>
    <row r="806" spans="10:16">
      <c r="J806" s="5"/>
      <c r="L806">
        <f>TMTA!M806</f>
        <v>0.82320660000000001</v>
      </c>
      <c r="M806">
        <f>TMTA!N806</f>
        <v>80</v>
      </c>
      <c r="O806">
        <f>ABS(L806-TMTA!$C$34)</f>
        <v>1.672810551067617</v>
      </c>
      <c r="P806">
        <f t="shared" si="13"/>
        <v>80</v>
      </c>
    </row>
    <row r="807" spans="10:16">
      <c r="J807" s="5"/>
      <c r="L807">
        <f>TMTA!M807</f>
        <v>0.82531007199999995</v>
      </c>
      <c r="M807">
        <f>TMTA!N807</f>
        <v>80.099999999999994</v>
      </c>
      <c r="O807">
        <f>ABS(L807-TMTA!$C$34)</f>
        <v>1.6749140230676169</v>
      </c>
      <c r="P807">
        <f t="shared" si="13"/>
        <v>80.099999999999994</v>
      </c>
    </row>
    <row r="808" spans="10:16">
      <c r="J808" s="5"/>
      <c r="L808">
        <f>TMTA!M808</f>
        <v>0.83196548000000003</v>
      </c>
      <c r="M808">
        <f>TMTA!N808</f>
        <v>80.2</v>
      </c>
      <c r="O808">
        <f>ABS(L808-TMTA!$C$34)</f>
        <v>1.6815694310676172</v>
      </c>
      <c r="P808">
        <f t="shared" si="13"/>
        <v>80.2</v>
      </c>
    </row>
    <row r="809" spans="10:16">
      <c r="J809" s="5"/>
      <c r="L809">
        <f>TMTA!M809</f>
        <v>0.83871572000000005</v>
      </c>
      <c r="M809">
        <f>TMTA!N809</f>
        <v>80.3</v>
      </c>
      <c r="O809">
        <f>ABS(L809-TMTA!$C$34)</f>
        <v>1.6883196710676172</v>
      </c>
      <c r="P809">
        <f t="shared" si="13"/>
        <v>80.3</v>
      </c>
    </row>
    <row r="810" spans="10:16">
      <c r="J810" s="5"/>
      <c r="L810">
        <f>TMTA!M810</f>
        <v>0.84257300000000002</v>
      </c>
      <c r="M810">
        <f>TMTA!N810</f>
        <v>80.400000000000006</v>
      </c>
      <c r="O810">
        <f>ABS(L810-TMTA!$C$34)</f>
        <v>1.692176951067617</v>
      </c>
      <c r="P810">
        <f t="shared" si="13"/>
        <v>80.400000000000006</v>
      </c>
    </row>
    <row r="811" spans="10:16">
      <c r="J811" s="5"/>
      <c r="L811">
        <f>TMTA!M811</f>
        <v>0.84257300000000002</v>
      </c>
      <c r="M811">
        <f>TMTA!N811</f>
        <v>80.5</v>
      </c>
      <c r="O811">
        <f>ABS(L811-TMTA!$C$34)</f>
        <v>1.692176951067617</v>
      </c>
      <c r="P811">
        <f t="shared" si="13"/>
        <v>80.5</v>
      </c>
    </row>
    <row r="812" spans="10:16">
      <c r="J812" s="5"/>
      <c r="L812">
        <f>TMTA!M812</f>
        <v>0.84257300000000002</v>
      </c>
      <c r="M812">
        <f>TMTA!N812</f>
        <v>80.599999999999994</v>
      </c>
      <c r="O812">
        <f>ABS(L812-TMTA!$C$34)</f>
        <v>1.692176951067617</v>
      </c>
      <c r="P812">
        <f t="shared" si="13"/>
        <v>80.599999999999994</v>
      </c>
    </row>
    <row r="813" spans="10:16">
      <c r="J813" s="5"/>
      <c r="L813">
        <f>TMTA!M813</f>
        <v>0.84295931199999996</v>
      </c>
      <c r="M813">
        <f>TMTA!N813</f>
        <v>80.7</v>
      </c>
      <c r="O813">
        <f>ABS(L813-TMTA!$C$34)</f>
        <v>1.6925632630676171</v>
      </c>
      <c r="P813">
        <f t="shared" si="13"/>
        <v>80.7</v>
      </c>
    </row>
    <row r="814" spans="10:16">
      <c r="J814" s="5"/>
      <c r="L814">
        <f>TMTA!M814</f>
        <v>0.84339952799999995</v>
      </c>
      <c r="M814">
        <f>TMTA!N814</f>
        <v>80.8</v>
      </c>
      <c r="O814">
        <f>ABS(L814-TMTA!$C$34)</f>
        <v>1.6930034790676172</v>
      </c>
      <c r="P814">
        <f t="shared" si="13"/>
        <v>80.8</v>
      </c>
    </row>
    <row r="815" spans="10:16">
      <c r="J815" s="5"/>
      <c r="L815">
        <f>TMTA!M815</f>
        <v>0.845756544000001</v>
      </c>
      <c r="M815">
        <f>TMTA!N815</f>
        <v>80.900000000000006</v>
      </c>
      <c r="O815">
        <f>ABS(L815-TMTA!$C$34)</f>
        <v>1.695360495067618</v>
      </c>
      <c r="P815">
        <f t="shared" si="13"/>
        <v>80.900000000000006</v>
      </c>
    </row>
    <row r="816" spans="10:16">
      <c r="J816" s="5"/>
      <c r="L816">
        <f>TMTA!M816</f>
        <v>0.85206696000000104</v>
      </c>
      <c r="M816">
        <f>TMTA!N816</f>
        <v>81</v>
      </c>
      <c r="O816">
        <f>ABS(L816-TMTA!$C$34)</f>
        <v>1.7016709110676183</v>
      </c>
      <c r="P816">
        <f t="shared" si="13"/>
        <v>81</v>
      </c>
    </row>
    <row r="817" spans="10:16">
      <c r="J817" s="5"/>
      <c r="L817">
        <f>TMTA!M817</f>
        <v>0.85837737599999997</v>
      </c>
      <c r="M817">
        <f>TMTA!N817</f>
        <v>81.099999999999994</v>
      </c>
      <c r="O817">
        <f>ABS(L817-TMTA!$C$34)</f>
        <v>1.7079813270676172</v>
      </c>
      <c r="P817">
        <f t="shared" si="13"/>
        <v>81.099999999999994</v>
      </c>
    </row>
    <row r="818" spans="10:16">
      <c r="J818" s="5"/>
      <c r="L818">
        <f>TMTA!M818</f>
        <v>0.86537027200000005</v>
      </c>
      <c r="M818">
        <f>TMTA!N818</f>
        <v>81.2</v>
      </c>
      <c r="O818">
        <f>ABS(L818-TMTA!$C$34)</f>
        <v>1.714974223067617</v>
      </c>
      <c r="P818">
        <f t="shared" si="13"/>
        <v>81.2</v>
      </c>
    </row>
    <row r="819" spans="10:16">
      <c r="J819" s="5"/>
      <c r="L819">
        <f>TMTA!M819</f>
        <v>0.87256072800000095</v>
      </c>
      <c r="M819">
        <f>TMTA!N819</f>
        <v>81.3</v>
      </c>
      <c r="O819">
        <f>ABS(L819-TMTA!$C$34)</f>
        <v>1.7221646790676179</v>
      </c>
      <c r="P819">
        <f t="shared" si="13"/>
        <v>81.3</v>
      </c>
    </row>
    <row r="820" spans="10:16">
      <c r="J820" s="5"/>
      <c r="L820">
        <f>TMTA!M820</f>
        <v>0.87851038400000003</v>
      </c>
      <c r="M820">
        <f>TMTA!N820</f>
        <v>81.400000000000006</v>
      </c>
      <c r="O820">
        <f>ABS(L820-TMTA!$C$34)</f>
        <v>1.7281143350676171</v>
      </c>
      <c r="P820">
        <f t="shared" si="13"/>
        <v>81.400000000000006</v>
      </c>
    </row>
    <row r="821" spans="10:16">
      <c r="J821" s="5"/>
      <c r="L821">
        <f>TMTA!M821</f>
        <v>0.88017363999999998</v>
      </c>
      <c r="M821">
        <f>TMTA!N821</f>
        <v>81.5</v>
      </c>
      <c r="O821">
        <f>ABS(L821-TMTA!$C$34)</f>
        <v>1.729777591067617</v>
      </c>
      <c r="P821">
        <f t="shared" si="13"/>
        <v>81.5</v>
      </c>
    </row>
    <row r="822" spans="10:16">
      <c r="J822" s="5"/>
      <c r="L822">
        <f>TMTA!M822</f>
        <v>0.88183689600000004</v>
      </c>
      <c r="M822">
        <f>TMTA!N822</f>
        <v>81.599999999999994</v>
      </c>
      <c r="O822">
        <f>ABS(L822-TMTA!$C$34)</f>
        <v>1.731440847067617</v>
      </c>
      <c r="P822">
        <f t="shared" si="13"/>
        <v>81.599999999999994</v>
      </c>
    </row>
    <row r="823" spans="10:16">
      <c r="J823" s="5"/>
      <c r="L823">
        <f>TMTA!M823</f>
        <v>0.88379662400000003</v>
      </c>
      <c r="M823">
        <f>TMTA!N823</f>
        <v>81.7</v>
      </c>
      <c r="O823">
        <f>ABS(L823-TMTA!$C$34)</f>
        <v>1.7334005750676171</v>
      </c>
      <c r="P823">
        <f t="shared" si="13"/>
        <v>81.7</v>
      </c>
    </row>
    <row r="824" spans="10:16">
      <c r="J824" s="5"/>
      <c r="L824">
        <f>TMTA!M824</f>
        <v>0.88590009599999997</v>
      </c>
      <c r="M824">
        <f>TMTA!N824</f>
        <v>81.8</v>
      </c>
      <c r="O824">
        <f>ABS(L824-TMTA!$C$34)</f>
        <v>1.7355040470676171</v>
      </c>
      <c r="P824">
        <f t="shared" si="13"/>
        <v>81.8</v>
      </c>
    </row>
    <row r="825" spans="10:16">
      <c r="J825" s="5"/>
      <c r="L825">
        <f>TMTA!M825</f>
        <v>0.88774600000000004</v>
      </c>
      <c r="M825">
        <f>TMTA!N825</f>
        <v>81.900000000000006</v>
      </c>
      <c r="O825">
        <f>ABS(L825-TMTA!$C$34)</f>
        <v>1.7373499510676171</v>
      </c>
      <c r="P825">
        <f t="shared" si="13"/>
        <v>81.900000000000006</v>
      </c>
    </row>
    <row r="826" spans="10:16">
      <c r="J826" s="5"/>
      <c r="L826">
        <f>TMTA!M826</f>
        <v>0.88774600000000004</v>
      </c>
      <c r="M826">
        <f>TMTA!N826</f>
        <v>82</v>
      </c>
      <c r="O826">
        <f>ABS(L826-TMTA!$C$34)</f>
        <v>1.7373499510676171</v>
      </c>
      <c r="P826">
        <f t="shared" si="13"/>
        <v>82</v>
      </c>
    </row>
    <row r="827" spans="10:16">
      <c r="J827" s="5"/>
      <c r="L827">
        <f>TMTA!M827</f>
        <v>0.88774600000000004</v>
      </c>
      <c r="M827">
        <f>TMTA!N827</f>
        <v>82.1</v>
      </c>
      <c r="O827">
        <f>ABS(L827-TMTA!$C$34)</f>
        <v>1.7373499510676171</v>
      </c>
      <c r="P827">
        <f t="shared" si="13"/>
        <v>82.1</v>
      </c>
    </row>
    <row r="828" spans="10:16">
      <c r="J828" s="5"/>
      <c r="L828">
        <f>TMTA!M828</f>
        <v>0.89014996800000101</v>
      </c>
      <c r="M828">
        <f>TMTA!N828</f>
        <v>82.2</v>
      </c>
      <c r="O828">
        <f>ABS(L828-TMTA!$C$34)</f>
        <v>1.7397539190676181</v>
      </c>
      <c r="P828">
        <f t="shared" si="13"/>
        <v>82.2</v>
      </c>
    </row>
    <row r="829" spans="10:16">
      <c r="J829" s="5"/>
      <c r="L829">
        <f>TMTA!M829</f>
        <v>0.894356912</v>
      </c>
      <c r="M829">
        <f>TMTA!N829</f>
        <v>82.3</v>
      </c>
      <c r="O829">
        <f>ABS(L829-TMTA!$C$34)</f>
        <v>1.7439608630676171</v>
      </c>
      <c r="P829">
        <f t="shared" si="13"/>
        <v>82.3</v>
      </c>
    </row>
    <row r="830" spans="10:16">
      <c r="J830" s="5"/>
      <c r="L830">
        <f>TMTA!M830</f>
        <v>0.89848698400000004</v>
      </c>
      <c r="M830">
        <f>TMTA!N830</f>
        <v>82.4</v>
      </c>
      <c r="O830">
        <f>ABS(L830-TMTA!$C$34)</f>
        <v>1.748090935067617</v>
      </c>
      <c r="P830">
        <f t="shared" si="13"/>
        <v>82.4</v>
      </c>
    </row>
    <row r="831" spans="10:16">
      <c r="J831" s="5"/>
      <c r="L831">
        <f>TMTA!M831</f>
        <v>0.89892720000000004</v>
      </c>
      <c r="M831">
        <f>TMTA!N831</f>
        <v>82.5</v>
      </c>
      <c r="O831">
        <f>ABS(L831-TMTA!$C$34)</f>
        <v>1.7485311510676171</v>
      </c>
      <c r="P831">
        <f t="shared" si="13"/>
        <v>82.5</v>
      </c>
    </row>
    <row r="832" spans="10:16">
      <c r="J832" s="5"/>
      <c r="L832">
        <f>TMTA!M832</f>
        <v>0.89936741600000003</v>
      </c>
      <c r="M832">
        <f>TMTA!N832</f>
        <v>82.6</v>
      </c>
      <c r="O832">
        <f>ABS(L832-TMTA!$C$34)</f>
        <v>1.7489713670676172</v>
      </c>
      <c r="P832">
        <f t="shared" si="13"/>
        <v>82.6</v>
      </c>
    </row>
    <row r="833" spans="10:16">
      <c r="J833" s="5"/>
      <c r="L833">
        <f>TMTA!M833</f>
        <v>0.90058834399999999</v>
      </c>
      <c r="M833">
        <f>TMTA!N833</f>
        <v>82.7</v>
      </c>
      <c r="O833">
        <f>ABS(L833-TMTA!$C$34)</f>
        <v>1.7501922950676172</v>
      </c>
      <c r="P833">
        <f t="shared" si="13"/>
        <v>82.7</v>
      </c>
    </row>
    <row r="834" spans="10:16">
      <c r="J834" s="5"/>
      <c r="L834">
        <f>TMTA!M834</f>
        <v>0.90269181600000004</v>
      </c>
      <c r="M834">
        <f>TMTA!N834</f>
        <v>82.8</v>
      </c>
      <c r="O834">
        <f>ABS(L834-TMTA!$C$34)</f>
        <v>1.7522957670676171</v>
      </c>
      <c r="P834">
        <f t="shared" si="13"/>
        <v>82.8</v>
      </c>
    </row>
    <row r="835" spans="10:16">
      <c r="J835" s="5"/>
      <c r="L835">
        <f>TMTA!M835</f>
        <v>0.90479528799999998</v>
      </c>
      <c r="M835">
        <f>TMTA!N835</f>
        <v>82.9</v>
      </c>
      <c r="O835">
        <f>ABS(L835-TMTA!$C$34)</f>
        <v>1.7543992390676171</v>
      </c>
      <c r="P835">
        <f t="shared" si="13"/>
        <v>82.9</v>
      </c>
    </row>
    <row r="836" spans="10:16">
      <c r="J836" s="5"/>
      <c r="L836">
        <f>TMTA!M836</f>
        <v>0.93322376000000096</v>
      </c>
      <c r="M836">
        <f>TMTA!N836</f>
        <v>83</v>
      </c>
      <c r="O836">
        <f>ABS(L836-TMTA!$C$34)</f>
        <v>1.7828277110676181</v>
      </c>
      <c r="P836">
        <f t="shared" si="13"/>
        <v>83</v>
      </c>
    </row>
    <row r="837" spans="10:16">
      <c r="J837" s="5"/>
      <c r="L837">
        <f>TMTA!M837</f>
        <v>0.96399223200000095</v>
      </c>
      <c r="M837">
        <f>TMTA!N837</f>
        <v>83.1</v>
      </c>
      <c r="O837">
        <f>ABS(L837-TMTA!$C$34)</f>
        <v>1.8135961830676179</v>
      </c>
      <c r="P837">
        <f t="shared" si="13"/>
        <v>83.1</v>
      </c>
    </row>
    <row r="838" spans="10:16">
      <c r="J838" s="5"/>
      <c r="L838">
        <f>TMTA!M838</f>
        <v>0.98593782399999996</v>
      </c>
      <c r="M838">
        <f>TMTA!N838</f>
        <v>83.2</v>
      </c>
      <c r="O838">
        <f>ABS(L838-TMTA!$C$34)</f>
        <v>1.8355417750676171</v>
      </c>
      <c r="P838">
        <f t="shared" si="13"/>
        <v>83.2</v>
      </c>
    </row>
    <row r="839" spans="10:16">
      <c r="J839" s="5"/>
      <c r="L839">
        <f>TMTA!M839</f>
        <v>0.992688456</v>
      </c>
      <c r="M839">
        <f>TMTA!N839</f>
        <v>83.3</v>
      </c>
      <c r="O839">
        <f>ABS(L839-TMTA!$C$34)</f>
        <v>1.842292407067617</v>
      </c>
      <c r="P839">
        <f t="shared" ref="P839:P902" si="14">M839</f>
        <v>83.3</v>
      </c>
    </row>
    <row r="840" spans="10:16">
      <c r="J840" s="5"/>
      <c r="L840">
        <f>TMTA!M840</f>
        <v>0.99943908800000003</v>
      </c>
      <c r="M840">
        <f>TMTA!N840</f>
        <v>83.4</v>
      </c>
      <c r="O840">
        <f>ABS(L840-TMTA!$C$34)</f>
        <v>1.8490430390676171</v>
      </c>
      <c r="P840">
        <f t="shared" si="14"/>
        <v>83.4</v>
      </c>
    </row>
    <row r="841" spans="10:16">
      <c r="J841" s="5"/>
      <c r="L841">
        <f>TMTA!M841</f>
        <v>1.0041132399999999</v>
      </c>
      <c r="M841">
        <f>TMTA!N841</f>
        <v>83.5</v>
      </c>
      <c r="O841">
        <f>ABS(L841-TMTA!$C$34)</f>
        <v>1.8537171910676169</v>
      </c>
      <c r="P841">
        <f t="shared" si="14"/>
        <v>83.5</v>
      </c>
    </row>
    <row r="842" spans="10:16">
      <c r="J842" s="5"/>
      <c r="L842">
        <f>TMTA!M842</f>
        <v>1.008320184</v>
      </c>
      <c r="M842">
        <f>TMTA!N842</f>
        <v>83.6</v>
      </c>
      <c r="O842">
        <f>ABS(L842-TMTA!$C$34)</f>
        <v>1.8579241350676172</v>
      </c>
      <c r="P842">
        <f t="shared" si="14"/>
        <v>83.6</v>
      </c>
    </row>
    <row r="843" spans="10:16">
      <c r="J843" s="5"/>
      <c r="L843">
        <f>TMTA!M843</f>
        <v>1.0114110000000001</v>
      </c>
      <c r="M843">
        <f>TMTA!N843</f>
        <v>83.7</v>
      </c>
      <c r="O843">
        <f>ABS(L843-TMTA!$C$34)</f>
        <v>1.8610149510676171</v>
      </c>
      <c r="P843">
        <f t="shared" si="14"/>
        <v>83.7</v>
      </c>
    </row>
    <row r="844" spans="10:16">
      <c r="J844" s="5"/>
      <c r="L844">
        <f>TMTA!M844</f>
        <v>1.0114110000000001</v>
      </c>
      <c r="M844">
        <f>TMTA!N844</f>
        <v>83.8</v>
      </c>
      <c r="O844">
        <f>ABS(L844-TMTA!$C$34)</f>
        <v>1.8610149510676171</v>
      </c>
      <c r="P844">
        <f t="shared" si="14"/>
        <v>83.8</v>
      </c>
    </row>
    <row r="845" spans="10:16">
      <c r="J845" s="5"/>
      <c r="L845">
        <f>TMTA!M845</f>
        <v>1.0114110000000001</v>
      </c>
      <c r="M845">
        <f>TMTA!N845</f>
        <v>83.9</v>
      </c>
      <c r="O845">
        <f>ABS(L845-TMTA!$C$34)</f>
        <v>1.8610149510676171</v>
      </c>
      <c r="P845">
        <f t="shared" si="14"/>
        <v>83.9</v>
      </c>
    </row>
    <row r="846" spans="10:16">
      <c r="J846" s="5"/>
      <c r="L846">
        <f>TMTA!M846</f>
        <v>1.0147301200000001</v>
      </c>
      <c r="M846">
        <f>TMTA!N846</f>
        <v>84</v>
      </c>
      <c r="O846">
        <f>ABS(L846-TMTA!$C$34)</f>
        <v>1.8643340710676171</v>
      </c>
      <c r="P846">
        <f t="shared" si="14"/>
        <v>84</v>
      </c>
    </row>
    <row r="847" spans="10:16">
      <c r="J847" s="5"/>
      <c r="L847">
        <f>TMTA!M847</f>
        <v>1.019376888</v>
      </c>
      <c r="M847">
        <f>TMTA!N847</f>
        <v>84.1</v>
      </c>
      <c r="O847">
        <f>ABS(L847-TMTA!$C$34)</f>
        <v>1.8689808390676173</v>
      </c>
      <c r="P847">
        <f t="shared" si="14"/>
        <v>84.1</v>
      </c>
    </row>
    <row r="848" spans="10:16">
      <c r="J848" s="5"/>
      <c r="L848">
        <f>TMTA!M848</f>
        <v>1.0239518480000001</v>
      </c>
      <c r="M848">
        <f>TMTA!N848</f>
        <v>84.2</v>
      </c>
      <c r="O848">
        <f>ABS(L848-TMTA!$C$34)</f>
        <v>1.873555799067617</v>
      </c>
      <c r="P848">
        <f t="shared" si="14"/>
        <v>84.2</v>
      </c>
    </row>
    <row r="849" spans="10:16">
      <c r="J849" s="5"/>
      <c r="L849">
        <f>TMTA!M849</f>
        <v>1.0281587919999999</v>
      </c>
      <c r="M849">
        <f>TMTA!N849</f>
        <v>84.3</v>
      </c>
      <c r="O849">
        <f>ABS(L849-TMTA!$C$34)</f>
        <v>1.8777627430676169</v>
      </c>
      <c r="P849">
        <f t="shared" si="14"/>
        <v>84.3</v>
      </c>
    </row>
    <row r="850" spans="10:16">
      <c r="J850" s="5"/>
      <c r="L850">
        <f>TMTA!M850</f>
        <v>1.032365736</v>
      </c>
      <c r="M850">
        <f>TMTA!N850</f>
        <v>84.4</v>
      </c>
      <c r="O850">
        <f>ABS(L850-TMTA!$C$34)</f>
        <v>1.8819696870676172</v>
      </c>
      <c r="P850">
        <f t="shared" si="14"/>
        <v>84.4</v>
      </c>
    </row>
    <row r="851" spans="10:16">
      <c r="J851" s="5"/>
      <c r="L851">
        <f>TMTA!M851</f>
        <v>1.0368421999999999</v>
      </c>
      <c r="M851">
        <f>TMTA!N851</f>
        <v>84.5</v>
      </c>
      <c r="O851">
        <f>ABS(L851-TMTA!$C$34)</f>
        <v>1.8864461510676169</v>
      </c>
      <c r="P851">
        <f t="shared" si="14"/>
        <v>84.5</v>
      </c>
    </row>
    <row r="852" spans="10:16">
      <c r="J852" s="5"/>
      <c r="L852">
        <f>TMTA!M852</f>
        <v>1.0414893599999999</v>
      </c>
      <c r="M852">
        <f>TMTA!N852</f>
        <v>84.6</v>
      </c>
      <c r="O852">
        <f>ABS(L852-TMTA!$C$34)</f>
        <v>1.8910933110676171</v>
      </c>
      <c r="P852">
        <f t="shared" si="14"/>
        <v>84.6</v>
      </c>
    </row>
    <row r="853" spans="10:16">
      <c r="J853" s="5"/>
      <c r="L853">
        <f>TMTA!M853</f>
        <v>1.045852</v>
      </c>
      <c r="M853">
        <f>TMTA!N853</f>
        <v>84.7</v>
      </c>
      <c r="O853">
        <f>ABS(L853-TMTA!$C$34)</f>
        <v>1.8954559510676172</v>
      </c>
      <c r="P853">
        <f t="shared" si="14"/>
        <v>84.7</v>
      </c>
    </row>
    <row r="854" spans="10:16">
      <c r="J854" s="5"/>
      <c r="L854">
        <f>TMTA!M854</f>
        <v>1.045852</v>
      </c>
      <c r="M854">
        <f>TMTA!N854</f>
        <v>84.8</v>
      </c>
      <c r="O854">
        <f>ABS(L854-TMTA!$C$34)</f>
        <v>1.8954559510676172</v>
      </c>
      <c r="P854">
        <f t="shared" si="14"/>
        <v>84.8</v>
      </c>
    </row>
    <row r="855" spans="10:16">
      <c r="J855" s="5"/>
      <c r="L855">
        <f>TMTA!M855</f>
        <v>1.045852</v>
      </c>
      <c r="M855">
        <f>TMTA!N855</f>
        <v>84.9</v>
      </c>
      <c r="O855">
        <f>ABS(L855-TMTA!$C$34)</f>
        <v>1.8954559510676172</v>
      </c>
      <c r="P855">
        <f t="shared" si="14"/>
        <v>84.9</v>
      </c>
    </row>
    <row r="856" spans="10:16">
      <c r="J856" s="5"/>
      <c r="L856">
        <f>TMTA!M856</f>
        <v>1.0581062000000001</v>
      </c>
      <c r="M856">
        <f>TMTA!N856</f>
        <v>85</v>
      </c>
      <c r="O856">
        <f>ABS(L856-TMTA!$C$34)</f>
        <v>1.9077101510676173</v>
      </c>
      <c r="P856">
        <f t="shared" si="14"/>
        <v>85</v>
      </c>
    </row>
    <row r="857" spans="10:16">
      <c r="J857" s="5"/>
      <c r="L857">
        <f>TMTA!M857</f>
        <v>1.0821244320000001</v>
      </c>
      <c r="M857">
        <f>TMTA!N857</f>
        <v>85.1</v>
      </c>
      <c r="O857">
        <f>ABS(L857-TMTA!$C$34)</f>
        <v>1.9317283830676173</v>
      </c>
      <c r="P857">
        <f t="shared" si="14"/>
        <v>85.1</v>
      </c>
    </row>
    <row r="858" spans="10:16">
      <c r="J858" s="5"/>
      <c r="L858">
        <f>TMTA!M858</f>
        <v>1.1061426640000001</v>
      </c>
      <c r="M858">
        <f>TMTA!N858</f>
        <v>85.2</v>
      </c>
      <c r="O858">
        <f>ABS(L858-TMTA!$C$34)</f>
        <v>1.9557466150676173</v>
      </c>
      <c r="P858">
        <f t="shared" si="14"/>
        <v>85.2</v>
      </c>
    </row>
    <row r="859" spans="10:16">
      <c r="J859" s="5"/>
      <c r="L859">
        <f>TMTA!M859</f>
        <v>1.1095624879999999</v>
      </c>
      <c r="M859">
        <f>TMTA!N859</f>
        <v>85.3</v>
      </c>
      <c r="O859">
        <f>ABS(L859-TMTA!$C$34)</f>
        <v>1.9591664390676171</v>
      </c>
      <c r="P859">
        <f t="shared" si="14"/>
        <v>85.3</v>
      </c>
    </row>
    <row r="860" spans="10:16">
      <c r="J860" s="5"/>
      <c r="L860">
        <f>TMTA!M860</f>
        <v>1.1121057839999999</v>
      </c>
      <c r="M860">
        <f>TMTA!N860</f>
        <v>85.4</v>
      </c>
      <c r="O860">
        <f>ABS(L860-TMTA!$C$34)</f>
        <v>1.9617097350676169</v>
      </c>
      <c r="P860">
        <f t="shared" si="14"/>
        <v>85.4</v>
      </c>
    </row>
    <row r="861" spans="10:16">
      <c r="J861" s="5"/>
      <c r="L861">
        <f>TMTA!M861</f>
        <v>1.1160071600000001</v>
      </c>
      <c r="M861">
        <f>TMTA!N861</f>
        <v>85.5</v>
      </c>
      <c r="O861">
        <f>ABS(L861-TMTA!$C$34)</f>
        <v>1.9656111110676173</v>
      </c>
      <c r="P861">
        <f t="shared" si="14"/>
        <v>85.5</v>
      </c>
    </row>
    <row r="862" spans="10:16">
      <c r="J862" s="5"/>
      <c r="L862">
        <f>TMTA!M862</f>
        <v>1.1218777520000001</v>
      </c>
      <c r="M862">
        <f>TMTA!N862</f>
        <v>85.6</v>
      </c>
      <c r="O862">
        <f>ABS(L862-TMTA!$C$34)</f>
        <v>1.9714817030676173</v>
      </c>
      <c r="P862">
        <f t="shared" si="14"/>
        <v>85.6</v>
      </c>
    </row>
    <row r="863" spans="10:16">
      <c r="J863" s="5"/>
      <c r="L863">
        <f>TMTA!M863</f>
        <v>1.127748344</v>
      </c>
      <c r="M863">
        <f>TMTA!N863</f>
        <v>85.7</v>
      </c>
      <c r="O863">
        <f>ABS(L863-TMTA!$C$34)</f>
        <v>1.9773522950676172</v>
      </c>
      <c r="P863">
        <f t="shared" si="14"/>
        <v>85.7</v>
      </c>
    </row>
    <row r="864" spans="10:16">
      <c r="J864" s="5"/>
      <c r="L864">
        <f>TMTA!M864</f>
        <v>1.1293409839999999</v>
      </c>
      <c r="M864">
        <f>TMTA!N864</f>
        <v>85.8</v>
      </c>
      <c r="O864">
        <f>ABS(L864-TMTA!$C$34)</f>
        <v>1.9789449350676169</v>
      </c>
      <c r="P864">
        <f t="shared" si="14"/>
        <v>85.8</v>
      </c>
    </row>
    <row r="865" spans="10:16">
      <c r="J865" s="5"/>
      <c r="L865">
        <f>TMTA!M865</f>
        <v>1.1302206319999999</v>
      </c>
      <c r="M865">
        <f>TMTA!N865</f>
        <v>85.9</v>
      </c>
      <c r="O865">
        <f>ABS(L865-TMTA!$C$34)</f>
        <v>1.9798245830676171</v>
      </c>
      <c r="P865">
        <f t="shared" si="14"/>
        <v>85.9</v>
      </c>
    </row>
    <row r="866" spans="10:16">
      <c r="J866" s="5"/>
      <c r="L866">
        <f>TMTA!M866</f>
        <v>1.1394713599999999</v>
      </c>
      <c r="M866">
        <f>TMTA!N866</f>
        <v>86</v>
      </c>
      <c r="O866">
        <f>ABS(L866-TMTA!$C$34)</f>
        <v>1.9890753110676171</v>
      </c>
      <c r="P866">
        <f t="shared" si="14"/>
        <v>86</v>
      </c>
    </row>
    <row r="867" spans="10:16">
      <c r="J867" s="5"/>
      <c r="L867">
        <f>TMTA!M867</f>
        <v>1.167696536</v>
      </c>
      <c r="M867">
        <f>TMTA!N867</f>
        <v>86.1</v>
      </c>
      <c r="O867">
        <f>ABS(L867-TMTA!$C$34)</f>
        <v>2.017300487067617</v>
      </c>
      <c r="P867">
        <f t="shared" si="14"/>
        <v>86.1</v>
      </c>
    </row>
    <row r="868" spans="10:16">
      <c r="J868" s="5"/>
      <c r="L868">
        <f>TMTA!M868</f>
        <v>1.1959217120000001</v>
      </c>
      <c r="M868">
        <f>TMTA!N868</f>
        <v>86.2</v>
      </c>
      <c r="O868">
        <f>ABS(L868-TMTA!$C$34)</f>
        <v>2.0455256630676173</v>
      </c>
      <c r="P868">
        <f t="shared" si="14"/>
        <v>86.2</v>
      </c>
    </row>
    <row r="869" spans="10:16">
      <c r="J869" s="5"/>
      <c r="L869">
        <f>TMTA!M869</f>
        <v>1.2047547439999999</v>
      </c>
      <c r="M869">
        <f>TMTA!N869</f>
        <v>86.3</v>
      </c>
      <c r="O869">
        <f>ABS(L869-TMTA!$C$34)</f>
        <v>2.0543586950676169</v>
      </c>
      <c r="P869">
        <f t="shared" si="14"/>
        <v>86.3</v>
      </c>
    </row>
    <row r="870" spans="10:16">
      <c r="J870" s="5"/>
      <c r="L870">
        <f>TMTA!M870</f>
        <v>1.207298432</v>
      </c>
      <c r="M870">
        <f>TMTA!N870</f>
        <v>86.4</v>
      </c>
      <c r="O870">
        <f>ABS(L870-TMTA!$C$34)</f>
        <v>2.0569023830676172</v>
      </c>
      <c r="P870">
        <f t="shared" si="14"/>
        <v>86.4</v>
      </c>
    </row>
    <row r="871" spans="10:16">
      <c r="J871" s="5"/>
      <c r="L871">
        <f>TMTA!M871</f>
        <v>1.2098420400000001</v>
      </c>
      <c r="M871">
        <f>TMTA!N871</f>
        <v>86.5</v>
      </c>
      <c r="O871">
        <f>ABS(L871-TMTA!$C$34)</f>
        <v>2.0594459910676171</v>
      </c>
      <c r="P871">
        <f t="shared" si="14"/>
        <v>86.5</v>
      </c>
    </row>
    <row r="872" spans="10:16">
      <c r="J872" s="5"/>
      <c r="L872">
        <f>TMTA!M872</f>
        <v>1.2123853360000001</v>
      </c>
      <c r="M872">
        <f>TMTA!N872</f>
        <v>86.6</v>
      </c>
      <c r="O872">
        <f>ABS(L872-TMTA!$C$34)</f>
        <v>2.0619892870676173</v>
      </c>
      <c r="P872">
        <f t="shared" si="14"/>
        <v>86.6</v>
      </c>
    </row>
    <row r="873" spans="10:16">
      <c r="J873" s="5"/>
      <c r="L873">
        <f>TMTA!M873</f>
        <v>1.2149286319999999</v>
      </c>
      <c r="M873">
        <f>TMTA!N873</f>
        <v>86.7</v>
      </c>
      <c r="O873">
        <f>ABS(L873-TMTA!$C$34)</f>
        <v>2.0645325830676171</v>
      </c>
      <c r="P873">
        <f t="shared" si="14"/>
        <v>86.7</v>
      </c>
    </row>
    <row r="874" spans="10:16">
      <c r="J874" s="5"/>
      <c r="L874">
        <f>TMTA!M874</f>
        <v>1.2168974640000001</v>
      </c>
      <c r="M874">
        <f>TMTA!N874</f>
        <v>86.8</v>
      </c>
      <c r="O874">
        <f>ABS(L874-TMTA!$C$34)</f>
        <v>2.0665014150676173</v>
      </c>
      <c r="P874">
        <f t="shared" si="14"/>
        <v>86.8</v>
      </c>
    </row>
    <row r="875" spans="10:16">
      <c r="J875" s="5"/>
      <c r="L875">
        <f>TMTA!M875</f>
        <v>1.2185611119999999</v>
      </c>
      <c r="M875">
        <f>TMTA!N875</f>
        <v>86.9</v>
      </c>
      <c r="O875">
        <f>ABS(L875-TMTA!$C$34)</f>
        <v>2.0681650630676169</v>
      </c>
      <c r="P875">
        <f t="shared" si="14"/>
        <v>86.9</v>
      </c>
    </row>
    <row r="876" spans="10:16">
      <c r="J876" s="5"/>
      <c r="L876">
        <f>TMTA!M876</f>
        <v>1.2202696399999999</v>
      </c>
      <c r="M876">
        <f>TMTA!N876</f>
        <v>87</v>
      </c>
      <c r="O876">
        <f>ABS(L876-TMTA!$C$34)</f>
        <v>2.0698735910676169</v>
      </c>
      <c r="P876">
        <f t="shared" si="14"/>
        <v>87</v>
      </c>
    </row>
    <row r="877" spans="10:16">
      <c r="J877" s="5"/>
      <c r="L877">
        <f>TMTA!M877</f>
        <v>1.2223731120000001</v>
      </c>
      <c r="M877">
        <f>TMTA!N877</f>
        <v>87.1</v>
      </c>
      <c r="O877">
        <f>ABS(L877-TMTA!$C$34)</f>
        <v>2.0719770630676173</v>
      </c>
      <c r="P877">
        <f t="shared" si="14"/>
        <v>87.1</v>
      </c>
    </row>
    <row r="878" spans="10:16">
      <c r="J878" s="5"/>
      <c r="L878">
        <f>TMTA!M878</f>
        <v>1.224476584</v>
      </c>
      <c r="M878">
        <f>TMTA!N878</f>
        <v>87.2</v>
      </c>
      <c r="O878">
        <f>ABS(L878-TMTA!$C$34)</f>
        <v>2.0740805350676172</v>
      </c>
      <c r="P878">
        <f t="shared" si="14"/>
        <v>87.2</v>
      </c>
    </row>
    <row r="879" spans="10:16">
      <c r="J879" s="5"/>
      <c r="L879">
        <f>TMTA!M879</f>
        <v>1.226580056</v>
      </c>
      <c r="M879">
        <f>TMTA!N879</f>
        <v>87.3</v>
      </c>
      <c r="O879">
        <f>ABS(L879-TMTA!$C$34)</f>
        <v>2.0761840070676172</v>
      </c>
      <c r="P879">
        <f t="shared" si="14"/>
        <v>87.3</v>
      </c>
    </row>
    <row r="880" spans="10:16">
      <c r="J880" s="5"/>
      <c r="L880">
        <f>TMTA!M880</f>
        <v>1.2286835279999999</v>
      </c>
      <c r="M880">
        <f>TMTA!N880</f>
        <v>87.4</v>
      </c>
      <c r="O880">
        <f>ABS(L880-TMTA!$C$34)</f>
        <v>2.0782874790676171</v>
      </c>
      <c r="P880">
        <f t="shared" si="14"/>
        <v>87.4</v>
      </c>
    </row>
    <row r="881" spans="10:16">
      <c r="J881" s="5"/>
      <c r="L881">
        <f>TMTA!M881</f>
        <v>1.2307870000000001</v>
      </c>
      <c r="M881">
        <f>TMTA!N881</f>
        <v>87.5</v>
      </c>
      <c r="O881">
        <f>ABS(L881-TMTA!$C$34)</f>
        <v>2.0803909510676171</v>
      </c>
      <c r="P881">
        <f t="shared" si="14"/>
        <v>87.5</v>
      </c>
    </row>
    <row r="882" spans="10:16">
      <c r="J882" s="5"/>
      <c r="L882">
        <f>TMTA!M882</f>
        <v>1.234993944</v>
      </c>
      <c r="M882">
        <f>TMTA!N882</f>
        <v>87.6</v>
      </c>
      <c r="O882">
        <f>ABS(L882-TMTA!$C$34)</f>
        <v>2.0845978950676169</v>
      </c>
      <c r="P882">
        <f t="shared" si="14"/>
        <v>87.6</v>
      </c>
    </row>
    <row r="883" spans="10:16">
      <c r="J883" s="5"/>
      <c r="L883">
        <f>TMTA!M883</f>
        <v>1.2392008880000001</v>
      </c>
      <c r="M883">
        <f>TMTA!N883</f>
        <v>87.7</v>
      </c>
      <c r="O883">
        <f>ABS(L883-TMTA!$C$34)</f>
        <v>2.0888048390676173</v>
      </c>
      <c r="P883">
        <f t="shared" si="14"/>
        <v>87.7</v>
      </c>
    </row>
    <row r="884" spans="10:16">
      <c r="J884" s="5"/>
      <c r="L884">
        <f>TMTA!M884</f>
        <v>1.24350692</v>
      </c>
      <c r="M884">
        <f>TMTA!N884</f>
        <v>87.8</v>
      </c>
      <c r="O884">
        <f>ABS(L884-TMTA!$C$34)</f>
        <v>2.093110871067617</v>
      </c>
      <c r="P884">
        <f t="shared" si="14"/>
        <v>87.8</v>
      </c>
    </row>
    <row r="885" spans="10:16">
      <c r="J885" s="5"/>
      <c r="L885">
        <f>TMTA!M885</f>
        <v>1.24793456</v>
      </c>
      <c r="M885">
        <f>TMTA!N885</f>
        <v>87.9</v>
      </c>
      <c r="O885">
        <f>ABS(L885-TMTA!$C$34)</f>
        <v>2.0975385110676172</v>
      </c>
      <c r="P885">
        <f t="shared" si="14"/>
        <v>87.9</v>
      </c>
    </row>
    <row r="886" spans="10:16">
      <c r="J886" s="5"/>
      <c r="L886">
        <f>TMTA!M886</f>
        <v>1.2523622000000001</v>
      </c>
      <c r="M886">
        <f>TMTA!N886</f>
        <v>88</v>
      </c>
      <c r="O886">
        <f>ABS(L886-TMTA!$C$34)</f>
        <v>2.1019661510676171</v>
      </c>
      <c r="P886">
        <f t="shared" si="14"/>
        <v>88</v>
      </c>
    </row>
    <row r="887" spans="10:16">
      <c r="J887" s="5"/>
      <c r="L887">
        <f>TMTA!M887</f>
        <v>1.2552948960000001</v>
      </c>
      <c r="M887">
        <f>TMTA!N887</f>
        <v>88.1</v>
      </c>
      <c r="O887">
        <f>ABS(L887-TMTA!$C$34)</f>
        <v>2.1048988470676173</v>
      </c>
      <c r="P887">
        <f t="shared" si="14"/>
        <v>88.1</v>
      </c>
    </row>
    <row r="888" spans="10:16">
      <c r="J888" s="5"/>
      <c r="L888">
        <f>TMTA!M888</f>
        <v>1.2580577120000001</v>
      </c>
      <c r="M888">
        <f>TMTA!N888</f>
        <v>88.2</v>
      </c>
      <c r="O888">
        <f>ABS(L888-TMTA!$C$34)</f>
        <v>2.107661663067617</v>
      </c>
      <c r="P888">
        <f t="shared" si="14"/>
        <v>88.2</v>
      </c>
    </row>
    <row r="889" spans="10:16">
      <c r="J889" s="5"/>
      <c r="L889">
        <f>TMTA!M889</f>
        <v>1.259862</v>
      </c>
      <c r="M889">
        <f>TMTA!N889</f>
        <v>88.3</v>
      </c>
      <c r="O889">
        <f>ABS(L889-TMTA!$C$34)</f>
        <v>2.1094659510676173</v>
      </c>
      <c r="P889">
        <f t="shared" si="14"/>
        <v>88.3</v>
      </c>
    </row>
    <row r="890" spans="10:16">
      <c r="J890" s="5"/>
      <c r="L890">
        <f>TMTA!M890</f>
        <v>1.259862</v>
      </c>
      <c r="M890">
        <f>TMTA!N890</f>
        <v>88.4</v>
      </c>
      <c r="O890">
        <f>ABS(L890-TMTA!$C$34)</f>
        <v>2.1094659510676173</v>
      </c>
      <c r="P890">
        <f t="shared" si="14"/>
        <v>88.4</v>
      </c>
    </row>
    <row r="891" spans="10:16">
      <c r="J891" s="5"/>
      <c r="L891">
        <f>TMTA!M891</f>
        <v>1.259862</v>
      </c>
      <c r="M891">
        <f>TMTA!N891</f>
        <v>88.5</v>
      </c>
      <c r="O891">
        <f>ABS(L891-TMTA!$C$34)</f>
        <v>2.1094659510676173</v>
      </c>
      <c r="P891">
        <f t="shared" si="14"/>
        <v>88.5</v>
      </c>
    </row>
    <row r="892" spans="10:16">
      <c r="J892" s="5"/>
      <c r="L892">
        <f>TMTA!M892</f>
        <v>1.263210384</v>
      </c>
      <c r="M892">
        <f>TMTA!N892</f>
        <v>88.6</v>
      </c>
      <c r="O892">
        <f>ABS(L892-TMTA!$C$34)</f>
        <v>2.112814335067617</v>
      </c>
      <c r="P892">
        <f t="shared" si="14"/>
        <v>88.6</v>
      </c>
    </row>
    <row r="893" spans="10:16">
      <c r="J893" s="5"/>
      <c r="L893">
        <f>TMTA!M893</f>
        <v>1.2674173280000001</v>
      </c>
      <c r="M893">
        <f>TMTA!N893</f>
        <v>88.7</v>
      </c>
      <c r="O893">
        <f>ABS(L893-TMTA!$C$34)</f>
        <v>2.1170212790676173</v>
      </c>
      <c r="P893">
        <f t="shared" si="14"/>
        <v>88.7</v>
      </c>
    </row>
    <row r="894" spans="10:16">
      <c r="J894" s="5"/>
      <c r="L894">
        <f>TMTA!M894</f>
        <v>1.273277392</v>
      </c>
      <c r="M894">
        <f>TMTA!N894</f>
        <v>88.8</v>
      </c>
      <c r="O894">
        <f>ABS(L894-TMTA!$C$34)</f>
        <v>2.122881343067617</v>
      </c>
      <c r="P894">
        <f t="shared" si="14"/>
        <v>88.8</v>
      </c>
    </row>
    <row r="895" spans="10:16">
      <c r="J895" s="5"/>
      <c r="L895">
        <f>TMTA!M895</f>
        <v>1.284234576</v>
      </c>
      <c r="M895">
        <f>TMTA!N895</f>
        <v>88.9</v>
      </c>
      <c r="O895">
        <f>ABS(L895-TMTA!$C$34)</f>
        <v>2.133838527067617</v>
      </c>
      <c r="P895">
        <f t="shared" si="14"/>
        <v>88.9</v>
      </c>
    </row>
    <row r="896" spans="10:16">
      <c r="J896" s="5"/>
      <c r="L896">
        <f>TMTA!M896</f>
        <v>1.29519176</v>
      </c>
      <c r="M896">
        <f>TMTA!N896</f>
        <v>89</v>
      </c>
      <c r="O896">
        <f>ABS(L896-TMTA!$C$34)</f>
        <v>2.144795711067617</v>
      </c>
      <c r="P896">
        <f t="shared" si="14"/>
        <v>89</v>
      </c>
    </row>
    <row r="897" spans="10:16">
      <c r="J897" s="5"/>
      <c r="L897">
        <f>TMTA!M897</f>
        <v>1.300005552</v>
      </c>
      <c r="M897">
        <f>TMTA!N897</f>
        <v>89.1</v>
      </c>
      <c r="O897">
        <f>ABS(L897-TMTA!$C$34)</f>
        <v>2.1496095030676172</v>
      </c>
      <c r="P897">
        <f t="shared" si="14"/>
        <v>89.1</v>
      </c>
    </row>
    <row r="898" spans="10:16">
      <c r="J898" s="5"/>
      <c r="L898">
        <f>TMTA!M898</f>
        <v>1.3021090239999999</v>
      </c>
      <c r="M898">
        <f>TMTA!N898</f>
        <v>89.2</v>
      </c>
      <c r="O898">
        <f>ABS(L898-TMTA!$C$34)</f>
        <v>2.1517129750676172</v>
      </c>
      <c r="P898">
        <f t="shared" si="14"/>
        <v>89.2</v>
      </c>
    </row>
    <row r="899" spans="10:16">
      <c r="J899" s="5"/>
      <c r="L899">
        <f>TMTA!M899</f>
        <v>1.305477368</v>
      </c>
      <c r="M899">
        <f>TMTA!N899</f>
        <v>89.3</v>
      </c>
      <c r="O899">
        <f>ABS(L899-TMTA!$C$34)</f>
        <v>2.1550813190676172</v>
      </c>
      <c r="P899">
        <f t="shared" si="14"/>
        <v>89.3</v>
      </c>
    </row>
    <row r="900" spans="10:16">
      <c r="J900" s="5"/>
      <c r="L900">
        <f>TMTA!M900</f>
        <v>1.3164349440000001</v>
      </c>
      <c r="M900">
        <f>TMTA!N900</f>
        <v>89.4</v>
      </c>
      <c r="O900">
        <f>ABS(L900-TMTA!$C$34)</f>
        <v>2.1660388950676173</v>
      </c>
      <c r="P900">
        <f t="shared" si="14"/>
        <v>89.4</v>
      </c>
    </row>
    <row r="901" spans="10:16">
      <c r="J901" s="5"/>
      <c r="L901">
        <f>TMTA!M901</f>
        <v>1.3273925200000001</v>
      </c>
      <c r="M901">
        <f>TMTA!N901</f>
        <v>89.5</v>
      </c>
      <c r="O901">
        <f>ABS(L901-TMTA!$C$34)</f>
        <v>2.1769964710676173</v>
      </c>
      <c r="P901">
        <f t="shared" si="14"/>
        <v>89.5</v>
      </c>
    </row>
    <row r="902" spans="10:16">
      <c r="J902" s="5"/>
      <c r="L902">
        <f>TMTA!M902</f>
        <v>1.334615128</v>
      </c>
      <c r="M902">
        <f>TMTA!N902</f>
        <v>89.6</v>
      </c>
      <c r="O902">
        <f>ABS(L902-TMTA!$C$34)</f>
        <v>2.184219079067617</v>
      </c>
      <c r="P902">
        <f t="shared" si="14"/>
        <v>89.6</v>
      </c>
    </row>
    <row r="903" spans="10:16">
      <c r="J903" s="5"/>
      <c r="L903">
        <f>TMTA!M903</f>
        <v>1.339261896</v>
      </c>
      <c r="M903">
        <f>TMTA!N903</f>
        <v>89.7</v>
      </c>
      <c r="O903">
        <f>ABS(L903-TMTA!$C$34)</f>
        <v>2.1888658470676172</v>
      </c>
      <c r="P903">
        <f t="shared" ref="P903:P966" si="15">M903</f>
        <v>89.7</v>
      </c>
    </row>
    <row r="904" spans="10:16">
      <c r="J904" s="5"/>
      <c r="L904">
        <f>TMTA!M904</f>
        <v>1.343804856</v>
      </c>
      <c r="M904">
        <f>TMTA!N904</f>
        <v>89.8</v>
      </c>
      <c r="O904">
        <f>ABS(L904-TMTA!$C$34)</f>
        <v>2.193408807067617</v>
      </c>
      <c r="P904">
        <f t="shared" si="15"/>
        <v>89.8</v>
      </c>
    </row>
    <row r="905" spans="10:16">
      <c r="J905" s="5"/>
      <c r="L905">
        <f>TMTA!M905</f>
        <v>1.3459083279999999</v>
      </c>
      <c r="M905">
        <f>TMTA!N905</f>
        <v>89.9</v>
      </c>
      <c r="O905">
        <f>ABS(L905-TMTA!$C$34)</f>
        <v>2.1955122790676169</v>
      </c>
      <c r="P905">
        <f t="shared" si="15"/>
        <v>89.9</v>
      </c>
    </row>
    <row r="906" spans="10:16">
      <c r="J906" s="5"/>
      <c r="L906">
        <f>TMTA!M906</f>
        <v>1.3480118000000001</v>
      </c>
      <c r="M906">
        <f>TMTA!N906</f>
        <v>90</v>
      </c>
      <c r="O906">
        <f>ABS(L906-TMTA!$C$34)</f>
        <v>2.1976157510676173</v>
      </c>
      <c r="P906">
        <f t="shared" si="15"/>
        <v>90</v>
      </c>
    </row>
    <row r="907" spans="10:16">
      <c r="J907" s="5"/>
      <c r="L907">
        <f>TMTA!M907</f>
        <v>1.35136116</v>
      </c>
      <c r="M907">
        <f>TMTA!N907</f>
        <v>90.1</v>
      </c>
      <c r="O907">
        <f>ABS(L907-TMTA!$C$34)</f>
        <v>2.2009651110676169</v>
      </c>
      <c r="P907">
        <f t="shared" si="15"/>
        <v>90.1</v>
      </c>
    </row>
    <row r="908" spans="10:16">
      <c r="J908" s="5"/>
      <c r="L908">
        <f>TMTA!M908</f>
        <v>1.3560083199999999</v>
      </c>
      <c r="M908">
        <f>TMTA!N908</f>
        <v>90.2</v>
      </c>
      <c r="O908">
        <f>ABS(L908-TMTA!$C$34)</f>
        <v>2.2056122710676171</v>
      </c>
      <c r="P908">
        <f t="shared" si="15"/>
        <v>90.2</v>
      </c>
    </row>
    <row r="909" spans="10:16">
      <c r="J909" s="5"/>
      <c r="L909">
        <f>TMTA!M909</f>
        <v>1.3606554799999999</v>
      </c>
      <c r="M909">
        <f>TMTA!N909</f>
        <v>90.3</v>
      </c>
      <c r="O909">
        <f>ABS(L909-TMTA!$C$34)</f>
        <v>2.2102594310676169</v>
      </c>
      <c r="P909">
        <f t="shared" si="15"/>
        <v>90.3</v>
      </c>
    </row>
    <row r="910" spans="10:16">
      <c r="J910" s="5"/>
      <c r="L910">
        <f>TMTA!M910</f>
        <v>1.3672769600000001</v>
      </c>
      <c r="M910">
        <f>TMTA!N910</f>
        <v>90.4</v>
      </c>
      <c r="O910">
        <f>ABS(L910-TMTA!$C$34)</f>
        <v>2.2168809110676171</v>
      </c>
      <c r="P910">
        <f t="shared" si="15"/>
        <v>90.4</v>
      </c>
    </row>
    <row r="911" spans="10:16">
      <c r="J911" s="5"/>
      <c r="L911">
        <f>TMTA!M911</f>
        <v>1.3740272</v>
      </c>
      <c r="M911">
        <f>TMTA!N911</f>
        <v>90.5</v>
      </c>
      <c r="O911">
        <f>ABS(L911-TMTA!$C$34)</f>
        <v>2.2236311510676172</v>
      </c>
      <c r="P911">
        <f t="shared" si="15"/>
        <v>90.5</v>
      </c>
    </row>
    <row r="912" spans="10:16">
      <c r="J912" s="5"/>
      <c r="L912">
        <f>TMTA!M912</f>
        <v>1.378975632</v>
      </c>
      <c r="M912">
        <f>TMTA!N912</f>
        <v>90.6</v>
      </c>
      <c r="O912">
        <f>ABS(L912-TMTA!$C$34)</f>
        <v>2.2285795830676172</v>
      </c>
      <c r="P912">
        <f t="shared" si="15"/>
        <v>90.6</v>
      </c>
    </row>
    <row r="913" spans="10:16">
      <c r="J913" s="5"/>
      <c r="L913">
        <f>TMTA!M913</f>
        <v>1.3810791039999999</v>
      </c>
      <c r="M913">
        <f>TMTA!N913</f>
        <v>90.7</v>
      </c>
      <c r="O913">
        <f>ABS(L913-TMTA!$C$34)</f>
        <v>2.2306830550676171</v>
      </c>
      <c r="P913">
        <f t="shared" si="15"/>
        <v>90.7</v>
      </c>
    </row>
    <row r="914" spans="10:16">
      <c r="J914" s="5"/>
      <c r="L914">
        <f>TMTA!M914</f>
        <v>1.3831825760000001</v>
      </c>
      <c r="M914">
        <f>TMTA!N914</f>
        <v>90.8</v>
      </c>
      <c r="O914">
        <f>ABS(L914-TMTA!$C$34)</f>
        <v>2.232786527067617</v>
      </c>
      <c r="P914">
        <f t="shared" si="15"/>
        <v>90.8</v>
      </c>
    </row>
    <row r="915" spans="10:16">
      <c r="J915" s="5"/>
      <c r="L915">
        <f>TMTA!M915</f>
        <v>1.3849180320000001</v>
      </c>
      <c r="M915">
        <f>TMTA!N915</f>
        <v>90.9</v>
      </c>
      <c r="O915">
        <f>ABS(L915-TMTA!$C$34)</f>
        <v>2.2345219830676171</v>
      </c>
      <c r="P915">
        <f t="shared" si="15"/>
        <v>90.9</v>
      </c>
    </row>
    <row r="916" spans="10:16">
      <c r="J916" s="5"/>
      <c r="L916">
        <f>TMTA!M916</f>
        <v>1.3865816799999999</v>
      </c>
      <c r="M916">
        <f>TMTA!N916</f>
        <v>91</v>
      </c>
      <c r="O916">
        <f>ABS(L916-TMTA!$C$34)</f>
        <v>2.2361856310676171</v>
      </c>
      <c r="P916">
        <f t="shared" si="15"/>
        <v>91</v>
      </c>
    </row>
    <row r="917" spans="10:16">
      <c r="J917" s="5"/>
      <c r="L917">
        <f>TMTA!M917</f>
        <v>1.399090736</v>
      </c>
      <c r="M917">
        <f>TMTA!N917</f>
        <v>91.1</v>
      </c>
      <c r="O917">
        <f>ABS(L917-TMTA!$C$34)</f>
        <v>2.248694687067617</v>
      </c>
      <c r="P917">
        <f t="shared" si="15"/>
        <v>91.1</v>
      </c>
    </row>
    <row r="918" spans="10:16">
      <c r="J918" s="5"/>
      <c r="L918">
        <f>TMTA!M918</f>
        <v>1.438713312</v>
      </c>
      <c r="M918">
        <f>TMTA!N918</f>
        <v>91.2</v>
      </c>
      <c r="O918">
        <f>ABS(L918-TMTA!$C$34)</f>
        <v>2.2883172630676172</v>
      </c>
      <c r="P918">
        <f t="shared" si="15"/>
        <v>91.2</v>
      </c>
    </row>
    <row r="919" spans="10:16">
      <c r="J919" s="5"/>
      <c r="L919">
        <f>TMTA!M919</f>
        <v>1.4783358879999999</v>
      </c>
      <c r="M919">
        <f>TMTA!N919</f>
        <v>91.3</v>
      </c>
      <c r="O919">
        <f>ABS(L919-TMTA!$C$34)</f>
        <v>2.3279398390676169</v>
      </c>
      <c r="P919">
        <f t="shared" si="15"/>
        <v>91.3</v>
      </c>
    </row>
    <row r="920" spans="10:16">
      <c r="J920" s="5"/>
      <c r="L920">
        <f>TMTA!M920</f>
        <v>1.5006355520000001</v>
      </c>
      <c r="M920">
        <f>TMTA!N920</f>
        <v>91.4</v>
      </c>
      <c r="O920">
        <f>ABS(L920-TMTA!$C$34)</f>
        <v>2.3502395030676171</v>
      </c>
      <c r="P920">
        <f t="shared" si="15"/>
        <v>91.4</v>
      </c>
    </row>
    <row r="921" spans="10:16">
      <c r="J921" s="5"/>
      <c r="L921">
        <f>TMTA!M921</f>
        <v>1.51667972</v>
      </c>
      <c r="M921">
        <f>TMTA!N921</f>
        <v>91.5</v>
      </c>
      <c r="O921">
        <f>ABS(L921-TMTA!$C$34)</f>
        <v>2.3662836710676172</v>
      </c>
      <c r="P921">
        <f t="shared" si="15"/>
        <v>91.5</v>
      </c>
    </row>
    <row r="922" spans="10:16">
      <c r="J922" s="5"/>
      <c r="L922">
        <f>TMTA!M922</f>
        <v>1.5304689199999999</v>
      </c>
      <c r="M922">
        <f>TMTA!N922</f>
        <v>91.6</v>
      </c>
      <c r="O922">
        <f>ABS(L922-TMTA!$C$34)</f>
        <v>2.3800728710676169</v>
      </c>
      <c r="P922">
        <f t="shared" si="15"/>
        <v>91.6</v>
      </c>
    </row>
    <row r="923" spans="10:16">
      <c r="J923" s="5"/>
      <c r="L923">
        <f>TMTA!M923</f>
        <v>1.5342360399999999</v>
      </c>
      <c r="M923">
        <f>TMTA!N923</f>
        <v>91.7</v>
      </c>
      <c r="O923">
        <f>ABS(L923-TMTA!$C$34)</f>
        <v>2.3838399910676169</v>
      </c>
      <c r="P923">
        <f t="shared" si="15"/>
        <v>91.7</v>
      </c>
    </row>
    <row r="924" spans="10:16">
      <c r="J924" s="5"/>
      <c r="L924">
        <f>TMTA!M924</f>
        <v>1.5380031599999999</v>
      </c>
      <c r="M924">
        <f>TMTA!N924</f>
        <v>91.8</v>
      </c>
      <c r="O924">
        <f>ABS(L924-TMTA!$C$34)</f>
        <v>2.3876071110676169</v>
      </c>
      <c r="P924">
        <f t="shared" si="15"/>
        <v>91.8</v>
      </c>
    </row>
    <row r="925" spans="10:16">
      <c r="J925" s="5"/>
      <c r="L925">
        <f>TMTA!M925</f>
        <v>1.5449883280000001</v>
      </c>
      <c r="M925">
        <f>TMTA!N925</f>
        <v>91.9</v>
      </c>
      <c r="O925">
        <f>ABS(L925-TMTA!$C$34)</f>
        <v>2.3945922790676173</v>
      </c>
      <c r="P925">
        <f t="shared" si="15"/>
        <v>91.9</v>
      </c>
    </row>
    <row r="926" spans="10:16">
      <c r="J926" s="5"/>
      <c r="L926">
        <f>TMTA!M926</f>
        <v>1.5538420399999999</v>
      </c>
      <c r="M926">
        <f>TMTA!N926</f>
        <v>92</v>
      </c>
      <c r="O926">
        <f>ABS(L926-TMTA!$C$34)</f>
        <v>2.4034459910676169</v>
      </c>
      <c r="P926">
        <f t="shared" si="15"/>
        <v>92</v>
      </c>
    </row>
    <row r="927" spans="10:16">
      <c r="J927" s="5"/>
      <c r="L927">
        <f>TMTA!M927</f>
        <v>1.562524072</v>
      </c>
      <c r="M927">
        <f>TMTA!N927</f>
        <v>92.1</v>
      </c>
      <c r="O927">
        <f>ABS(L927-TMTA!$C$34)</f>
        <v>2.4121280230676172</v>
      </c>
      <c r="P927">
        <f t="shared" si="15"/>
        <v>92.1</v>
      </c>
    </row>
    <row r="928" spans="10:16">
      <c r="J928" s="5"/>
      <c r="L928">
        <f>TMTA!M928</f>
        <v>1.5692747039999999</v>
      </c>
      <c r="M928">
        <f>TMTA!N928</f>
        <v>92.2</v>
      </c>
      <c r="O928">
        <f>ABS(L928-TMTA!$C$34)</f>
        <v>2.4188786550676169</v>
      </c>
      <c r="P928">
        <f t="shared" si="15"/>
        <v>92.2</v>
      </c>
    </row>
    <row r="929" spans="10:16">
      <c r="J929" s="5"/>
      <c r="L929">
        <f>TMTA!M929</f>
        <v>1.5760253360000001</v>
      </c>
      <c r="M929">
        <f>TMTA!N929</f>
        <v>92.3</v>
      </c>
      <c r="O929">
        <f>ABS(L929-TMTA!$C$34)</f>
        <v>2.425629287067617</v>
      </c>
      <c r="P929">
        <f t="shared" si="15"/>
        <v>92.3</v>
      </c>
    </row>
    <row r="930" spans="10:16">
      <c r="J930" s="5"/>
      <c r="L930">
        <f>TMTA!M930</f>
        <v>1.5874738559999999</v>
      </c>
      <c r="M930">
        <f>TMTA!N930</f>
        <v>92.4</v>
      </c>
      <c r="O930">
        <f>ABS(L930-TMTA!$C$34)</f>
        <v>2.4370778070676171</v>
      </c>
      <c r="P930">
        <f t="shared" si="15"/>
        <v>92.4</v>
      </c>
    </row>
    <row r="931" spans="10:16">
      <c r="J931" s="5"/>
      <c r="L931">
        <f>TMTA!M931</f>
        <v>1.6030781999999999</v>
      </c>
      <c r="M931">
        <f>TMTA!N931</f>
        <v>92.5</v>
      </c>
      <c r="O931">
        <f>ABS(L931-TMTA!$C$34)</f>
        <v>2.4526821510676169</v>
      </c>
      <c r="P931">
        <f t="shared" si="15"/>
        <v>92.5</v>
      </c>
    </row>
    <row r="932" spans="10:16">
      <c r="J932" s="5"/>
      <c r="L932">
        <f>TMTA!M932</f>
        <v>1.6186825439999999</v>
      </c>
      <c r="M932">
        <f>TMTA!N932</f>
        <v>92.6</v>
      </c>
      <c r="O932">
        <f>ABS(L932-TMTA!$C$34)</f>
        <v>2.4682864950676171</v>
      </c>
      <c r="P932">
        <f t="shared" si="15"/>
        <v>92.6</v>
      </c>
    </row>
    <row r="933" spans="10:16">
      <c r="J933" s="5"/>
      <c r="L933">
        <f>TMTA!M933</f>
        <v>1.6235529360000001</v>
      </c>
      <c r="M933">
        <f>TMTA!N933</f>
        <v>92.7</v>
      </c>
      <c r="O933">
        <f>ABS(L933-TMTA!$C$34)</f>
        <v>2.473156887067617</v>
      </c>
      <c r="P933">
        <f t="shared" si="15"/>
        <v>92.7</v>
      </c>
    </row>
    <row r="934" spans="10:16">
      <c r="J934" s="5"/>
      <c r="L934">
        <f>TMTA!M934</f>
        <v>1.628199704</v>
      </c>
      <c r="M934">
        <f>TMTA!N934</f>
        <v>92.8</v>
      </c>
      <c r="O934">
        <f>ABS(L934-TMTA!$C$34)</f>
        <v>2.4778036550676172</v>
      </c>
      <c r="P934">
        <f t="shared" si="15"/>
        <v>92.8</v>
      </c>
    </row>
    <row r="935" spans="10:16">
      <c r="J935" s="5"/>
      <c r="L935">
        <f>TMTA!M935</f>
        <v>1.6413371919999999</v>
      </c>
      <c r="M935">
        <f>TMTA!N935</f>
        <v>92.9</v>
      </c>
      <c r="O935">
        <f>ABS(L935-TMTA!$C$34)</f>
        <v>2.4909411430676172</v>
      </c>
      <c r="P935">
        <f t="shared" si="15"/>
        <v>92.9</v>
      </c>
    </row>
    <row r="936" spans="10:16">
      <c r="J936" s="5"/>
      <c r="L936">
        <f>TMTA!M936</f>
        <v>1.66579564</v>
      </c>
      <c r="M936">
        <f>TMTA!N936</f>
        <v>93</v>
      </c>
      <c r="O936">
        <f>ABS(L936-TMTA!$C$34)</f>
        <v>2.515399591067617</v>
      </c>
      <c r="P936">
        <f t="shared" si="15"/>
        <v>93</v>
      </c>
    </row>
    <row r="937" spans="10:16">
      <c r="J937" s="5"/>
      <c r="L937">
        <f>TMTA!M937</f>
        <v>1.6902540880000001</v>
      </c>
      <c r="M937">
        <f>TMTA!N937</f>
        <v>93.1</v>
      </c>
      <c r="O937">
        <f>ABS(L937-TMTA!$C$34)</f>
        <v>2.5398580390676173</v>
      </c>
      <c r="P937">
        <f t="shared" si="15"/>
        <v>93.1</v>
      </c>
    </row>
    <row r="938" spans="10:16">
      <c r="J938" s="5"/>
      <c r="L938">
        <f>TMTA!M938</f>
        <v>1.6987863679999999</v>
      </c>
      <c r="M938">
        <f>TMTA!N938</f>
        <v>93.2</v>
      </c>
      <c r="O938">
        <f>ABS(L938-TMTA!$C$34)</f>
        <v>2.5483903190676171</v>
      </c>
      <c r="P938">
        <f t="shared" si="15"/>
        <v>93.2</v>
      </c>
    </row>
    <row r="939" spans="10:16">
      <c r="J939" s="5"/>
      <c r="L939">
        <f>TMTA!M939</f>
        <v>1.705096392</v>
      </c>
      <c r="M939">
        <f>TMTA!N939</f>
        <v>93.3</v>
      </c>
      <c r="O939">
        <f>ABS(L939-TMTA!$C$34)</f>
        <v>2.554700343067617</v>
      </c>
      <c r="P939">
        <f t="shared" si="15"/>
        <v>93.3</v>
      </c>
    </row>
    <row r="940" spans="10:16">
      <c r="J940" s="5"/>
      <c r="L940">
        <f>TMTA!M940</f>
        <v>1.7107198239999999</v>
      </c>
      <c r="M940">
        <f>TMTA!N940</f>
        <v>93.4</v>
      </c>
      <c r="O940">
        <f>ABS(L940-TMTA!$C$34)</f>
        <v>2.5603237750676171</v>
      </c>
      <c r="P940">
        <f t="shared" si="15"/>
        <v>93.4</v>
      </c>
    </row>
    <row r="941" spans="10:16">
      <c r="J941" s="5"/>
      <c r="L941">
        <f>TMTA!M941</f>
        <v>1.71492716</v>
      </c>
      <c r="M941">
        <f>TMTA!N941</f>
        <v>93.5</v>
      </c>
      <c r="O941">
        <f>ABS(L941-TMTA!$C$34)</f>
        <v>2.564531111067617</v>
      </c>
      <c r="P941">
        <f t="shared" si="15"/>
        <v>93.5</v>
      </c>
    </row>
    <row r="942" spans="10:16">
      <c r="J942" s="5"/>
      <c r="L942">
        <f>TMTA!M942</f>
        <v>1.7191344959999999</v>
      </c>
      <c r="M942">
        <f>TMTA!N942</f>
        <v>93.6</v>
      </c>
      <c r="O942">
        <f>ABS(L942-TMTA!$C$34)</f>
        <v>2.5687384470676169</v>
      </c>
      <c r="P942">
        <f t="shared" si="15"/>
        <v>93.6</v>
      </c>
    </row>
    <row r="943" spans="10:16">
      <c r="J943" s="5"/>
      <c r="L943">
        <f>TMTA!M943</f>
        <v>1.7233412239999999</v>
      </c>
      <c r="M943">
        <f>TMTA!N943</f>
        <v>93.7</v>
      </c>
      <c r="O943">
        <f>ABS(L943-TMTA!$C$34)</f>
        <v>2.5729451750676171</v>
      </c>
      <c r="P943">
        <f t="shared" si="15"/>
        <v>93.7</v>
      </c>
    </row>
    <row r="944" spans="10:16">
      <c r="J944" s="5"/>
      <c r="L944">
        <f>TMTA!M944</f>
        <v>1.727547776</v>
      </c>
      <c r="M944">
        <f>TMTA!N944</f>
        <v>93.8</v>
      </c>
      <c r="O944">
        <f>ABS(L944-TMTA!$C$34)</f>
        <v>2.577151727067617</v>
      </c>
      <c r="P944">
        <f t="shared" si="15"/>
        <v>93.8</v>
      </c>
    </row>
    <row r="945" spans="10:16">
      <c r="J945" s="5"/>
      <c r="L945">
        <f>TMTA!M945</f>
        <v>1.7309088239999999</v>
      </c>
      <c r="M945">
        <f>TMTA!N945</f>
        <v>93.9</v>
      </c>
      <c r="O945">
        <f>ABS(L945-TMTA!$C$34)</f>
        <v>2.5805127750676169</v>
      </c>
      <c r="P945">
        <f t="shared" si="15"/>
        <v>93.9</v>
      </c>
    </row>
    <row r="946" spans="10:16">
      <c r="J946" s="5"/>
      <c r="L946">
        <f>TMTA!M946</f>
        <v>1.73134904</v>
      </c>
      <c r="M946">
        <f>TMTA!N946</f>
        <v>94</v>
      </c>
      <c r="O946">
        <f>ABS(L946-TMTA!$C$34)</f>
        <v>2.5809529910676172</v>
      </c>
      <c r="P946">
        <f t="shared" si="15"/>
        <v>94</v>
      </c>
    </row>
    <row r="947" spans="10:16">
      <c r="J947" s="5"/>
      <c r="L947">
        <f>TMTA!M947</f>
        <v>1.7317892560000001</v>
      </c>
      <c r="M947">
        <f>TMTA!N947</f>
        <v>94.1</v>
      </c>
      <c r="O947">
        <f>ABS(L947-TMTA!$C$34)</f>
        <v>2.5813932070676171</v>
      </c>
      <c r="P947">
        <f t="shared" si="15"/>
        <v>94.1</v>
      </c>
    </row>
    <row r="948" spans="10:16">
      <c r="J948" s="5"/>
      <c r="L948">
        <f>TMTA!M948</f>
        <v>1.7319329999999999</v>
      </c>
      <c r="M948">
        <f>TMTA!N948</f>
        <v>94.2</v>
      </c>
      <c r="O948">
        <f>ABS(L948-TMTA!$C$34)</f>
        <v>2.5815369510676169</v>
      </c>
      <c r="P948">
        <f t="shared" si="15"/>
        <v>94.2</v>
      </c>
    </row>
    <row r="949" spans="10:16">
      <c r="J949" s="5"/>
      <c r="L949">
        <f>TMTA!M949</f>
        <v>1.7319329999999999</v>
      </c>
      <c r="M949">
        <f>TMTA!N949</f>
        <v>94.3</v>
      </c>
      <c r="O949">
        <f>ABS(L949-TMTA!$C$34)</f>
        <v>2.5815369510676169</v>
      </c>
      <c r="P949">
        <f t="shared" si="15"/>
        <v>94.3</v>
      </c>
    </row>
    <row r="950" spans="10:16">
      <c r="J950" s="5"/>
      <c r="L950">
        <f>TMTA!M950</f>
        <v>1.7324481359999999</v>
      </c>
      <c r="M950">
        <f>TMTA!N950</f>
        <v>94.4</v>
      </c>
      <c r="O950">
        <f>ABS(L950-TMTA!$C$34)</f>
        <v>2.5820520870676171</v>
      </c>
      <c r="P950">
        <f t="shared" si="15"/>
        <v>94.4</v>
      </c>
    </row>
    <row r="951" spans="10:16">
      <c r="J951" s="5"/>
      <c r="L951">
        <f>TMTA!M951</f>
        <v>1.73665508</v>
      </c>
      <c r="M951">
        <f>TMTA!N951</f>
        <v>94.5</v>
      </c>
      <c r="O951">
        <f>ABS(L951-TMTA!$C$34)</f>
        <v>2.586259031067617</v>
      </c>
      <c r="P951">
        <f t="shared" si="15"/>
        <v>94.5</v>
      </c>
    </row>
    <row r="952" spans="10:16">
      <c r="J952" s="5"/>
      <c r="L952">
        <f>TMTA!M952</f>
        <v>1.7408620239999999</v>
      </c>
      <c r="M952">
        <f>TMTA!N952</f>
        <v>94.6</v>
      </c>
      <c r="O952">
        <f>ABS(L952-TMTA!$C$34)</f>
        <v>2.5904659750676169</v>
      </c>
      <c r="P952">
        <f t="shared" si="15"/>
        <v>94.6</v>
      </c>
    </row>
    <row r="953" spans="10:16">
      <c r="J953" s="5"/>
      <c r="L953">
        <f>TMTA!M953</f>
        <v>1.7438669840000001</v>
      </c>
      <c r="M953">
        <f>TMTA!N953</f>
        <v>94.7</v>
      </c>
      <c r="O953">
        <f>ABS(L953-TMTA!$C$34)</f>
        <v>2.5934709350676171</v>
      </c>
      <c r="P953">
        <f t="shared" si="15"/>
        <v>94.7</v>
      </c>
    </row>
    <row r="954" spans="10:16">
      <c r="J954" s="5"/>
      <c r="L954">
        <f>TMTA!M954</f>
        <v>1.745970456</v>
      </c>
      <c r="M954">
        <f>TMTA!N954</f>
        <v>94.8</v>
      </c>
      <c r="O954">
        <f>ABS(L954-TMTA!$C$34)</f>
        <v>2.595574407067617</v>
      </c>
      <c r="P954">
        <f t="shared" si="15"/>
        <v>94.8</v>
      </c>
    </row>
    <row r="955" spans="10:16">
      <c r="J955" s="5"/>
      <c r="L955">
        <f>TMTA!M955</f>
        <v>1.7490722240000001</v>
      </c>
      <c r="M955">
        <f>TMTA!N955</f>
        <v>94.9</v>
      </c>
      <c r="O955">
        <f>ABS(L955-TMTA!$C$34)</f>
        <v>2.5986761750676171</v>
      </c>
      <c r="P955">
        <f t="shared" si="15"/>
        <v>94.9</v>
      </c>
    </row>
    <row r="956" spans="10:16">
      <c r="J956" s="5"/>
      <c r="L956">
        <f>TMTA!M956</f>
        <v>1.8000921999999999</v>
      </c>
      <c r="M956">
        <f>TMTA!N956</f>
        <v>95</v>
      </c>
      <c r="O956">
        <f>ABS(L956-TMTA!$C$34)</f>
        <v>2.6496961510676171</v>
      </c>
      <c r="P956">
        <f t="shared" si="15"/>
        <v>95</v>
      </c>
    </row>
    <row r="957" spans="10:16">
      <c r="J957" s="5"/>
      <c r="L957">
        <f>TMTA!M957</f>
        <v>1.851112176</v>
      </c>
      <c r="M957">
        <f>TMTA!N957</f>
        <v>95.1</v>
      </c>
      <c r="O957">
        <f>ABS(L957-TMTA!$C$34)</f>
        <v>2.7007161270676172</v>
      </c>
      <c r="P957">
        <f t="shared" si="15"/>
        <v>95.1</v>
      </c>
    </row>
    <row r="958" spans="10:16">
      <c r="J958" s="5"/>
      <c r="L958">
        <f>TMTA!M958</f>
        <v>1.882339824</v>
      </c>
      <c r="M958">
        <f>TMTA!N958</f>
        <v>95.2</v>
      </c>
      <c r="O958">
        <f>ABS(L958-TMTA!$C$34)</f>
        <v>2.731943775067617</v>
      </c>
      <c r="P958">
        <f t="shared" si="15"/>
        <v>95.2</v>
      </c>
    </row>
    <row r="959" spans="10:16">
      <c r="J959" s="5"/>
      <c r="L959">
        <f>TMTA!M959</f>
        <v>1.8911935360000001</v>
      </c>
      <c r="M959">
        <f>TMTA!N959</f>
        <v>95.3</v>
      </c>
      <c r="O959">
        <f>ABS(L959-TMTA!$C$34)</f>
        <v>2.7407974870676171</v>
      </c>
      <c r="P959">
        <f t="shared" si="15"/>
        <v>95.3</v>
      </c>
    </row>
    <row r="960" spans="10:16">
      <c r="J960" s="5"/>
      <c r="L960">
        <f>TMTA!M960</f>
        <v>1.9000472479999999</v>
      </c>
      <c r="M960">
        <f>TMTA!N960</f>
        <v>95.4</v>
      </c>
      <c r="O960">
        <f>ABS(L960-TMTA!$C$34)</f>
        <v>2.7496511990676171</v>
      </c>
      <c r="P960">
        <f t="shared" si="15"/>
        <v>95.4</v>
      </c>
    </row>
    <row r="961" spans="10:16">
      <c r="J961" s="5"/>
      <c r="L961">
        <f>TMTA!M961</f>
        <v>1.90616136</v>
      </c>
      <c r="M961">
        <f>TMTA!N961</f>
        <v>95.5</v>
      </c>
      <c r="O961">
        <f>ABS(L961-TMTA!$C$34)</f>
        <v>2.7557653110676172</v>
      </c>
      <c r="P961">
        <f t="shared" si="15"/>
        <v>95.5</v>
      </c>
    </row>
    <row r="962" spans="10:16">
      <c r="J962" s="5"/>
      <c r="L962">
        <f>TMTA!M962</f>
        <v>1.912031952</v>
      </c>
      <c r="M962">
        <f>TMTA!N962</f>
        <v>95.6</v>
      </c>
      <c r="O962">
        <f>ABS(L962-TMTA!$C$34)</f>
        <v>2.7616359030676172</v>
      </c>
      <c r="P962">
        <f t="shared" si="15"/>
        <v>95.6</v>
      </c>
    </row>
    <row r="963" spans="10:16">
      <c r="J963" s="5"/>
      <c r="L963">
        <f>TMTA!M963</f>
        <v>1.9182256799999999</v>
      </c>
      <c r="M963">
        <f>TMTA!N963</f>
        <v>95.7</v>
      </c>
      <c r="O963">
        <f>ABS(L963-TMTA!$C$34)</f>
        <v>2.7678296310676171</v>
      </c>
      <c r="P963">
        <f t="shared" si="15"/>
        <v>95.7</v>
      </c>
    </row>
    <row r="964" spans="10:16">
      <c r="J964" s="5"/>
      <c r="L964">
        <f>TMTA!M964</f>
        <v>1.9249759200000001</v>
      </c>
      <c r="M964">
        <f>TMTA!N964</f>
        <v>95.8</v>
      </c>
      <c r="O964">
        <f>ABS(L964-TMTA!$C$34)</f>
        <v>2.7745798710676173</v>
      </c>
      <c r="P964">
        <f t="shared" si="15"/>
        <v>95.8</v>
      </c>
    </row>
    <row r="965" spans="10:16">
      <c r="J965" s="5"/>
      <c r="L965">
        <f>TMTA!M965</f>
        <v>1.93172616</v>
      </c>
      <c r="M965">
        <f>TMTA!N965</f>
        <v>95.9</v>
      </c>
      <c r="O965">
        <f>ABS(L965-TMTA!$C$34)</f>
        <v>2.781330111067617</v>
      </c>
      <c r="P965">
        <f t="shared" si="15"/>
        <v>95.9</v>
      </c>
    </row>
    <row r="966" spans="10:16">
      <c r="J966" s="5"/>
      <c r="L966">
        <f>TMTA!M966</f>
        <v>1.95844248</v>
      </c>
      <c r="M966">
        <f>TMTA!N966</f>
        <v>96</v>
      </c>
      <c r="O966">
        <f>ABS(L966-TMTA!$C$34)</f>
        <v>2.8080464310676172</v>
      </c>
      <c r="P966">
        <f t="shared" si="15"/>
        <v>96</v>
      </c>
    </row>
    <row r="967" spans="10:16">
      <c r="J967" s="5"/>
      <c r="L967">
        <f>TMTA!M967</f>
        <v>1.989651168</v>
      </c>
      <c r="M967">
        <f>TMTA!N967</f>
        <v>96.1</v>
      </c>
      <c r="O967">
        <f>ABS(L967-TMTA!$C$34)</f>
        <v>2.8392551190676172</v>
      </c>
      <c r="P967">
        <f t="shared" ref="P967:P1006" si="16">M967</f>
        <v>96.1</v>
      </c>
    </row>
    <row r="968" spans="10:16">
      <c r="J968" s="5"/>
      <c r="L968">
        <f>TMTA!M968</f>
        <v>2.0149290479999999</v>
      </c>
      <c r="M968">
        <f>TMTA!N968</f>
        <v>96.2</v>
      </c>
      <c r="O968">
        <f>ABS(L968-TMTA!$C$34)</f>
        <v>2.8645329990676172</v>
      </c>
      <c r="P968">
        <f t="shared" si="16"/>
        <v>96.2</v>
      </c>
    </row>
    <row r="969" spans="10:16">
      <c r="J969" s="5"/>
      <c r="L969">
        <f>TMTA!M969</f>
        <v>2.023783152</v>
      </c>
      <c r="M969">
        <f>TMTA!N969</f>
        <v>96.3</v>
      </c>
      <c r="O969">
        <f>ABS(L969-TMTA!$C$34)</f>
        <v>2.8733871030676172</v>
      </c>
      <c r="P969">
        <f t="shared" si="16"/>
        <v>96.3</v>
      </c>
    </row>
    <row r="970" spans="10:16">
      <c r="J970" s="5"/>
      <c r="L970">
        <f>TMTA!M970</f>
        <v>2.0326372560000001</v>
      </c>
      <c r="M970">
        <f>TMTA!N970</f>
        <v>96.4</v>
      </c>
      <c r="O970">
        <f>ABS(L970-TMTA!$C$34)</f>
        <v>2.8822412070676173</v>
      </c>
      <c r="P970">
        <f t="shared" si="16"/>
        <v>96.4</v>
      </c>
    </row>
    <row r="971" spans="10:16">
      <c r="J971" s="5"/>
      <c r="L971">
        <f>TMTA!M971</f>
        <v>2.0508204000000001</v>
      </c>
      <c r="M971">
        <f>TMTA!N971</f>
        <v>96.5</v>
      </c>
      <c r="O971">
        <f>ABS(L971-TMTA!$C$34)</f>
        <v>2.9004243510676173</v>
      </c>
      <c r="P971">
        <f t="shared" si="16"/>
        <v>96.5</v>
      </c>
    </row>
    <row r="972" spans="10:16">
      <c r="J972" s="5"/>
      <c r="L972">
        <f>TMTA!M972</f>
        <v>2.0727351600000001</v>
      </c>
      <c r="M972">
        <f>TMTA!N972</f>
        <v>96.6</v>
      </c>
      <c r="O972">
        <f>ABS(L972-TMTA!$C$34)</f>
        <v>2.9223391110676173</v>
      </c>
      <c r="P972">
        <f t="shared" si="16"/>
        <v>96.6</v>
      </c>
    </row>
    <row r="973" spans="10:16">
      <c r="J973" s="5"/>
      <c r="L973">
        <f>TMTA!M973</f>
        <v>2.1037383679999899</v>
      </c>
      <c r="M973">
        <f>TMTA!N973</f>
        <v>96.7</v>
      </c>
      <c r="O973">
        <f>ABS(L973-TMTA!$C$34)</f>
        <v>2.9533423190676071</v>
      </c>
      <c r="P973">
        <f t="shared" si="16"/>
        <v>96.7</v>
      </c>
    </row>
    <row r="974" spans="10:16">
      <c r="J974" s="5"/>
      <c r="L974">
        <f>TMTA!M974</f>
        <v>2.181319872</v>
      </c>
      <c r="M974">
        <f>TMTA!N974</f>
        <v>96.8</v>
      </c>
      <c r="O974">
        <f>ABS(L974-TMTA!$C$34)</f>
        <v>3.0309238230676172</v>
      </c>
      <c r="P974">
        <f t="shared" si="16"/>
        <v>96.8</v>
      </c>
    </row>
    <row r="975" spans="10:16">
      <c r="J975" s="5"/>
      <c r="L975">
        <f>TMTA!M975</f>
        <v>2.2589013759999998</v>
      </c>
      <c r="M975">
        <f>TMTA!N975</f>
        <v>96.9</v>
      </c>
      <c r="O975">
        <f>ABS(L975-TMTA!$C$34)</f>
        <v>3.1085053270676171</v>
      </c>
      <c r="P975">
        <f t="shared" si="16"/>
        <v>96.9</v>
      </c>
    </row>
    <row r="976" spans="10:16">
      <c r="J976" s="5"/>
      <c r="L976">
        <f>TMTA!M976</f>
        <v>2.2889840000000001</v>
      </c>
      <c r="M976">
        <f>TMTA!N976</f>
        <v>97</v>
      </c>
      <c r="O976">
        <f>ABS(L976-TMTA!$C$34)</f>
        <v>3.1385879510676173</v>
      </c>
      <c r="P976">
        <f t="shared" si="16"/>
        <v>97</v>
      </c>
    </row>
    <row r="977" spans="10:16">
      <c r="J977" s="5"/>
      <c r="L977">
        <f>TMTA!M977</f>
        <v>2.2889840000000001</v>
      </c>
      <c r="M977">
        <f>TMTA!N977</f>
        <v>97.1</v>
      </c>
      <c r="O977">
        <f>ABS(L977-TMTA!$C$34)</f>
        <v>3.1385879510676173</v>
      </c>
      <c r="P977">
        <f t="shared" si="16"/>
        <v>97.1</v>
      </c>
    </row>
    <row r="978" spans="10:16">
      <c r="J978" s="5"/>
      <c r="L978">
        <f>TMTA!M978</f>
        <v>2.2900681519999999</v>
      </c>
      <c r="M978">
        <f>TMTA!N978</f>
        <v>97.2</v>
      </c>
      <c r="O978">
        <f>ABS(L978-TMTA!$C$34)</f>
        <v>3.1396721030676171</v>
      </c>
      <c r="P978">
        <f t="shared" si="16"/>
        <v>97.2</v>
      </c>
    </row>
    <row r="979" spans="10:16">
      <c r="J979" s="5"/>
      <c r="L979">
        <f>TMTA!M979</f>
        <v>2.3077759680000001</v>
      </c>
      <c r="M979">
        <f>TMTA!N979</f>
        <v>97.3</v>
      </c>
      <c r="O979">
        <f>ABS(L979-TMTA!$C$34)</f>
        <v>3.1573799190676173</v>
      </c>
      <c r="P979">
        <f t="shared" si="16"/>
        <v>97.3</v>
      </c>
    </row>
    <row r="980" spans="10:16">
      <c r="J980" s="5"/>
      <c r="L980">
        <f>TMTA!M980</f>
        <v>2.3254837840000002</v>
      </c>
      <c r="M980">
        <f>TMTA!N980</f>
        <v>97.4</v>
      </c>
      <c r="O980">
        <f>ABS(L980-TMTA!$C$34)</f>
        <v>3.1750877350676174</v>
      </c>
      <c r="P980">
        <f t="shared" si="16"/>
        <v>97.4</v>
      </c>
    </row>
    <row r="981" spans="10:16">
      <c r="J981" s="5"/>
      <c r="L981">
        <f>TMTA!M981</f>
        <v>2.3429669999999998</v>
      </c>
      <c r="M981">
        <f>TMTA!N981</f>
        <v>97.5</v>
      </c>
      <c r="O981">
        <f>ABS(L981-TMTA!$C$34)</f>
        <v>3.192570951067617</v>
      </c>
      <c r="P981">
        <f t="shared" si="16"/>
        <v>97.5</v>
      </c>
    </row>
    <row r="982" spans="10:16">
      <c r="J982" s="5"/>
      <c r="L982">
        <f>TMTA!M982</f>
        <v>2.3602346000000001</v>
      </c>
      <c r="M982">
        <f>TMTA!N982</f>
        <v>97.6</v>
      </c>
      <c r="O982">
        <f>ABS(L982-TMTA!$C$34)</f>
        <v>3.2098385510676173</v>
      </c>
      <c r="P982">
        <f t="shared" si="16"/>
        <v>97.6</v>
      </c>
    </row>
    <row r="983" spans="10:16">
      <c r="J983" s="5"/>
      <c r="L983">
        <f>TMTA!M983</f>
        <v>2.3775021999999999</v>
      </c>
      <c r="M983">
        <f>TMTA!N983</f>
        <v>97.7</v>
      </c>
      <c r="O983">
        <f>ABS(L983-TMTA!$C$34)</f>
        <v>3.2271061510676171</v>
      </c>
      <c r="P983">
        <f t="shared" si="16"/>
        <v>97.7</v>
      </c>
    </row>
    <row r="984" spans="10:16">
      <c r="J984" s="5"/>
      <c r="L984">
        <f>TMTA!M984</f>
        <v>2.420669808</v>
      </c>
      <c r="M984">
        <f>TMTA!N984</f>
        <v>97.8</v>
      </c>
      <c r="O984">
        <f>ABS(L984-TMTA!$C$34)</f>
        <v>3.2702737590676172</v>
      </c>
      <c r="P984">
        <f t="shared" si="16"/>
        <v>97.8</v>
      </c>
    </row>
    <row r="985" spans="10:16">
      <c r="J985" s="5"/>
      <c r="L985">
        <f>TMTA!M985</f>
        <v>2.4649395439999999</v>
      </c>
      <c r="M985">
        <f>TMTA!N985</f>
        <v>97.9</v>
      </c>
      <c r="O985">
        <f>ABS(L985-TMTA!$C$34)</f>
        <v>3.3145434950676171</v>
      </c>
      <c r="P985">
        <f t="shared" si="16"/>
        <v>97.9</v>
      </c>
    </row>
    <row r="986" spans="10:16">
      <c r="J986" s="5"/>
      <c r="L986">
        <f>TMTA!M986</f>
        <v>2.49665056</v>
      </c>
      <c r="M986">
        <f>TMTA!N986</f>
        <v>98</v>
      </c>
      <c r="O986">
        <f>ABS(L986-TMTA!$C$34)</f>
        <v>3.3462545110676172</v>
      </c>
      <c r="P986">
        <f t="shared" si="16"/>
        <v>98</v>
      </c>
    </row>
    <row r="987" spans="10:16">
      <c r="J987" s="5"/>
      <c r="L987">
        <f>TMTA!M987</f>
        <v>2.5101514319999998</v>
      </c>
      <c r="M987">
        <f>TMTA!N987</f>
        <v>98.1</v>
      </c>
      <c r="O987">
        <f>ABS(L987-TMTA!$C$34)</f>
        <v>3.359755383067617</v>
      </c>
      <c r="P987">
        <f t="shared" si="16"/>
        <v>98.1</v>
      </c>
    </row>
    <row r="988" spans="10:16">
      <c r="J988" s="5"/>
      <c r="L988">
        <f>TMTA!M988</f>
        <v>2.5236523040000001</v>
      </c>
      <c r="M988">
        <f>TMTA!N988</f>
        <v>98.2</v>
      </c>
      <c r="O988">
        <f>ABS(L988-TMTA!$C$34)</f>
        <v>3.3732562550676173</v>
      </c>
      <c r="P988">
        <f t="shared" si="16"/>
        <v>98.2</v>
      </c>
    </row>
    <row r="989" spans="10:16">
      <c r="J989" s="5"/>
      <c r="L989">
        <f>TMTA!M989</f>
        <v>2.538578824</v>
      </c>
      <c r="M989">
        <f>TMTA!N989</f>
        <v>98.3</v>
      </c>
      <c r="O989">
        <f>ABS(L989-TMTA!$C$34)</f>
        <v>3.3881827750676172</v>
      </c>
      <c r="P989">
        <f t="shared" si="16"/>
        <v>98.3</v>
      </c>
    </row>
    <row r="990" spans="10:16">
      <c r="J990" s="5"/>
      <c r="L990">
        <f>TMTA!M990</f>
        <v>2.5537429519999999</v>
      </c>
      <c r="M990">
        <f>TMTA!N990</f>
        <v>98.4</v>
      </c>
      <c r="O990">
        <f>ABS(L990-TMTA!$C$34)</f>
        <v>3.4033469030676171</v>
      </c>
      <c r="P990">
        <f t="shared" si="16"/>
        <v>98.4</v>
      </c>
    </row>
    <row r="991" spans="10:16">
      <c r="J991" s="5"/>
      <c r="L991">
        <f>TMTA!M991</f>
        <v>2.5784608800000002</v>
      </c>
      <c r="M991">
        <f>TMTA!N991</f>
        <v>98.5</v>
      </c>
      <c r="O991">
        <f>ABS(L991-TMTA!$C$34)</f>
        <v>3.4280648310676174</v>
      </c>
      <c r="P991">
        <f t="shared" si="16"/>
        <v>98.5</v>
      </c>
    </row>
    <row r="992" spans="10:16">
      <c r="J992" s="5"/>
      <c r="L992">
        <f>TMTA!M992</f>
        <v>2.6248340880000001</v>
      </c>
      <c r="M992">
        <f>TMTA!N992</f>
        <v>98.6</v>
      </c>
      <c r="O992">
        <f>ABS(L992-TMTA!$C$34)</f>
        <v>3.4744380390676173</v>
      </c>
      <c r="P992">
        <f t="shared" si="16"/>
        <v>98.6</v>
      </c>
    </row>
    <row r="993" spans="10:16">
      <c r="J993" s="5"/>
      <c r="L993">
        <f>TMTA!M993</f>
        <v>2.671207296</v>
      </c>
      <c r="M993">
        <f>TMTA!N993</f>
        <v>98.7</v>
      </c>
      <c r="O993">
        <f>ABS(L993-TMTA!$C$34)</f>
        <v>3.5208112470676172</v>
      </c>
      <c r="P993">
        <f t="shared" si="16"/>
        <v>98.7</v>
      </c>
    </row>
    <row r="994" spans="10:16">
      <c r="J994" s="5"/>
      <c r="L994">
        <f>TMTA!M994</f>
        <v>2.7309514159999999</v>
      </c>
      <c r="M994">
        <f>TMTA!N994</f>
        <v>98.8</v>
      </c>
      <c r="O994">
        <f>ABS(L994-TMTA!$C$34)</f>
        <v>3.5805553670676171</v>
      </c>
      <c r="P994">
        <f t="shared" si="16"/>
        <v>98.8</v>
      </c>
    </row>
    <row r="995" spans="10:16">
      <c r="J995" s="5"/>
      <c r="L995">
        <f>TMTA!M995</f>
        <v>2.7950320479999999</v>
      </c>
      <c r="M995">
        <f>TMTA!N995</f>
        <v>98.9</v>
      </c>
      <c r="O995">
        <f>ABS(L995-TMTA!$C$34)</f>
        <v>3.6446359990676171</v>
      </c>
      <c r="P995">
        <f t="shared" si="16"/>
        <v>98.9</v>
      </c>
    </row>
    <row r="996" spans="10:16">
      <c r="J996" s="5"/>
      <c r="L996">
        <f>TMTA!M996</f>
        <v>2.8491298</v>
      </c>
      <c r="M996">
        <f>TMTA!N996</f>
        <v>99</v>
      </c>
      <c r="O996">
        <f>ABS(L996-TMTA!$C$34)</f>
        <v>3.6987337510676173</v>
      </c>
      <c r="P996">
        <f t="shared" si="16"/>
        <v>99</v>
      </c>
    </row>
    <row r="997" spans="10:16">
      <c r="J997" s="5"/>
      <c r="L997">
        <f>TMTA!M997</f>
        <v>2.8642943199999999</v>
      </c>
      <c r="M997">
        <f>TMTA!N997</f>
        <v>99.1</v>
      </c>
      <c r="O997">
        <f>ABS(L997-TMTA!$C$34)</f>
        <v>3.7138982710676172</v>
      </c>
      <c r="P997">
        <f t="shared" si="16"/>
        <v>99.1</v>
      </c>
    </row>
    <row r="998" spans="10:16">
      <c r="J998" s="5"/>
      <c r="L998">
        <f>TMTA!M998</f>
        <v>2.8794588399999999</v>
      </c>
      <c r="M998">
        <f>TMTA!N998</f>
        <v>99.2</v>
      </c>
      <c r="O998">
        <f>ABS(L998-TMTA!$C$34)</f>
        <v>3.7290627910676171</v>
      </c>
      <c r="P998">
        <f t="shared" si="16"/>
        <v>99.2</v>
      </c>
    </row>
    <row r="999" spans="10:16">
      <c r="J999" s="5"/>
      <c r="L999">
        <f>TMTA!M999</f>
        <v>2.905100928</v>
      </c>
      <c r="M999">
        <f>TMTA!N999</f>
        <v>99.3</v>
      </c>
      <c r="O999">
        <f>ABS(L999-TMTA!$C$34)</f>
        <v>3.7547048790676172</v>
      </c>
      <c r="P999">
        <f t="shared" si="16"/>
        <v>99.3</v>
      </c>
    </row>
    <row r="1000" spans="10:16">
      <c r="J1000" s="5"/>
      <c r="L1000">
        <f>TMTA!M1000</f>
        <v>2.9363092239999999</v>
      </c>
      <c r="M1000">
        <f>TMTA!N1000</f>
        <v>99.4</v>
      </c>
      <c r="O1000">
        <f>ABS(L1000-TMTA!$C$34)</f>
        <v>3.7859131750676172</v>
      </c>
      <c r="P1000">
        <f t="shared" si="16"/>
        <v>99.4</v>
      </c>
    </row>
    <row r="1001" spans="10:16">
      <c r="J1001" s="5"/>
      <c r="L1001">
        <f>TMTA!M1001</f>
        <v>2.9645027599999998</v>
      </c>
      <c r="M1001">
        <f>TMTA!N1001</f>
        <v>99.5</v>
      </c>
      <c r="O1001">
        <f>ABS(L1001-TMTA!$C$34)</f>
        <v>3.814106711067617</v>
      </c>
      <c r="P1001">
        <f t="shared" si="16"/>
        <v>99.5</v>
      </c>
    </row>
    <row r="1002" spans="10:16">
      <c r="J1002" s="5"/>
      <c r="L1002">
        <f>TMTA!M1002</f>
        <v>2.9661664079999999</v>
      </c>
      <c r="M1002">
        <f>TMTA!N1002</f>
        <v>99.6</v>
      </c>
      <c r="O1002">
        <f>ABS(L1002-TMTA!$C$34)</f>
        <v>3.8157703590676171</v>
      </c>
      <c r="P1002">
        <f t="shared" si="16"/>
        <v>99.6</v>
      </c>
    </row>
    <row r="1003" spans="10:16">
      <c r="J1003" s="5"/>
      <c r="L1003">
        <f>TMTA!M1003</f>
        <v>2.9678300559999999</v>
      </c>
      <c r="M1003">
        <f>TMTA!N1003</f>
        <v>99.7</v>
      </c>
      <c r="O1003">
        <f>ABS(L1003-TMTA!$C$34)</f>
        <v>3.8174340070676172</v>
      </c>
      <c r="P1003">
        <f t="shared" si="16"/>
        <v>99.7</v>
      </c>
    </row>
    <row r="1004" spans="10:16">
      <c r="J1004" s="5"/>
      <c r="L1004">
        <f>TMTA!M1004</f>
        <v>2.9685769999999998</v>
      </c>
      <c r="M1004">
        <f>TMTA!N1004</f>
        <v>99.8</v>
      </c>
      <c r="O1004">
        <f>ABS(L1004-TMTA!$C$34)</f>
        <v>3.818180951067617</v>
      </c>
      <c r="P1004">
        <f t="shared" si="16"/>
        <v>99.8</v>
      </c>
    </row>
    <row r="1005" spans="10:16">
      <c r="J1005" s="5"/>
      <c r="L1005">
        <f>TMTA!M1005</f>
        <v>2.9685769999999998</v>
      </c>
      <c r="M1005">
        <f>TMTA!N1005</f>
        <v>99.9</v>
      </c>
      <c r="O1005">
        <f>ABS(L1005-TMTA!$C$34)</f>
        <v>3.818180951067617</v>
      </c>
      <c r="P1005">
        <f t="shared" si="16"/>
        <v>99.9</v>
      </c>
    </row>
    <row r="1006" spans="10:16">
      <c r="J1006" s="5"/>
      <c r="L1006">
        <f>TMTA!M1006</f>
        <v>2.9685769999999998</v>
      </c>
      <c r="M1006">
        <f>TMTA!N1006</f>
        <v>100</v>
      </c>
      <c r="O1006">
        <f>ABS(L1006-TMTA!$C$34)</f>
        <v>3.818180951067617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topLeftCell="A13" zoomScaleNormal="100" workbookViewId="0">
      <selection activeCell="C27" sqref="C27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str">
        <f>SD_PERC_DigDir!A42</f>
        <v xml:space="preserve"> 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7" t="s">
        <v>18</v>
      </c>
      <c r="J5" s="58"/>
      <c r="M5" s="27" t="s">
        <v>11</v>
      </c>
      <c r="N5" s="28" t="s">
        <v>44</v>
      </c>
    </row>
    <row r="6" spans="1:14">
      <c r="B6" t="s">
        <v>62</v>
      </c>
      <c r="C6" s="59">
        <v>5.2287602081587403</v>
      </c>
      <c r="I6" s="10" t="s">
        <v>36</v>
      </c>
      <c r="J6" s="59">
        <v>1.083504037225</v>
      </c>
      <c r="M6" s="59">
        <v>-2.2946710000000001</v>
      </c>
      <c r="N6" s="59">
        <v>0</v>
      </c>
    </row>
    <row r="7" spans="1:14">
      <c r="B7" t="s">
        <v>65</v>
      </c>
      <c r="C7" s="59">
        <v>5.7989859361991698E-2</v>
      </c>
      <c r="M7" s="59">
        <v>-2.2946710000000001</v>
      </c>
      <c r="N7" s="59">
        <v>0.1</v>
      </c>
    </row>
    <row r="8" spans="1:14">
      <c r="I8" s="9"/>
      <c r="J8" s="9"/>
      <c r="M8" s="59">
        <v>-2.2946710000000001</v>
      </c>
      <c r="N8" s="59">
        <v>0.2</v>
      </c>
    </row>
    <row r="9" spans="1:14">
      <c r="H9" s="9" t="s">
        <v>34</v>
      </c>
      <c r="I9" s="57" t="s">
        <v>37</v>
      </c>
      <c r="J9" s="58"/>
      <c r="M9" s="59">
        <v>-2.2887656870000002</v>
      </c>
      <c r="N9" s="59">
        <v>0.3</v>
      </c>
    </row>
    <row r="10" spans="1:14">
      <c r="B10" s="29"/>
      <c r="C10" s="30"/>
      <c r="I10" s="12" t="s">
        <v>3</v>
      </c>
      <c r="J10" s="13" t="s">
        <v>36</v>
      </c>
      <c r="M10" s="59">
        <v>-2.2496569160000002</v>
      </c>
      <c r="N10" s="59">
        <v>0.4</v>
      </c>
    </row>
    <row r="11" spans="1:14">
      <c r="B11" s="29"/>
      <c r="C11" s="30"/>
      <c r="I11" s="14"/>
      <c r="J11" s="15"/>
      <c r="M11" s="59">
        <v>-2.2105481450000002</v>
      </c>
      <c r="N11" s="59">
        <v>0.5</v>
      </c>
    </row>
    <row r="12" spans="1:14">
      <c r="B12" s="29"/>
      <c r="C12" s="30"/>
      <c r="I12" s="14"/>
      <c r="J12" s="15"/>
      <c r="M12" s="59">
        <v>-2.1832500000000001</v>
      </c>
      <c r="N12" s="59">
        <v>0.6</v>
      </c>
    </row>
    <row r="13" spans="1:14">
      <c r="B13" s="29"/>
      <c r="C13" s="30"/>
      <c r="I13" s="14"/>
      <c r="J13" s="15"/>
      <c r="M13" s="59">
        <v>-2.1832500000000001</v>
      </c>
      <c r="N13" s="59">
        <v>0.7</v>
      </c>
    </row>
    <row r="14" spans="1:14">
      <c r="B14" s="29"/>
      <c r="C14" s="30"/>
      <c r="I14" s="14"/>
      <c r="J14" s="15"/>
      <c r="M14" s="59">
        <v>-2.1832500000000001</v>
      </c>
      <c r="N14" s="59">
        <v>0.8</v>
      </c>
    </row>
    <row r="15" spans="1:14">
      <c r="B15" s="29"/>
      <c r="C15" s="30"/>
      <c r="I15" s="14"/>
      <c r="J15" s="15"/>
      <c r="M15" s="59">
        <v>-2.1832500000000001</v>
      </c>
      <c r="N15" s="59">
        <v>0.9</v>
      </c>
    </row>
    <row r="16" spans="1:14">
      <c r="B16" s="29"/>
      <c r="C16" s="30"/>
      <c r="I16" s="14"/>
      <c r="J16" s="15"/>
      <c r="M16" s="59">
        <v>-2.1832500000000001</v>
      </c>
      <c r="N16" s="59">
        <v>1</v>
      </c>
    </row>
    <row r="17" spans="1:14">
      <c r="B17" s="29"/>
      <c r="C17" s="30"/>
      <c r="I17" s="14"/>
      <c r="J17" s="15"/>
      <c r="M17" s="59">
        <v>-2.1832500000000001</v>
      </c>
      <c r="N17" s="59">
        <v>1.1000000000000001</v>
      </c>
    </row>
    <row r="18" spans="1:14">
      <c r="B18" s="29"/>
      <c r="C18" s="30"/>
      <c r="I18" s="14"/>
      <c r="J18" s="15"/>
      <c r="M18" s="59">
        <v>-2.1714394800000001</v>
      </c>
      <c r="N18" s="59">
        <v>1.2</v>
      </c>
    </row>
    <row r="19" spans="1:14">
      <c r="B19" s="29"/>
      <c r="C19" s="30"/>
      <c r="I19" s="14"/>
      <c r="J19" s="15"/>
      <c r="M19" s="59">
        <v>-2.1518852700000002</v>
      </c>
      <c r="N19" s="59">
        <v>1.3</v>
      </c>
    </row>
    <row r="20" spans="1:14">
      <c r="B20" s="29"/>
      <c r="C20" s="30"/>
      <c r="I20" s="14"/>
      <c r="J20" s="15"/>
      <c r="M20" s="59">
        <v>-2.1323310599999998</v>
      </c>
      <c r="N20" s="59">
        <v>1.4</v>
      </c>
    </row>
    <row r="21" spans="1:14">
      <c r="B21" s="29"/>
      <c r="C21" s="30"/>
      <c r="I21" s="14"/>
      <c r="J21" s="15"/>
      <c r="M21" s="59">
        <v>-2.1275400000000002</v>
      </c>
      <c r="N21" s="59">
        <v>1.5</v>
      </c>
    </row>
    <row r="22" spans="1:14">
      <c r="B22" s="29"/>
      <c r="C22" s="30"/>
      <c r="I22" s="16"/>
      <c r="J22" s="17"/>
      <c r="M22" s="59">
        <v>-2.1275400000000002</v>
      </c>
      <c r="N22" s="59">
        <v>1.6</v>
      </c>
    </row>
    <row r="23" spans="1:14">
      <c r="B23" s="29"/>
      <c r="C23" s="30"/>
      <c r="M23" s="59">
        <v>-2.1275400000000002</v>
      </c>
      <c r="N23" s="59">
        <v>1.7</v>
      </c>
    </row>
    <row r="24" spans="1:14">
      <c r="B24" s="31"/>
      <c r="C24" s="11"/>
      <c r="M24" s="59">
        <v>-2.109823902</v>
      </c>
      <c r="N24" s="59">
        <v>1.8</v>
      </c>
    </row>
    <row r="25" spans="1:14">
      <c r="H25" s="9" t="s">
        <v>35</v>
      </c>
      <c r="I25" s="57" t="s">
        <v>42</v>
      </c>
      <c r="J25" s="58"/>
      <c r="M25" s="59">
        <v>-2.0902693409999999</v>
      </c>
      <c r="N25" s="59">
        <v>1.9</v>
      </c>
    </row>
    <row r="26" spans="1:14">
      <c r="I26" t="s">
        <v>1</v>
      </c>
      <c r="J26" t="s">
        <v>17</v>
      </c>
      <c r="M26" s="59">
        <v>-2.0718290000000001</v>
      </c>
      <c r="N26" s="59">
        <v>2</v>
      </c>
    </row>
    <row r="27" spans="1:14">
      <c r="A27" s="34">
        <v>4</v>
      </c>
      <c r="B27" s="2" t="s">
        <v>2</v>
      </c>
      <c r="C27" s="63">
        <f>C6+(C7*('Normative data'!C8))</f>
        <v>5.2287602081587403</v>
      </c>
      <c r="M27" s="59">
        <v>-2.0718290000000001</v>
      </c>
      <c r="N27" s="59">
        <v>2.1</v>
      </c>
    </row>
    <row r="28" spans="1:14">
      <c r="B28" s="2" t="s">
        <v>6</v>
      </c>
      <c r="C28" s="2"/>
      <c r="D28" s="2"/>
      <c r="E28" s="2"/>
      <c r="F28" s="2"/>
      <c r="M28" s="59">
        <v>-2.0718290000000001</v>
      </c>
      <c r="N28" s="59">
        <v>2.2000000000000002</v>
      </c>
    </row>
    <row r="29" spans="1:14">
      <c r="B29" s="2" t="s">
        <v>7</v>
      </c>
      <c r="C29" s="2"/>
      <c r="D29" s="2"/>
      <c r="E29" s="2"/>
      <c r="F29" s="2"/>
      <c r="M29" s="59">
        <v>-2.06776217</v>
      </c>
      <c r="N29" s="59">
        <v>2.2999999999999998</v>
      </c>
    </row>
    <row r="30" spans="1:14">
      <c r="B30" s="2" t="s">
        <v>8</v>
      </c>
      <c r="M30" s="59">
        <v>-2.04820796</v>
      </c>
      <c r="N30" s="59">
        <v>2.4</v>
      </c>
    </row>
    <row r="31" spans="1:14">
      <c r="I31" s="14"/>
      <c r="J31" s="15"/>
      <c r="M31" s="59">
        <v>-2.0286537500000001</v>
      </c>
      <c r="N31" s="59">
        <v>2.5</v>
      </c>
    </row>
    <row r="32" spans="1:14">
      <c r="I32" s="35"/>
      <c r="J32" s="17"/>
      <c r="M32" s="59">
        <v>-2.0161190000000002</v>
      </c>
      <c r="N32" s="59">
        <v>2.6</v>
      </c>
    </row>
    <row r="33" spans="2:14">
      <c r="B33" t="s">
        <v>9</v>
      </c>
      <c r="C33" s="59">
        <f>'Normative data'!C14-DigDir!C27</f>
        <v>-5.2287602081587403</v>
      </c>
      <c r="M33" s="59">
        <v>-2.0161190000000002</v>
      </c>
      <c r="N33" s="59">
        <v>2.7</v>
      </c>
    </row>
    <row r="34" spans="2:14">
      <c r="B34" t="s">
        <v>12</v>
      </c>
      <c r="C34">
        <f>C33/SD_PERC_DigDir!I38</f>
        <v>-5.0232345658951401</v>
      </c>
      <c r="I34" t="s">
        <v>41</v>
      </c>
      <c r="J34">
        <f>SD_PERC_DigDir!I38</f>
        <v>1.040915</v>
      </c>
      <c r="M34" s="59">
        <v>-2.0161190000000002</v>
      </c>
      <c r="N34" s="59">
        <v>2.8</v>
      </c>
    </row>
    <row r="35" spans="2:14">
      <c r="M35" s="59">
        <v>-2.0161190000000002</v>
      </c>
      <c r="N35" s="59">
        <v>2.9</v>
      </c>
    </row>
    <row r="36" spans="2:14">
      <c r="M36" s="59">
        <v>-2.0161190000000002</v>
      </c>
      <c r="N36" s="59">
        <v>3</v>
      </c>
    </row>
    <row r="37" spans="2:14">
      <c r="M37" s="59">
        <v>-2.0161190000000002</v>
      </c>
      <c r="N37" s="59">
        <v>3.1</v>
      </c>
    </row>
    <row r="38" spans="2:14">
      <c r="M38" s="59">
        <v>-2.0031940480000001</v>
      </c>
      <c r="N38" s="59">
        <v>3.2</v>
      </c>
    </row>
    <row r="39" spans="2:14">
      <c r="M39" s="59">
        <v>-1.983639487</v>
      </c>
      <c r="N39" s="59">
        <v>3.3</v>
      </c>
    </row>
    <row r="40" spans="2:14">
      <c r="M40" s="59">
        <v>-1.964084926</v>
      </c>
      <c r="N40" s="59">
        <v>3.4</v>
      </c>
    </row>
    <row r="41" spans="2:14">
      <c r="M41" s="59">
        <v>-1.9445303650000001</v>
      </c>
      <c r="N41" s="59">
        <v>3.5</v>
      </c>
    </row>
    <row r="42" spans="2:14">
      <c r="M42" s="59">
        <v>-1.924975804</v>
      </c>
      <c r="N42" s="59">
        <v>3.6</v>
      </c>
    </row>
    <row r="43" spans="2:14">
      <c r="M43" s="59">
        <v>-1.9054212429999999</v>
      </c>
      <c r="N43" s="59">
        <v>3.7</v>
      </c>
    </row>
    <row r="44" spans="2:14">
      <c r="M44" s="59">
        <v>-1.885867358</v>
      </c>
      <c r="N44" s="59">
        <v>3.8</v>
      </c>
    </row>
    <row r="45" spans="2:14">
      <c r="M45" s="59">
        <v>-1.8663134990000001</v>
      </c>
      <c r="N45" s="59">
        <v>3.9</v>
      </c>
    </row>
    <row r="46" spans="2:14">
      <c r="M46" s="59">
        <v>-1.8489880000000001</v>
      </c>
      <c r="N46" s="59">
        <v>4</v>
      </c>
    </row>
    <row r="47" spans="2:14">
      <c r="M47" s="59">
        <v>-1.8489880000000001</v>
      </c>
      <c r="N47" s="59">
        <v>4.0999999999999996</v>
      </c>
    </row>
    <row r="48" spans="2:14">
      <c r="M48" s="59">
        <v>-1.8489880000000001</v>
      </c>
      <c r="N48" s="59">
        <v>4.2</v>
      </c>
    </row>
    <row r="49" spans="13:14">
      <c r="M49" s="59">
        <v>-1.8489880000000001</v>
      </c>
      <c r="N49" s="59">
        <v>4.3</v>
      </c>
    </row>
    <row r="50" spans="13:14">
      <c r="M50" s="59">
        <v>-1.8489880000000001</v>
      </c>
      <c r="N50" s="59">
        <v>4.4000000000000004</v>
      </c>
    </row>
    <row r="51" spans="13:14">
      <c r="M51" s="59">
        <v>-1.8489880000000001</v>
      </c>
      <c r="N51" s="59">
        <v>4.5</v>
      </c>
    </row>
    <row r="52" spans="13:14">
      <c r="M52" s="59">
        <v>-1.8489880000000001</v>
      </c>
      <c r="N52" s="59">
        <v>4.5999999999999996</v>
      </c>
    </row>
    <row r="53" spans="13:14">
      <c r="M53" s="59">
        <v>-1.8489880000000001</v>
      </c>
      <c r="N53" s="59">
        <v>4.7</v>
      </c>
    </row>
    <row r="54" spans="13:14">
      <c r="M54" s="59">
        <v>-1.8489880000000001</v>
      </c>
      <c r="N54" s="59">
        <v>4.8</v>
      </c>
    </row>
    <row r="55" spans="13:14">
      <c r="M55" s="59">
        <v>-1.8489880000000001</v>
      </c>
      <c r="N55" s="59">
        <v>4.9000000000000004</v>
      </c>
    </row>
    <row r="56" spans="13:14">
      <c r="M56" s="59">
        <v>-1.8489880000000001</v>
      </c>
      <c r="N56" s="59">
        <v>5</v>
      </c>
    </row>
    <row r="57" spans="13:14">
      <c r="M57" s="59">
        <v>-1.8489880000000001</v>
      </c>
      <c r="N57" s="59">
        <v>5.0999999999999996</v>
      </c>
    </row>
    <row r="58" spans="13:14">
      <c r="M58" s="59">
        <v>-1.8489880000000001</v>
      </c>
      <c r="N58" s="59">
        <v>5.2</v>
      </c>
    </row>
    <row r="59" spans="13:14">
      <c r="M59" s="59">
        <v>-1.8489880000000001</v>
      </c>
      <c r="N59" s="59">
        <v>5.3</v>
      </c>
    </row>
    <row r="60" spans="13:14">
      <c r="M60" s="59">
        <v>-1.8489880000000001</v>
      </c>
      <c r="N60" s="59">
        <v>5.4</v>
      </c>
    </row>
    <row r="61" spans="13:14">
      <c r="M61" s="59">
        <v>-1.764029335</v>
      </c>
      <c r="N61" s="59">
        <v>5.5</v>
      </c>
    </row>
    <row r="62" spans="13:14">
      <c r="M62" s="59">
        <v>-1.666257232</v>
      </c>
      <c r="N62" s="59">
        <v>5.6</v>
      </c>
    </row>
    <row r="63" spans="13:14">
      <c r="M63" s="59">
        <v>-1.570045023</v>
      </c>
      <c r="N63" s="59">
        <v>5.7</v>
      </c>
    </row>
    <row r="64" spans="13:14">
      <c r="M64" s="59">
        <v>-1.550490462</v>
      </c>
      <c r="N64" s="59">
        <v>5.8</v>
      </c>
    </row>
    <row r="65" spans="13:14">
      <c r="M65" s="59">
        <v>-1.5309359010000001</v>
      </c>
      <c r="N65" s="59">
        <v>5.9</v>
      </c>
    </row>
    <row r="66" spans="13:14">
      <c r="M66" s="59">
        <v>-1.49719398</v>
      </c>
      <c r="N66" s="59">
        <v>6</v>
      </c>
    </row>
    <row r="67" spans="13:14">
      <c r="M67" s="59">
        <v>-1.3946433629999999</v>
      </c>
      <c r="N67" s="59">
        <v>6.1</v>
      </c>
    </row>
    <row r="68" spans="13:14">
      <c r="M68" s="59">
        <v>-1.292092746</v>
      </c>
      <c r="N68" s="59">
        <v>6.2</v>
      </c>
    </row>
    <row r="69" spans="13:14">
      <c r="M69" s="59">
        <v>-1.2225569999999999</v>
      </c>
      <c r="N69" s="59">
        <v>6.3</v>
      </c>
    </row>
    <row r="70" spans="13:14">
      <c r="M70" s="59">
        <v>-1.2225569999999999</v>
      </c>
      <c r="N70" s="59">
        <v>6.4</v>
      </c>
    </row>
    <row r="71" spans="13:14">
      <c r="M71" s="59">
        <v>-1.2225569999999999</v>
      </c>
      <c r="N71" s="59">
        <v>6.5</v>
      </c>
    </row>
    <row r="72" spans="13:14">
      <c r="M72" s="59">
        <v>-1.2225569999999999</v>
      </c>
      <c r="N72" s="59">
        <v>6.6</v>
      </c>
    </row>
    <row r="73" spans="13:14">
      <c r="M73" s="59">
        <v>-1.2225569999999999</v>
      </c>
      <c r="N73" s="59">
        <v>6.7</v>
      </c>
    </row>
    <row r="74" spans="13:14">
      <c r="M74" s="59">
        <v>-1.2225569999999999</v>
      </c>
      <c r="N74" s="59">
        <v>6.8</v>
      </c>
    </row>
    <row r="75" spans="13:14">
      <c r="M75" s="59">
        <v>-1.2225569999999999</v>
      </c>
      <c r="N75" s="59">
        <v>6.9</v>
      </c>
    </row>
    <row r="76" spans="13:14">
      <c r="M76" s="59">
        <v>-1.2225569999999999</v>
      </c>
      <c r="N76" s="59">
        <v>7</v>
      </c>
    </row>
    <row r="77" spans="13:14">
      <c r="M77" s="59">
        <v>-1.2225569999999999</v>
      </c>
      <c r="N77" s="59">
        <v>7.1</v>
      </c>
    </row>
    <row r="78" spans="13:14">
      <c r="M78" s="59">
        <v>-1.2225569999999999</v>
      </c>
      <c r="N78" s="59">
        <v>7.2</v>
      </c>
    </row>
    <row r="79" spans="13:14">
      <c r="M79" s="59">
        <v>-1.2225569999999999</v>
      </c>
      <c r="N79" s="59">
        <v>7.3</v>
      </c>
    </row>
    <row r="80" spans="13:14">
      <c r="M80" s="59">
        <v>-1.2225569999999999</v>
      </c>
      <c r="N80" s="59">
        <v>7.4</v>
      </c>
    </row>
    <row r="81" spans="13:14">
      <c r="M81" s="59">
        <v>-1.2225569999999999</v>
      </c>
      <c r="N81" s="59">
        <v>7.5</v>
      </c>
    </row>
    <row r="82" spans="13:14">
      <c r="M82" s="59">
        <v>-1.2225569999999999</v>
      </c>
      <c r="N82" s="59">
        <v>7.6</v>
      </c>
    </row>
    <row r="83" spans="13:14">
      <c r="M83" s="59">
        <v>-1.2225569999999999</v>
      </c>
      <c r="N83" s="59">
        <v>7.7</v>
      </c>
    </row>
    <row r="84" spans="13:14">
      <c r="M84" s="59">
        <v>-1.2225569999999999</v>
      </c>
      <c r="N84" s="59">
        <v>7.8</v>
      </c>
    </row>
    <row r="85" spans="13:14">
      <c r="M85" s="59">
        <v>-1.2225569999999999</v>
      </c>
      <c r="N85" s="59">
        <v>7.9</v>
      </c>
    </row>
    <row r="86" spans="13:14">
      <c r="M86" s="59">
        <v>-1.2225569999999999</v>
      </c>
      <c r="N86" s="59">
        <v>8</v>
      </c>
    </row>
    <row r="87" spans="13:14">
      <c r="M87" s="59">
        <v>-1.2225569999999999</v>
      </c>
      <c r="N87" s="59">
        <v>8.1</v>
      </c>
    </row>
    <row r="88" spans="13:14">
      <c r="M88" s="59">
        <v>-1.2225569999999999</v>
      </c>
      <c r="N88" s="59">
        <v>8.1999999999999993</v>
      </c>
    </row>
    <row r="89" spans="13:14">
      <c r="M89" s="59">
        <v>-1.2225569999999999</v>
      </c>
      <c r="N89" s="59">
        <v>8.3000000000000007</v>
      </c>
    </row>
    <row r="90" spans="13:14">
      <c r="M90" s="59">
        <v>-1.2225569999999999</v>
      </c>
      <c r="N90" s="59">
        <v>8.4</v>
      </c>
    </row>
    <row r="91" spans="13:14">
      <c r="M91" s="59">
        <v>-1.2225569999999999</v>
      </c>
      <c r="N91" s="59">
        <v>8.5</v>
      </c>
    </row>
    <row r="92" spans="13:14">
      <c r="M92" s="59">
        <v>-1.2225569999999999</v>
      </c>
      <c r="N92" s="59">
        <v>8.6</v>
      </c>
    </row>
    <row r="93" spans="13:14">
      <c r="M93" s="59">
        <v>-1.2225569999999999</v>
      </c>
      <c r="N93" s="59">
        <v>8.6999999999999993</v>
      </c>
    </row>
    <row r="94" spans="13:14">
      <c r="M94" s="59">
        <v>-1.2225569999999999</v>
      </c>
      <c r="N94" s="59">
        <v>8.8000000000000007</v>
      </c>
    </row>
    <row r="95" spans="13:14">
      <c r="M95" s="59">
        <v>-1.2225569999999999</v>
      </c>
      <c r="N95" s="59">
        <v>8.9</v>
      </c>
    </row>
    <row r="96" spans="13:14">
      <c r="M96" s="59">
        <v>-1.2225569999999999</v>
      </c>
      <c r="N96" s="59">
        <v>9</v>
      </c>
    </row>
    <row r="97" spans="13:14">
      <c r="M97" s="59">
        <v>-1.2225569999999999</v>
      </c>
      <c r="N97" s="59">
        <v>9.1</v>
      </c>
    </row>
    <row r="98" spans="13:14">
      <c r="M98" s="59">
        <v>-1.2225569999999999</v>
      </c>
      <c r="N98" s="59">
        <v>9.1999999999999993</v>
      </c>
    </row>
    <row r="99" spans="13:14">
      <c r="M99" s="59">
        <v>-1.2225569999999999</v>
      </c>
      <c r="N99" s="59">
        <v>9.3000000000000007</v>
      </c>
    </row>
    <row r="100" spans="13:14">
      <c r="M100" s="59">
        <v>-1.2225569999999999</v>
      </c>
      <c r="N100" s="59">
        <v>9.4</v>
      </c>
    </row>
    <row r="101" spans="13:14">
      <c r="M101" s="59">
        <v>-1.2225569999999999</v>
      </c>
      <c r="N101" s="59">
        <v>9.5</v>
      </c>
    </row>
    <row r="102" spans="13:14">
      <c r="M102" s="59">
        <v>-1.2225569999999999</v>
      </c>
      <c r="N102" s="59">
        <v>9.6</v>
      </c>
    </row>
    <row r="103" spans="13:14">
      <c r="M103" s="59">
        <v>-1.219938583</v>
      </c>
      <c r="N103" s="59">
        <v>9.6999999999999993</v>
      </c>
    </row>
    <row r="104" spans="13:14">
      <c r="M104" s="59">
        <v>-1.2003840219999999</v>
      </c>
      <c r="N104" s="59">
        <v>9.8000000000000007</v>
      </c>
    </row>
    <row r="105" spans="13:14">
      <c r="M105" s="59">
        <v>-1.1808294610000001</v>
      </c>
      <c r="N105" s="59">
        <v>9.9</v>
      </c>
    </row>
    <row r="106" spans="13:14">
      <c r="M106" s="59">
        <v>-1.166846</v>
      </c>
      <c r="N106" s="59">
        <v>10</v>
      </c>
    </row>
    <row r="107" spans="13:14">
      <c r="M107" s="59">
        <v>-1.166846</v>
      </c>
      <c r="N107" s="59">
        <v>10.1</v>
      </c>
    </row>
    <row r="108" spans="13:14">
      <c r="M108" s="59">
        <v>-1.166846</v>
      </c>
      <c r="N108" s="59">
        <v>10.199999999999999</v>
      </c>
    </row>
    <row r="109" spans="13:14">
      <c r="M109" s="59">
        <v>-1.166846</v>
      </c>
      <c r="N109" s="59">
        <v>10.3</v>
      </c>
    </row>
    <row r="110" spans="13:14">
      <c r="M110" s="59">
        <v>-1.166846</v>
      </c>
      <c r="N110" s="59">
        <v>10.4</v>
      </c>
    </row>
    <row r="111" spans="13:14">
      <c r="M111" s="59">
        <v>-1.166846</v>
      </c>
      <c r="N111" s="59">
        <v>10.5</v>
      </c>
    </row>
    <row r="112" spans="13:14">
      <c r="M112" s="59">
        <v>-1.166846</v>
      </c>
      <c r="N112" s="59">
        <v>10.6</v>
      </c>
    </row>
    <row r="113" spans="13:14">
      <c r="M113" s="59">
        <v>-1.166846</v>
      </c>
      <c r="N113" s="59">
        <v>10.7</v>
      </c>
    </row>
    <row r="114" spans="13:14">
      <c r="M114" s="59">
        <v>-1.166846</v>
      </c>
      <c r="N114" s="59">
        <v>10.8</v>
      </c>
    </row>
    <row r="115" spans="13:14">
      <c r="M115" s="59">
        <v>-1.166846</v>
      </c>
      <c r="N115" s="59">
        <v>10.9</v>
      </c>
    </row>
    <row r="116" spans="13:14">
      <c r="M116" s="59">
        <v>-1.166846</v>
      </c>
      <c r="N116" s="59">
        <v>11</v>
      </c>
    </row>
    <row r="117" spans="13:14">
      <c r="M117" s="59">
        <v>-1.166846</v>
      </c>
      <c r="N117" s="59">
        <v>11.1</v>
      </c>
    </row>
    <row r="118" spans="13:14">
      <c r="M118" s="59">
        <v>-1.166846</v>
      </c>
      <c r="N118" s="59">
        <v>11.2</v>
      </c>
    </row>
    <row r="119" spans="13:14">
      <c r="M119" s="59">
        <v>-1.166846</v>
      </c>
      <c r="N119" s="59">
        <v>11.3</v>
      </c>
    </row>
    <row r="120" spans="13:14">
      <c r="M120" s="59">
        <v>-1.166846</v>
      </c>
      <c r="N120" s="59">
        <v>11.4</v>
      </c>
    </row>
    <row r="121" spans="13:14">
      <c r="M121" s="59">
        <v>-1.166846</v>
      </c>
      <c r="N121" s="59">
        <v>11.5</v>
      </c>
    </row>
    <row r="122" spans="13:14">
      <c r="M122" s="59">
        <v>-1.166846</v>
      </c>
      <c r="N122" s="59">
        <v>11.6</v>
      </c>
    </row>
    <row r="123" spans="13:14">
      <c r="M123" s="59">
        <v>-1.1631134299999999</v>
      </c>
      <c r="N123" s="59">
        <v>11.7</v>
      </c>
    </row>
    <row r="124" spans="13:14">
      <c r="M124" s="59">
        <v>-1.14355922</v>
      </c>
      <c r="N124" s="59">
        <v>11.8</v>
      </c>
    </row>
    <row r="125" spans="13:14">
      <c r="M125" s="59">
        <v>-1.1240050100000001</v>
      </c>
      <c r="N125" s="59">
        <v>11.9</v>
      </c>
    </row>
    <row r="126" spans="13:14">
      <c r="M126" s="59">
        <v>-1.1111359999999999</v>
      </c>
      <c r="N126" s="59">
        <v>12</v>
      </c>
    </row>
    <row r="127" spans="13:14">
      <c r="M127" s="59">
        <v>-1.1111359999999999</v>
      </c>
      <c r="N127" s="59">
        <v>12.1</v>
      </c>
    </row>
    <row r="128" spans="13:14">
      <c r="M128" s="59">
        <v>-1.1111359999999999</v>
      </c>
      <c r="N128" s="59">
        <v>12.2</v>
      </c>
    </row>
    <row r="129" spans="13:14">
      <c r="M129" s="59">
        <v>-1.1111359999999999</v>
      </c>
      <c r="N129" s="59">
        <v>12.3</v>
      </c>
    </row>
    <row r="130" spans="13:14">
      <c r="M130" s="59">
        <v>-1.1111359999999999</v>
      </c>
      <c r="N130" s="59">
        <v>12.4</v>
      </c>
    </row>
    <row r="131" spans="13:14">
      <c r="M131" s="59">
        <v>-1.1111359999999999</v>
      </c>
      <c r="N131" s="59">
        <v>12.5</v>
      </c>
    </row>
    <row r="132" spans="13:14">
      <c r="M132" s="59">
        <v>-1.1111359999999999</v>
      </c>
      <c r="N132" s="59">
        <v>12.6</v>
      </c>
    </row>
    <row r="133" spans="13:14">
      <c r="M133" s="59">
        <v>-1.1111359999999999</v>
      </c>
      <c r="N133" s="59">
        <v>12.7</v>
      </c>
    </row>
    <row r="134" spans="13:14">
      <c r="M134" s="59">
        <v>-1.1111359999999999</v>
      </c>
      <c r="N134" s="59">
        <v>12.8</v>
      </c>
    </row>
    <row r="135" spans="13:14">
      <c r="M135" s="59">
        <v>-1.1111359999999999</v>
      </c>
      <c r="N135" s="59">
        <v>12.9</v>
      </c>
    </row>
    <row r="136" spans="13:14">
      <c r="M136" s="59">
        <v>-1.1111359999999999</v>
      </c>
      <c r="N136" s="59">
        <v>13</v>
      </c>
    </row>
    <row r="137" spans="13:14">
      <c r="M137" s="59">
        <v>-1.1111359999999999</v>
      </c>
      <c r="N137" s="59">
        <v>13.1</v>
      </c>
    </row>
    <row r="138" spans="13:14">
      <c r="M138" s="59">
        <v>-1.1111359999999999</v>
      </c>
      <c r="N138" s="59">
        <v>13.2</v>
      </c>
    </row>
    <row r="139" spans="13:14">
      <c r="M139" s="59">
        <v>-1.1111359999999999</v>
      </c>
      <c r="N139" s="59">
        <v>13.3</v>
      </c>
    </row>
    <row r="140" spans="13:14">
      <c r="M140" s="59">
        <v>-1.1111359999999999</v>
      </c>
      <c r="N140" s="59">
        <v>13.4</v>
      </c>
    </row>
    <row r="141" spans="13:14">
      <c r="M141" s="59">
        <v>-1.1111359999999999</v>
      </c>
      <c r="N141" s="59">
        <v>13.5</v>
      </c>
    </row>
    <row r="142" spans="13:14">
      <c r="M142" s="59">
        <v>-1.1111359999999999</v>
      </c>
      <c r="N142" s="59">
        <v>13.6</v>
      </c>
    </row>
    <row r="143" spans="13:14">
      <c r="M143" s="59">
        <v>-1.1111359999999999</v>
      </c>
      <c r="N143" s="59">
        <v>13.7</v>
      </c>
    </row>
    <row r="144" spans="13:14">
      <c r="M144" s="59">
        <v>-1.1111359999999999</v>
      </c>
      <c r="N144" s="59">
        <v>13.8</v>
      </c>
    </row>
    <row r="145" spans="13:14">
      <c r="M145" s="59">
        <v>-1.1111359999999999</v>
      </c>
      <c r="N145" s="59">
        <v>13.9</v>
      </c>
    </row>
    <row r="146" spans="13:14">
      <c r="M146" s="59">
        <v>-1.10333646</v>
      </c>
      <c r="N146" s="59">
        <v>14</v>
      </c>
    </row>
    <row r="147" spans="13:14">
      <c r="M147" s="59">
        <v>-1.0837818990000001</v>
      </c>
      <c r="N147" s="59">
        <v>14.1</v>
      </c>
    </row>
    <row r="148" spans="13:14">
      <c r="M148" s="59">
        <v>-1.064227338</v>
      </c>
      <c r="N148" s="59">
        <v>14.2</v>
      </c>
    </row>
    <row r="149" spans="13:14">
      <c r="M149" s="59">
        <v>-1.0554250000000001</v>
      </c>
      <c r="N149" s="59">
        <v>14.3</v>
      </c>
    </row>
    <row r="150" spans="13:14">
      <c r="M150" s="59">
        <v>-1.0554250000000001</v>
      </c>
      <c r="N150" s="59">
        <v>14.4</v>
      </c>
    </row>
    <row r="151" spans="13:14">
      <c r="M151" s="59">
        <v>-1.0554250000000001</v>
      </c>
      <c r="N151" s="59">
        <v>14.5</v>
      </c>
    </row>
    <row r="152" spans="13:14">
      <c r="M152" s="59">
        <v>-1.0554250000000001</v>
      </c>
      <c r="N152" s="59">
        <v>14.6</v>
      </c>
    </row>
    <row r="153" spans="13:14">
      <c r="M153" s="59">
        <v>-1.0554250000000001</v>
      </c>
      <c r="N153" s="59">
        <v>14.7</v>
      </c>
    </row>
    <row r="154" spans="13:14">
      <c r="M154" s="59">
        <v>-1.0554250000000001</v>
      </c>
      <c r="N154" s="59">
        <v>14.8</v>
      </c>
    </row>
    <row r="155" spans="13:14">
      <c r="M155" s="59">
        <v>-1.0554250000000001</v>
      </c>
      <c r="N155" s="59">
        <v>14.9</v>
      </c>
    </row>
    <row r="156" spans="13:14">
      <c r="M156" s="59">
        <v>-1.0554250000000001</v>
      </c>
      <c r="N156" s="59">
        <v>15</v>
      </c>
    </row>
    <row r="157" spans="13:14">
      <c r="M157" s="59">
        <v>-1.0554250000000001</v>
      </c>
      <c r="N157" s="59">
        <v>15.1</v>
      </c>
    </row>
    <row r="158" spans="13:14">
      <c r="M158" s="59">
        <v>-1.0554250000000001</v>
      </c>
      <c r="N158" s="59">
        <v>15.2</v>
      </c>
    </row>
    <row r="159" spans="13:14">
      <c r="M159" s="59">
        <v>-1.0554250000000001</v>
      </c>
      <c r="N159" s="59">
        <v>15.3</v>
      </c>
    </row>
    <row r="160" spans="13:14">
      <c r="M160" s="59">
        <v>-1.0554250000000001</v>
      </c>
      <c r="N160" s="59">
        <v>15.4</v>
      </c>
    </row>
    <row r="161" spans="13:14">
      <c r="M161" s="59">
        <v>-1.0554250000000001</v>
      </c>
      <c r="N161" s="59">
        <v>15.5</v>
      </c>
    </row>
    <row r="162" spans="13:14">
      <c r="M162" s="59">
        <v>-1.0554250000000001</v>
      </c>
      <c r="N162" s="59">
        <v>15.6</v>
      </c>
    </row>
    <row r="163" spans="13:14">
      <c r="M163" s="59">
        <v>-1.0554250000000001</v>
      </c>
      <c r="N163" s="59">
        <v>15.7</v>
      </c>
    </row>
    <row r="164" spans="13:14">
      <c r="M164" s="59">
        <v>-1.0554250000000001</v>
      </c>
      <c r="N164" s="59">
        <v>15.8</v>
      </c>
    </row>
    <row r="165" spans="13:14">
      <c r="M165" s="59">
        <v>-1.0554250000000001</v>
      </c>
      <c r="N165" s="59">
        <v>15.9</v>
      </c>
    </row>
    <row r="166" spans="13:14">
      <c r="M166" s="59">
        <v>-1.0554250000000001</v>
      </c>
      <c r="N166" s="59">
        <v>16</v>
      </c>
    </row>
    <row r="167" spans="13:14">
      <c r="M167" s="59">
        <v>-1.0554250000000001</v>
      </c>
      <c r="N167" s="59">
        <v>16.100000000000001</v>
      </c>
    </row>
    <row r="168" spans="13:14">
      <c r="M168" s="59">
        <v>-1.0554250000000001</v>
      </c>
      <c r="N168" s="59">
        <v>16.2</v>
      </c>
    </row>
    <row r="169" spans="13:14">
      <c r="M169" s="59">
        <v>-1.0554250000000001</v>
      </c>
      <c r="N169" s="59">
        <v>16.3</v>
      </c>
    </row>
    <row r="170" spans="13:14">
      <c r="M170" s="59">
        <v>-1.0554250000000001</v>
      </c>
      <c r="N170" s="59">
        <v>16.399999999999999</v>
      </c>
    </row>
    <row r="171" spans="13:14">
      <c r="M171" s="59">
        <v>-1.0554250000000001</v>
      </c>
      <c r="N171" s="59">
        <v>16.5</v>
      </c>
    </row>
    <row r="172" spans="13:14">
      <c r="M172" s="59">
        <v>-1.0554250000000001</v>
      </c>
      <c r="N172" s="59">
        <v>16.600000000000001</v>
      </c>
    </row>
    <row r="173" spans="13:14">
      <c r="M173" s="59">
        <v>-1.0554250000000001</v>
      </c>
      <c r="N173" s="59">
        <v>16.7</v>
      </c>
    </row>
    <row r="174" spans="13:14">
      <c r="M174" s="59">
        <v>-1.0554250000000001</v>
      </c>
      <c r="N174" s="59">
        <v>16.8</v>
      </c>
    </row>
    <row r="175" spans="13:14">
      <c r="M175" s="59">
        <v>-1.0554250000000001</v>
      </c>
      <c r="N175" s="59">
        <v>16.899999999999999</v>
      </c>
    </row>
    <row r="176" spans="13:14">
      <c r="M176" s="59">
        <v>-1.0554250000000001</v>
      </c>
      <c r="N176" s="59">
        <v>17</v>
      </c>
    </row>
    <row r="177" spans="13:14">
      <c r="M177" s="59">
        <v>-1.0554250000000001</v>
      </c>
      <c r="N177" s="59">
        <v>17.100000000000001</v>
      </c>
    </row>
    <row r="178" spans="13:14">
      <c r="M178" s="59">
        <v>-1.0554250000000001</v>
      </c>
      <c r="N178" s="59">
        <v>17.2</v>
      </c>
    </row>
    <row r="179" spans="13:14">
      <c r="M179" s="59">
        <v>-1.0554250000000001</v>
      </c>
      <c r="N179" s="59">
        <v>17.3</v>
      </c>
    </row>
    <row r="180" spans="13:14">
      <c r="M180" s="59">
        <v>-1.0554250000000001</v>
      </c>
      <c r="N180" s="59">
        <v>17.399999999999999</v>
      </c>
    </row>
    <row r="181" spans="13:14">
      <c r="M181" s="59">
        <v>-1.0554250000000001</v>
      </c>
      <c r="N181" s="59">
        <v>17.5</v>
      </c>
    </row>
    <row r="182" spans="13:14">
      <c r="M182" s="59">
        <v>-1.0554250000000001</v>
      </c>
      <c r="N182" s="59">
        <v>17.600000000000001</v>
      </c>
    </row>
    <row r="183" spans="13:14">
      <c r="M183" s="59">
        <v>-1.0554250000000001</v>
      </c>
      <c r="N183" s="59">
        <v>17.7</v>
      </c>
    </row>
    <row r="184" spans="13:14">
      <c r="M184" s="59">
        <v>-1.0554250000000001</v>
      </c>
      <c r="N184" s="59">
        <v>17.8</v>
      </c>
    </row>
    <row r="185" spans="13:14">
      <c r="M185" s="59">
        <v>-1.0554250000000001</v>
      </c>
      <c r="N185" s="59">
        <v>17.899999999999999</v>
      </c>
    </row>
    <row r="186" spans="13:14">
      <c r="M186" s="59">
        <v>-1.0453972</v>
      </c>
      <c r="N186" s="59">
        <v>18</v>
      </c>
    </row>
    <row r="187" spans="13:14">
      <c r="M187" s="59">
        <v>-1.0258429899999999</v>
      </c>
      <c r="N187" s="59">
        <v>18.100000000000001</v>
      </c>
    </row>
    <row r="188" spans="13:14">
      <c r="M188" s="59">
        <v>-1.00628878</v>
      </c>
      <c r="N188" s="59">
        <v>18.2</v>
      </c>
    </row>
    <row r="189" spans="13:14">
      <c r="M189" s="59">
        <v>-0.99971500000000002</v>
      </c>
      <c r="N189" s="59">
        <v>18.3</v>
      </c>
    </row>
    <row r="190" spans="13:14">
      <c r="M190" s="59">
        <v>-0.99971500000000002</v>
      </c>
      <c r="N190" s="59">
        <v>18.399999999999999</v>
      </c>
    </row>
    <row r="191" spans="13:14">
      <c r="M191" s="59">
        <v>-0.99971500000000002</v>
      </c>
      <c r="N191" s="59">
        <v>18.5</v>
      </c>
    </row>
    <row r="192" spans="13:14">
      <c r="M192" s="59">
        <v>-0.99971500000000002</v>
      </c>
      <c r="N192" s="59">
        <v>18.600000000000001</v>
      </c>
    </row>
    <row r="193" spans="13:14">
      <c r="M193" s="59">
        <v>-0.99971500000000002</v>
      </c>
      <c r="N193" s="59">
        <v>18.7</v>
      </c>
    </row>
    <row r="194" spans="13:14">
      <c r="M194" s="59">
        <v>-0.99971500000000002</v>
      </c>
      <c r="N194" s="59">
        <v>18.8</v>
      </c>
    </row>
    <row r="195" spans="13:14">
      <c r="M195" s="59">
        <v>-0.96194328100000004</v>
      </c>
      <c r="N195" s="59">
        <v>18.899999999999999</v>
      </c>
    </row>
    <row r="196" spans="13:14">
      <c r="M196" s="59">
        <v>-0.92283451000000005</v>
      </c>
      <c r="N196" s="59">
        <v>19</v>
      </c>
    </row>
    <row r="197" spans="13:14">
      <c r="M197" s="59">
        <v>-0.88829400000000003</v>
      </c>
      <c r="N197" s="59">
        <v>19.100000000000001</v>
      </c>
    </row>
    <row r="198" spans="13:14">
      <c r="M198" s="59">
        <v>-0.88829400000000003</v>
      </c>
      <c r="N198" s="59">
        <v>19.2</v>
      </c>
    </row>
    <row r="199" spans="13:14">
      <c r="M199" s="59">
        <v>-0.88829400000000003</v>
      </c>
      <c r="N199" s="59">
        <v>19.3</v>
      </c>
    </row>
    <row r="200" spans="13:14">
      <c r="M200" s="59">
        <v>-0.88829400000000003</v>
      </c>
      <c r="N200" s="59">
        <v>19.399999999999999</v>
      </c>
    </row>
    <row r="201" spans="13:14">
      <c r="M201" s="59">
        <v>-0.88829400000000003</v>
      </c>
      <c r="N201" s="59">
        <v>19.5</v>
      </c>
    </row>
    <row r="202" spans="13:14">
      <c r="M202" s="59">
        <v>-0.88829400000000003</v>
      </c>
      <c r="N202" s="59">
        <v>19.600000000000001</v>
      </c>
    </row>
    <row r="203" spans="13:14">
      <c r="M203" s="59">
        <v>-0.88829400000000003</v>
      </c>
      <c r="N203" s="59">
        <v>19.7</v>
      </c>
    </row>
    <row r="204" spans="13:14">
      <c r="M204" s="59">
        <v>-0.88829400000000003</v>
      </c>
      <c r="N204" s="59">
        <v>19.8</v>
      </c>
    </row>
    <row r="205" spans="13:14">
      <c r="M205" s="59">
        <v>-0.88829400000000003</v>
      </c>
      <c r="N205" s="59">
        <v>19.899999999999999</v>
      </c>
    </row>
    <row r="206" spans="13:14">
      <c r="M206" s="59">
        <v>-0.88829400000000003</v>
      </c>
      <c r="N206" s="59">
        <v>20</v>
      </c>
    </row>
    <row r="207" spans="13:14">
      <c r="M207" s="59">
        <v>-0.88829400000000003</v>
      </c>
      <c r="N207" s="59">
        <v>20.100000000000001</v>
      </c>
    </row>
    <row r="208" spans="13:14">
      <c r="M208" s="59">
        <v>-0.88829400000000003</v>
      </c>
      <c r="N208" s="59">
        <v>20.2</v>
      </c>
    </row>
    <row r="209" spans="13:14">
      <c r="M209" s="59">
        <v>-0.88829400000000003</v>
      </c>
      <c r="N209" s="59">
        <v>20.3</v>
      </c>
    </row>
    <row r="210" spans="13:14">
      <c r="M210" s="59">
        <v>-0.88829400000000003</v>
      </c>
      <c r="N210" s="59">
        <v>20.399999999999999</v>
      </c>
    </row>
    <row r="211" spans="13:14">
      <c r="M211" s="59">
        <v>-0.88829400000000003</v>
      </c>
      <c r="N211" s="59">
        <v>20.5</v>
      </c>
    </row>
    <row r="212" spans="13:14">
      <c r="M212" s="59">
        <v>-0.88829400000000003</v>
      </c>
      <c r="N212" s="59">
        <v>20.6</v>
      </c>
    </row>
    <row r="213" spans="13:14">
      <c r="M213" s="59">
        <v>-0.88829400000000003</v>
      </c>
      <c r="N213" s="59">
        <v>20.7</v>
      </c>
    </row>
    <row r="214" spans="13:14">
      <c r="M214" s="59">
        <v>-0.88829400000000003</v>
      </c>
      <c r="N214" s="59">
        <v>20.8</v>
      </c>
    </row>
    <row r="215" spans="13:14">
      <c r="M215" s="59">
        <v>-0.88829400000000003</v>
      </c>
      <c r="N215" s="59">
        <v>20.9</v>
      </c>
    </row>
    <row r="216" spans="13:14">
      <c r="M216" s="59">
        <v>-0.88829400000000003</v>
      </c>
      <c r="N216" s="59">
        <v>21</v>
      </c>
    </row>
    <row r="217" spans="13:14">
      <c r="M217" s="59">
        <v>-0.88829400000000003</v>
      </c>
      <c r="N217" s="59">
        <v>21.1</v>
      </c>
    </row>
    <row r="218" spans="13:14">
      <c r="M218" s="59">
        <v>-0.88829400000000003</v>
      </c>
      <c r="N218" s="59">
        <v>21.2</v>
      </c>
    </row>
    <row r="219" spans="13:14">
      <c r="M219" s="59">
        <v>-0.88829400000000003</v>
      </c>
      <c r="N219" s="59">
        <v>21.3</v>
      </c>
    </row>
    <row r="220" spans="13:14">
      <c r="M220" s="59">
        <v>-0.88829400000000003</v>
      </c>
      <c r="N220" s="59">
        <v>21.4</v>
      </c>
    </row>
    <row r="221" spans="13:14">
      <c r="M221" s="59">
        <v>-0.88829400000000003</v>
      </c>
      <c r="N221" s="59">
        <v>21.5</v>
      </c>
    </row>
    <row r="222" spans="13:14">
      <c r="M222" s="59">
        <v>-0.88829400000000003</v>
      </c>
      <c r="N222" s="59">
        <v>21.6</v>
      </c>
    </row>
    <row r="223" spans="13:14">
      <c r="M223" s="59">
        <v>-0.88829400000000003</v>
      </c>
      <c r="N223" s="59">
        <v>21.7</v>
      </c>
    </row>
    <row r="224" spans="13:14">
      <c r="M224" s="59">
        <v>-0.88829400000000003</v>
      </c>
      <c r="N224" s="59">
        <v>21.8</v>
      </c>
    </row>
    <row r="225" spans="13:14">
      <c r="M225" s="59">
        <v>-0.88829400000000003</v>
      </c>
      <c r="N225" s="59">
        <v>21.9</v>
      </c>
    </row>
    <row r="226" spans="13:14">
      <c r="M226" s="59">
        <v>-0.88829400000000003</v>
      </c>
      <c r="N226" s="59">
        <v>22</v>
      </c>
    </row>
    <row r="227" spans="13:14">
      <c r="M227" s="59">
        <v>-0.88829400000000003</v>
      </c>
      <c r="N227" s="59">
        <v>22.1</v>
      </c>
    </row>
    <row r="228" spans="13:14">
      <c r="M228" s="59">
        <v>-0.88829400000000003</v>
      </c>
      <c r="N228" s="59">
        <v>22.2</v>
      </c>
    </row>
    <row r="229" spans="13:14">
      <c r="M229" s="59">
        <v>-0.88829400000000003</v>
      </c>
      <c r="N229" s="59">
        <v>22.3</v>
      </c>
    </row>
    <row r="230" spans="13:14">
      <c r="M230" s="59">
        <v>-0.88829400000000003</v>
      </c>
      <c r="N230" s="59">
        <v>22.4</v>
      </c>
    </row>
    <row r="231" spans="13:14">
      <c r="M231" s="59">
        <v>-0.88829400000000003</v>
      </c>
      <c r="N231" s="59">
        <v>22.5</v>
      </c>
    </row>
    <row r="232" spans="13:14">
      <c r="M232" s="59">
        <v>-0.88829400000000003</v>
      </c>
      <c r="N232" s="59">
        <v>22.6</v>
      </c>
    </row>
    <row r="233" spans="13:14">
      <c r="M233" s="59">
        <v>-0.88829400000000003</v>
      </c>
      <c r="N233" s="59">
        <v>22.7</v>
      </c>
    </row>
    <row r="234" spans="13:14">
      <c r="M234" s="59">
        <v>-0.88829400000000003</v>
      </c>
      <c r="N234" s="59">
        <v>22.8</v>
      </c>
    </row>
    <row r="235" spans="13:14">
      <c r="M235" s="59">
        <v>-0.88829400000000003</v>
      </c>
      <c r="N235" s="59">
        <v>22.9</v>
      </c>
    </row>
    <row r="236" spans="13:14">
      <c r="M236" s="59">
        <v>-0.88829400000000003</v>
      </c>
      <c r="N236" s="59">
        <v>23</v>
      </c>
    </row>
    <row r="237" spans="13:14">
      <c r="M237" s="59">
        <v>-0.88829400000000003</v>
      </c>
      <c r="N237" s="59">
        <v>23.1</v>
      </c>
    </row>
    <row r="238" spans="13:14">
      <c r="M238" s="59">
        <v>-0.88829400000000003</v>
      </c>
      <c r="N238" s="59">
        <v>23.2</v>
      </c>
    </row>
    <row r="239" spans="13:14">
      <c r="M239" s="59">
        <v>-0.88829400000000003</v>
      </c>
      <c r="N239" s="59">
        <v>23.3</v>
      </c>
    </row>
    <row r="240" spans="13:14">
      <c r="M240" s="59">
        <v>-0.88829400000000003</v>
      </c>
      <c r="N240" s="59">
        <v>23.4</v>
      </c>
    </row>
    <row r="241" spans="13:14">
      <c r="M241" s="59">
        <v>-0.88829400000000003</v>
      </c>
      <c r="N241" s="59">
        <v>23.5</v>
      </c>
    </row>
    <row r="242" spans="13:14">
      <c r="M242" s="59">
        <v>-0.88829400000000003</v>
      </c>
      <c r="N242" s="59">
        <v>23.6</v>
      </c>
    </row>
    <row r="243" spans="13:14">
      <c r="M243" s="59">
        <v>-0.88829400000000003</v>
      </c>
      <c r="N243" s="59">
        <v>23.7</v>
      </c>
    </row>
    <row r="244" spans="13:14">
      <c r="M244" s="59">
        <v>-0.88829400000000003</v>
      </c>
      <c r="N244" s="59">
        <v>23.8</v>
      </c>
    </row>
    <row r="245" spans="13:14">
      <c r="M245" s="59">
        <v>-0.88829400000000003</v>
      </c>
      <c r="N245" s="59">
        <v>23.9</v>
      </c>
    </row>
    <row r="246" spans="13:14">
      <c r="M246" s="59">
        <v>-0.87492360000000002</v>
      </c>
      <c r="N246" s="59">
        <v>24</v>
      </c>
    </row>
    <row r="247" spans="13:14">
      <c r="M247" s="59">
        <v>-0.85536939000000001</v>
      </c>
      <c r="N247" s="59">
        <v>24.1</v>
      </c>
    </row>
    <row r="248" spans="13:14">
      <c r="M248" s="59">
        <v>-0.83581517999999999</v>
      </c>
      <c r="N248" s="59">
        <v>24.2</v>
      </c>
    </row>
    <row r="249" spans="13:14">
      <c r="M249" s="59">
        <v>-0.81626067700000005</v>
      </c>
      <c r="N249" s="59">
        <v>24.3</v>
      </c>
    </row>
    <row r="250" spans="13:14">
      <c r="M250" s="59">
        <v>-0.79670611600000096</v>
      </c>
      <c r="N250" s="59">
        <v>24.4</v>
      </c>
    </row>
    <row r="251" spans="13:14">
      <c r="M251" s="59">
        <v>-0.77715155499999999</v>
      </c>
      <c r="N251" s="59">
        <v>24.5</v>
      </c>
    </row>
    <row r="252" spans="13:14">
      <c r="M252" s="59">
        <v>-0.77687300000000004</v>
      </c>
      <c r="N252" s="59">
        <v>24.6</v>
      </c>
    </row>
    <row r="253" spans="13:14">
      <c r="M253" s="59">
        <v>-0.77687300000000004</v>
      </c>
      <c r="N253" s="59">
        <v>24.7</v>
      </c>
    </row>
    <row r="254" spans="13:14">
      <c r="M254" s="59">
        <v>-0.77419892000000001</v>
      </c>
      <c r="N254" s="59">
        <v>24.8</v>
      </c>
    </row>
    <row r="255" spans="13:14">
      <c r="M255" s="59">
        <v>-0.75464471</v>
      </c>
      <c r="N255" s="59">
        <v>24.9</v>
      </c>
    </row>
    <row r="256" spans="13:14">
      <c r="M256" s="59">
        <v>-0.73509049999999998</v>
      </c>
      <c r="N256" s="59">
        <v>25</v>
      </c>
    </row>
    <row r="257" spans="13:14">
      <c r="M257" s="59">
        <v>-0.70428266799999995</v>
      </c>
      <c r="N257" s="59">
        <v>25.1</v>
      </c>
    </row>
    <row r="258" spans="13:14">
      <c r="M258" s="59">
        <v>-0.64561933599999999</v>
      </c>
      <c r="N258" s="59">
        <v>25.2</v>
      </c>
    </row>
    <row r="259" spans="13:14">
      <c r="M259" s="59">
        <v>-0.58695600400000003</v>
      </c>
      <c r="N259" s="59">
        <v>25.3</v>
      </c>
    </row>
    <row r="260" spans="13:14">
      <c r="M260" s="59">
        <v>-0.55403100000000005</v>
      </c>
      <c r="N260" s="59">
        <v>25.4</v>
      </c>
    </row>
    <row r="261" spans="13:14">
      <c r="M261" s="59">
        <v>-0.55403100000000005</v>
      </c>
      <c r="N261" s="59">
        <v>25.5</v>
      </c>
    </row>
    <row r="262" spans="13:14">
      <c r="M262" s="59">
        <v>-0.55403100000000005</v>
      </c>
      <c r="N262" s="59">
        <v>25.6</v>
      </c>
    </row>
    <row r="263" spans="13:14">
      <c r="M263" s="59">
        <v>-0.51661637099999902</v>
      </c>
      <c r="N263" s="59">
        <v>25.7</v>
      </c>
    </row>
    <row r="264" spans="13:14">
      <c r="M264" s="59">
        <v>-0.45317417399999899</v>
      </c>
      <c r="N264" s="59">
        <v>25.8</v>
      </c>
    </row>
    <row r="265" spans="13:14">
      <c r="M265" s="59">
        <v>-0.38973197699999901</v>
      </c>
      <c r="N265" s="59">
        <v>25.9</v>
      </c>
    </row>
    <row r="266" spans="13:14">
      <c r="M266" s="59">
        <v>-0.373284</v>
      </c>
      <c r="N266" s="59">
        <v>26</v>
      </c>
    </row>
    <row r="267" spans="13:14">
      <c r="M267" s="59">
        <v>-0.373284</v>
      </c>
      <c r="N267" s="59">
        <v>26.1</v>
      </c>
    </row>
    <row r="268" spans="13:14">
      <c r="M268" s="59">
        <v>-0.373284</v>
      </c>
      <c r="N268" s="59">
        <v>26.2</v>
      </c>
    </row>
    <row r="269" spans="13:14">
      <c r="M269" s="59">
        <v>-0.33840954000000001</v>
      </c>
      <c r="N269" s="59">
        <v>26.3</v>
      </c>
    </row>
    <row r="270" spans="13:14">
      <c r="M270" s="59">
        <v>-0.29930111999999998</v>
      </c>
      <c r="N270" s="59">
        <v>26.4</v>
      </c>
    </row>
    <row r="271" spans="13:14">
      <c r="M271" s="59">
        <v>-0.26186399999999999</v>
      </c>
      <c r="N271" s="59">
        <v>26.5</v>
      </c>
    </row>
    <row r="272" spans="13:14">
      <c r="M272" s="59">
        <v>-0.26186399999999999</v>
      </c>
      <c r="N272" s="59">
        <v>26.6</v>
      </c>
    </row>
    <row r="273" spans="13:14">
      <c r="M273" s="59">
        <v>-0.26186399999999999</v>
      </c>
      <c r="N273" s="59">
        <v>26.7</v>
      </c>
    </row>
    <row r="274" spans="13:14">
      <c r="M274" s="59">
        <v>-0.26186399999999999</v>
      </c>
      <c r="N274" s="59">
        <v>26.8</v>
      </c>
    </row>
    <row r="275" spans="13:14">
      <c r="M275" s="59">
        <v>-0.26186399999999999</v>
      </c>
      <c r="N275" s="59">
        <v>26.9</v>
      </c>
    </row>
    <row r="276" spans="13:14">
      <c r="M276" s="59">
        <v>-0.26186399999999999</v>
      </c>
      <c r="N276" s="59">
        <v>27</v>
      </c>
    </row>
    <row r="277" spans="13:14">
      <c r="M277" s="59">
        <v>-0.26186399999999999</v>
      </c>
      <c r="N277" s="59">
        <v>27.1</v>
      </c>
    </row>
    <row r="278" spans="13:14">
      <c r="M278" s="59">
        <v>-0.26186399999999999</v>
      </c>
      <c r="N278" s="59">
        <v>27.2</v>
      </c>
    </row>
    <row r="279" spans="13:14">
      <c r="M279" s="59">
        <v>-0.26186399999999999</v>
      </c>
      <c r="N279" s="59">
        <v>27.3</v>
      </c>
    </row>
    <row r="280" spans="13:14">
      <c r="M280" s="59">
        <v>-0.26186399999999999</v>
      </c>
      <c r="N280" s="59">
        <v>27.4</v>
      </c>
    </row>
    <row r="281" spans="13:14">
      <c r="M281" s="59">
        <v>-0.26186399999999999</v>
      </c>
      <c r="N281" s="59">
        <v>27.5</v>
      </c>
    </row>
    <row r="282" spans="13:14">
      <c r="M282" s="59">
        <v>-0.26186399999999999</v>
      </c>
      <c r="N282" s="59">
        <v>27.6</v>
      </c>
    </row>
    <row r="283" spans="13:14">
      <c r="M283" s="59">
        <v>-0.26186399999999999</v>
      </c>
      <c r="N283" s="59">
        <v>27.7</v>
      </c>
    </row>
    <row r="284" spans="13:14">
      <c r="M284" s="59">
        <v>-0.26186399999999999</v>
      </c>
      <c r="N284" s="59">
        <v>27.8</v>
      </c>
    </row>
    <row r="285" spans="13:14">
      <c r="M285" s="59">
        <v>-0.26186399999999999</v>
      </c>
      <c r="N285" s="59">
        <v>27.9</v>
      </c>
    </row>
    <row r="286" spans="13:14">
      <c r="M286" s="59">
        <v>-0.26186399999999999</v>
      </c>
      <c r="N286" s="59">
        <v>28</v>
      </c>
    </row>
    <row r="287" spans="13:14">
      <c r="M287" s="59">
        <v>-0.26186399999999999</v>
      </c>
      <c r="N287" s="59">
        <v>28.1</v>
      </c>
    </row>
    <row r="288" spans="13:14">
      <c r="M288" s="59">
        <v>-0.26186399999999999</v>
      </c>
      <c r="N288" s="59">
        <v>28.2</v>
      </c>
    </row>
    <row r="289" spans="13:14">
      <c r="M289" s="59">
        <v>-0.26186399999999999</v>
      </c>
      <c r="N289" s="59">
        <v>28.3</v>
      </c>
    </row>
    <row r="290" spans="13:14">
      <c r="M290" s="59">
        <v>-0.26186399999999999</v>
      </c>
      <c r="N290" s="59">
        <v>28.4</v>
      </c>
    </row>
    <row r="291" spans="13:14">
      <c r="M291" s="59">
        <v>-0.26186399999999999</v>
      </c>
      <c r="N291" s="59">
        <v>28.5</v>
      </c>
    </row>
    <row r="292" spans="13:14">
      <c r="M292" s="59">
        <v>-0.26186399999999999</v>
      </c>
      <c r="N292" s="59">
        <v>28.6</v>
      </c>
    </row>
    <row r="293" spans="13:14">
      <c r="M293" s="59">
        <v>-0.26186399999999999</v>
      </c>
      <c r="N293" s="59">
        <v>28.7</v>
      </c>
    </row>
    <row r="294" spans="13:14">
      <c r="M294" s="59">
        <v>-0.26186399999999999</v>
      </c>
      <c r="N294" s="59">
        <v>28.8</v>
      </c>
    </row>
    <row r="295" spans="13:14">
      <c r="M295" s="59">
        <v>-0.26186399999999999</v>
      </c>
      <c r="N295" s="59">
        <v>28.9</v>
      </c>
    </row>
    <row r="296" spans="13:14">
      <c r="M296" s="59">
        <v>-0.26186399999999999</v>
      </c>
      <c r="N296" s="59">
        <v>29</v>
      </c>
    </row>
    <row r="297" spans="13:14">
      <c r="M297" s="59">
        <v>-0.26186399999999999</v>
      </c>
      <c r="N297" s="59">
        <v>29.1</v>
      </c>
    </row>
    <row r="298" spans="13:14">
      <c r="M298" s="59">
        <v>-0.26186399999999999</v>
      </c>
      <c r="N298" s="59">
        <v>29.2</v>
      </c>
    </row>
    <row r="299" spans="13:14">
      <c r="M299" s="59">
        <v>-0.26186399999999999</v>
      </c>
      <c r="N299" s="59">
        <v>29.3</v>
      </c>
    </row>
    <row r="300" spans="13:14">
      <c r="M300" s="59">
        <v>-0.26186399999999999</v>
      </c>
      <c r="N300" s="59">
        <v>29.4</v>
      </c>
    </row>
    <row r="301" spans="13:14">
      <c r="M301" s="59">
        <v>-0.26186399999999999</v>
      </c>
      <c r="N301" s="59">
        <v>29.5</v>
      </c>
    </row>
    <row r="302" spans="13:14">
      <c r="M302" s="59">
        <v>-0.26186399999999999</v>
      </c>
      <c r="N302" s="59">
        <v>29.6</v>
      </c>
    </row>
    <row r="303" spans="13:14">
      <c r="M303" s="59">
        <v>-0.26186399999999999</v>
      </c>
      <c r="N303" s="59">
        <v>29.7</v>
      </c>
    </row>
    <row r="304" spans="13:14">
      <c r="M304" s="59">
        <v>-0.26186399999999999</v>
      </c>
      <c r="N304" s="59">
        <v>29.8</v>
      </c>
    </row>
    <row r="305" spans="13:14">
      <c r="M305" s="59">
        <v>-0.26186399999999999</v>
      </c>
      <c r="N305" s="59">
        <v>29.9</v>
      </c>
    </row>
    <row r="306" spans="13:14">
      <c r="M306" s="59">
        <v>-0.26186399999999999</v>
      </c>
      <c r="N306" s="59">
        <v>30</v>
      </c>
    </row>
    <row r="307" spans="13:14">
      <c r="M307" s="59">
        <v>-0.26186399999999999</v>
      </c>
      <c r="N307" s="59">
        <v>30.1</v>
      </c>
    </row>
    <row r="308" spans="13:14">
      <c r="M308" s="59">
        <v>-0.26186399999999999</v>
      </c>
      <c r="N308" s="59">
        <v>30.2</v>
      </c>
    </row>
    <row r="309" spans="13:14">
      <c r="M309" s="59">
        <v>-0.26186399999999999</v>
      </c>
      <c r="N309" s="59">
        <v>30.3</v>
      </c>
    </row>
    <row r="310" spans="13:14">
      <c r="M310" s="59">
        <v>-0.26186399999999999</v>
      </c>
      <c r="N310" s="59">
        <v>30.4</v>
      </c>
    </row>
    <row r="311" spans="13:14">
      <c r="M311" s="59">
        <v>-0.26186399999999999</v>
      </c>
      <c r="N311" s="59">
        <v>30.5</v>
      </c>
    </row>
    <row r="312" spans="13:14">
      <c r="M312" s="59">
        <v>-0.26186399999999999</v>
      </c>
      <c r="N312" s="59">
        <v>30.6</v>
      </c>
    </row>
    <row r="313" spans="13:14">
      <c r="M313" s="59">
        <v>-0.26186399999999999</v>
      </c>
      <c r="N313" s="59">
        <v>30.7</v>
      </c>
    </row>
    <row r="314" spans="13:14">
      <c r="M314" s="59">
        <v>-0.26186399999999999</v>
      </c>
      <c r="N314" s="59">
        <v>30.8</v>
      </c>
    </row>
    <row r="315" spans="13:14">
      <c r="M315" s="59">
        <v>-0.26186399999999999</v>
      </c>
      <c r="N315" s="59">
        <v>30.9</v>
      </c>
    </row>
    <row r="316" spans="13:14">
      <c r="M316" s="59">
        <v>-0.26186399999999999</v>
      </c>
      <c r="N316" s="59">
        <v>31</v>
      </c>
    </row>
    <row r="317" spans="13:14">
      <c r="M317" s="59">
        <v>-0.26186399999999999</v>
      </c>
      <c r="N317" s="59">
        <v>31.1</v>
      </c>
    </row>
    <row r="318" spans="13:14">
      <c r="M318" s="59">
        <v>-0.26186399999999999</v>
      </c>
      <c r="N318" s="59">
        <v>31.2</v>
      </c>
    </row>
    <row r="319" spans="13:14">
      <c r="M319" s="59">
        <v>-0.26186399999999999</v>
      </c>
      <c r="N319" s="59">
        <v>31.3</v>
      </c>
    </row>
    <row r="320" spans="13:14">
      <c r="M320" s="59">
        <v>-0.26186399999999999</v>
      </c>
      <c r="N320" s="59">
        <v>31.4</v>
      </c>
    </row>
    <row r="321" spans="13:14">
      <c r="M321" s="59">
        <v>-0.26186399999999999</v>
      </c>
      <c r="N321" s="59">
        <v>31.5</v>
      </c>
    </row>
    <row r="322" spans="13:14">
      <c r="M322" s="59">
        <v>-0.26186399999999999</v>
      </c>
      <c r="N322" s="59">
        <v>31.6</v>
      </c>
    </row>
    <row r="323" spans="13:14">
      <c r="M323" s="59">
        <v>-0.26186399999999999</v>
      </c>
      <c r="N323" s="59">
        <v>31.7</v>
      </c>
    </row>
    <row r="324" spans="13:14">
      <c r="M324" s="59">
        <v>-0.26186399999999999</v>
      </c>
      <c r="N324" s="59">
        <v>31.8</v>
      </c>
    </row>
    <row r="325" spans="13:14">
      <c r="M325" s="59">
        <v>-0.26186399999999999</v>
      </c>
      <c r="N325" s="59">
        <v>31.9</v>
      </c>
    </row>
    <row r="326" spans="13:14">
      <c r="M326" s="59">
        <v>-0.26186399999999999</v>
      </c>
      <c r="N326" s="59">
        <v>32</v>
      </c>
    </row>
    <row r="327" spans="13:14">
      <c r="M327" s="59">
        <v>-0.26186399999999999</v>
      </c>
      <c r="N327" s="59">
        <v>32.1</v>
      </c>
    </row>
    <row r="328" spans="13:14">
      <c r="M328" s="59">
        <v>-0.26186399999999999</v>
      </c>
      <c r="N328" s="59">
        <v>32.200000000000003</v>
      </c>
    </row>
    <row r="329" spans="13:14">
      <c r="M329" s="59">
        <v>-0.26186399999999999</v>
      </c>
      <c r="N329" s="59">
        <v>32.299999999999997</v>
      </c>
    </row>
    <row r="330" spans="13:14">
      <c r="M330" s="59">
        <v>-0.26186399999999999</v>
      </c>
      <c r="N330" s="59">
        <v>32.4</v>
      </c>
    </row>
    <row r="331" spans="13:14">
      <c r="M331" s="59">
        <v>-0.26186399999999999</v>
      </c>
      <c r="N331" s="59">
        <v>32.5</v>
      </c>
    </row>
    <row r="332" spans="13:14">
      <c r="M332" s="59">
        <v>-0.26186399999999999</v>
      </c>
      <c r="N332" s="59">
        <v>32.6</v>
      </c>
    </row>
    <row r="333" spans="13:14">
      <c r="M333" s="59">
        <v>-0.26186399999999999</v>
      </c>
      <c r="N333" s="59">
        <v>32.700000000000003</v>
      </c>
    </row>
    <row r="334" spans="13:14">
      <c r="M334" s="59">
        <v>-0.26186399999999999</v>
      </c>
      <c r="N334" s="59">
        <v>32.799999999999997</v>
      </c>
    </row>
    <row r="335" spans="13:14">
      <c r="M335" s="59">
        <v>-0.26186399999999999</v>
      </c>
      <c r="N335" s="59">
        <v>32.9</v>
      </c>
    </row>
    <row r="336" spans="13:14">
      <c r="M336" s="59">
        <v>-0.26186399999999999</v>
      </c>
      <c r="N336" s="59">
        <v>33</v>
      </c>
    </row>
    <row r="337" spans="13:14">
      <c r="M337" s="59">
        <v>-0.26186399999999999</v>
      </c>
      <c r="N337" s="59">
        <v>33.1</v>
      </c>
    </row>
    <row r="338" spans="13:14">
      <c r="M338" s="59">
        <v>-0.26186399999999999</v>
      </c>
      <c r="N338" s="59">
        <v>33.200000000000003</v>
      </c>
    </row>
    <row r="339" spans="13:14">
      <c r="M339" s="59">
        <v>-0.26186399999999999</v>
      </c>
      <c r="N339" s="59">
        <v>33.299999999999997</v>
      </c>
    </row>
    <row r="340" spans="13:14">
      <c r="M340" s="59">
        <v>-0.26186399999999999</v>
      </c>
      <c r="N340" s="59">
        <v>33.4</v>
      </c>
    </row>
    <row r="341" spans="13:14">
      <c r="M341" s="59">
        <v>-0.26186399999999999</v>
      </c>
      <c r="N341" s="59">
        <v>33.5</v>
      </c>
    </row>
    <row r="342" spans="13:14">
      <c r="M342" s="59">
        <v>-0.26186399999999999</v>
      </c>
      <c r="N342" s="59">
        <v>33.6</v>
      </c>
    </row>
    <row r="343" spans="13:14">
      <c r="M343" s="59">
        <v>-0.26186399999999999</v>
      </c>
      <c r="N343" s="59">
        <v>33.700000000000003</v>
      </c>
    </row>
    <row r="344" spans="13:14">
      <c r="M344" s="59">
        <v>-0.26186399999999999</v>
      </c>
      <c r="N344" s="59">
        <v>33.799999999999997</v>
      </c>
    </row>
    <row r="345" spans="13:14">
      <c r="M345" s="59">
        <v>-0.26186399999999999</v>
      </c>
      <c r="N345" s="59">
        <v>33.9</v>
      </c>
    </row>
    <row r="346" spans="13:14">
      <c r="M346" s="59">
        <v>-0.26186399999999999</v>
      </c>
      <c r="N346" s="59">
        <v>34</v>
      </c>
    </row>
    <row r="347" spans="13:14">
      <c r="M347" s="59">
        <v>-0.26186399999999999</v>
      </c>
      <c r="N347" s="59">
        <v>34.1</v>
      </c>
    </row>
    <row r="348" spans="13:14">
      <c r="M348" s="59">
        <v>-0.26186399999999999</v>
      </c>
      <c r="N348" s="59">
        <v>34.200000000000003</v>
      </c>
    </row>
    <row r="349" spans="13:14">
      <c r="M349" s="59">
        <v>-0.26186399999999999</v>
      </c>
      <c r="N349" s="59">
        <v>34.299999999999997</v>
      </c>
    </row>
    <row r="350" spans="13:14">
      <c r="M350" s="59">
        <v>-0.26186399999999999</v>
      </c>
      <c r="N350" s="59">
        <v>34.4</v>
      </c>
    </row>
    <row r="351" spans="13:14">
      <c r="M351" s="59">
        <v>-0.26186399999999999</v>
      </c>
      <c r="N351" s="59">
        <v>34.5</v>
      </c>
    </row>
    <row r="352" spans="13:14">
      <c r="M352" s="59">
        <v>-0.26186399999999999</v>
      </c>
      <c r="N352" s="59">
        <v>34.6</v>
      </c>
    </row>
    <row r="353" spans="13:14">
      <c r="M353" s="59">
        <v>-0.26186399999999999</v>
      </c>
      <c r="N353" s="59">
        <v>34.700000000000003</v>
      </c>
    </row>
    <row r="354" spans="13:14">
      <c r="M354" s="59">
        <v>-0.26186399999999999</v>
      </c>
      <c r="N354" s="59">
        <v>34.799999999999997</v>
      </c>
    </row>
    <row r="355" spans="13:14">
      <c r="M355" s="59">
        <v>-0.26186399999999999</v>
      </c>
      <c r="N355" s="59">
        <v>34.9</v>
      </c>
    </row>
    <row r="356" spans="13:14">
      <c r="M356" s="59">
        <v>-0.26186399999999999</v>
      </c>
      <c r="N356" s="59">
        <v>35</v>
      </c>
    </row>
    <row r="357" spans="13:14">
      <c r="M357" s="59">
        <v>-0.26186399999999999</v>
      </c>
      <c r="N357" s="59">
        <v>35.1</v>
      </c>
    </row>
    <row r="358" spans="13:14">
      <c r="M358" s="59">
        <v>-0.26186399999999999</v>
      </c>
      <c r="N358" s="59">
        <v>35.200000000000003</v>
      </c>
    </row>
    <row r="359" spans="13:14">
      <c r="M359" s="59">
        <v>-0.26186399999999999</v>
      </c>
      <c r="N359" s="59">
        <v>35.299999999999997</v>
      </c>
    </row>
    <row r="360" spans="13:14">
      <c r="M360" s="59">
        <v>-0.26186399999999999</v>
      </c>
      <c r="N360" s="59">
        <v>35.4</v>
      </c>
    </row>
    <row r="361" spans="13:14">
      <c r="M361" s="59">
        <v>-0.26186399999999999</v>
      </c>
      <c r="N361" s="59">
        <v>35.5</v>
      </c>
    </row>
    <row r="362" spans="13:14">
      <c r="M362" s="59">
        <v>-0.26186399999999999</v>
      </c>
      <c r="N362" s="59">
        <v>35.6</v>
      </c>
    </row>
    <row r="363" spans="13:14">
      <c r="M363" s="59">
        <v>-0.26186399999999999</v>
      </c>
      <c r="N363" s="59">
        <v>35.700000000000003</v>
      </c>
    </row>
    <row r="364" spans="13:14">
      <c r="M364" s="59">
        <v>-0.26186399999999999</v>
      </c>
      <c r="N364" s="59">
        <v>35.799999999999997</v>
      </c>
    </row>
    <row r="365" spans="13:14">
      <c r="M365" s="59">
        <v>-0.26186399999999999</v>
      </c>
      <c r="N365" s="59">
        <v>35.9</v>
      </c>
    </row>
    <row r="366" spans="13:14">
      <c r="M366" s="59">
        <v>-0.26186399999999999</v>
      </c>
      <c r="N366" s="59">
        <v>36</v>
      </c>
    </row>
    <row r="367" spans="13:14">
      <c r="M367" s="59">
        <v>-0.26186399999999999</v>
      </c>
      <c r="N367" s="59">
        <v>36.1</v>
      </c>
    </row>
    <row r="368" spans="13:14">
      <c r="M368" s="59">
        <v>-0.26186399999999999</v>
      </c>
      <c r="N368" s="59">
        <v>36.200000000000003</v>
      </c>
    </row>
    <row r="369" spans="13:14">
      <c r="M369" s="59">
        <v>-0.26186399999999999</v>
      </c>
      <c r="N369" s="59">
        <v>36.299999999999997</v>
      </c>
    </row>
    <row r="370" spans="13:14">
      <c r="M370" s="59">
        <v>-0.26186399999999999</v>
      </c>
      <c r="N370" s="59">
        <v>36.4</v>
      </c>
    </row>
    <row r="371" spans="13:14">
      <c r="M371" s="59">
        <v>-0.26186399999999999</v>
      </c>
      <c r="N371" s="59">
        <v>36.5</v>
      </c>
    </row>
    <row r="372" spans="13:14">
      <c r="M372" s="59">
        <v>-0.26186399999999999</v>
      </c>
      <c r="N372" s="59">
        <v>36.6</v>
      </c>
    </row>
    <row r="373" spans="13:14">
      <c r="M373" s="59">
        <v>-0.26186399999999999</v>
      </c>
      <c r="N373" s="59">
        <v>36.700000000000003</v>
      </c>
    </row>
    <row r="374" spans="13:14">
      <c r="M374" s="59">
        <v>-0.26186399999999999</v>
      </c>
      <c r="N374" s="59">
        <v>36.799999999999997</v>
      </c>
    </row>
    <row r="375" spans="13:14">
      <c r="M375" s="59">
        <v>-0.26186399999999999</v>
      </c>
      <c r="N375" s="59">
        <v>36.9</v>
      </c>
    </row>
    <row r="376" spans="13:14">
      <c r="M376" s="59">
        <v>-0.26186399999999999</v>
      </c>
      <c r="N376" s="59">
        <v>37</v>
      </c>
    </row>
    <row r="377" spans="13:14">
      <c r="M377" s="59">
        <v>-0.26186399999999999</v>
      </c>
      <c r="N377" s="59">
        <v>37.1</v>
      </c>
    </row>
    <row r="378" spans="13:14">
      <c r="M378" s="59">
        <v>-0.26186399999999999</v>
      </c>
      <c r="N378" s="59">
        <v>37.200000000000003</v>
      </c>
    </row>
    <row r="379" spans="13:14">
      <c r="M379" s="59">
        <v>-0.26186399999999999</v>
      </c>
      <c r="N379" s="59">
        <v>37.299999999999997</v>
      </c>
    </row>
    <row r="380" spans="13:14">
      <c r="M380" s="59">
        <v>-0.26186399999999999</v>
      </c>
      <c r="N380" s="59">
        <v>37.4</v>
      </c>
    </row>
    <row r="381" spans="13:14">
      <c r="M381" s="59">
        <v>-0.26186399999999999</v>
      </c>
      <c r="N381" s="59">
        <v>37.5</v>
      </c>
    </row>
    <row r="382" spans="13:14">
      <c r="M382" s="59">
        <v>-0.26186399999999999</v>
      </c>
      <c r="N382" s="59">
        <v>37.6</v>
      </c>
    </row>
    <row r="383" spans="13:14">
      <c r="M383" s="59">
        <v>-0.24364650299999999</v>
      </c>
      <c r="N383" s="59">
        <v>37.700000000000003</v>
      </c>
    </row>
    <row r="384" spans="13:14">
      <c r="M384" s="59">
        <v>-0.22409194199999999</v>
      </c>
      <c r="N384" s="59">
        <v>37.799999999999997</v>
      </c>
    </row>
    <row r="385" spans="13:14">
      <c r="M385" s="59">
        <v>-0.206153</v>
      </c>
      <c r="N385" s="59">
        <v>37.9</v>
      </c>
    </row>
    <row r="386" spans="13:14">
      <c r="M386" s="59">
        <v>-0.206153</v>
      </c>
      <c r="N386" s="59">
        <v>38</v>
      </c>
    </row>
    <row r="387" spans="13:14">
      <c r="M387" s="59">
        <v>-0.206153</v>
      </c>
      <c r="N387" s="59">
        <v>38.1</v>
      </c>
    </row>
    <row r="388" spans="13:14">
      <c r="M388" s="59">
        <v>-0.206153</v>
      </c>
      <c r="N388" s="59">
        <v>38.200000000000003</v>
      </c>
    </row>
    <row r="389" spans="13:14">
      <c r="M389" s="59">
        <v>-0.206153</v>
      </c>
      <c r="N389" s="59">
        <v>38.299999999999997</v>
      </c>
    </row>
    <row r="390" spans="13:14">
      <c r="M390" s="59">
        <v>-0.206153</v>
      </c>
      <c r="N390" s="59">
        <v>38.4</v>
      </c>
    </row>
    <row r="391" spans="13:14">
      <c r="M391" s="59">
        <v>-0.206153</v>
      </c>
      <c r="N391" s="59">
        <v>38.5</v>
      </c>
    </row>
    <row r="392" spans="13:14">
      <c r="M392" s="59">
        <v>-0.206153</v>
      </c>
      <c r="N392" s="59">
        <v>38.6</v>
      </c>
    </row>
    <row r="393" spans="13:14">
      <c r="M393" s="59">
        <v>-0.206153</v>
      </c>
      <c r="N393" s="59">
        <v>38.700000000000003</v>
      </c>
    </row>
    <row r="394" spans="13:14">
      <c r="M394" s="59">
        <v>-0.206153</v>
      </c>
      <c r="N394" s="59">
        <v>38.799999999999997</v>
      </c>
    </row>
    <row r="395" spans="13:14">
      <c r="M395" s="59">
        <v>-0.206153</v>
      </c>
      <c r="N395" s="59">
        <v>38.9</v>
      </c>
    </row>
    <row r="396" spans="13:14">
      <c r="M396" s="59">
        <v>-0.206153</v>
      </c>
      <c r="N396" s="59">
        <v>39</v>
      </c>
    </row>
    <row r="397" spans="13:14">
      <c r="M397" s="59">
        <v>-0.206153</v>
      </c>
      <c r="N397" s="59">
        <v>39.1</v>
      </c>
    </row>
    <row r="398" spans="13:14">
      <c r="M398" s="59">
        <v>-0.206153</v>
      </c>
      <c r="N398" s="59">
        <v>39.200000000000003</v>
      </c>
    </row>
    <row r="399" spans="13:14">
      <c r="M399" s="59">
        <v>-0.206153</v>
      </c>
      <c r="N399" s="59">
        <v>39.299999999999997</v>
      </c>
    </row>
    <row r="400" spans="13:14">
      <c r="M400" s="59">
        <v>-0.206153</v>
      </c>
      <c r="N400" s="59">
        <v>39.4</v>
      </c>
    </row>
    <row r="401" spans="13:14">
      <c r="M401" s="59">
        <v>-0.206153</v>
      </c>
      <c r="N401" s="59">
        <v>39.5</v>
      </c>
    </row>
    <row r="402" spans="13:14">
      <c r="M402" s="59">
        <v>-0.206153</v>
      </c>
      <c r="N402" s="59">
        <v>39.6</v>
      </c>
    </row>
    <row r="403" spans="13:14">
      <c r="M403" s="59">
        <v>-0.206153</v>
      </c>
      <c r="N403" s="59">
        <v>39.700000000000003</v>
      </c>
    </row>
    <row r="404" spans="13:14">
      <c r="M404" s="59">
        <v>-0.206153</v>
      </c>
      <c r="N404" s="59">
        <v>39.799999999999997</v>
      </c>
    </row>
    <row r="405" spans="13:14">
      <c r="M405" s="59">
        <v>-0.206153</v>
      </c>
      <c r="N405" s="59">
        <v>39.9</v>
      </c>
    </row>
    <row r="406" spans="13:14">
      <c r="M406" s="59">
        <v>-0.206153</v>
      </c>
      <c r="N406" s="59">
        <v>40</v>
      </c>
    </row>
    <row r="407" spans="13:14">
      <c r="M407" s="59">
        <v>-0.206153</v>
      </c>
      <c r="N407" s="59">
        <v>40.1</v>
      </c>
    </row>
    <row r="408" spans="13:14">
      <c r="M408" s="59">
        <v>-0.206153</v>
      </c>
      <c r="N408" s="59">
        <v>40.200000000000003</v>
      </c>
    </row>
    <row r="409" spans="13:14">
      <c r="M409" s="59">
        <v>-0.206153</v>
      </c>
      <c r="N409" s="59">
        <v>40.299999999999997</v>
      </c>
    </row>
    <row r="410" spans="13:14">
      <c r="M410" s="59">
        <v>-0.206153</v>
      </c>
      <c r="N410" s="59">
        <v>40.4</v>
      </c>
    </row>
    <row r="411" spans="13:14">
      <c r="M411" s="59">
        <v>-0.206153</v>
      </c>
      <c r="N411" s="59">
        <v>40.5</v>
      </c>
    </row>
    <row r="412" spans="13:14">
      <c r="M412" s="59">
        <v>-0.206153</v>
      </c>
      <c r="N412" s="59">
        <v>40.6</v>
      </c>
    </row>
    <row r="413" spans="13:14">
      <c r="M413" s="59">
        <v>-0.206153</v>
      </c>
      <c r="N413" s="59">
        <v>40.700000000000003</v>
      </c>
    </row>
    <row r="414" spans="13:14">
      <c r="M414" s="59">
        <v>-0.206153</v>
      </c>
      <c r="N414" s="59">
        <v>40.799999999999997</v>
      </c>
    </row>
    <row r="415" spans="13:14">
      <c r="M415" s="59">
        <v>-0.206153</v>
      </c>
      <c r="N415" s="59">
        <v>40.9</v>
      </c>
    </row>
    <row r="416" spans="13:14">
      <c r="M416" s="59">
        <v>-0.206153</v>
      </c>
      <c r="N416" s="59">
        <v>41</v>
      </c>
    </row>
    <row r="417" spans="13:14">
      <c r="M417" s="59">
        <v>-0.206153</v>
      </c>
      <c r="N417" s="59">
        <v>41.1</v>
      </c>
    </row>
    <row r="418" spans="13:14">
      <c r="M418" s="59">
        <v>-0.206153</v>
      </c>
      <c r="N418" s="59">
        <v>41.2</v>
      </c>
    </row>
    <row r="419" spans="13:14">
      <c r="M419" s="59">
        <v>-0.206153</v>
      </c>
      <c r="N419" s="59">
        <v>41.3</v>
      </c>
    </row>
    <row r="420" spans="13:14">
      <c r="M420" s="59">
        <v>-0.206153</v>
      </c>
      <c r="N420" s="59">
        <v>41.4</v>
      </c>
    </row>
    <row r="421" spans="13:14">
      <c r="M421" s="59">
        <v>-0.206153</v>
      </c>
      <c r="N421" s="59">
        <v>41.5</v>
      </c>
    </row>
    <row r="422" spans="13:14">
      <c r="M422" s="59">
        <v>-0.206153</v>
      </c>
      <c r="N422" s="59">
        <v>41.6</v>
      </c>
    </row>
    <row r="423" spans="13:14">
      <c r="M423" s="59">
        <v>-0.206153</v>
      </c>
      <c r="N423" s="59">
        <v>41.7</v>
      </c>
    </row>
    <row r="424" spans="13:14">
      <c r="M424" s="59">
        <v>-0.206153</v>
      </c>
      <c r="N424" s="59">
        <v>41.8</v>
      </c>
    </row>
    <row r="425" spans="13:14">
      <c r="M425" s="59">
        <v>-0.206153</v>
      </c>
      <c r="N425" s="59">
        <v>41.9</v>
      </c>
    </row>
    <row r="426" spans="13:14">
      <c r="M426" s="59">
        <v>-0.206153</v>
      </c>
      <c r="N426" s="59">
        <v>42</v>
      </c>
    </row>
    <row r="427" spans="13:14">
      <c r="M427" s="59">
        <v>-0.206153</v>
      </c>
      <c r="N427" s="59">
        <v>42.1</v>
      </c>
    </row>
    <row r="428" spans="13:14">
      <c r="M428" s="59">
        <v>-0.206153</v>
      </c>
      <c r="N428" s="59">
        <v>42.2</v>
      </c>
    </row>
    <row r="429" spans="13:14">
      <c r="M429" s="59">
        <v>-0.206153</v>
      </c>
      <c r="N429" s="59">
        <v>42.3</v>
      </c>
    </row>
    <row r="430" spans="13:14">
      <c r="M430" s="59">
        <v>-0.206153</v>
      </c>
      <c r="N430" s="59">
        <v>42.4</v>
      </c>
    </row>
    <row r="431" spans="13:14">
      <c r="M431" s="59">
        <v>-0.206153</v>
      </c>
      <c r="N431" s="59">
        <v>42.5</v>
      </c>
    </row>
    <row r="432" spans="13:14">
      <c r="M432" s="59">
        <v>-0.206153</v>
      </c>
      <c r="N432" s="59">
        <v>42.6</v>
      </c>
    </row>
    <row r="433" spans="13:14">
      <c r="M433" s="59">
        <v>-0.206153</v>
      </c>
      <c r="N433" s="59">
        <v>42.7</v>
      </c>
    </row>
    <row r="434" spans="13:14">
      <c r="M434" s="59">
        <v>-0.206153</v>
      </c>
      <c r="N434" s="59">
        <v>42.8</v>
      </c>
    </row>
    <row r="435" spans="13:14">
      <c r="M435" s="59">
        <v>-0.206153</v>
      </c>
      <c r="N435" s="59">
        <v>42.9</v>
      </c>
    </row>
    <row r="436" spans="13:14">
      <c r="M436" s="59">
        <v>-0.206153</v>
      </c>
      <c r="N436" s="59">
        <v>43</v>
      </c>
    </row>
    <row r="437" spans="13:14">
      <c r="M437" s="59">
        <v>-0.206153</v>
      </c>
      <c r="N437" s="59">
        <v>43.1</v>
      </c>
    </row>
    <row r="438" spans="13:14">
      <c r="M438" s="59">
        <v>-0.206153</v>
      </c>
      <c r="N438" s="59">
        <v>43.2</v>
      </c>
    </row>
    <row r="439" spans="13:14">
      <c r="M439" s="59">
        <v>-0.206153</v>
      </c>
      <c r="N439" s="59">
        <v>43.3</v>
      </c>
    </row>
    <row r="440" spans="13:14">
      <c r="M440" s="59">
        <v>-0.18754586000000001</v>
      </c>
      <c r="N440" s="59">
        <v>43.4</v>
      </c>
    </row>
    <row r="441" spans="13:14">
      <c r="M441" s="59">
        <v>-0.16799164999999999</v>
      </c>
      <c r="N441" s="59">
        <v>43.5</v>
      </c>
    </row>
    <row r="442" spans="13:14">
      <c r="M442" s="59">
        <v>-0.15044299999999999</v>
      </c>
      <c r="N442" s="59">
        <v>43.6</v>
      </c>
    </row>
    <row r="443" spans="13:14">
      <c r="M443" s="59">
        <v>-0.15044299999999999</v>
      </c>
      <c r="N443" s="59">
        <v>43.7</v>
      </c>
    </row>
    <row r="444" spans="13:14">
      <c r="M444" s="59">
        <v>-0.15044299999999999</v>
      </c>
      <c r="N444" s="59">
        <v>43.8</v>
      </c>
    </row>
    <row r="445" spans="13:14">
      <c r="M445" s="59">
        <v>-0.15044299999999999</v>
      </c>
      <c r="N445" s="59">
        <v>43.9</v>
      </c>
    </row>
    <row r="446" spans="13:14">
      <c r="M446" s="59">
        <v>-0.15044299999999999</v>
      </c>
      <c r="N446" s="59">
        <v>44</v>
      </c>
    </row>
    <row r="447" spans="13:14">
      <c r="M447" s="59">
        <v>-0.15044299999999999</v>
      </c>
      <c r="N447" s="59">
        <v>44.1</v>
      </c>
    </row>
    <row r="448" spans="13:14">
      <c r="M448" s="59">
        <v>-0.15044299999999999</v>
      </c>
      <c r="N448" s="59">
        <v>44.2</v>
      </c>
    </row>
    <row r="449" spans="13:14">
      <c r="M449" s="59">
        <v>-0.15044299999999999</v>
      </c>
      <c r="N449" s="59">
        <v>44.3</v>
      </c>
    </row>
    <row r="450" spans="13:14">
      <c r="M450" s="59">
        <v>-0.15044299999999999</v>
      </c>
      <c r="N450" s="59">
        <v>44.4</v>
      </c>
    </row>
    <row r="451" spans="13:14">
      <c r="M451" s="59">
        <v>-0.15044299999999999</v>
      </c>
      <c r="N451" s="59">
        <v>44.5</v>
      </c>
    </row>
    <row r="452" spans="13:14">
      <c r="M452" s="59">
        <v>-0.15044299999999999</v>
      </c>
      <c r="N452" s="59">
        <v>44.6</v>
      </c>
    </row>
    <row r="453" spans="13:14">
      <c r="M453" s="59">
        <v>-0.15044299999999999</v>
      </c>
      <c r="N453" s="59">
        <v>44.7</v>
      </c>
    </row>
    <row r="454" spans="13:14">
      <c r="M454" s="59">
        <v>-0.15044299999999999</v>
      </c>
      <c r="N454" s="59">
        <v>44.8</v>
      </c>
    </row>
    <row r="455" spans="13:14">
      <c r="M455" s="59">
        <v>-0.15044299999999999</v>
      </c>
      <c r="N455" s="59">
        <v>44.9</v>
      </c>
    </row>
    <row r="456" spans="13:14">
      <c r="M456" s="59">
        <v>-0.15044299999999999</v>
      </c>
      <c r="N456" s="59">
        <v>45</v>
      </c>
    </row>
    <row r="457" spans="13:14">
      <c r="M457" s="59">
        <v>-0.15044299999999999</v>
      </c>
      <c r="N457" s="59">
        <v>45.1</v>
      </c>
    </row>
    <row r="458" spans="13:14">
      <c r="M458" s="59">
        <v>-0.15044299999999999</v>
      </c>
      <c r="N458" s="59">
        <v>45.2</v>
      </c>
    </row>
    <row r="459" spans="13:14">
      <c r="M459" s="59">
        <v>-0.15044299999999999</v>
      </c>
      <c r="N459" s="59">
        <v>45.3</v>
      </c>
    </row>
    <row r="460" spans="13:14">
      <c r="M460" s="59">
        <v>-0.15044299999999999</v>
      </c>
      <c r="N460" s="59">
        <v>45.4</v>
      </c>
    </row>
    <row r="461" spans="13:14">
      <c r="M461" s="59">
        <v>-0.15044299999999999</v>
      </c>
      <c r="N461" s="59">
        <v>45.5</v>
      </c>
    </row>
    <row r="462" spans="13:14">
      <c r="M462" s="59">
        <v>-0.15044299999999999</v>
      </c>
      <c r="N462" s="59">
        <v>45.6</v>
      </c>
    </row>
    <row r="463" spans="13:14">
      <c r="M463" s="59">
        <v>-0.15044299999999999</v>
      </c>
      <c r="N463" s="59">
        <v>45.7</v>
      </c>
    </row>
    <row r="464" spans="13:14">
      <c r="M464" s="59">
        <v>-0.15044299999999999</v>
      </c>
      <c r="N464" s="59">
        <v>45.8</v>
      </c>
    </row>
    <row r="465" spans="13:14">
      <c r="M465" s="59">
        <v>-0.14437050099999901</v>
      </c>
      <c r="N465" s="59">
        <v>45.9</v>
      </c>
    </row>
    <row r="466" spans="13:14">
      <c r="M466" s="59">
        <v>-0.12481594</v>
      </c>
      <c r="N466" s="59">
        <v>46</v>
      </c>
    </row>
    <row r="467" spans="13:14">
      <c r="M467" s="59">
        <v>-0.105261379</v>
      </c>
      <c r="N467" s="59">
        <v>46.1</v>
      </c>
    </row>
    <row r="468" spans="13:14">
      <c r="M468" s="59">
        <v>-9.4731999999999997E-2</v>
      </c>
      <c r="N468" s="59">
        <v>46.2</v>
      </c>
    </row>
    <row r="469" spans="13:14">
      <c r="M469" s="59">
        <v>-9.4731999999999997E-2</v>
      </c>
      <c r="N469" s="59">
        <v>46.3</v>
      </c>
    </row>
    <row r="470" spans="13:14">
      <c r="M470" s="59">
        <v>-9.4731999999999997E-2</v>
      </c>
      <c r="N470" s="59">
        <v>46.4</v>
      </c>
    </row>
    <row r="471" spans="13:14">
      <c r="M471" s="59">
        <v>-9.4731999999999997E-2</v>
      </c>
      <c r="N471" s="59">
        <v>46.5</v>
      </c>
    </row>
    <row r="472" spans="13:14">
      <c r="M472" s="59">
        <v>-9.4731999999999997E-2</v>
      </c>
      <c r="N472" s="59">
        <v>46.6</v>
      </c>
    </row>
    <row r="473" spans="13:14">
      <c r="M473" s="59">
        <v>-9.4731999999999997E-2</v>
      </c>
      <c r="N473" s="59">
        <v>46.7</v>
      </c>
    </row>
    <row r="474" spans="13:14">
      <c r="M474" s="59">
        <v>-9.4731999999999997E-2</v>
      </c>
      <c r="N474" s="59">
        <v>46.8</v>
      </c>
    </row>
    <row r="475" spans="13:14">
      <c r="M475" s="59">
        <v>-9.4731999999999997E-2</v>
      </c>
      <c r="N475" s="59">
        <v>46.9</v>
      </c>
    </row>
    <row r="476" spans="13:14">
      <c r="M476" s="59">
        <v>-9.4731999999999997E-2</v>
      </c>
      <c r="N476" s="59">
        <v>47</v>
      </c>
    </row>
    <row r="477" spans="13:14">
      <c r="M477" s="59">
        <v>-9.4731999999999997E-2</v>
      </c>
      <c r="N477" s="59">
        <v>47.1</v>
      </c>
    </row>
    <row r="478" spans="13:14">
      <c r="M478" s="59">
        <v>-9.4731999999999997E-2</v>
      </c>
      <c r="N478" s="59">
        <v>47.2</v>
      </c>
    </row>
    <row r="479" spans="13:14">
      <c r="M479" s="59">
        <v>-9.4731999999999997E-2</v>
      </c>
      <c r="N479" s="59">
        <v>47.3</v>
      </c>
    </row>
    <row r="480" spans="13:14">
      <c r="M480" s="59">
        <v>-9.4731999999999997E-2</v>
      </c>
      <c r="N480" s="59">
        <v>47.4</v>
      </c>
    </row>
    <row r="481" spans="13:14">
      <c r="M481" s="59">
        <v>-9.4731999999999997E-2</v>
      </c>
      <c r="N481" s="59">
        <v>47.5</v>
      </c>
    </row>
    <row r="482" spans="13:14">
      <c r="M482" s="59">
        <v>-9.4731999999999997E-2</v>
      </c>
      <c r="N482" s="59">
        <v>47.6</v>
      </c>
    </row>
    <row r="483" spans="13:14">
      <c r="M483" s="59">
        <v>-9.4731999999999997E-2</v>
      </c>
      <c r="N483" s="59">
        <v>47.7</v>
      </c>
    </row>
    <row r="484" spans="13:14">
      <c r="M484" s="59">
        <v>-9.4731999999999997E-2</v>
      </c>
      <c r="N484" s="59">
        <v>47.8</v>
      </c>
    </row>
    <row r="485" spans="13:14">
      <c r="M485" s="59">
        <v>-9.4731999999999997E-2</v>
      </c>
      <c r="N485" s="59">
        <v>47.9</v>
      </c>
    </row>
    <row r="486" spans="13:14">
      <c r="M486" s="59">
        <v>-9.4731999999999997E-2</v>
      </c>
      <c r="N486" s="59">
        <v>48</v>
      </c>
    </row>
    <row r="487" spans="13:14">
      <c r="M487" s="59">
        <v>-9.4731999999999997E-2</v>
      </c>
      <c r="N487" s="59">
        <v>48.1</v>
      </c>
    </row>
    <row r="488" spans="13:14">
      <c r="M488" s="59">
        <v>-9.4731999999999997E-2</v>
      </c>
      <c r="N488" s="59">
        <v>48.2</v>
      </c>
    </row>
    <row r="489" spans="13:14">
      <c r="M489" s="59">
        <v>-9.4731999999999997E-2</v>
      </c>
      <c r="N489" s="59">
        <v>48.3</v>
      </c>
    </row>
    <row r="490" spans="13:14">
      <c r="M490" s="59">
        <v>-9.4731999999999997E-2</v>
      </c>
      <c r="N490" s="59">
        <v>48.4</v>
      </c>
    </row>
    <row r="491" spans="13:14">
      <c r="M491" s="59">
        <v>-9.4731999999999997E-2</v>
      </c>
      <c r="N491" s="59">
        <v>48.5</v>
      </c>
    </row>
    <row r="492" spans="13:14">
      <c r="M492" s="59">
        <v>-9.4731999999999997E-2</v>
      </c>
      <c r="N492" s="59">
        <v>48.6</v>
      </c>
    </row>
    <row r="493" spans="13:14">
      <c r="M493" s="59">
        <v>-9.4731999999999997E-2</v>
      </c>
      <c r="N493" s="59">
        <v>48.7</v>
      </c>
    </row>
    <row r="494" spans="13:14">
      <c r="M494" s="59">
        <v>-9.4731999999999997E-2</v>
      </c>
      <c r="N494" s="59">
        <v>48.8</v>
      </c>
    </row>
    <row r="495" spans="13:14">
      <c r="M495" s="59">
        <v>-9.4731999999999997E-2</v>
      </c>
      <c r="N495" s="59">
        <v>48.9</v>
      </c>
    </row>
    <row r="496" spans="13:14">
      <c r="M496" s="59">
        <v>-9.4731999999999997E-2</v>
      </c>
      <c r="N496" s="59">
        <v>49</v>
      </c>
    </row>
    <row r="497" spans="13:14">
      <c r="M497" s="59">
        <v>-9.4731999999999997E-2</v>
      </c>
      <c r="N497" s="59">
        <v>49.1</v>
      </c>
    </row>
    <row r="498" spans="13:14">
      <c r="M498" s="59">
        <v>-9.4731999999999997E-2</v>
      </c>
      <c r="N498" s="59">
        <v>49.2</v>
      </c>
    </row>
    <row r="499" spans="13:14">
      <c r="M499" s="59">
        <v>-9.4731999999999997E-2</v>
      </c>
      <c r="N499" s="59">
        <v>49.3</v>
      </c>
    </row>
    <row r="500" spans="13:14">
      <c r="M500" s="59">
        <v>-9.4731999999999997E-2</v>
      </c>
      <c r="N500" s="59">
        <v>49.4</v>
      </c>
    </row>
    <row r="501" spans="13:14">
      <c r="M501" s="59">
        <v>-9.4731999999999997E-2</v>
      </c>
      <c r="N501" s="59">
        <v>49.5</v>
      </c>
    </row>
    <row r="502" spans="13:14">
      <c r="M502" s="59">
        <v>-9.4731999999999997E-2</v>
      </c>
      <c r="N502" s="59">
        <v>49.6</v>
      </c>
    </row>
    <row r="503" spans="13:14">
      <c r="M503" s="59">
        <v>-9.4731999999999997E-2</v>
      </c>
      <c r="N503" s="59">
        <v>49.7</v>
      </c>
    </row>
    <row r="504" spans="13:14">
      <c r="M504" s="59">
        <v>-9.4731999999999997E-2</v>
      </c>
      <c r="N504" s="59">
        <v>49.8</v>
      </c>
    </row>
    <row r="505" spans="13:14">
      <c r="M505" s="59">
        <v>-9.4731999999999997E-2</v>
      </c>
      <c r="N505" s="59">
        <v>49.9</v>
      </c>
    </row>
    <row r="506" spans="13:14">
      <c r="M506" s="59">
        <v>-9.4731999999999997E-2</v>
      </c>
      <c r="N506" s="59">
        <v>50</v>
      </c>
    </row>
    <row r="507" spans="13:14">
      <c r="M507" s="59">
        <v>-9.4731999999999997E-2</v>
      </c>
      <c r="N507" s="59">
        <v>50.1</v>
      </c>
    </row>
    <row r="508" spans="13:14">
      <c r="M508" s="59">
        <v>-9.4731999999999997E-2</v>
      </c>
      <c r="N508" s="59">
        <v>50.2</v>
      </c>
    </row>
    <row r="509" spans="13:14">
      <c r="M509" s="59">
        <v>-9.4731999999999997E-2</v>
      </c>
      <c r="N509" s="59">
        <v>50.3</v>
      </c>
    </row>
    <row r="510" spans="13:14">
      <c r="M510" s="59">
        <v>-9.4731999999999997E-2</v>
      </c>
      <c r="N510" s="59">
        <v>50.4</v>
      </c>
    </row>
    <row r="511" spans="13:14">
      <c r="M511" s="59">
        <v>-9.4731999999999997E-2</v>
      </c>
      <c r="N511" s="59">
        <v>50.5</v>
      </c>
    </row>
    <row r="512" spans="13:14">
      <c r="M512" s="59">
        <v>-9.4731999999999997E-2</v>
      </c>
      <c r="N512" s="59">
        <v>50.6</v>
      </c>
    </row>
    <row r="513" spans="13:14">
      <c r="M513" s="59">
        <v>-9.4731999999999997E-2</v>
      </c>
      <c r="N513" s="59">
        <v>50.7</v>
      </c>
    </row>
    <row r="514" spans="13:14">
      <c r="M514" s="59">
        <v>-9.4731999999999997E-2</v>
      </c>
      <c r="N514" s="59">
        <v>50.8</v>
      </c>
    </row>
    <row r="515" spans="13:14">
      <c r="M515" s="59">
        <v>-9.4731999999999997E-2</v>
      </c>
      <c r="N515" s="59">
        <v>50.9</v>
      </c>
    </row>
    <row r="516" spans="13:14">
      <c r="M516" s="59">
        <v>-9.4731999999999997E-2</v>
      </c>
      <c r="N516" s="59">
        <v>51</v>
      </c>
    </row>
    <row r="517" spans="13:14">
      <c r="M517" s="59">
        <v>-9.4731999999999997E-2</v>
      </c>
      <c r="N517" s="59">
        <v>51.1</v>
      </c>
    </row>
    <row r="518" spans="13:14">
      <c r="M518" s="59">
        <v>-9.4731999999999997E-2</v>
      </c>
      <c r="N518" s="59">
        <v>51.2</v>
      </c>
    </row>
    <row r="519" spans="13:14">
      <c r="M519" s="59">
        <v>-9.4731999999999997E-2</v>
      </c>
      <c r="N519" s="59">
        <v>51.3</v>
      </c>
    </row>
    <row r="520" spans="13:14">
      <c r="M520" s="59">
        <v>-9.4731999999999997E-2</v>
      </c>
      <c r="N520" s="59">
        <v>51.4</v>
      </c>
    </row>
    <row r="521" spans="13:14">
      <c r="M521" s="59">
        <v>-9.4731999999999997E-2</v>
      </c>
      <c r="N521" s="59">
        <v>51.5</v>
      </c>
    </row>
    <row r="522" spans="13:14">
      <c r="M522" s="59">
        <v>-9.4731999999999997E-2</v>
      </c>
      <c r="N522" s="59">
        <v>51.6</v>
      </c>
    </row>
    <row r="523" spans="13:14">
      <c r="M523" s="59">
        <v>-9.4731999999999997E-2</v>
      </c>
      <c r="N523" s="59">
        <v>51.7</v>
      </c>
    </row>
    <row r="524" spans="13:14">
      <c r="M524" s="59">
        <v>-9.4731999999999997E-2</v>
      </c>
      <c r="N524" s="59">
        <v>51.8</v>
      </c>
    </row>
    <row r="525" spans="13:14">
      <c r="M525" s="59">
        <v>-9.4731999999999997E-2</v>
      </c>
      <c r="N525" s="59">
        <v>51.9</v>
      </c>
    </row>
    <row r="526" spans="13:14">
      <c r="M526" s="59">
        <v>-9.4731999999999997E-2</v>
      </c>
      <c r="N526" s="59">
        <v>52</v>
      </c>
    </row>
    <row r="527" spans="13:14">
      <c r="M527" s="59">
        <v>-9.4731999999999997E-2</v>
      </c>
      <c r="N527" s="59">
        <v>52.1</v>
      </c>
    </row>
    <row r="528" spans="13:14">
      <c r="M528" s="59">
        <v>-9.4731999999999997E-2</v>
      </c>
      <c r="N528" s="59">
        <v>52.2</v>
      </c>
    </row>
    <row r="529" spans="13:14">
      <c r="M529" s="59">
        <v>-9.4731999999999997E-2</v>
      </c>
      <c r="N529" s="59">
        <v>52.3</v>
      </c>
    </row>
    <row r="530" spans="13:14">
      <c r="M530" s="59">
        <v>-9.4731999999999997E-2</v>
      </c>
      <c r="N530" s="59">
        <v>52.4</v>
      </c>
    </row>
    <row r="531" spans="13:14">
      <c r="M531" s="59">
        <v>-9.4731999999999997E-2</v>
      </c>
      <c r="N531" s="59">
        <v>52.5</v>
      </c>
    </row>
    <row r="532" spans="13:14">
      <c r="M532" s="59">
        <v>-9.4731999999999997E-2</v>
      </c>
      <c r="N532" s="59">
        <v>52.6</v>
      </c>
    </row>
    <row r="533" spans="13:14">
      <c r="M533" s="59">
        <v>-9.4731999999999997E-2</v>
      </c>
      <c r="N533" s="59">
        <v>52.7</v>
      </c>
    </row>
    <row r="534" spans="13:14">
      <c r="M534" s="59">
        <v>-9.4731999999999997E-2</v>
      </c>
      <c r="N534" s="59">
        <v>52.8</v>
      </c>
    </row>
    <row r="535" spans="13:14">
      <c r="M535" s="59">
        <v>-9.4731999999999997E-2</v>
      </c>
      <c r="N535" s="59">
        <v>52.9</v>
      </c>
    </row>
    <row r="536" spans="13:14">
      <c r="M536" s="59">
        <v>-9.4731999999999997E-2</v>
      </c>
      <c r="N536" s="59">
        <v>53</v>
      </c>
    </row>
    <row r="537" spans="13:14">
      <c r="M537" s="59">
        <v>-9.4731999999999997E-2</v>
      </c>
      <c r="N537" s="59">
        <v>53.1</v>
      </c>
    </row>
    <row r="538" spans="13:14">
      <c r="M538" s="59">
        <v>-9.4731999999999997E-2</v>
      </c>
      <c r="N538" s="59">
        <v>53.2</v>
      </c>
    </row>
    <row r="539" spans="13:14">
      <c r="M539" s="59">
        <v>-9.4731999999999997E-2</v>
      </c>
      <c r="N539" s="59">
        <v>53.3</v>
      </c>
    </row>
    <row r="540" spans="13:14">
      <c r="M540" s="59">
        <v>-9.4731999999999997E-2</v>
      </c>
      <c r="N540" s="59">
        <v>53.4</v>
      </c>
    </row>
    <row r="541" spans="13:14">
      <c r="M541" s="59">
        <v>-9.4731999999999997E-2</v>
      </c>
      <c r="N541" s="59">
        <v>53.5</v>
      </c>
    </row>
    <row r="542" spans="13:14">
      <c r="M542" s="59">
        <v>-9.4731999999999997E-2</v>
      </c>
      <c r="N542" s="59">
        <v>53.6</v>
      </c>
    </row>
    <row r="543" spans="13:14">
      <c r="M543" s="59">
        <v>-9.4731999999999997E-2</v>
      </c>
      <c r="N543" s="59">
        <v>53.7</v>
      </c>
    </row>
    <row r="544" spans="13:14">
      <c r="M544" s="59">
        <v>-9.4731999999999997E-2</v>
      </c>
      <c r="N544" s="59">
        <v>53.8</v>
      </c>
    </row>
    <row r="545" spans="13:14">
      <c r="M545" s="59">
        <v>-8.4202620999998798E-2</v>
      </c>
      <c r="N545" s="59">
        <v>53.9</v>
      </c>
    </row>
    <row r="546" spans="13:14">
      <c r="M546" s="59">
        <v>-6.4648059999998897E-2</v>
      </c>
      <c r="N546" s="59">
        <v>54</v>
      </c>
    </row>
    <row r="547" spans="13:14">
      <c r="M547" s="59">
        <v>-4.5093498999998899E-2</v>
      </c>
      <c r="N547" s="59">
        <v>54.1</v>
      </c>
    </row>
    <row r="548" spans="13:14">
      <c r="M548" s="59">
        <v>-3.9021E-2</v>
      </c>
      <c r="N548" s="59">
        <v>54.2</v>
      </c>
    </row>
    <row r="549" spans="13:14">
      <c r="M549" s="59">
        <v>-3.9021E-2</v>
      </c>
      <c r="N549" s="59">
        <v>54.3</v>
      </c>
    </row>
    <row r="550" spans="13:14">
      <c r="M550" s="59">
        <v>-3.9021E-2</v>
      </c>
      <c r="N550" s="59">
        <v>54.4</v>
      </c>
    </row>
    <row r="551" spans="13:14">
      <c r="M551" s="59">
        <v>-3.9021E-2</v>
      </c>
      <c r="N551" s="59">
        <v>54.5</v>
      </c>
    </row>
    <row r="552" spans="13:14">
      <c r="M552" s="59">
        <v>-3.9021E-2</v>
      </c>
      <c r="N552" s="59">
        <v>54.6</v>
      </c>
    </row>
    <row r="553" spans="13:14">
      <c r="M553" s="59">
        <v>-3.9021E-2</v>
      </c>
      <c r="N553" s="59">
        <v>54.7</v>
      </c>
    </row>
    <row r="554" spans="13:14">
      <c r="M554" s="59">
        <v>-3.9021E-2</v>
      </c>
      <c r="N554" s="59">
        <v>54.8</v>
      </c>
    </row>
    <row r="555" spans="13:14">
      <c r="M555" s="59">
        <v>-3.9021E-2</v>
      </c>
      <c r="N555" s="59">
        <v>54.9</v>
      </c>
    </row>
    <row r="556" spans="13:14">
      <c r="M556" s="59">
        <v>-3.62354999999994E-2</v>
      </c>
      <c r="N556" s="59">
        <v>55</v>
      </c>
    </row>
    <row r="557" spans="13:14">
      <c r="M557" s="59">
        <v>-1.6681289999999401E-2</v>
      </c>
      <c r="N557" s="59">
        <v>55.1</v>
      </c>
    </row>
    <row r="558" spans="13:14">
      <c r="M558" s="59">
        <v>2.8729200000005301E-3</v>
      </c>
      <c r="N558" s="59">
        <v>55.2</v>
      </c>
    </row>
    <row r="559" spans="13:14">
      <c r="M559" s="59">
        <v>1.6688999999999999E-2</v>
      </c>
      <c r="N559" s="59">
        <v>55.3</v>
      </c>
    </row>
    <row r="560" spans="13:14">
      <c r="M560" s="59">
        <v>1.6688999999999999E-2</v>
      </c>
      <c r="N560" s="59">
        <v>55.4</v>
      </c>
    </row>
    <row r="561" spans="13:14">
      <c r="M561" s="59">
        <v>1.6688999999999999E-2</v>
      </c>
      <c r="N561" s="59">
        <v>55.5</v>
      </c>
    </row>
    <row r="562" spans="13:14">
      <c r="M562" s="59">
        <v>1.6688999999999999E-2</v>
      </c>
      <c r="N562" s="59">
        <v>55.6</v>
      </c>
    </row>
    <row r="563" spans="13:14">
      <c r="M563" s="59">
        <v>1.6688999999999999E-2</v>
      </c>
      <c r="N563" s="59">
        <v>55.7</v>
      </c>
    </row>
    <row r="564" spans="13:14">
      <c r="M564" s="59">
        <v>1.6688999999999999E-2</v>
      </c>
      <c r="N564" s="59">
        <v>55.8</v>
      </c>
    </row>
    <row r="565" spans="13:14">
      <c r="M565" s="59">
        <v>2.83323900000018E-2</v>
      </c>
      <c r="N565" s="59">
        <v>55.9</v>
      </c>
    </row>
    <row r="566" spans="13:14">
      <c r="M566" s="59">
        <v>4.7886600000001701E-2</v>
      </c>
      <c r="N566" s="59">
        <v>56</v>
      </c>
    </row>
    <row r="567" spans="13:14">
      <c r="M567" s="59">
        <v>6.7440810000001697E-2</v>
      </c>
      <c r="N567" s="59">
        <v>56.1</v>
      </c>
    </row>
    <row r="568" spans="13:14">
      <c r="M568" s="59">
        <v>7.2399000000000005E-2</v>
      </c>
      <c r="N568" s="59">
        <v>56.2</v>
      </c>
    </row>
    <row r="569" spans="13:14">
      <c r="M569" s="59">
        <v>7.2399000000000005E-2</v>
      </c>
      <c r="N569" s="59">
        <v>56.3</v>
      </c>
    </row>
    <row r="570" spans="13:14">
      <c r="M570" s="59">
        <v>7.2399000000000005E-2</v>
      </c>
      <c r="N570" s="59">
        <v>56.4</v>
      </c>
    </row>
    <row r="571" spans="13:14">
      <c r="M571" s="59">
        <v>7.2399000000000005E-2</v>
      </c>
      <c r="N571" s="59">
        <v>56.5</v>
      </c>
    </row>
    <row r="572" spans="13:14">
      <c r="M572" s="59">
        <v>7.2399000000000005E-2</v>
      </c>
      <c r="N572" s="59">
        <v>56.6</v>
      </c>
    </row>
    <row r="573" spans="13:14">
      <c r="M573" s="59">
        <v>7.2399000000000005E-2</v>
      </c>
      <c r="N573" s="59">
        <v>56.7</v>
      </c>
    </row>
    <row r="574" spans="13:14">
      <c r="M574" s="59">
        <v>7.2399000000000005E-2</v>
      </c>
      <c r="N574" s="59">
        <v>56.8</v>
      </c>
    </row>
    <row r="575" spans="13:14">
      <c r="M575" s="59">
        <v>7.2399000000000005E-2</v>
      </c>
      <c r="N575" s="59">
        <v>56.9</v>
      </c>
    </row>
    <row r="576" spans="13:14">
      <c r="M576" s="59">
        <v>7.2399000000000005E-2</v>
      </c>
      <c r="N576" s="59">
        <v>57</v>
      </c>
    </row>
    <row r="577" spans="13:14">
      <c r="M577" s="59">
        <v>7.2399000000000005E-2</v>
      </c>
      <c r="N577" s="59">
        <v>57.1</v>
      </c>
    </row>
    <row r="578" spans="13:14">
      <c r="M578" s="59">
        <v>7.2399000000000005E-2</v>
      </c>
      <c r="N578" s="59">
        <v>57.2</v>
      </c>
    </row>
    <row r="579" spans="13:14">
      <c r="M579" s="59">
        <v>7.2399000000000005E-2</v>
      </c>
      <c r="N579" s="59">
        <v>57.3</v>
      </c>
    </row>
    <row r="580" spans="13:14">
      <c r="M580" s="59">
        <v>7.2399000000000005E-2</v>
      </c>
      <c r="N580" s="59">
        <v>57.4</v>
      </c>
    </row>
    <row r="581" spans="13:14">
      <c r="M581" s="59">
        <v>7.2399000000000005E-2</v>
      </c>
      <c r="N581" s="59">
        <v>57.5</v>
      </c>
    </row>
    <row r="582" spans="13:14">
      <c r="M582" s="59">
        <v>7.2399000000000005E-2</v>
      </c>
      <c r="N582" s="59">
        <v>57.6</v>
      </c>
    </row>
    <row r="583" spans="13:14">
      <c r="M583" s="59">
        <v>7.2399000000000005E-2</v>
      </c>
      <c r="N583" s="59">
        <v>57.7</v>
      </c>
    </row>
    <row r="584" spans="13:14">
      <c r="M584" s="59">
        <v>7.2399000000000005E-2</v>
      </c>
      <c r="N584" s="59">
        <v>57.8</v>
      </c>
    </row>
    <row r="585" spans="13:14">
      <c r="M585" s="59">
        <v>7.2399000000000005E-2</v>
      </c>
      <c r="N585" s="59">
        <v>57.9</v>
      </c>
    </row>
    <row r="586" spans="13:14">
      <c r="M586" s="59">
        <v>7.2399000000000005E-2</v>
      </c>
      <c r="N586" s="59">
        <v>58</v>
      </c>
    </row>
    <row r="587" spans="13:14">
      <c r="M587" s="59">
        <v>7.2399000000000005E-2</v>
      </c>
      <c r="N587" s="59">
        <v>58.1</v>
      </c>
    </row>
    <row r="588" spans="13:14">
      <c r="M588" s="59">
        <v>7.2399000000000005E-2</v>
      </c>
      <c r="N588" s="59">
        <v>58.2</v>
      </c>
    </row>
    <row r="589" spans="13:14">
      <c r="M589" s="59">
        <v>7.2399000000000005E-2</v>
      </c>
      <c r="N589" s="59">
        <v>58.3</v>
      </c>
    </row>
    <row r="590" spans="13:14">
      <c r="M590" s="59">
        <v>7.2399000000000005E-2</v>
      </c>
      <c r="N590" s="59">
        <v>58.4</v>
      </c>
    </row>
    <row r="591" spans="13:14">
      <c r="M591" s="59">
        <v>7.2399000000000005E-2</v>
      </c>
      <c r="N591" s="59">
        <v>58.5</v>
      </c>
    </row>
    <row r="592" spans="13:14">
      <c r="M592" s="59">
        <v>7.2399000000000005E-2</v>
      </c>
      <c r="N592" s="59">
        <v>58.6</v>
      </c>
    </row>
    <row r="593" spans="13:14">
      <c r="M593" s="59">
        <v>7.2399000000000005E-2</v>
      </c>
      <c r="N593" s="59">
        <v>58.7</v>
      </c>
    </row>
    <row r="594" spans="13:14">
      <c r="M594" s="59">
        <v>7.2399000000000005E-2</v>
      </c>
      <c r="N594" s="59">
        <v>58.8</v>
      </c>
    </row>
    <row r="595" spans="13:14">
      <c r="M595" s="59">
        <v>7.2399000000000005E-2</v>
      </c>
      <c r="N595" s="59">
        <v>58.9</v>
      </c>
    </row>
    <row r="596" spans="13:14">
      <c r="M596" s="59">
        <v>7.2399000000000005E-2</v>
      </c>
      <c r="N596" s="59">
        <v>59</v>
      </c>
    </row>
    <row r="597" spans="13:14">
      <c r="M597" s="59">
        <v>7.2399000000000005E-2</v>
      </c>
      <c r="N597" s="59">
        <v>59.1</v>
      </c>
    </row>
    <row r="598" spans="13:14">
      <c r="M598" s="59">
        <v>7.2399000000000005E-2</v>
      </c>
      <c r="N598" s="59">
        <v>59.2</v>
      </c>
    </row>
    <row r="599" spans="13:14">
      <c r="M599" s="59">
        <v>7.2399000000000005E-2</v>
      </c>
      <c r="N599" s="59">
        <v>59.3</v>
      </c>
    </row>
    <row r="600" spans="13:14">
      <c r="M600" s="59">
        <v>7.2399000000000005E-2</v>
      </c>
      <c r="N600" s="59">
        <v>59.4</v>
      </c>
    </row>
    <row r="601" spans="13:14">
      <c r="M601" s="59">
        <v>7.2399000000000005E-2</v>
      </c>
      <c r="N601" s="59">
        <v>59.5</v>
      </c>
    </row>
    <row r="602" spans="13:14">
      <c r="M602" s="59">
        <v>7.2399000000000005E-2</v>
      </c>
      <c r="N602" s="59">
        <v>59.6</v>
      </c>
    </row>
    <row r="603" spans="13:14">
      <c r="M603" s="59">
        <v>7.2399000000000005E-2</v>
      </c>
      <c r="N603" s="59">
        <v>59.7</v>
      </c>
    </row>
    <row r="604" spans="13:14">
      <c r="M604" s="59">
        <v>7.2399000000000005E-2</v>
      </c>
      <c r="N604" s="59">
        <v>59.8</v>
      </c>
    </row>
    <row r="605" spans="13:14">
      <c r="M605" s="59">
        <v>7.2399000000000005E-2</v>
      </c>
      <c r="N605" s="59">
        <v>59.9</v>
      </c>
    </row>
    <row r="606" spans="13:14">
      <c r="M606" s="59">
        <v>7.2399000000000005E-2</v>
      </c>
      <c r="N606" s="59">
        <v>60</v>
      </c>
    </row>
    <row r="607" spans="13:14">
      <c r="M607" s="59">
        <v>7.2399000000000005E-2</v>
      </c>
      <c r="N607" s="59">
        <v>60.1</v>
      </c>
    </row>
    <row r="608" spans="13:14">
      <c r="M608" s="59">
        <v>7.2399000000000005E-2</v>
      </c>
      <c r="N608" s="59">
        <v>60.2</v>
      </c>
    </row>
    <row r="609" spans="13:14">
      <c r="M609" s="59">
        <v>7.2399000000000005E-2</v>
      </c>
      <c r="N609" s="59">
        <v>60.3</v>
      </c>
    </row>
    <row r="610" spans="13:14">
      <c r="M610" s="59">
        <v>7.2399000000000005E-2</v>
      </c>
      <c r="N610" s="59">
        <v>60.4</v>
      </c>
    </row>
    <row r="611" spans="13:14">
      <c r="M611" s="59">
        <v>7.2399000000000005E-2</v>
      </c>
      <c r="N611" s="59">
        <v>60.5</v>
      </c>
    </row>
    <row r="612" spans="13:14">
      <c r="M612" s="59">
        <v>7.2399000000000005E-2</v>
      </c>
      <c r="N612" s="59">
        <v>60.6</v>
      </c>
    </row>
    <row r="613" spans="13:14">
      <c r="M613" s="59">
        <v>7.2399000000000005E-2</v>
      </c>
      <c r="N613" s="59">
        <v>60.7</v>
      </c>
    </row>
    <row r="614" spans="13:14">
      <c r="M614" s="59">
        <v>7.2399000000000005E-2</v>
      </c>
      <c r="N614" s="59">
        <v>60.8</v>
      </c>
    </row>
    <row r="615" spans="13:14">
      <c r="M615" s="59">
        <v>7.2399000000000005E-2</v>
      </c>
      <c r="N615" s="59">
        <v>60.9</v>
      </c>
    </row>
    <row r="616" spans="13:14">
      <c r="M616" s="59">
        <v>7.2399000000000005E-2</v>
      </c>
      <c r="N616" s="59">
        <v>61</v>
      </c>
    </row>
    <row r="617" spans="13:14">
      <c r="M617" s="59">
        <v>7.2399000000000005E-2</v>
      </c>
      <c r="N617" s="59">
        <v>61.1</v>
      </c>
    </row>
    <row r="618" spans="13:14">
      <c r="M618" s="59">
        <v>7.2399000000000005E-2</v>
      </c>
      <c r="N618" s="59">
        <v>61.2</v>
      </c>
    </row>
    <row r="619" spans="13:14">
      <c r="M619" s="59">
        <v>7.2399000000000005E-2</v>
      </c>
      <c r="N619" s="59">
        <v>61.3</v>
      </c>
    </row>
    <row r="620" spans="13:14">
      <c r="M620" s="59">
        <v>7.2399000000000005E-2</v>
      </c>
      <c r="N620" s="59">
        <v>61.4</v>
      </c>
    </row>
    <row r="621" spans="13:14">
      <c r="M621" s="59">
        <v>7.2399000000000005E-2</v>
      </c>
      <c r="N621" s="59">
        <v>61.5</v>
      </c>
    </row>
    <row r="622" spans="13:14">
      <c r="M622" s="59">
        <v>7.2399000000000005E-2</v>
      </c>
      <c r="N622" s="59">
        <v>61.6</v>
      </c>
    </row>
    <row r="623" spans="13:14">
      <c r="M623" s="59">
        <v>7.2399000000000005E-2</v>
      </c>
      <c r="N623" s="59">
        <v>61.7</v>
      </c>
    </row>
    <row r="624" spans="13:14">
      <c r="M624" s="59">
        <v>7.2399000000000005E-2</v>
      </c>
      <c r="N624" s="59">
        <v>61.8</v>
      </c>
    </row>
    <row r="625" spans="13:14">
      <c r="M625" s="59">
        <v>7.2399000000000005E-2</v>
      </c>
      <c r="N625" s="59">
        <v>61.9</v>
      </c>
    </row>
    <row r="626" spans="13:14">
      <c r="M626" s="59">
        <v>7.2399000000000005E-2</v>
      </c>
      <c r="N626" s="59">
        <v>62</v>
      </c>
    </row>
    <row r="627" spans="13:14">
      <c r="M627" s="59">
        <v>7.2399000000000005E-2</v>
      </c>
      <c r="N627" s="59">
        <v>62.1</v>
      </c>
    </row>
    <row r="628" spans="13:14">
      <c r="M628" s="59">
        <v>7.2399000000000005E-2</v>
      </c>
      <c r="N628" s="59">
        <v>62.2</v>
      </c>
    </row>
    <row r="629" spans="13:14">
      <c r="M629" s="59">
        <v>7.2399000000000005E-2</v>
      </c>
      <c r="N629" s="59">
        <v>62.3</v>
      </c>
    </row>
    <row r="630" spans="13:14">
      <c r="M630" s="59">
        <v>7.2399000000000005E-2</v>
      </c>
      <c r="N630" s="59">
        <v>62.4</v>
      </c>
    </row>
    <row r="631" spans="13:14">
      <c r="M631" s="59">
        <v>7.2399000000000005E-2</v>
      </c>
      <c r="N631" s="59">
        <v>62.5</v>
      </c>
    </row>
    <row r="632" spans="13:14">
      <c r="M632" s="59">
        <v>7.2399000000000005E-2</v>
      </c>
      <c r="N632" s="59">
        <v>62.6</v>
      </c>
    </row>
    <row r="633" spans="13:14">
      <c r="M633" s="59">
        <v>7.2399000000000005E-2</v>
      </c>
      <c r="N633" s="59">
        <v>62.7</v>
      </c>
    </row>
    <row r="634" spans="13:14">
      <c r="M634" s="59">
        <v>7.2399000000000005E-2</v>
      </c>
      <c r="N634" s="59">
        <v>62.8</v>
      </c>
    </row>
    <row r="635" spans="13:14">
      <c r="M635" s="59">
        <v>7.2399000000000005E-2</v>
      </c>
      <c r="N635" s="59">
        <v>62.9</v>
      </c>
    </row>
    <row r="636" spans="13:14">
      <c r="M636" s="59">
        <v>7.2399000000000005E-2</v>
      </c>
      <c r="N636" s="59">
        <v>63</v>
      </c>
    </row>
    <row r="637" spans="13:14">
      <c r="M637" s="59">
        <v>7.2399000000000005E-2</v>
      </c>
      <c r="N637" s="59">
        <v>63.1</v>
      </c>
    </row>
    <row r="638" spans="13:14">
      <c r="M638" s="59">
        <v>7.2399000000000005E-2</v>
      </c>
      <c r="N638" s="59">
        <v>63.2</v>
      </c>
    </row>
    <row r="639" spans="13:14">
      <c r="M639" s="59">
        <v>7.2399000000000005E-2</v>
      </c>
      <c r="N639" s="59">
        <v>63.3</v>
      </c>
    </row>
    <row r="640" spans="13:14">
      <c r="M640" s="59">
        <v>7.2399000000000005E-2</v>
      </c>
      <c r="N640" s="59">
        <v>63.4</v>
      </c>
    </row>
    <row r="641" spans="13:14">
      <c r="M641" s="59">
        <v>7.2399000000000005E-2</v>
      </c>
      <c r="N641" s="59">
        <v>63.5</v>
      </c>
    </row>
    <row r="642" spans="13:14">
      <c r="M642" s="59">
        <v>7.2399000000000005E-2</v>
      </c>
      <c r="N642" s="59">
        <v>63.6</v>
      </c>
    </row>
    <row r="643" spans="13:14">
      <c r="M643" s="59">
        <v>7.2399000000000005E-2</v>
      </c>
      <c r="N643" s="59">
        <v>63.7</v>
      </c>
    </row>
    <row r="644" spans="13:14">
      <c r="M644" s="59">
        <v>7.2399000000000005E-2</v>
      </c>
      <c r="N644" s="59">
        <v>63.8</v>
      </c>
    </row>
    <row r="645" spans="13:14">
      <c r="M645" s="59">
        <v>7.2399000000000005E-2</v>
      </c>
      <c r="N645" s="59">
        <v>63.9</v>
      </c>
    </row>
    <row r="646" spans="13:14">
      <c r="M646" s="59">
        <v>7.2399000000000005E-2</v>
      </c>
      <c r="N646" s="59">
        <v>64</v>
      </c>
    </row>
    <row r="647" spans="13:14">
      <c r="M647" s="59">
        <v>7.2399000000000005E-2</v>
      </c>
      <c r="N647" s="59">
        <v>64.099999999999994</v>
      </c>
    </row>
    <row r="648" spans="13:14">
      <c r="M648" s="59">
        <v>7.2399000000000005E-2</v>
      </c>
      <c r="N648" s="59">
        <v>64.2</v>
      </c>
    </row>
    <row r="649" spans="13:14">
      <c r="M649" s="59">
        <v>7.2399000000000005E-2</v>
      </c>
      <c r="N649" s="59">
        <v>64.3</v>
      </c>
    </row>
    <row r="650" spans="13:14">
      <c r="M650" s="59">
        <v>7.2399000000000005E-2</v>
      </c>
      <c r="N650" s="59">
        <v>64.400000000000006</v>
      </c>
    </row>
    <row r="651" spans="13:14">
      <c r="M651" s="59">
        <v>7.2399000000000005E-2</v>
      </c>
      <c r="N651" s="59">
        <v>64.5</v>
      </c>
    </row>
    <row r="652" spans="13:14">
      <c r="M652" s="59">
        <v>7.2399000000000005E-2</v>
      </c>
      <c r="N652" s="59">
        <v>64.599999999999994</v>
      </c>
    </row>
    <row r="653" spans="13:14">
      <c r="M653" s="59">
        <v>7.2399000000000005E-2</v>
      </c>
      <c r="N653" s="59">
        <v>64.7</v>
      </c>
    </row>
    <row r="654" spans="13:14">
      <c r="M654" s="59">
        <v>7.2399000000000005E-2</v>
      </c>
      <c r="N654" s="59">
        <v>64.8</v>
      </c>
    </row>
    <row r="655" spans="13:14">
      <c r="M655" s="59">
        <v>7.2399000000000005E-2</v>
      </c>
      <c r="N655" s="59">
        <v>64.900000000000006</v>
      </c>
    </row>
    <row r="656" spans="13:14">
      <c r="M656" s="59">
        <v>7.2399000000000005E-2</v>
      </c>
      <c r="N656" s="59">
        <v>65</v>
      </c>
    </row>
    <row r="657" spans="13:14">
      <c r="M657" s="59">
        <v>7.2399000000000005E-2</v>
      </c>
      <c r="N657" s="59">
        <v>65.099999999999994</v>
      </c>
    </row>
    <row r="658" spans="13:14">
      <c r="M658" s="59">
        <v>7.2399000000000005E-2</v>
      </c>
      <c r="N658" s="59">
        <v>65.2</v>
      </c>
    </row>
    <row r="659" spans="13:14">
      <c r="M659" s="59">
        <v>7.2399000000000005E-2</v>
      </c>
      <c r="N659" s="59">
        <v>65.3</v>
      </c>
    </row>
    <row r="660" spans="13:14">
      <c r="M660" s="59">
        <v>7.2399000000000005E-2</v>
      </c>
      <c r="N660" s="59">
        <v>65.400000000000006</v>
      </c>
    </row>
    <row r="661" spans="13:14">
      <c r="M661" s="59">
        <v>7.2399000000000005E-2</v>
      </c>
      <c r="N661" s="59">
        <v>65.5</v>
      </c>
    </row>
    <row r="662" spans="13:14">
      <c r="M662" s="59">
        <v>7.2399000000000005E-2</v>
      </c>
      <c r="N662" s="59">
        <v>65.599999999999994</v>
      </c>
    </row>
    <row r="663" spans="13:14">
      <c r="M663" s="59">
        <v>7.2399000000000005E-2</v>
      </c>
      <c r="N663" s="59">
        <v>65.7</v>
      </c>
    </row>
    <row r="664" spans="13:14">
      <c r="M664" s="59">
        <v>7.2399000000000005E-2</v>
      </c>
      <c r="N664" s="59">
        <v>65.8</v>
      </c>
    </row>
    <row r="665" spans="13:14">
      <c r="M665" s="59">
        <v>7.2399000000000005E-2</v>
      </c>
      <c r="N665" s="59">
        <v>65.900000000000006</v>
      </c>
    </row>
    <row r="666" spans="13:14">
      <c r="M666" s="59">
        <v>7.2399000000000005E-2</v>
      </c>
      <c r="N666" s="59">
        <v>66</v>
      </c>
    </row>
    <row r="667" spans="13:14">
      <c r="M667" s="59">
        <v>7.2399000000000005E-2</v>
      </c>
      <c r="N667" s="59">
        <v>66.099999999999994</v>
      </c>
    </row>
    <row r="668" spans="13:14">
      <c r="M668" s="59">
        <v>7.2399000000000005E-2</v>
      </c>
      <c r="N668" s="59">
        <v>66.2</v>
      </c>
    </row>
    <row r="669" spans="13:14">
      <c r="M669" s="59">
        <v>7.2399000000000005E-2</v>
      </c>
      <c r="N669" s="59">
        <v>66.3</v>
      </c>
    </row>
    <row r="670" spans="13:14">
      <c r="M670" s="59">
        <v>7.5964440000001202E-2</v>
      </c>
      <c r="N670" s="59">
        <v>66.400000000000006</v>
      </c>
    </row>
    <row r="671" spans="13:14">
      <c r="M671" s="59">
        <v>9.5518650000001107E-2</v>
      </c>
      <c r="N671" s="59">
        <v>66.5</v>
      </c>
    </row>
    <row r="672" spans="13:14">
      <c r="M672" s="59">
        <v>0.115072860000001</v>
      </c>
      <c r="N672" s="59">
        <v>66.599999999999994</v>
      </c>
    </row>
    <row r="673" spans="13:14">
      <c r="M673" s="59">
        <v>0.13462718700000101</v>
      </c>
      <c r="N673" s="59">
        <v>66.7</v>
      </c>
    </row>
    <row r="674" spans="13:14">
      <c r="M674" s="59">
        <v>0.15418174800000101</v>
      </c>
      <c r="N674" s="59">
        <v>66.8</v>
      </c>
    </row>
    <row r="675" spans="13:14">
      <c r="M675" s="59">
        <v>0.173736309000001</v>
      </c>
      <c r="N675" s="59">
        <v>66.900000000000006</v>
      </c>
    </row>
    <row r="676" spans="13:14">
      <c r="M676" s="59">
        <v>0.18382000000000001</v>
      </c>
      <c r="N676" s="59">
        <v>67</v>
      </c>
    </row>
    <row r="677" spans="13:14">
      <c r="M677" s="59">
        <v>0.18382000000000001</v>
      </c>
      <c r="N677" s="59">
        <v>67.099999999999994</v>
      </c>
    </row>
    <row r="678" spans="13:14">
      <c r="M678" s="59">
        <v>0.18382000000000001</v>
      </c>
      <c r="N678" s="59">
        <v>67.2</v>
      </c>
    </row>
    <row r="679" spans="13:14">
      <c r="M679" s="59">
        <v>0.19624355300000099</v>
      </c>
      <c r="N679" s="59">
        <v>67.3</v>
      </c>
    </row>
    <row r="680" spans="13:14">
      <c r="M680" s="59">
        <v>0.21579811400000101</v>
      </c>
      <c r="N680" s="59">
        <v>67.400000000000006</v>
      </c>
    </row>
    <row r="681" spans="13:14">
      <c r="M681" s="59">
        <v>0.23535267500000101</v>
      </c>
      <c r="N681" s="59">
        <v>67.5</v>
      </c>
    </row>
    <row r="682" spans="13:14">
      <c r="M682" s="59">
        <v>0.25490696000000101</v>
      </c>
      <c r="N682" s="59">
        <v>67.599999999999994</v>
      </c>
    </row>
    <row r="683" spans="13:14">
      <c r="M683" s="59">
        <v>0.27446117000000098</v>
      </c>
      <c r="N683" s="59">
        <v>67.7</v>
      </c>
    </row>
    <row r="684" spans="13:14">
      <c r="M684" s="59">
        <v>0.29401537999999999</v>
      </c>
      <c r="N684" s="59">
        <v>67.8</v>
      </c>
    </row>
    <row r="685" spans="13:14">
      <c r="M685" s="59">
        <v>0.31356991899999997</v>
      </c>
      <c r="N685" s="59">
        <v>67.900000000000006</v>
      </c>
    </row>
    <row r="686" spans="13:14">
      <c r="M686" s="59">
        <v>0.33312448</v>
      </c>
      <c r="N686" s="59">
        <v>68</v>
      </c>
    </row>
    <row r="687" spans="13:14">
      <c r="M687" s="59">
        <v>0.35095199999999999</v>
      </c>
      <c r="N687" s="59">
        <v>68.099999999999994</v>
      </c>
    </row>
    <row r="688" spans="13:14">
      <c r="M688" s="59">
        <v>0.35095199999999999</v>
      </c>
      <c r="N688" s="59">
        <v>68.2</v>
      </c>
    </row>
    <row r="689" spans="13:14">
      <c r="M689" s="59">
        <v>0.35095199999999999</v>
      </c>
      <c r="N689" s="59">
        <v>68.3</v>
      </c>
    </row>
    <row r="690" spans="13:14">
      <c r="M690" s="59">
        <v>0.35563164000000203</v>
      </c>
      <c r="N690" s="59">
        <v>68.400000000000006</v>
      </c>
    </row>
    <row r="691" spans="13:14">
      <c r="M691" s="59">
        <v>0.37518585000000199</v>
      </c>
      <c r="N691" s="59">
        <v>68.5</v>
      </c>
    </row>
    <row r="692" spans="13:14">
      <c r="M692" s="59">
        <v>0.394740060000002</v>
      </c>
      <c r="N692" s="59">
        <v>68.599999999999994</v>
      </c>
    </row>
    <row r="693" spans="13:14">
      <c r="M693" s="59">
        <v>0.40666200000000002</v>
      </c>
      <c r="N693" s="59">
        <v>68.7</v>
      </c>
    </row>
    <row r="694" spans="13:14">
      <c r="M694" s="59">
        <v>0.40666200000000002</v>
      </c>
      <c r="N694" s="59">
        <v>68.8</v>
      </c>
    </row>
    <row r="695" spans="13:14">
      <c r="M695" s="59">
        <v>0.40666200000000002</v>
      </c>
      <c r="N695" s="59">
        <v>68.900000000000006</v>
      </c>
    </row>
    <row r="696" spans="13:14">
      <c r="M696" s="59">
        <v>0.45158883000000599</v>
      </c>
      <c r="N696" s="59">
        <v>69</v>
      </c>
    </row>
    <row r="697" spans="13:14">
      <c r="M697" s="59">
        <v>0.53458523700000604</v>
      </c>
      <c r="N697" s="59">
        <v>69.099999999999994</v>
      </c>
    </row>
    <row r="698" spans="13:14">
      <c r="M698" s="59">
        <v>0.61758164400000604</v>
      </c>
      <c r="N698" s="59">
        <v>69.2</v>
      </c>
    </row>
    <row r="699" spans="13:14">
      <c r="M699" s="59">
        <v>0.65665653000000102</v>
      </c>
      <c r="N699" s="59">
        <v>69.3</v>
      </c>
    </row>
    <row r="700" spans="13:14">
      <c r="M700" s="59">
        <v>0.67621074000000103</v>
      </c>
      <c r="N700" s="59">
        <v>69.400000000000006</v>
      </c>
    </row>
    <row r="701" spans="13:14">
      <c r="M701" s="59">
        <v>0.69576495000000105</v>
      </c>
      <c r="N701" s="59">
        <v>69.5</v>
      </c>
    </row>
    <row r="702" spans="13:14">
      <c r="M702" s="59">
        <v>0.69882900000000003</v>
      </c>
      <c r="N702" s="59">
        <v>69.599999999999994</v>
      </c>
    </row>
    <row r="703" spans="13:14">
      <c r="M703" s="59">
        <v>0.69882900000000003</v>
      </c>
      <c r="N703" s="59">
        <v>69.7</v>
      </c>
    </row>
    <row r="704" spans="13:14">
      <c r="M704" s="59">
        <v>0.69882900000000003</v>
      </c>
      <c r="N704" s="59">
        <v>69.8</v>
      </c>
    </row>
    <row r="705" spans="13:14">
      <c r="M705" s="59">
        <v>0.69882900000000003</v>
      </c>
      <c r="N705" s="59">
        <v>69.900000000000006</v>
      </c>
    </row>
    <row r="706" spans="13:14">
      <c r="M706" s="59">
        <v>0.69882900000000003</v>
      </c>
      <c r="N706" s="59">
        <v>70</v>
      </c>
    </row>
    <row r="707" spans="13:14">
      <c r="M707" s="59">
        <v>0.69882900000000003</v>
      </c>
      <c r="N707" s="59">
        <v>70.099999999999994</v>
      </c>
    </row>
    <row r="708" spans="13:14">
      <c r="M708" s="59">
        <v>0.69882900000000003</v>
      </c>
      <c r="N708" s="59">
        <v>70.2</v>
      </c>
    </row>
    <row r="709" spans="13:14">
      <c r="M709" s="59">
        <v>0.69882900000000003</v>
      </c>
      <c r="N709" s="59">
        <v>70.3</v>
      </c>
    </row>
    <row r="710" spans="13:14">
      <c r="M710" s="59">
        <v>0.69882900000000003</v>
      </c>
      <c r="N710" s="59">
        <v>70.400000000000006</v>
      </c>
    </row>
    <row r="711" spans="13:14">
      <c r="M711" s="59">
        <v>0.69882900000000003</v>
      </c>
      <c r="N711" s="59">
        <v>70.5</v>
      </c>
    </row>
    <row r="712" spans="13:14">
      <c r="M712" s="59">
        <v>0.69882900000000003</v>
      </c>
      <c r="N712" s="59">
        <v>70.599999999999994</v>
      </c>
    </row>
    <row r="713" spans="13:14">
      <c r="M713" s="59">
        <v>0.69882900000000003</v>
      </c>
      <c r="N713" s="59">
        <v>70.7</v>
      </c>
    </row>
    <row r="714" spans="13:14">
      <c r="M714" s="59">
        <v>0.69882900000000003</v>
      </c>
      <c r="N714" s="59">
        <v>70.8</v>
      </c>
    </row>
    <row r="715" spans="13:14">
      <c r="M715" s="59">
        <v>0.69882900000000003</v>
      </c>
      <c r="N715" s="59">
        <v>70.900000000000006</v>
      </c>
    </row>
    <row r="716" spans="13:14">
      <c r="M716" s="59">
        <v>0.69882900000000003</v>
      </c>
      <c r="N716" s="59">
        <v>71</v>
      </c>
    </row>
    <row r="717" spans="13:14">
      <c r="M717" s="59">
        <v>0.69882900000000003</v>
      </c>
      <c r="N717" s="59">
        <v>71.099999999999994</v>
      </c>
    </row>
    <row r="718" spans="13:14">
      <c r="M718" s="59">
        <v>0.69882900000000003</v>
      </c>
      <c r="N718" s="59">
        <v>71.2</v>
      </c>
    </row>
    <row r="719" spans="13:14">
      <c r="M719" s="59">
        <v>0.69882900000000003</v>
      </c>
      <c r="N719" s="59">
        <v>71.3</v>
      </c>
    </row>
    <row r="720" spans="13:14">
      <c r="M720" s="59">
        <v>0.69882900000000003</v>
      </c>
      <c r="N720" s="59">
        <v>71.400000000000006</v>
      </c>
    </row>
    <row r="721" spans="13:14">
      <c r="M721" s="59">
        <v>0.69882900000000003</v>
      </c>
      <c r="N721" s="59">
        <v>71.5</v>
      </c>
    </row>
    <row r="722" spans="13:14">
      <c r="M722" s="59">
        <v>0.69882900000000003</v>
      </c>
      <c r="N722" s="59">
        <v>71.599999999999994</v>
      </c>
    </row>
    <row r="723" spans="13:14">
      <c r="M723" s="59">
        <v>0.69882900000000003</v>
      </c>
      <c r="N723" s="59">
        <v>71.7</v>
      </c>
    </row>
    <row r="724" spans="13:14">
      <c r="M724" s="59">
        <v>0.69882900000000003</v>
      </c>
      <c r="N724" s="59">
        <v>71.8</v>
      </c>
    </row>
    <row r="725" spans="13:14">
      <c r="M725" s="59">
        <v>0.69882900000000003</v>
      </c>
      <c r="N725" s="59">
        <v>71.900000000000006</v>
      </c>
    </row>
    <row r="726" spans="13:14">
      <c r="M726" s="59">
        <v>0.69882900000000003</v>
      </c>
      <c r="N726" s="59">
        <v>72</v>
      </c>
    </row>
    <row r="727" spans="13:14">
      <c r="M727" s="59">
        <v>0.69882900000000003</v>
      </c>
      <c r="N727" s="59">
        <v>72.099999999999994</v>
      </c>
    </row>
    <row r="728" spans="13:14">
      <c r="M728" s="59">
        <v>0.69882900000000003</v>
      </c>
      <c r="N728" s="59">
        <v>72.2</v>
      </c>
    </row>
    <row r="729" spans="13:14">
      <c r="M729" s="59">
        <v>0.69882900000000003</v>
      </c>
      <c r="N729" s="59">
        <v>72.3</v>
      </c>
    </row>
    <row r="730" spans="13:14">
      <c r="M730" s="59">
        <v>0.69882900000000003</v>
      </c>
      <c r="N730" s="59">
        <v>72.400000000000006</v>
      </c>
    </row>
    <row r="731" spans="13:14">
      <c r="M731" s="59">
        <v>0.69882900000000003</v>
      </c>
      <c r="N731" s="59">
        <v>72.5</v>
      </c>
    </row>
    <row r="732" spans="13:14">
      <c r="M732" s="59">
        <v>0.69882900000000003</v>
      </c>
      <c r="N732" s="59">
        <v>72.599999999999994</v>
      </c>
    </row>
    <row r="733" spans="13:14">
      <c r="M733" s="59">
        <v>0.69882900000000003</v>
      </c>
      <c r="N733" s="59">
        <v>72.7</v>
      </c>
    </row>
    <row r="734" spans="13:14">
      <c r="M734" s="59">
        <v>0.69882900000000003</v>
      </c>
      <c r="N734" s="59">
        <v>72.8</v>
      </c>
    </row>
    <row r="735" spans="13:14">
      <c r="M735" s="59">
        <v>0.69882900000000003</v>
      </c>
      <c r="N735" s="59">
        <v>72.900000000000006</v>
      </c>
    </row>
    <row r="736" spans="13:14">
      <c r="M736" s="59">
        <v>0.69882900000000003</v>
      </c>
      <c r="N736" s="59">
        <v>73</v>
      </c>
    </row>
    <row r="737" spans="13:14">
      <c r="M737" s="59">
        <v>0.69882900000000003</v>
      </c>
      <c r="N737" s="59">
        <v>73.099999999999994</v>
      </c>
    </row>
    <row r="738" spans="13:14">
      <c r="M738" s="59">
        <v>0.69882900000000003</v>
      </c>
      <c r="N738" s="59">
        <v>73.2</v>
      </c>
    </row>
    <row r="739" spans="13:14">
      <c r="M739" s="59">
        <v>0.69882900000000003</v>
      </c>
      <c r="N739" s="59">
        <v>73.3</v>
      </c>
    </row>
    <row r="740" spans="13:14">
      <c r="M740" s="59">
        <v>0.69882900000000003</v>
      </c>
      <c r="N740" s="59">
        <v>73.400000000000006</v>
      </c>
    </row>
    <row r="741" spans="13:14">
      <c r="M741" s="59">
        <v>0.69882900000000003</v>
      </c>
      <c r="N741" s="59">
        <v>73.5</v>
      </c>
    </row>
    <row r="742" spans="13:14">
      <c r="M742" s="59">
        <v>0.69882900000000003</v>
      </c>
      <c r="N742" s="59">
        <v>73.599999999999994</v>
      </c>
    </row>
    <row r="743" spans="13:14">
      <c r="M743" s="59">
        <v>0.69882900000000003</v>
      </c>
      <c r="N743" s="59">
        <v>73.7</v>
      </c>
    </row>
    <row r="744" spans="13:14">
      <c r="M744" s="59">
        <v>0.69882900000000003</v>
      </c>
      <c r="N744" s="59">
        <v>73.8</v>
      </c>
    </row>
    <row r="745" spans="13:14">
      <c r="M745" s="59">
        <v>0.69882900000000003</v>
      </c>
      <c r="N745" s="59">
        <v>73.900000000000006</v>
      </c>
    </row>
    <row r="746" spans="13:14">
      <c r="M746" s="59">
        <v>0.69882900000000003</v>
      </c>
      <c r="N746" s="59">
        <v>74</v>
      </c>
    </row>
    <row r="747" spans="13:14">
      <c r="M747" s="59">
        <v>0.69882900000000003</v>
      </c>
      <c r="N747" s="59">
        <v>74.099999999999994</v>
      </c>
    </row>
    <row r="748" spans="13:14">
      <c r="M748" s="59">
        <v>0.69882900000000003</v>
      </c>
      <c r="N748" s="59">
        <v>74.2</v>
      </c>
    </row>
    <row r="749" spans="13:14">
      <c r="M749" s="59">
        <v>0.69882900000000003</v>
      </c>
      <c r="N749" s="59">
        <v>74.3</v>
      </c>
    </row>
    <row r="750" spans="13:14">
      <c r="M750" s="59">
        <v>0.69882900000000003</v>
      </c>
      <c r="N750" s="59">
        <v>74.400000000000006</v>
      </c>
    </row>
    <row r="751" spans="13:14">
      <c r="M751" s="59">
        <v>0.69882900000000003</v>
      </c>
      <c r="N751" s="59">
        <v>74.5</v>
      </c>
    </row>
    <row r="752" spans="13:14">
      <c r="M752" s="59">
        <v>0.69882900000000003</v>
      </c>
      <c r="N752" s="59">
        <v>74.599999999999994</v>
      </c>
    </row>
    <row r="753" spans="13:14">
      <c r="M753" s="59">
        <v>0.69882900000000003</v>
      </c>
      <c r="N753" s="59">
        <v>74.7</v>
      </c>
    </row>
    <row r="754" spans="13:14">
      <c r="M754" s="59">
        <v>0.69882900000000003</v>
      </c>
      <c r="N754" s="59">
        <v>74.8</v>
      </c>
    </row>
    <row r="755" spans="13:14">
      <c r="M755" s="59">
        <v>0.69882900000000003</v>
      </c>
      <c r="N755" s="59">
        <v>74.900000000000006</v>
      </c>
    </row>
    <row r="756" spans="13:14">
      <c r="M756" s="59">
        <v>0.69882900000000003</v>
      </c>
      <c r="N756" s="59">
        <v>75</v>
      </c>
    </row>
    <row r="757" spans="13:14">
      <c r="M757" s="59">
        <v>0.69882900000000003</v>
      </c>
      <c r="N757" s="59">
        <v>75.099999999999994</v>
      </c>
    </row>
    <row r="758" spans="13:14">
      <c r="M758" s="59">
        <v>0.69882900000000003</v>
      </c>
      <c r="N758" s="59">
        <v>75.2</v>
      </c>
    </row>
    <row r="759" spans="13:14">
      <c r="M759" s="59">
        <v>0.69882900000000003</v>
      </c>
      <c r="N759" s="59">
        <v>75.3</v>
      </c>
    </row>
    <row r="760" spans="13:14">
      <c r="M760" s="59">
        <v>0.69882900000000003</v>
      </c>
      <c r="N760" s="59">
        <v>75.400000000000006</v>
      </c>
    </row>
    <row r="761" spans="13:14">
      <c r="M761" s="59">
        <v>0.69910755499999999</v>
      </c>
      <c r="N761" s="59">
        <v>75.5</v>
      </c>
    </row>
    <row r="762" spans="13:14">
      <c r="M762" s="59">
        <v>0.71866211599999996</v>
      </c>
      <c r="N762" s="59">
        <v>75.599999999999994</v>
      </c>
    </row>
    <row r="763" spans="13:14">
      <c r="M763" s="59">
        <v>0.73821667700000004</v>
      </c>
      <c r="N763" s="59">
        <v>75.7</v>
      </c>
    </row>
    <row r="764" spans="13:14">
      <c r="M764" s="59">
        <v>0.75453999999999999</v>
      </c>
      <c r="N764" s="59">
        <v>75.8</v>
      </c>
    </row>
    <row r="765" spans="13:14">
      <c r="M765" s="59">
        <v>0.75453999999999999</v>
      </c>
      <c r="N765" s="59">
        <v>75.900000000000006</v>
      </c>
    </row>
    <row r="766" spans="13:14">
      <c r="M766" s="59">
        <v>0.75453999999999999</v>
      </c>
      <c r="N766" s="59">
        <v>76</v>
      </c>
    </row>
    <row r="767" spans="13:14">
      <c r="M767" s="59">
        <v>0.75453999999999999</v>
      </c>
      <c r="N767" s="59">
        <v>76.099999999999994</v>
      </c>
    </row>
    <row r="768" spans="13:14">
      <c r="M768" s="59">
        <v>0.75453999999999999</v>
      </c>
      <c r="N768" s="59">
        <v>76.2</v>
      </c>
    </row>
    <row r="769" spans="13:14">
      <c r="M769" s="59">
        <v>0.75453999999999999</v>
      </c>
      <c r="N769" s="59">
        <v>76.3</v>
      </c>
    </row>
    <row r="770" spans="13:14">
      <c r="M770" s="59">
        <v>0.75453999999999999</v>
      </c>
      <c r="N770" s="59">
        <v>76.400000000000006</v>
      </c>
    </row>
    <row r="771" spans="13:14">
      <c r="M771" s="59">
        <v>0.75453999999999999</v>
      </c>
      <c r="N771" s="59">
        <v>76.5</v>
      </c>
    </row>
    <row r="772" spans="13:14">
      <c r="M772" s="59">
        <v>0.75453999999999999</v>
      </c>
      <c r="N772" s="59">
        <v>76.599999999999994</v>
      </c>
    </row>
    <row r="773" spans="13:14">
      <c r="M773" s="59">
        <v>0.75453999999999999</v>
      </c>
      <c r="N773" s="59">
        <v>76.7</v>
      </c>
    </row>
    <row r="774" spans="13:14">
      <c r="M774" s="59">
        <v>0.75453999999999999</v>
      </c>
      <c r="N774" s="59">
        <v>76.8</v>
      </c>
    </row>
    <row r="775" spans="13:14">
      <c r="M775" s="59">
        <v>0.75453999999999999</v>
      </c>
      <c r="N775" s="59">
        <v>76.900000000000006</v>
      </c>
    </row>
    <row r="776" spans="13:14">
      <c r="M776" s="59">
        <v>0.75453999999999999</v>
      </c>
      <c r="N776" s="59">
        <v>77</v>
      </c>
    </row>
    <row r="777" spans="13:14">
      <c r="M777" s="59">
        <v>0.75453999999999999</v>
      </c>
      <c r="N777" s="59">
        <v>77.099999999999994</v>
      </c>
    </row>
    <row r="778" spans="13:14">
      <c r="M778" s="59">
        <v>0.75453999999999999</v>
      </c>
      <c r="N778" s="59">
        <v>77.2</v>
      </c>
    </row>
    <row r="779" spans="13:14">
      <c r="M779" s="59">
        <v>0.75453999999999999</v>
      </c>
      <c r="N779" s="59">
        <v>77.3</v>
      </c>
    </row>
    <row r="780" spans="13:14">
      <c r="M780" s="59">
        <v>0.75453999999999999</v>
      </c>
      <c r="N780" s="59">
        <v>77.400000000000006</v>
      </c>
    </row>
    <row r="781" spans="13:14">
      <c r="M781" s="59">
        <v>0.75453999999999999</v>
      </c>
      <c r="N781" s="59">
        <v>77.5</v>
      </c>
    </row>
    <row r="782" spans="13:14">
      <c r="M782" s="59">
        <v>0.75453999999999999</v>
      </c>
      <c r="N782" s="59">
        <v>77.599999999999994</v>
      </c>
    </row>
    <row r="783" spans="13:14">
      <c r="M783" s="59">
        <v>0.75453999999999999</v>
      </c>
      <c r="N783" s="59">
        <v>77.7</v>
      </c>
    </row>
    <row r="784" spans="13:14">
      <c r="M784" s="59">
        <v>0.75453999999999999</v>
      </c>
      <c r="N784" s="59">
        <v>77.8</v>
      </c>
    </row>
    <row r="785" spans="13:14">
      <c r="M785" s="59">
        <v>0.75453999999999999</v>
      </c>
      <c r="N785" s="59">
        <v>77.900000000000006</v>
      </c>
    </row>
    <row r="786" spans="13:14">
      <c r="M786" s="59">
        <v>0.75453999999999999</v>
      </c>
      <c r="N786" s="59">
        <v>78</v>
      </c>
    </row>
    <row r="787" spans="13:14">
      <c r="M787" s="59">
        <v>0.76183814100000202</v>
      </c>
      <c r="N787" s="59">
        <v>78.099999999999994</v>
      </c>
    </row>
    <row r="788" spans="13:14">
      <c r="M788" s="59">
        <v>0.78139270200000199</v>
      </c>
      <c r="N788" s="59">
        <v>78.2</v>
      </c>
    </row>
    <row r="789" spans="13:14">
      <c r="M789" s="59">
        <v>0.80094726300000196</v>
      </c>
      <c r="N789" s="59">
        <v>78.3</v>
      </c>
    </row>
    <row r="790" spans="13:14">
      <c r="M790" s="59">
        <v>0.81025100000000005</v>
      </c>
      <c r="N790" s="59">
        <v>78.400000000000006</v>
      </c>
    </row>
    <row r="791" spans="13:14">
      <c r="M791" s="59">
        <v>0.81025100000000005</v>
      </c>
      <c r="N791" s="59">
        <v>78.5</v>
      </c>
    </row>
    <row r="792" spans="13:14">
      <c r="M792" s="59">
        <v>0.81025100000000005</v>
      </c>
      <c r="N792" s="59">
        <v>78.599999999999994</v>
      </c>
    </row>
    <row r="793" spans="13:14">
      <c r="M793" s="59">
        <v>0.81025100000000005</v>
      </c>
      <c r="N793" s="59">
        <v>78.7</v>
      </c>
    </row>
    <row r="794" spans="13:14">
      <c r="M794" s="59">
        <v>0.81025100000000005</v>
      </c>
      <c r="N794" s="59">
        <v>78.8</v>
      </c>
    </row>
    <row r="795" spans="13:14">
      <c r="M795" s="59">
        <v>0.81025100000000005</v>
      </c>
      <c r="N795" s="59">
        <v>78.900000000000006</v>
      </c>
    </row>
    <row r="796" spans="13:14">
      <c r="M796" s="59">
        <v>0.81025100000000005</v>
      </c>
      <c r="N796" s="59">
        <v>79</v>
      </c>
    </row>
    <row r="797" spans="13:14">
      <c r="M797" s="59">
        <v>0.81025100000000005</v>
      </c>
      <c r="N797" s="59">
        <v>79.099999999999994</v>
      </c>
    </row>
    <row r="798" spans="13:14">
      <c r="M798" s="59">
        <v>0.81025100000000005</v>
      </c>
      <c r="N798" s="59">
        <v>79.2</v>
      </c>
    </row>
    <row r="799" spans="13:14">
      <c r="M799" s="59">
        <v>0.81025100000000005</v>
      </c>
      <c r="N799" s="59">
        <v>79.3</v>
      </c>
    </row>
    <row r="800" spans="13:14">
      <c r="M800" s="59">
        <v>0.81025100000000005</v>
      </c>
      <c r="N800" s="59">
        <v>79.400000000000006</v>
      </c>
    </row>
    <row r="801" spans="13:14">
      <c r="M801" s="59">
        <v>0.81275795000000095</v>
      </c>
      <c r="N801" s="59">
        <v>79.5</v>
      </c>
    </row>
    <row r="802" spans="13:14">
      <c r="M802" s="59">
        <v>0.83231216000000097</v>
      </c>
      <c r="N802" s="59">
        <v>79.599999999999994</v>
      </c>
    </row>
    <row r="803" spans="13:14">
      <c r="M803" s="59">
        <v>0.85186637000000098</v>
      </c>
      <c r="N803" s="59">
        <v>79.7</v>
      </c>
    </row>
    <row r="804" spans="13:14">
      <c r="M804" s="59">
        <v>0.86596099999999998</v>
      </c>
      <c r="N804" s="59">
        <v>79.8</v>
      </c>
    </row>
    <row r="805" spans="13:14">
      <c r="M805" s="59">
        <v>0.86596099999999998</v>
      </c>
      <c r="N805" s="59">
        <v>79.900000000000006</v>
      </c>
    </row>
    <row r="806" spans="13:14">
      <c r="M806" s="59">
        <v>0.86596099999999998</v>
      </c>
      <c r="N806" s="59">
        <v>80</v>
      </c>
    </row>
    <row r="807" spans="13:14">
      <c r="M807" s="59">
        <v>0.86596099999999998</v>
      </c>
      <c r="N807" s="59">
        <v>80.099999999999994</v>
      </c>
    </row>
    <row r="808" spans="13:14">
      <c r="M808" s="59">
        <v>0.86596099999999998</v>
      </c>
      <c r="N808" s="59">
        <v>80.2</v>
      </c>
    </row>
    <row r="809" spans="13:14">
      <c r="M809" s="59">
        <v>0.86596099999999998</v>
      </c>
      <c r="N809" s="59">
        <v>80.3</v>
      </c>
    </row>
    <row r="810" spans="13:14">
      <c r="M810" s="59">
        <v>0.86596099999999998</v>
      </c>
      <c r="N810" s="59">
        <v>80.400000000000006</v>
      </c>
    </row>
    <row r="811" spans="13:14">
      <c r="M811" s="59">
        <v>0.86596099999999998</v>
      </c>
      <c r="N811" s="59">
        <v>80.5</v>
      </c>
    </row>
    <row r="812" spans="13:14">
      <c r="M812" s="59">
        <v>0.86596099999999998</v>
      </c>
      <c r="N812" s="59">
        <v>80.599999999999994</v>
      </c>
    </row>
    <row r="813" spans="13:14">
      <c r="M813" s="59">
        <v>0.86596099999999998</v>
      </c>
      <c r="N813" s="59">
        <v>80.7</v>
      </c>
    </row>
    <row r="814" spans="13:14">
      <c r="M814" s="59">
        <v>0.86596099999999998</v>
      </c>
      <c r="N814" s="59">
        <v>80.8</v>
      </c>
    </row>
    <row r="815" spans="13:14">
      <c r="M815" s="59">
        <v>0.86596099999999998</v>
      </c>
      <c r="N815" s="59">
        <v>80.900000000000006</v>
      </c>
    </row>
    <row r="816" spans="13:14">
      <c r="M816" s="59">
        <v>0.86596099999999998</v>
      </c>
      <c r="N816" s="59">
        <v>81</v>
      </c>
    </row>
    <row r="817" spans="13:14">
      <c r="M817" s="59">
        <v>0.86596099999999998</v>
      </c>
      <c r="N817" s="59">
        <v>81.099999999999994</v>
      </c>
    </row>
    <row r="818" spans="13:14">
      <c r="M818" s="59">
        <v>0.86596099999999998</v>
      </c>
      <c r="N818" s="59">
        <v>81.2</v>
      </c>
    </row>
    <row r="819" spans="13:14">
      <c r="M819" s="59">
        <v>0.86596099999999998</v>
      </c>
      <c r="N819" s="59">
        <v>81.3</v>
      </c>
    </row>
    <row r="820" spans="13:14">
      <c r="M820" s="59">
        <v>0.86596099999999998</v>
      </c>
      <c r="N820" s="59">
        <v>81.400000000000006</v>
      </c>
    </row>
    <row r="821" spans="13:14">
      <c r="M821" s="59">
        <v>0.86596099999999998</v>
      </c>
      <c r="N821" s="59">
        <v>81.5</v>
      </c>
    </row>
    <row r="822" spans="13:14">
      <c r="M822" s="59">
        <v>0.86596099999999998</v>
      </c>
      <c r="N822" s="59">
        <v>81.599999999999994</v>
      </c>
    </row>
    <row r="823" spans="13:14">
      <c r="M823" s="59">
        <v>0.86596099999999998</v>
      </c>
      <c r="N823" s="59">
        <v>81.7</v>
      </c>
    </row>
    <row r="824" spans="13:14">
      <c r="M824" s="59">
        <v>0.86596099999999998</v>
      </c>
      <c r="N824" s="59">
        <v>81.8</v>
      </c>
    </row>
    <row r="825" spans="13:14">
      <c r="M825" s="59">
        <v>0.86596099999999998</v>
      </c>
      <c r="N825" s="59">
        <v>81.900000000000006</v>
      </c>
    </row>
    <row r="826" spans="13:14">
      <c r="M826" s="59">
        <v>0.86596099999999998</v>
      </c>
      <c r="N826" s="59">
        <v>82</v>
      </c>
    </row>
    <row r="827" spans="13:14">
      <c r="M827" s="59">
        <v>0.86596099999999998</v>
      </c>
      <c r="N827" s="59">
        <v>82.1</v>
      </c>
    </row>
    <row r="828" spans="13:14">
      <c r="M828" s="59">
        <v>0.86596099999999998</v>
      </c>
      <c r="N828" s="59">
        <v>82.2</v>
      </c>
    </row>
    <row r="829" spans="13:14">
      <c r="M829" s="59">
        <v>0.86596099999999998</v>
      </c>
      <c r="N829" s="59">
        <v>82.3</v>
      </c>
    </row>
    <row r="830" spans="13:14">
      <c r="M830" s="59">
        <v>0.86596099999999998</v>
      </c>
      <c r="N830" s="59">
        <v>82.4</v>
      </c>
    </row>
    <row r="831" spans="13:14">
      <c r="M831" s="59">
        <v>0.86596099999999998</v>
      </c>
      <c r="N831" s="59">
        <v>82.5</v>
      </c>
    </row>
    <row r="832" spans="13:14">
      <c r="M832" s="59">
        <v>0.86596099999999998</v>
      </c>
      <c r="N832" s="59">
        <v>82.6</v>
      </c>
    </row>
    <row r="833" spans="13:14">
      <c r="M833" s="59">
        <v>0.86596099999999998</v>
      </c>
      <c r="N833" s="59">
        <v>82.7</v>
      </c>
    </row>
    <row r="834" spans="13:14">
      <c r="M834" s="59">
        <v>0.86596099999999998</v>
      </c>
      <c r="N834" s="59">
        <v>82.8</v>
      </c>
    </row>
    <row r="835" spans="13:14">
      <c r="M835" s="59">
        <v>0.86596099999999998</v>
      </c>
      <c r="N835" s="59">
        <v>82.9</v>
      </c>
    </row>
    <row r="836" spans="13:14">
      <c r="M836" s="59">
        <v>0.86596099999999998</v>
      </c>
      <c r="N836" s="59">
        <v>83</v>
      </c>
    </row>
    <row r="837" spans="13:14">
      <c r="M837" s="59">
        <v>0.86596099999999998</v>
      </c>
      <c r="N837" s="59">
        <v>83.1</v>
      </c>
    </row>
    <row r="838" spans="13:14">
      <c r="M838" s="59">
        <v>0.86596099999999998</v>
      </c>
      <c r="N838" s="59">
        <v>83.2</v>
      </c>
    </row>
    <row r="839" spans="13:14">
      <c r="M839" s="59">
        <v>0.86596099999999998</v>
      </c>
      <c r="N839" s="59">
        <v>83.3</v>
      </c>
    </row>
    <row r="840" spans="13:14">
      <c r="M840" s="59">
        <v>0.86596099999999998</v>
      </c>
      <c r="N840" s="59">
        <v>83.4</v>
      </c>
    </row>
    <row r="841" spans="13:14">
      <c r="M841" s="59">
        <v>0.87069643499999905</v>
      </c>
      <c r="N841" s="59">
        <v>83.5</v>
      </c>
    </row>
    <row r="842" spans="13:14">
      <c r="M842" s="59">
        <v>0.89025099599999902</v>
      </c>
      <c r="N842" s="59">
        <v>83.6</v>
      </c>
    </row>
    <row r="843" spans="13:14">
      <c r="M843" s="59">
        <v>0.90980555699999899</v>
      </c>
      <c r="N843" s="59">
        <v>83.7</v>
      </c>
    </row>
    <row r="844" spans="13:14">
      <c r="M844" s="59">
        <v>0.93704795999999702</v>
      </c>
      <c r="N844" s="59">
        <v>83.8</v>
      </c>
    </row>
    <row r="845" spans="13:14">
      <c r="M845" s="59">
        <v>0.97615637999999705</v>
      </c>
      <c r="N845" s="59">
        <v>83.9</v>
      </c>
    </row>
    <row r="846" spans="13:14">
      <c r="M846" s="59">
        <v>1.0152648</v>
      </c>
      <c r="N846" s="59">
        <v>84</v>
      </c>
    </row>
    <row r="847" spans="13:14">
      <c r="M847" s="59">
        <v>1.0330919999999999</v>
      </c>
      <c r="N847" s="59">
        <v>84.1</v>
      </c>
    </row>
    <row r="848" spans="13:14">
      <c r="M848" s="59">
        <v>1.0330919999999999</v>
      </c>
      <c r="N848" s="59">
        <v>84.2</v>
      </c>
    </row>
    <row r="849" spans="13:14">
      <c r="M849" s="59">
        <v>1.0330919999999999</v>
      </c>
      <c r="N849" s="59">
        <v>84.3</v>
      </c>
    </row>
    <row r="850" spans="13:14">
      <c r="M850" s="59">
        <v>1.0330919999999999</v>
      </c>
      <c r="N850" s="59">
        <v>84.4</v>
      </c>
    </row>
    <row r="851" spans="13:14">
      <c r="M851" s="59">
        <v>1.0330919999999999</v>
      </c>
      <c r="N851" s="59">
        <v>84.5</v>
      </c>
    </row>
    <row r="852" spans="13:14">
      <c r="M852" s="59">
        <v>1.0330919999999999</v>
      </c>
      <c r="N852" s="59">
        <v>84.6</v>
      </c>
    </row>
    <row r="853" spans="13:14">
      <c r="M853" s="59">
        <v>1.0330919999999999</v>
      </c>
      <c r="N853" s="59">
        <v>84.7</v>
      </c>
    </row>
    <row r="854" spans="13:14">
      <c r="M854" s="59">
        <v>1.0330919999999999</v>
      </c>
      <c r="N854" s="59">
        <v>84.8</v>
      </c>
    </row>
    <row r="855" spans="13:14">
      <c r="M855" s="59">
        <v>1.0330919999999999</v>
      </c>
      <c r="N855" s="59">
        <v>84.9</v>
      </c>
    </row>
    <row r="856" spans="13:14">
      <c r="M856" s="59">
        <v>1.0330919999999999</v>
      </c>
      <c r="N856" s="59">
        <v>85</v>
      </c>
    </row>
    <row r="857" spans="13:14">
      <c r="M857" s="59">
        <v>1.0330919999999999</v>
      </c>
      <c r="N857" s="59">
        <v>85.1</v>
      </c>
    </row>
    <row r="858" spans="13:14">
      <c r="M858" s="59">
        <v>1.0330919999999999</v>
      </c>
      <c r="N858" s="59">
        <v>85.2</v>
      </c>
    </row>
    <row r="859" spans="13:14">
      <c r="M859" s="59">
        <v>1.0330919999999999</v>
      </c>
      <c r="N859" s="59">
        <v>85.3</v>
      </c>
    </row>
    <row r="860" spans="13:14">
      <c r="M860" s="59">
        <v>1.0330919999999999</v>
      </c>
      <c r="N860" s="59">
        <v>85.4</v>
      </c>
    </row>
    <row r="861" spans="13:14">
      <c r="M861" s="59">
        <v>1.0330919999999999</v>
      </c>
      <c r="N861" s="59">
        <v>85.5</v>
      </c>
    </row>
    <row r="862" spans="13:14">
      <c r="M862" s="59">
        <v>1.0330919999999999</v>
      </c>
      <c r="N862" s="59">
        <v>85.6</v>
      </c>
    </row>
    <row r="863" spans="13:14">
      <c r="M863" s="59">
        <v>1.0330919999999999</v>
      </c>
      <c r="N863" s="59">
        <v>85.7</v>
      </c>
    </row>
    <row r="864" spans="13:14">
      <c r="M864" s="59">
        <v>1.0330919999999999</v>
      </c>
      <c r="N864" s="59">
        <v>85.8</v>
      </c>
    </row>
    <row r="865" spans="13:14">
      <c r="M865" s="59">
        <v>1.0330919999999999</v>
      </c>
      <c r="N865" s="59">
        <v>85.9</v>
      </c>
    </row>
    <row r="866" spans="13:14">
      <c r="M866" s="59">
        <v>1.0330919999999999</v>
      </c>
      <c r="N866" s="59">
        <v>86</v>
      </c>
    </row>
    <row r="867" spans="13:14">
      <c r="M867" s="59">
        <v>1.0330919999999999</v>
      </c>
      <c r="N867" s="59">
        <v>86.1</v>
      </c>
    </row>
    <row r="868" spans="13:14">
      <c r="M868" s="59">
        <v>1.0330919999999999</v>
      </c>
      <c r="N868" s="59">
        <v>86.2</v>
      </c>
    </row>
    <row r="869" spans="13:14">
      <c r="M869" s="59">
        <v>1.0330919999999999</v>
      </c>
      <c r="N869" s="59">
        <v>86.3</v>
      </c>
    </row>
    <row r="870" spans="13:14">
      <c r="M870" s="59">
        <v>1.0330919999999999</v>
      </c>
      <c r="N870" s="59">
        <v>86.4</v>
      </c>
    </row>
    <row r="871" spans="13:14">
      <c r="M871" s="59">
        <v>1.0330919999999999</v>
      </c>
      <c r="N871" s="59">
        <v>86.5</v>
      </c>
    </row>
    <row r="872" spans="13:14">
      <c r="M872" s="59">
        <v>1.0330919999999999</v>
      </c>
      <c r="N872" s="59">
        <v>86.6</v>
      </c>
    </row>
    <row r="873" spans="13:14">
      <c r="M873" s="59">
        <v>1.0330919999999999</v>
      </c>
      <c r="N873" s="59">
        <v>86.7</v>
      </c>
    </row>
    <row r="874" spans="13:14">
      <c r="M874" s="59">
        <v>1.0330919999999999</v>
      </c>
      <c r="N874" s="59">
        <v>86.8</v>
      </c>
    </row>
    <row r="875" spans="13:14">
      <c r="M875" s="59">
        <v>1.0330919999999999</v>
      </c>
      <c r="N875" s="59">
        <v>86.9</v>
      </c>
    </row>
    <row r="876" spans="13:14">
      <c r="M876" s="59">
        <v>1.0330919999999999</v>
      </c>
      <c r="N876" s="59">
        <v>87</v>
      </c>
    </row>
    <row r="877" spans="13:14">
      <c r="M877" s="59">
        <v>1.0330919999999999</v>
      </c>
      <c r="N877" s="59">
        <v>87.1</v>
      </c>
    </row>
    <row r="878" spans="13:14">
      <c r="M878" s="59">
        <v>1.0330919999999999</v>
      </c>
      <c r="N878" s="59">
        <v>87.2</v>
      </c>
    </row>
    <row r="879" spans="13:14">
      <c r="M879" s="59">
        <v>1.0330919999999999</v>
      </c>
      <c r="N879" s="59">
        <v>87.3</v>
      </c>
    </row>
    <row r="880" spans="13:14">
      <c r="M880" s="59">
        <v>1.0330919999999999</v>
      </c>
      <c r="N880" s="59">
        <v>87.4</v>
      </c>
    </row>
    <row r="881" spans="13:14">
      <c r="M881" s="59">
        <v>1.0330919999999999</v>
      </c>
      <c r="N881" s="59">
        <v>87.5</v>
      </c>
    </row>
    <row r="882" spans="13:14">
      <c r="M882" s="59">
        <v>1.0330919999999999</v>
      </c>
      <c r="N882" s="59">
        <v>87.6</v>
      </c>
    </row>
    <row r="883" spans="13:14">
      <c r="M883" s="59">
        <v>1.0330919999999999</v>
      </c>
      <c r="N883" s="59">
        <v>87.7</v>
      </c>
    </row>
    <row r="884" spans="13:14">
      <c r="M884" s="59">
        <v>1.0330919999999999</v>
      </c>
      <c r="N884" s="59">
        <v>87.8</v>
      </c>
    </row>
    <row r="885" spans="13:14">
      <c r="M885" s="59">
        <v>1.0330919999999999</v>
      </c>
      <c r="N885" s="59">
        <v>87.9</v>
      </c>
    </row>
    <row r="886" spans="13:14">
      <c r="M886" s="59">
        <v>1.0330919999999999</v>
      </c>
      <c r="N886" s="59">
        <v>88</v>
      </c>
    </row>
    <row r="887" spans="13:14">
      <c r="M887" s="59">
        <v>1.0330919999999999</v>
      </c>
      <c r="N887" s="59">
        <v>88.1</v>
      </c>
    </row>
    <row r="888" spans="13:14">
      <c r="M888" s="59">
        <v>1.0330919999999999</v>
      </c>
      <c r="N888" s="59">
        <v>88.2</v>
      </c>
    </row>
    <row r="889" spans="13:14">
      <c r="M889" s="59">
        <v>1.0330919999999999</v>
      </c>
      <c r="N889" s="59">
        <v>88.3</v>
      </c>
    </row>
    <row r="890" spans="13:14">
      <c r="M890" s="59">
        <v>1.0330919999999999</v>
      </c>
      <c r="N890" s="59">
        <v>88.4</v>
      </c>
    </row>
    <row r="891" spans="13:14">
      <c r="M891" s="59">
        <v>1.0330919999999999</v>
      </c>
      <c r="N891" s="59">
        <v>88.5</v>
      </c>
    </row>
    <row r="892" spans="13:14">
      <c r="M892" s="59">
        <v>1.0330919999999999</v>
      </c>
      <c r="N892" s="59">
        <v>88.6</v>
      </c>
    </row>
    <row r="893" spans="13:14">
      <c r="M893" s="59">
        <v>1.0330919999999999</v>
      </c>
      <c r="N893" s="59">
        <v>88.7</v>
      </c>
    </row>
    <row r="894" spans="13:14">
      <c r="M894" s="59">
        <v>1.0330919999999999</v>
      </c>
      <c r="N894" s="59">
        <v>88.8</v>
      </c>
    </row>
    <row r="895" spans="13:14">
      <c r="M895" s="59">
        <v>1.0352647290000001</v>
      </c>
      <c r="N895" s="59">
        <v>88.9</v>
      </c>
    </row>
    <row r="896" spans="13:14">
      <c r="M896" s="59">
        <v>1.05481929</v>
      </c>
      <c r="N896" s="59">
        <v>89</v>
      </c>
    </row>
    <row r="897" spans="13:14">
      <c r="M897" s="59">
        <v>1.074373851</v>
      </c>
      <c r="N897" s="59">
        <v>89.1</v>
      </c>
    </row>
    <row r="898" spans="13:14">
      <c r="M898" s="59">
        <v>1.0939283200000001</v>
      </c>
      <c r="N898" s="59">
        <v>89.2</v>
      </c>
    </row>
    <row r="899" spans="13:14">
      <c r="M899" s="59">
        <v>1.11348253</v>
      </c>
      <c r="N899" s="59">
        <v>89.3</v>
      </c>
    </row>
    <row r="900" spans="13:14">
      <c r="M900" s="59">
        <v>1.1330367400000001</v>
      </c>
      <c r="N900" s="59">
        <v>89.4</v>
      </c>
    </row>
    <row r="901" spans="13:14">
      <c r="M901" s="59">
        <v>1.152591095</v>
      </c>
      <c r="N901" s="59">
        <v>89.5</v>
      </c>
    </row>
    <row r="902" spans="13:14">
      <c r="M902" s="59">
        <v>1.1721456560000001</v>
      </c>
      <c r="N902" s="59">
        <v>89.6</v>
      </c>
    </row>
    <row r="903" spans="13:14">
      <c r="M903" s="59">
        <v>1.191700217</v>
      </c>
      <c r="N903" s="59">
        <v>89.7</v>
      </c>
    </row>
    <row r="904" spans="13:14">
      <c r="M904" s="59">
        <v>1.2222853579999999</v>
      </c>
      <c r="N904" s="59">
        <v>89.8</v>
      </c>
    </row>
    <row r="905" spans="13:14">
      <c r="M905" s="59">
        <v>1.2613941289999999</v>
      </c>
      <c r="N905" s="59">
        <v>89.9</v>
      </c>
    </row>
    <row r="906" spans="13:14">
      <c r="M906" s="59">
        <v>1.3005028999999999</v>
      </c>
      <c r="N906" s="59">
        <v>90</v>
      </c>
    </row>
    <row r="907" spans="13:14">
      <c r="M907" s="59">
        <v>1.325628461</v>
      </c>
      <c r="N907" s="59">
        <v>90.1</v>
      </c>
    </row>
    <row r="908" spans="13:14">
      <c r="M908" s="59">
        <v>1.3451830220000001</v>
      </c>
      <c r="N908" s="59">
        <v>90.2</v>
      </c>
    </row>
    <row r="909" spans="13:14">
      <c r="M909" s="59">
        <v>1.3647375829999999</v>
      </c>
      <c r="N909" s="59">
        <v>90.3</v>
      </c>
    </row>
    <row r="910" spans="13:14">
      <c r="M910" s="59">
        <v>1.4561747680000099</v>
      </c>
      <c r="N910" s="59">
        <v>90.4</v>
      </c>
    </row>
    <row r="911" spans="13:14">
      <c r="M911" s="59">
        <v>1.55872538500001</v>
      </c>
      <c r="N911" s="59">
        <v>90.5</v>
      </c>
    </row>
    <row r="912" spans="13:14">
      <c r="M912" s="59">
        <v>1.6595230000000001</v>
      </c>
      <c r="N912" s="59">
        <v>90.6</v>
      </c>
    </row>
    <row r="913" spans="13:14">
      <c r="M913" s="59">
        <v>1.6595230000000001</v>
      </c>
      <c r="N913" s="59">
        <v>90.7</v>
      </c>
    </row>
    <row r="914" spans="13:14">
      <c r="M914" s="59">
        <v>1.6595230000000001</v>
      </c>
      <c r="N914" s="59">
        <v>90.8</v>
      </c>
    </row>
    <row r="915" spans="13:14">
      <c r="M915" s="59">
        <v>1.6595230000000001</v>
      </c>
      <c r="N915" s="59">
        <v>90.9</v>
      </c>
    </row>
    <row r="916" spans="13:14">
      <c r="M916" s="59">
        <v>1.6595230000000001</v>
      </c>
      <c r="N916" s="59">
        <v>91</v>
      </c>
    </row>
    <row r="917" spans="13:14">
      <c r="M917" s="59">
        <v>1.6595230000000001</v>
      </c>
      <c r="N917" s="59">
        <v>91.1</v>
      </c>
    </row>
    <row r="918" spans="13:14">
      <c r="M918" s="59">
        <v>1.6595230000000001</v>
      </c>
      <c r="N918" s="59">
        <v>91.2</v>
      </c>
    </row>
    <row r="919" spans="13:14">
      <c r="M919" s="59">
        <v>1.6595230000000001</v>
      </c>
      <c r="N919" s="59">
        <v>91.3</v>
      </c>
    </row>
    <row r="920" spans="13:14">
      <c r="M920" s="59">
        <v>1.6595230000000001</v>
      </c>
      <c r="N920" s="59">
        <v>91.4</v>
      </c>
    </row>
    <row r="921" spans="13:14">
      <c r="M921" s="59">
        <v>1.6595230000000001</v>
      </c>
      <c r="N921" s="59">
        <v>91.5</v>
      </c>
    </row>
    <row r="922" spans="13:14">
      <c r="M922" s="59">
        <v>1.6595230000000001</v>
      </c>
      <c r="N922" s="59">
        <v>91.6</v>
      </c>
    </row>
    <row r="923" spans="13:14">
      <c r="M923" s="59">
        <v>1.6595230000000001</v>
      </c>
      <c r="N923" s="59">
        <v>91.7</v>
      </c>
    </row>
    <row r="924" spans="13:14">
      <c r="M924" s="59">
        <v>1.6595230000000001</v>
      </c>
      <c r="N924" s="59">
        <v>91.8</v>
      </c>
    </row>
    <row r="925" spans="13:14">
      <c r="M925" s="59">
        <v>1.6595230000000001</v>
      </c>
      <c r="N925" s="59">
        <v>91.9</v>
      </c>
    </row>
    <row r="926" spans="13:14">
      <c r="M926" s="59">
        <v>1.6595230000000001</v>
      </c>
      <c r="N926" s="59">
        <v>92</v>
      </c>
    </row>
    <row r="927" spans="13:14">
      <c r="M927" s="59">
        <v>1.6595230000000001</v>
      </c>
      <c r="N927" s="59">
        <v>92.1</v>
      </c>
    </row>
    <row r="928" spans="13:14">
      <c r="M928" s="59">
        <v>1.6595230000000001</v>
      </c>
      <c r="N928" s="59">
        <v>92.2</v>
      </c>
    </row>
    <row r="929" spans="13:14">
      <c r="M929" s="59">
        <v>1.6595230000000001</v>
      </c>
      <c r="N929" s="59">
        <v>92.3</v>
      </c>
    </row>
    <row r="930" spans="13:14">
      <c r="M930" s="59">
        <v>1.6595230000000001</v>
      </c>
      <c r="N930" s="59">
        <v>92.4</v>
      </c>
    </row>
    <row r="931" spans="13:14">
      <c r="M931" s="59">
        <v>1.6595230000000001</v>
      </c>
      <c r="N931" s="59">
        <v>92.5</v>
      </c>
    </row>
    <row r="932" spans="13:14">
      <c r="M932" s="59">
        <v>1.6595230000000001</v>
      </c>
      <c r="N932" s="59">
        <v>92.6</v>
      </c>
    </row>
    <row r="933" spans="13:14">
      <c r="M933" s="59">
        <v>1.6595230000000001</v>
      </c>
      <c r="N933" s="59">
        <v>92.7</v>
      </c>
    </row>
    <row r="934" spans="13:14">
      <c r="M934" s="59">
        <v>1.6595230000000001</v>
      </c>
      <c r="N934" s="59">
        <v>92.8</v>
      </c>
    </row>
    <row r="935" spans="13:14">
      <c r="M935" s="59">
        <v>1.6595230000000001</v>
      </c>
      <c r="N935" s="59">
        <v>92.9</v>
      </c>
    </row>
    <row r="936" spans="13:14">
      <c r="M936" s="59">
        <v>1.6595230000000001</v>
      </c>
      <c r="N936" s="59">
        <v>93</v>
      </c>
    </row>
    <row r="937" spans="13:14">
      <c r="M937" s="59">
        <v>1.6595230000000001</v>
      </c>
      <c r="N937" s="59">
        <v>93.1</v>
      </c>
    </row>
    <row r="938" spans="13:14">
      <c r="M938" s="59">
        <v>1.6595230000000001</v>
      </c>
      <c r="N938" s="59">
        <v>93.2</v>
      </c>
    </row>
    <row r="939" spans="13:14">
      <c r="M939" s="59">
        <v>1.6595230000000001</v>
      </c>
      <c r="N939" s="59">
        <v>93.3</v>
      </c>
    </row>
    <row r="940" spans="13:14">
      <c r="M940" s="59">
        <v>1.6595230000000001</v>
      </c>
      <c r="N940" s="59">
        <v>93.4</v>
      </c>
    </row>
    <row r="941" spans="13:14">
      <c r="M941" s="59">
        <v>1.6595230000000001</v>
      </c>
      <c r="N941" s="59">
        <v>93.5</v>
      </c>
    </row>
    <row r="942" spans="13:14">
      <c r="M942" s="59">
        <v>1.6595230000000001</v>
      </c>
      <c r="N942" s="59">
        <v>93.6</v>
      </c>
    </row>
    <row r="943" spans="13:14">
      <c r="M943" s="59">
        <v>1.6595230000000001</v>
      </c>
      <c r="N943" s="59">
        <v>93.7</v>
      </c>
    </row>
    <row r="944" spans="13:14">
      <c r="M944" s="59">
        <v>1.6595230000000001</v>
      </c>
      <c r="N944" s="59">
        <v>93.8</v>
      </c>
    </row>
    <row r="945" spans="13:14">
      <c r="M945" s="59">
        <v>1.6595230000000001</v>
      </c>
      <c r="N945" s="59">
        <v>93.9</v>
      </c>
    </row>
    <row r="946" spans="13:14">
      <c r="M946" s="59">
        <v>1.6595230000000001</v>
      </c>
      <c r="N946" s="59">
        <v>94</v>
      </c>
    </row>
    <row r="947" spans="13:14">
      <c r="M947" s="59">
        <v>1.6595230000000001</v>
      </c>
      <c r="N947" s="59">
        <v>94.1</v>
      </c>
    </row>
    <row r="948" spans="13:14">
      <c r="M948" s="59">
        <v>1.6595230000000001</v>
      </c>
      <c r="N948" s="59">
        <v>94.2</v>
      </c>
    </row>
    <row r="949" spans="13:14">
      <c r="M949" s="59">
        <v>1.6595230000000001</v>
      </c>
      <c r="N949" s="59">
        <v>94.3</v>
      </c>
    </row>
    <row r="950" spans="13:14">
      <c r="M950" s="59">
        <v>1.6595230000000001</v>
      </c>
      <c r="N950" s="59">
        <v>94.4</v>
      </c>
    </row>
    <row r="951" spans="13:14">
      <c r="M951" s="59">
        <v>1.6595230000000001</v>
      </c>
      <c r="N951" s="59">
        <v>94.5</v>
      </c>
    </row>
    <row r="952" spans="13:14">
      <c r="M952" s="59">
        <v>1.6595230000000001</v>
      </c>
      <c r="N952" s="59">
        <v>94.6</v>
      </c>
    </row>
    <row r="953" spans="13:14">
      <c r="M953" s="59">
        <v>1.6595230000000001</v>
      </c>
      <c r="N953" s="59">
        <v>94.7</v>
      </c>
    </row>
    <row r="954" spans="13:14">
      <c r="M954" s="59">
        <v>1.6595230000000001</v>
      </c>
      <c r="N954" s="59">
        <v>94.8</v>
      </c>
    </row>
    <row r="955" spans="13:14">
      <c r="M955" s="59">
        <v>1.66503829</v>
      </c>
      <c r="N955" s="59">
        <v>94.9</v>
      </c>
    </row>
    <row r="956" spans="13:14">
      <c r="M956" s="59">
        <v>1.6845924999999999</v>
      </c>
      <c r="N956" s="59">
        <v>95</v>
      </c>
    </row>
    <row r="957" spans="13:14">
      <c r="M957" s="59">
        <v>1.7041467100000001</v>
      </c>
      <c r="N957" s="59">
        <v>95.1</v>
      </c>
    </row>
    <row r="958" spans="13:14">
      <c r="M958" s="59">
        <v>1.715233</v>
      </c>
      <c r="N958" s="59">
        <v>95.2</v>
      </c>
    </row>
    <row r="959" spans="13:14">
      <c r="M959" s="59">
        <v>1.715233</v>
      </c>
      <c r="N959" s="59">
        <v>95.3</v>
      </c>
    </row>
    <row r="960" spans="13:14">
      <c r="M960" s="59">
        <v>1.715233</v>
      </c>
      <c r="N960" s="59">
        <v>95.4</v>
      </c>
    </row>
    <row r="961" spans="13:14">
      <c r="M961" s="59">
        <v>1.715233</v>
      </c>
      <c r="N961" s="59">
        <v>95.5</v>
      </c>
    </row>
    <row r="962" spans="13:14">
      <c r="M962" s="59">
        <v>1.715233</v>
      </c>
      <c r="N962" s="59">
        <v>95.6</v>
      </c>
    </row>
    <row r="963" spans="13:14">
      <c r="M963" s="59">
        <v>1.715233</v>
      </c>
      <c r="N963" s="59">
        <v>95.7</v>
      </c>
    </row>
    <row r="964" spans="13:14">
      <c r="M964" s="59">
        <v>1.715233</v>
      </c>
      <c r="N964" s="59">
        <v>95.8</v>
      </c>
    </row>
    <row r="965" spans="13:14">
      <c r="M965" s="59">
        <v>1.715233</v>
      </c>
      <c r="N965" s="59">
        <v>95.9</v>
      </c>
    </row>
    <row r="966" spans="13:14">
      <c r="M966" s="59">
        <v>1.715233</v>
      </c>
      <c r="N966" s="59">
        <v>96</v>
      </c>
    </row>
    <row r="967" spans="13:14">
      <c r="M967" s="59">
        <v>1.749884931</v>
      </c>
      <c r="N967" s="59">
        <v>96.1</v>
      </c>
    </row>
    <row r="968" spans="13:14">
      <c r="M968" s="59">
        <v>1.788993702</v>
      </c>
      <c r="N968" s="59">
        <v>96.2</v>
      </c>
    </row>
    <row r="969" spans="13:14">
      <c r="M969" s="59">
        <v>1.8273782430000001</v>
      </c>
      <c r="N969" s="59">
        <v>96.3</v>
      </c>
    </row>
    <row r="970" spans="13:14">
      <c r="M970" s="59">
        <v>1.8469328039999999</v>
      </c>
      <c r="N970" s="59">
        <v>96.4</v>
      </c>
    </row>
    <row r="971" spans="13:14">
      <c r="M971" s="59">
        <v>1.866487365</v>
      </c>
      <c r="N971" s="59">
        <v>96.5</v>
      </c>
    </row>
    <row r="972" spans="13:14">
      <c r="M972" s="59">
        <v>1.8860419260000001</v>
      </c>
      <c r="N972" s="59">
        <v>96.6</v>
      </c>
    </row>
    <row r="973" spans="13:14">
      <c r="M973" s="59">
        <v>1.905596487</v>
      </c>
      <c r="N973" s="59">
        <v>96.7</v>
      </c>
    </row>
    <row r="974" spans="13:14">
      <c r="M974" s="59">
        <v>1.925151048</v>
      </c>
      <c r="N974" s="59">
        <v>96.8</v>
      </c>
    </row>
    <row r="975" spans="13:14">
      <c r="M975" s="59">
        <v>1.944705371</v>
      </c>
      <c r="N975" s="59">
        <v>96.9</v>
      </c>
    </row>
    <row r="976" spans="13:14">
      <c r="M976" s="59">
        <v>1.9642592299999999</v>
      </c>
      <c r="N976" s="59">
        <v>97</v>
      </c>
    </row>
    <row r="977" spans="13:14">
      <c r="M977" s="59">
        <v>1.9838130890000001</v>
      </c>
      <c r="N977" s="59">
        <v>97.1</v>
      </c>
    </row>
    <row r="978" spans="13:14">
      <c r="M978" s="59">
        <v>1.9937849999999999</v>
      </c>
      <c r="N978" s="59">
        <v>97.2</v>
      </c>
    </row>
    <row r="979" spans="13:14">
      <c r="M979" s="59">
        <v>1.9937849999999999</v>
      </c>
      <c r="N979" s="59">
        <v>97.3</v>
      </c>
    </row>
    <row r="980" spans="13:14">
      <c r="M980" s="59">
        <v>1.9937849999999999</v>
      </c>
      <c r="N980" s="59">
        <v>97.4</v>
      </c>
    </row>
    <row r="981" spans="13:14">
      <c r="M981" s="59">
        <v>1.9937849999999999</v>
      </c>
      <c r="N981" s="59">
        <v>97.5</v>
      </c>
    </row>
    <row r="982" spans="13:14">
      <c r="M982" s="59">
        <v>1.9937849999999999</v>
      </c>
      <c r="N982" s="59">
        <v>97.6</v>
      </c>
    </row>
    <row r="983" spans="13:14">
      <c r="M983" s="59">
        <v>1.9937849999999999</v>
      </c>
      <c r="N983" s="59">
        <v>97.7</v>
      </c>
    </row>
    <row r="984" spans="13:14">
      <c r="M984" s="59">
        <v>1.9937849999999999</v>
      </c>
      <c r="N984" s="59">
        <v>97.8</v>
      </c>
    </row>
    <row r="985" spans="13:14">
      <c r="M985" s="59">
        <v>1.9937849999999999</v>
      </c>
      <c r="N985" s="59">
        <v>97.9</v>
      </c>
    </row>
    <row r="986" spans="13:14">
      <c r="M986" s="59">
        <v>1.9937849999999999</v>
      </c>
      <c r="N986" s="59">
        <v>98</v>
      </c>
    </row>
    <row r="987" spans="13:14">
      <c r="M987" s="59">
        <v>1.9937849999999999</v>
      </c>
      <c r="N987" s="59">
        <v>98.1</v>
      </c>
    </row>
    <row r="988" spans="13:14">
      <c r="M988" s="59">
        <v>1.9937849999999999</v>
      </c>
      <c r="N988" s="59">
        <v>98.2</v>
      </c>
    </row>
    <row r="989" spans="13:14">
      <c r="M989" s="59">
        <v>1.9937849999999999</v>
      </c>
      <c r="N989" s="59">
        <v>98.3</v>
      </c>
    </row>
    <row r="990" spans="13:14">
      <c r="M990" s="59">
        <v>1.9937849999999999</v>
      </c>
      <c r="N990" s="59">
        <v>98.4</v>
      </c>
    </row>
    <row r="991" spans="13:14">
      <c r="M991" s="59">
        <v>1.9937849999999999</v>
      </c>
      <c r="N991" s="59">
        <v>98.5</v>
      </c>
    </row>
    <row r="992" spans="13:14">
      <c r="M992" s="59">
        <v>2.0476580660000101</v>
      </c>
      <c r="N992" s="59">
        <v>98.6</v>
      </c>
    </row>
    <row r="993" spans="13:14">
      <c r="M993" s="59">
        <v>2.2675353470000101</v>
      </c>
      <c r="N993" s="59">
        <v>98.7</v>
      </c>
    </row>
    <row r="994" spans="13:14">
      <c r="M994" s="59">
        <v>2.4874126280000102</v>
      </c>
      <c r="N994" s="59">
        <v>98.8</v>
      </c>
    </row>
    <row r="995" spans="13:14">
      <c r="M995" s="59">
        <v>2.6202160000000001</v>
      </c>
      <c r="N995" s="59">
        <v>98.9</v>
      </c>
    </row>
    <row r="996" spans="13:14">
      <c r="M996" s="59">
        <v>2.6202160000000001</v>
      </c>
      <c r="N996" s="59">
        <v>99</v>
      </c>
    </row>
    <row r="997" spans="13:14">
      <c r="M997" s="59">
        <v>2.6202160000000001</v>
      </c>
      <c r="N997" s="59">
        <v>99.1</v>
      </c>
    </row>
    <row r="998" spans="13:14">
      <c r="M998" s="59">
        <v>2.6202160000000001</v>
      </c>
      <c r="N998" s="59">
        <v>99.2</v>
      </c>
    </row>
    <row r="999" spans="13:14">
      <c r="M999" s="59">
        <v>2.6202160000000001</v>
      </c>
      <c r="N999" s="59">
        <v>99.3</v>
      </c>
    </row>
    <row r="1000" spans="13:14">
      <c r="M1000" s="59">
        <v>2.6202160000000001</v>
      </c>
      <c r="N1000" s="59">
        <v>99.4</v>
      </c>
    </row>
    <row r="1001" spans="13:14">
      <c r="M1001" s="59">
        <v>2.6202160000000001</v>
      </c>
      <c r="N1001" s="59">
        <v>99.5</v>
      </c>
    </row>
    <row r="1002" spans="13:14">
      <c r="M1002" s="59">
        <v>2.6202160000000001</v>
      </c>
      <c r="N1002" s="59">
        <v>99.6</v>
      </c>
    </row>
    <row r="1003" spans="13:14">
      <c r="M1003" s="59">
        <v>2.6202160000000001</v>
      </c>
      <c r="N1003" s="59">
        <v>99.7</v>
      </c>
    </row>
    <row r="1004" spans="13:14">
      <c r="M1004" s="59">
        <v>2.6368175800000002</v>
      </c>
      <c r="N1004" s="59">
        <v>99.8</v>
      </c>
    </row>
    <row r="1005" spans="13:14">
      <c r="M1005" s="59">
        <v>2.6563717900000001</v>
      </c>
      <c r="N1005" s="59">
        <v>99.9</v>
      </c>
    </row>
    <row r="1006" spans="13:14">
      <c r="M1006" s="59">
        <v>2.675926</v>
      </c>
      <c r="N1006" s="59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zoomScale="70" zoomScaleNormal="70" workbookViewId="0">
      <selection activeCell="C8" sqref="C8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str">
        <f>SD_PERC_DigInv!A42</f>
        <v xml:space="preserve"> 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s="59" t="s">
        <v>1</v>
      </c>
      <c r="C5" s="59" t="s">
        <v>17</v>
      </c>
      <c r="H5" s="9" t="s">
        <v>33</v>
      </c>
      <c r="I5" s="57" t="s">
        <v>18</v>
      </c>
      <c r="J5" s="58"/>
      <c r="M5" s="27" t="s">
        <v>11</v>
      </c>
      <c r="N5" s="28" t="s">
        <v>44</v>
      </c>
    </row>
    <row r="6" spans="1:14">
      <c r="B6" s="59" t="s">
        <v>62</v>
      </c>
      <c r="C6" s="59">
        <v>3.7683508610455601</v>
      </c>
      <c r="I6" s="10" t="s">
        <v>36</v>
      </c>
      <c r="M6">
        <v>-2.747706</v>
      </c>
      <c r="N6">
        <v>0</v>
      </c>
    </row>
    <row r="7" spans="1:14">
      <c r="B7" s="59" t="s">
        <v>63</v>
      </c>
      <c r="C7" s="59">
        <v>-1.32519108905629E-2</v>
      </c>
      <c r="M7">
        <v>-2.3647200719999999</v>
      </c>
      <c r="N7">
        <v>0.1</v>
      </c>
    </row>
    <row r="8" spans="1:14">
      <c r="B8" s="59" t="s">
        <v>65</v>
      </c>
      <c r="C8" s="59">
        <v>5.2621478664987398E-2</v>
      </c>
      <c r="I8" s="9"/>
      <c r="J8" s="9"/>
      <c r="M8">
        <v>-1.981734144</v>
      </c>
      <c r="N8">
        <v>0.2</v>
      </c>
    </row>
    <row r="9" spans="1:14">
      <c r="H9" s="9" t="s">
        <v>34</v>
      </c>
      <c r="I9" s="57" t="s">
        <v>37</v>
      </c>
      <c r="J9" s="58"/>
      <c r="M9">
        <v>-1.6565685130000001</v>
      </c>
      <c r="N9">
        <v>0.3</v>
      </c>
    </row>
    <row r="10" spans="1:14">
      <c r="B10" s="29"/>
      <c r="C10" s="30"/>
      <c r="I10" s="12" t="s">
        <v>3</v>
      </c>
      <c r="J10" s="13" t="s">
        <v>36</v>
      </c>
      <c r="M10">
        <v>-1.6565056840000001</v>
      </c>
      <c r="N10">
        <v>0.4</v>
      </c>
    </row>
    <row r="11" spans="1:14">
      <c r="B11" s="29"/>
      <c r="C11" s="30"/>
      <c r="I11" s="14"/>
      <c r="J11" s="15"/>
      <c r="M11">
        <v>-1.6564428550000001</v>
      </c>
      <c r="N11">
        <v>0.5</v>
      </c>
    </row>
    <row r="12" spans="1:14">
      <c r="B12" s="29"/>
      <c r="C12" s="30"/>
      <c r="I12" s="14"/>
      <c r="J12" s="15"/>
      <c r="M12">
        <v>-1.656397304</v>
      </c>
      <c r="N12">
        <v>0.6</v>
      </c>
    </row>
    <row r="13" spans="1:14">
      <c r="B13" s="29"/>
      <c r="C13" s="30"/>
      <c r="I13" s="14"/>
      <c r="J13" s="15"/>
      <c r="M13">
        <v>-1.656391688</v>
      </c>
      <c r="N13">
        <v>0.7</v>
      </c>
    </row>
    <row r="14" spans="1:14">
      <c r="B14" s="29"/>
      <c r="C14" s="30"/>
      <c r="I14" s="14"/>
      <c r="J14" s="15"/>
      <c r="M14">
        <v>-1.6563860720000001</v>
      </c>
      <c r="N14">
        <v>0.8</v>
      </c>
    </row>
    <row r="15" spans="1:14">
      <c r="B15" s="29"/>
      <c r="C15" s="30"/>
      <c r="I15" s="14"/>
      <c r="J15" s="15"/>
      <c r="M15">
        <v>-1.656342296</v>
      </c>
      <c r="N15">
        <v>0.9</v>
      </c>
    </row>
    <row r="16" spans="1:14">
      <c r="B16" s="29"/>
      <c r="C16" s="30"/>
      <c r="I16" s="14"/>
      <c r="J16" s="15"/>
      <c r="M16">
        <v>-1.65625244</v>
      </c>
      <c r="N16">
        <v>1</v>
      </c>
    </row>
    <row r="17" spans="1:14">
      <c r="B17" s="29"/>
      <c r="C17" s="30"/>
      <c r="I17" s="14"/>
      <c r="J17" s="15"/>
      <c r="M17">
        <v>-1.656162584</v>
      </c>
      <c r="N17">
        <v>1.1000000000000001</v>
      </c>
    </row>
    <row r="18" spans="1:14">
      <c r="B18" s="29"/>
      <c r="C18" s="30"/>
      <c r="I18" s="14"/>
      <c r="J18" s="15"/>
      <c r="M18">
        <v>-1.655995772</v>
      </c>
      <c r="N18">
        <v>1.2</v>
      </c>
    </row>
    <row r="19" spans="1:14">
      <c r="B19" s="29"/>
      <c r="C19" s="30"/>
      <c r="I19" s="14"/>
      <c r="J19" s="15"/>
      <c r="M19">
        <v>-1.6557785030000001</v>
      </c>
      <c r="N19">
        <v>1.3</v>
      </c>
    </row>
    <row r="20" spans="1:14">
      <c r="B20" s="29"/>
      <c r="C20" s="30"/>
      <c r="I20" s="14"/>
      <c r="J20" s="15"/>
      <c r="M20">
        <v>-1.6555612340000001</v>
      </c>
      <c r="N20">
        <v>1.4</v>
      </c>
    </row>
    <row r="21" spans="1:14">
      <c r="B21" s="29"/>
      <c r="C21" s="30"/>
      <c r="I21" s="14"/>
      <c r="J21" s="15"/>
      <c r="M21">
        <v>-1.655508</v>
      </c>
      <c r="N21">
        <v>1.5</v>
      </c>
    </row>
    <row r="22" spans="1:14">
      <c r="B22" s="29"/>
      <c r="C22" s="30"/>
      <c r="I22" s="16"/>
      <c r="J22" s="17"/>
      <c r="M22">
        <v>-1.655508</v>
      </c>
      <c r="N22">
        <v>1.6</v>
      </c>
    </row>
    <row r="23" spans="1:14">
      <c r="B23" s="29"/>
      <c r="C23" s="30"/>
      <c r="M23">
        <v>-1.655508</v>
      </c>
      <c r="N23">
        <v>1.7</v>
      </c>
    </row>
    <row r="24" spans="1:14">
      <c r="B24" s="31"/>
      <c r="C24" s="11"/>
      <c r="M24">
        <v>-1.65534264</v>
      </c>
      <c r="N24">
        <v>1.8</v>
      </c>
    </row>
    <row r="25" spans="1:14">
      <c r="H25" s="9" t="s">
        <v>35</v>
      </c>
      <c r="I25" s="57" t="s">
        <v>42</v>
      </c>
      <c r="J25" s="58"/>
      <c r="M25">
        <v>-1.6551601199999999</v>
      </c>
      <c r="N25">
        <v>1.9</v>
      </c>
    </row>
    <row r="26" spans="1:14">
      <c r="I26" t="s">
        <v>1</v>
      </c>
      <c r="J26" t="s">
        <v>17</v>
      </c>
      <c r="M26">
        <v>-1.6549871199999999</v>
      </c>
      <c r="N26">
        <v>2</v>
      </c>
    </row>
    <row r="27" spans="1:14">
      <c r="A27" s="34">
        <v>4</v>
      </c>
      <c r="B27" s="2" t="s">
        <v>2</v>
      </c>
      <c r="C27" s="63">
        <f>C6+(C7*('Normative data'!C6-71.28))+(DigInv!C8*'Normative data'!C8)</f>
        <v>4.7129470693248834</v>
      </c>
      <c r="I27" s="59" t="s">
        <v>62</v>
      </c>
      <c r="J27" s="59">
        <v>-232.209890592047</v>
      </c>
      <c r="M27">
        <v>-1.6549716759999999</v>
      </c>
      <c r="N27">
        <v>2.1</v>
      </c>
    </row>
    <row r="28" spans="1:14">
      <c r="B28" s="2" t="s">
        <v>6</v>
      </c>
      <c r="C28" s="2"/>
      <c r="D28" s="2"/>
      <c r="E28" s="2"/>
      <c r="F28" s="2"/>
      <c r="I28" s="59" t="s">
        <v>66</v>
      </c>
      <c r="J28" s="59">
        <v>162.496336178196</v>
      </c>
      <c r="M28">
        <v>-1.654956232</v>
      </c>
      <c r="N28">
        <v>2.2000000000000002</v>
      </c>
    </row>
    <row r="29" spans="1:14">
      <c r="B29" s="2" t="s">
        <v>7</v>
      </c>
      <c r="C29" s="2"/>
      <c r="D29" s="2"/>
      <c r="E29" s="2"/>
      <c r="F29" s="2"/>
      <c r="I29" s="59" t="s">
        <v>67</v>
      </c>
      <c r="J29" s="59">
        <v>-37.908258818828102</v>
      </c>
      <c r="M29">
        <v>-1.65488122</v>
      </c>
      <c r="N29">
        <v>2.2999999999999998</v>
      </c>
    </row>
    <row r="30" spans="1:14">
      <c r="B30" s="2" t="s">
        <v>8</v>
      </c>
      <c r="I30" s="59" t="s">
        <v>68</v>
      </c>
      <c r="J30" s="59">
        <v>2.9568330493425901</v>
      </c>
      <c r="M30">
        <v>-1.6545793600000001</v>
      </c>
      <c r="N30">
        <v>2.4</v>
      </c>
    </row>
    <row r="31" spans="1:14">
      <c r="I31" s="14"/>
      <c r="J31" s="15"/>
      <c r="M31">
        <v>-1.6542775000000001</v>
      </c>
      <c r="N31">
        <v>2.5</v>
      </c>
    </row>
    <row r="32" spans="1:14">
      <c r="I32" s="35"/>
      <c r="J32" s="17"/>
      <c r="M32">
        <v>-1.6540840000000001</v>
      </c>
      <c r="N32">
        <v>2.6</v>
      </c>
    </row>
    <row r="33" spans="2:14">
      <c r="B33" t="s">
        <v>9</v>
      </c>
      <c r="C33">
        <f>'Normative data'!C15-DigInv!C27</f>
        <v>-4.7129470693248834</v>
      </c>
      <c r="M33">
        <v>-1.6540840000000001</v>
      </c>
      <c r="N33">
        <v>2.7</v>
      </c>
    </row>
    <row r="34" spans="2:14">
      <c r="B34" t="s">
        <v>12</v>
      </c>
      <c r="C34">
        <f>C33/SD_PERC_DigInv!I38</f>
        <v>-4.4050790312312564</v>
      </c>
      <c r="I34" t="s">
        <v>41</v>
      </c>
      <c r="J34">
        <f>SD_PERC_DigInv!I38</f>
        <v>1.0698893336330393</v>
      </c>
      <c r="M34">
        <v>-1.6540840000000001</v>
      </c>
      <c r="N34">
        <v>2.8</v>
      </c>
    </row>
    <row r="35" spans="2:14">
      <c r="M35">
        <v>-1.6539098329999999</v>
      </c>
      <c r="N35">
        <v>2.9</v>
      </c>
    </row>
    <row r="36" spans="2:14">
      <c r="M36">
        <v>-1.65356831</v>
      </c>
      <c r="N36">
        <v>3</v>
      </c>
    </row>
    <row r="37" spans="2:14">
      <c r="M37">
        <v>-1.6532267869999999</v>
      </c>
      <c r="N37">
        <v>3.1</v>
      </c>
    </row>
    <row r="38" spans="2:14">
      <c r="M38">
        <v>-1.6528731999999999</v>
      </c>
      <c r="N38">
        <v>3.2</v>
      </c>
    </row>
    <row r="39" spans="2:14">
      <c r="M39">
        <v>-1.652513425</v>
      </c>
      <c r="N39">
        <v>3.3</v>
      </c>
    </row>
    <row r="40" spans="2:14">
      <c r="M40">
        <v>-1.65215365</v>
      </c>
      <c r="N40">
        <v>3.4</v>
      </c>
    </row>
    <row r="41" spans="2:14">
      <c r="M41">
        <v>-1.651664485</v>
      </c>
      <c r="N41">
        <v>3.5</v>
      </c>
    </row>
    <row r="42" spans="2:14">
      <c r="M42">
        <v>-1.651145356</v>
      </c>
      <c r="N42">
        <v>3.6</v>
      </c>
    </row>
    <row r="43" spans="2:14">
      <c r="M43">
        <v>-1.6506262270000001</v>
      </c>
      <c r="N43">
        <v>3.7</v>
      </c>
    </row>
    <row r="44" spans="2:14">
      <c r="M44">
        <v>-1.6494676020000001</v>
      </c>
      <c r="N44">
        <v>3.8</v>
      </c>
    </row>
    <row r="45" spans="2:14">
      <c r="M45">
        <v>-1.6482843810000001</v>
      </c>
      <c r="N45">
        <v>3.9</v>
      </c>
    </row>
    <row r="46" spans="2:14">
      <c r="M46">
        <v>-1.64703936</v>
      </c>
      <c r="N46">
        <v>4</v>
      </c>
    </row>
    <row r="47" spans="2:14">
      <c r="M47">
        <v>-1.6453138439999999</v>
      </c>
      <c r="N47">
        <v>4.0999999999999996</v>
      </c>
    </row>
    <row r="48" spans="2:14">
      <c r="M48">
        <v>-1.6435883280000001</v>
      </c>
      <c r="N48">
        <v>4.2</v>
      </c>
    </row>
    <row r="49" spans="13:14">
      <c r="M49">
        <v>-1.64232</v>
      </c>
      <c r="N49">
        <v>4.3</v>
      </c>
    </row>
    <row r="50" spans="13:14">
      <c r="M50">
        <v>-1.64232</v>
      </c>
      <c r="N50">
        <v>4.4000000000000004</v>
      </c>
    </row>
    <row r="51" spans="13:14">
      <c r="M51">
        <v>-1.64232</v>
      </c>
      <c r="N51">
        <v>4.5</v>
      </c>
    </row>
    <row r="52" spans="13:14">
      <c r="M52">
        <v>-1.64232</v>
      </c>
      <c r="N52">
        <v>4.5999999999999996</v>
      </c>
    </row>
    <row r="53" spans="13:14">
      <c r="M53">
        <v>-1.64232</v>
      </c>
      <c r="N53">
        <v>4.7</v>
      </c>
    </row>
    <row r="54" spans="13:14">
      <c r="M54">
        <v>-1.64232</v>
      </c>
      <c r="N54">
        <v>4.8</v>
      </c>
    </row>
    <row r="55" spans="13:14">
      <c r="M55">
        <v>-1.6413757449999999</v>
      </c>
      <c r="N55">
        <v>4.9000000000000004</v>
      </c>
    </row>
    <row r="56" spans="13:14">
      <c r="M56">
        <v>-1.63971025</v>
      </c>
      <c r="N56">
        <v>5</v>
      </c>
    </row>
    <row r="57" spans="13:14">
      <c r="M57">
        <v>-1.6380447549999999</v>
      </c>
      <c r="N57">
        <v>5.0999999999999996</v>
      </c>
    </row>
    <row r="58" spans="13:14">
      <c r="M58">
        <v>-1.6349930079999999</v>
      </c>
      <c r="N58">
        <v>5.2</v>
      </c>
    </row>
    <row r="59" spans="13:14">
      <c r="M59">
        <v>-1.631396662</v>
      </c>
      <c r="N59">
        <v>5.3</v>
      </c>
    </row>
    <row r="60" spans="13:14">
      <c r="M60">
        <v>-1.6278003160000001</v>
      </c>
      <c r="N60">
        <v>5.4</v>
      </c>
    </row>
    <row r="61" spans="13:14">
      <c r="M61">
        <v>-1.62717467</v>
      </c>
      <c r="N61">
        <v>5.5</v>
      </c>
    </row>
    <row r="62" spans="13:14">
      <c r="M62">
        <v>-1.626997064</v>
      </c>
      <c r="N62">
        <v>5.6</v>
      </c>
    </row>
    <row r="63" spans="13:14">
      <c r="M63">
        <v>-1.6267901</v>
      </c>
      <c r="N63">
        <v>5.7</v>
      </c>
    </row>
    <row r="64" spans="13:14">
      <c r="M64">
        <v>-1.6251404</v>
      </c>
      <c r="N64">
        <v>5.8</v>
      </c>
    </row>
    <row r="65" spans="13:14">
      <c r="M65">
        <v>-1.6234907000000001</v>
      </c>
      <c r="N65">
        <v>5.9</v>
      </c>
    </row>
    <row r="66" spans="13:14">
      <c r="M66">
        <v>-1.6220648600000001</v>
      </c>
      <c r="N66">
        <v>6</v>
      </c>
    </row>
    <row r="67" spans="13:14">
      <c r="M67">
        <v>-1.621724741</v>
      </c>
      <c r="N67">
        <v>6.1</v>
      </c>
    </row>
    <row r="68" spans="13:14">
      <c r="M68">
        <v>-1.6213846220000001</v>
      </c>
      <c r="N68">
        <v>6.2</v>
      </c>
    </row>
    <row r="69" spans="13:14">
      <c r="M69">
        <v>-1.621112868</v>
      </c>
      <c r="N69">
        <v>6.3</v>
      </c>
    </row>
    <row r="70" spans="13:14">
      <c r="M70">
        <v>-1.6209851040000001</v>
      </c>
      <c r="N70">
        <v>6.4</v>
      </c>
    </row>
    <row r="71" spans="13:14">
      <c r="M71">
        <v>-1.6208573399999999</v>
      </c>
      <c r="N71">
        <v>6.5</v>
      </c>
    </row>
    <row r="72" spans="13:14">
      <c r="M72">
        <v>-1.62079</v>
      </c>
      <c r="N72">
        <v>6.6</v>
      </c>
    </row>
    <row r="73" spans="13:14">
      <c r="M73">
        <v>-1.62079</v>
      </c>
      <c r="N73">
        <v>6.7</v>
      </c>
    </row>
    <row r="74" spans="13:14">
      <c r="M74">
        <v>-1.62079</v>
      </c>
      <c r="N74">
        <v>6.8</v>
      </c>
    </row>
    <row r="75" spans="13:14">
      <c r="M75">
        <v>-1.620709846</v>
      </c>
      <c r="N75">
        <v>6.9</v>
      </c>
    </row>
    <row r="76" spans="13:14">
      <c r="M76">
        <v>-1.62058138</v>
      </c>
      <c r="N76">
        <v>7</v>
      </c>
    </row>
    <row r="77" spans="13:14">
      <c r="M77">
        <v>-1.6204529139999999</v>
      </c>
      <c r="N77">
        <v>7.1</v>
      </c>
    </row>
    <row r="78" spans="13:14">
      <c r="M78">
        <v>-1.6187098559999999</v>
      </c>
      <c r="N78">
        <v>7.2</v>
      </c>
    </row>
    <row r="79" spans="13:14">
      <c r="M79">
        <v>-1.6164978539999999</v>
      </c>
      <c r="N79">
        <v>7.3</v>
      </c>
    </row>
    <row r="80" spans="13:14">
      <c r="M80">
        <v>-1.6142858520000001</v>
      </c>
      <c r="N80">
        <v>7.4</v>
      </c>
    </row>
    <row r="81" spans="13:14">
      <c r="M81">
        <v>-1.6098072999999999</v>
      </c>
      <c r="N81">
        <v>7.5</v>
      </c>
    </row>
    <row r="82" spans="13:14">
      <c r="M82">
        <v>-1.6051474240000001</v>
      </c>
      <c r="N82">
        <v>7.6</v>
      </c>
    </row>
    <row r="83" spans="13:14">
      <c r="M83">
        <v>-1.6008303399999999</v>
      </c>
      <c r="N83">
        <v>7.7</v>
      </c>
    </row>
    <row r="84" spans="13:14">
      <c r="M84">
        <v>-1.6006267599999999</v>
      </c>
      <c r="N84">
        <v>7.8</v>
      </c>
    </row>
    <row r="85" spans="13:14">
      <c r="M85">
        <v>-1.6004231799999999</v>
      </c>
      <c r="N85">
        <v>7.9</v>
      </c>
    </row>
    <row r="86" spans="13:14">
      <c r="M86">
        <v>-1.60024704</v>
      </c>
      <c r="N86">
        <v>8</v>
      </c>
    </row>
    <row r="87" spans="13:14">
      <c r="M87">
        <v>-1.600163853</v>
      </c>
      <c r="N87">
        <v>8.1</v>
      </c>
    </row>
    <row r="88" spans="13:14">
      <c r="M88">
        <v>-1.600080666</v>
      </c>
      <c r="N88">
        <v>8.1999999999999993</v>
      </c>
    </row>
    <row r="89" spans="13:14">
      <c r="M89">
        <v>-1.5980322709999999</v>
      </c>
      <c r="N89">
        <v>8.3000000000000007</v>
      </c>
    </row>
    <row r="90" spans="13:14">
      <c r="M90">
        <v>-1.592762708</v>
      </c>
      <c r="N90">
        <v>8.4</v>
      </c>
    </row>
    <row r="91" spans="13:14">
      <c r="M91">
        <v>-1.587493145</v>
      </c>
      <c r="N91">
        <v>8.5</v>
      </c>
    </row>
    <row r="92" spans="13:14">
      <c r="M92">
        <v>-1.58460866</v>
      </c>
      <c r="N92">
        <v>8.6</v>
      </c>
    </row>
    <row r="93" spans="13:14">
      <c r="M93">
        <v>-1.5838399700000001</v>
      </c>
      <c r="N93">
        <v>8.6999999999999993</v>
      </c>
    </row>
    <row r="94" spans="13:14">
      <c r="M94">
        <v>-1.58307128</v>
      </c>
      <c r="N94">
        <v>8.8000000000000007</v>
      </c>
    </row>
    <row r="95" spans="13:14">
      <c r="M95">
        <v>-1.5815308589999999</v>
      </c>
      <c r="N95">
        <v>8.9</v>
      </c>
    </row>
    <row r="96" spans="13:14">
      <c r="M96">
        <v>-1.5796287899999999</v>
      </c>
      <c r="N96">
        <v>9</v>
      </c>
    </row>
    <row r="97" spans="13:14">
      <c r="M97">
        <v>-1.5777267210000001</v>
      </c>
      <c r="N97">
        <v>9.1</v>
      </c>
    </row>
    <row r="98" spans="13:14">
      <c r="M98">
        <v>-1.5771281399999999</v>
      </c>
      <c r="N98">
        <v>9.1999999999999993</v>
      </c>
    </row>
    <row r="99" spans="13:14">
      <c r="M99">
        <v>-1.5767929350000001</v>
      </c>
      <c r="N99">
        <v>9.3000000000000007</v>
      </c>
    </row>
    <row r="100" spans="13:14">
      <c r="M100">
        <v>-1.57645773</v>
      </c>
      <c r="N100">
        <v>9.4</v>
      </c>
    </row>
    <row r="101" spans="13:14">
      <c r="M101">
        <v>-1.575551205</v>
      </c>
      <c r="N101">
        <v>9.5</v>
      </c>
    </row>
    <row r="102" spans="13:14">
      <c r="M102">
        <v>-1.5746347439999999</v>
      </c>
      <c r="N102">
        <v>9.6</v>
      </c>
    </row>
    <row r="103" spans="13:14">
      <c r="M103">
        <v>-1.572810102</v>
      </c>
      <c r="N103">
        <v>9.6999999999999993</v>
      </c>
    </row>
    <row r="104" spans="13:14">
      <c r="M104">
        <v>-1.5651112679999999</v>
      </c>
      <c r="N104">
        <v>9.8000000000000007</v>
      </c>
    </row>
    <row r="105" spans="13:14">
      <c r="M105">
        <v>-1.557412434</v>
      </c>
      <c r="N105">
        <v>9.9</v>
      </c>
    </row>
    <row r="106" spans="13:14">
      <c r="M106">
        <v>-1.5510957999999999</v>
      </c>
      <c r="N106">
        <v>10</v>
      </c>
    </row>
    <row r="107" spans="13:14">
      <c r="M107">
        <v>-1.548248488</v>
      </c>
      <c r="N107">
        <v>10.1</v>
      </c>
    </row>
    <row r="108" spans="13:14">
      <c r="M108">
        <v>-1.5454011759999999</v>
      </c>
      <c r="N108">
        <v>10.199999999999999</v>
      </c>
    </row>
    <row r="109" spans="13:14">
      <c r="M109">
        <v>-1.543756903</v>
      </c>
      <c r="N109">
        <v>10.3</v>
      </c>
    </row>
    <row r="110" spans="13:14">
      <c r="M110">
        <v>-1.5436695039999999</v>
      </c>
      <c r="N110">
        <v>10.4</v>
      </c>
    </row>
    <row r="111" spans="13:14">
      <c r="M111">
        <v>-1.543582105</v>
      </c>
      <c r="N111">
        <v>10.5</v>
      </c>
    </row>
    <row r="112" spans="13:14">
      <c r="M112">
        <v>-1.5417678079999999</v>
      </c>
      <c r="N112">
        <v>10.6</v>
      </c>
    </row>
    <row r="113" spans="13:14">
      <c r="M113">
        <v>-1.538737976</v>
      </c>
      <c r="N113">
        <v>10.7</v>
      </c>
    </row>
    <row r="114" spans="13:14">
      <c r="M114">
        <v>-1.535708144</v>
      </c>
      <c r="N114">
        <v>10.8</v>
      </c>
    </row>
    <row r="115" spans="13:14">
      <c r="M115">
        <v>-1.530476035</v>
      </c>
      <c r="N115">
        <v>10.9</v>
      </c>
    </row>
    <row r="116" spans="13:14">
      <c r="M116">
        <v>-1.5244616499999999</v>
      </c>
      <c r="N116">
        <v>11</v>
      </c>
    </row>
    <row r="117" spans="13:14">
      <c r="M117">
        <v>-1.518447265</v>
      </c>
      <c r="N117">
        <v>11.1</v>
      </c>
    </row>
    <row r="118" spans="13:14">
      <c r="M118">
        <v>-1.517779</v>
      </c>
      <c r="N118">
        <v>11.2</v>
      </c>
    </row>
    <row r="119" spans="13:14">
      <c r="M119">
        <v>-1.517779</v>
      </c>
      <c r="N119">
        <v>11.3</v>
      </c>
    </row>
    <row r="120" spans="13:14">
      <c r="M120">
        <v>-1.517603888</v>
      </c>
      <c r="N120">
        <v>11.4</v>
      </c>
    </row>
    <row r="121" spans="13:14">
      <c r="M121">
        <v>-1.5132135799999999</v>
      </c>
      <c r="N121">
        <v>11.5</v>
      </c>
    </row>
    <row r="122" spans="13:14">
      <c r="M122">
        <v>-1.5088232720000001</v>
      </c>
      <c r="N122">
        <v>11.6</v>
      </c>
    </row>
    <row r="123" spans="13:14">
      <c r="M123">
        <v>-1.5049943569999999</v>
      </c>
      <c r="N123">
        <v>11.7</v>
      </c>
    </row>
    <row r="124" spans="13:14">
      <c r="M124">
        <v>-1.5035450779999999</v>
      </c>
      <c r="N124">
        <v>11.8</v>
      </c>
    </row>
    <row r="125" spans="13:14">
      <c r="M125">
        <v>-1.5020957989999999</v>
      </c>
      <c r="N125">
        <v>11.9</v>
      </c>
    </row>
    <row r="126" spans="13:14">
      <c r="M126">
        <v>-1.501142</v>
      </c>
      <c r="N126">
        <v>12</v>
      </c>
    </row>
    <row r="127" spans="13:14">
      <c r="M127">
        <v>-1.501142</v>
      </c>
      <c r="N127">
        <v>12.1</v>
      </c>
    </row>
    <row r="128" spans="13:14">
      <c r="M128">
        <v>-1.501142</v>
      </c>
      <c r="N128">
        <v>12.2</v>
      </c>
    </row>
    <row r="129" spans="13:14">
      <c r="M129">
        <v>-1.500964502</v>
      </c>
      <c r="N129">
        <v>12.3</v>
      </c>
    </row>
    <row r="130" spans="13:14">
      <c r="M130">
        <v>-1.5006043760000001</v>
      </c>
      <c r="N130">
        <v>12.4</v>
      </c>
    </row>
    <row r="131" spans="13:14">
      <c r="M131">
        <v>-1.5002442499999999</v>
      </c>
      <c r="N131">
        <v>12.5</v>
      </c>
    </row>
    <row r="132" spans="13:14">
      <c r="M132">
        <v>-1.495122982</v>
      </c>
      <c r="N132">
        <v>12.6</v>
      </c>
    </row>
    <row r="133" spans="13:14">
      <c r="M133">
        <v>-1.4873683390000001</v>
      </c>
      <c r="N133">
        <v>12.7</v>
      </c>
    </row>
    <row r="134" spans="13:14">
      <c r="M134">
        <v>-1.4796136959999999</v>
      </c>
      <c r="N134">
        <v>12.8</v>
      </c>
    </row>
    <row r="135" spans="13:14">
      <c r="M135">
        <v>-1.4732428930000001</v>
      </c>
      <c r="N135">
        <v>12.9</v>
      </c>
    </row>
    <row r="136" spans="13:14">
      <c r="M136">
        <v>-1.46722921</v>
      </c>
      <c r="N136">
        <v>13</v>
      </c>
    </row>
    <row r="137" spans="13:14">
      <c r="M137">
        <v>-1.461215527</v>
      </c>
      <c r="N137">
        <v>13.1</v>
      </c>
    </row>
    <row r="138" spans="13:14">
      <c r="M138">
        <v>-1.4559153119999999</v>
      </c>
      <c r="N138">
        <v>13.2</v>
      </c>
    </row>
    <row r="139" spans="13:14">
      <c r="M139">
        <v>-1.450655928</v>
      </c>
      <c r="N139">
        <v>13.3</v>
      </c>
    </row>
    <row r="140" spans="13:14">
      <c r="M140">
        <v>-1.445671978</v>
      </c>
      <c r="N140">
        <v>13.4</v>
      </c>
    </row>
    <row r="141" spans="13:14">
      <c r="M141">
        <v>-1.443256045</v>
      </c>
      <c r="N141">
        <v>13.5</v>
      </c>
    </row>
    <row r="142" spans="13:14">
      <c r="M142">
        <v>-1.4408401120000001</v>
      </c>
      <c r="N142">
        <v>13.6</v>
      </c>
    </row>
    <row r="143" spans="13:14">
      <c r="M143">
        <v>-1.439013082</v>
      </c>
      <c r="N143">
        <v>13.7</v>
      </c>
    </row>
    <row r="144" spans="13:14">
      <c r="M144">
        <v>-1.4389730679999999</v>
      </c>
      <c r="N144">
        <v>13.8</v>
      </c>
    </row>
    <row r="145" spans="13:14">
      <c r="M145">
        <v>-1.438933054</v>
      </c>
      <c r="N145">
        <v>13.9</v>
      </c>
    </row>
    <row r="146" spans="13:14">
      <c r="M146">
        <v>-1.4387621399999999</v>
      </c>
      <c r="N146">
        <v>14</v>
      </c>
    </row>
    <row r="147" spans="13:14">
      <c r="M147">
        <v>-1.438393941</v>
      </c>
      <c r="N147">
        <v>14.1</v>
      </c>
    </row>
    <row r="148" spans="13:14">
      <c r="M148">
        <v>-1.438025742</v>
      </c>
      <c r="N148">
        <v>14.2</v>
      </c>
    </row>
    <row r="149" spans="13:14">
      <c r="M149">
        <v>-1.2931248609999999</v>
      </c>
      <c r="N149">
        <v>14.3</v>
      </c>
    </row>
    <row r="150" spans="13:14">
      <c r="M150">
        <v>-1.0299018879999999</v>
      </c>
      <c r="N150">
        <v>14.4</v>
      </c>
    </row>
    <row r="151" spans="13:14">
      <c r="M151">
        <v>-0.76667891500000296</v>
      </c>
      <c r="N151">
        <v>14.5</v>
      </c>
    </row>
    <row r="152" spans="13:14">
      <c r="M152">
        <v>-0.68742310600000001</v>
      </c>
      <c r="N152">
        <v>14.6</v>
      </c>
    </row>
    <row r="153" spans="13:14">
      <c r="M153">
        <v>-0.68668986700000001</v>
      </c>
      <c r="N153">
        <v>14.7</v>
      </c>
    </row>
    <row r="154" spans="13:14">
      <c r="M154">
        <v>-0.68595662800000001</v>
      </c>
      <c r="N154">
        <v>14.8</v>
      </c>
    </row>
    <row r="155" spans="13:14">
      <c r="M155">
        <v>-0.68505295899999996</v>
      </c>
      <c r="N155">
        <v>14.9</v>
      </c>
    </row>
    <row r="156" spans="13:14">
      <c r="M156">
        <v>-0.68411964999999997</v>
      </c>
      <c r="N156">
        <v>15</v>
      </c>
    </row>
    <row r="157" spans="13:14">
      <c r="M157">
        <v>-0.68318489699999996</v>
      </c>
      <c r="N157">
        <v>15.1</v>
      </c>
    </row>
    <row r="158" spans="13:14">
      <c r="M158">
        <v>-0.68174474399999996</v>
      </c>
      <c r="N158">
        <v>15.2</v>
      </c>
    </row>
    <row r="159" spans="13:14">
      <c r="M159">
        <v>-0.68030459099999996</v>
      </c>
      <c r="N159">
        <v>15.3</v>
      </c>
    </row>
    <row r="160" spans="13:14">
      <c r="M160">
        <v>-0.67908599999999997</v>
      </c>
      <c r="N160">
        <v>15.4</v>
      </c>
    </row>
    <row r="161" spans="13:14">
      <c r="M161">
        <v>-0.67908599999999997</v>
      </c>
      <c r="N161">
        <v>15.5</v>
      </c>
    </row>
    <row r="162" spans="13:14">
      <c r="M162">
        <v>-0.67908599999999997</v>
      </c>
      <c r="N162">
        <v>15.6</v>
      </c>
    </row>
    <row r="163" spans="13:14">
      <c r="M163">
        <v>-0.678814327</v>
      </c>
      <c r="N163">
        <v>15.7</v>
      </c>
    </row>
    <row r="164" spans="13:14">
      <c r="M164">
        <v>-0.67792313800000004</v>
      </c>
      <c r="N164">
        <v>15.8</v>
      </c>
    </row>
    <row r="165" spans="13:14">
      <c r="M165">
        <v>-0.67703194899999997</v>
      </c>
      <c r="N165">
        <v>15.9</v>
      </c>
    </row>
    <row r="166" spans="13:14">
      <c r="M166">
        <v>-0.67608380000000001</v>
      </c>
      <c r="N166">
        <v>16</v>
      </c>
    </row>
    <row r="167" spans="13:14">
      <c r="M167">
        <v>-0.67506765499999999</v>
      </c>
      <c r="N167">
        <v>16.100000000000001</v>
      </c>
    </row>
    <row r="168" spans="13:14">
      <c r="M168">
        <v>-0.67405150999999996</v>
      </c>
      <c r="N168">
        <v>16.2</v>
      </c>
    </row>
    <row r="169" spans="13:14">
      <c r="M169">
        <v>-0.67295698100000001</v>
      </c>
      <c r="N169">
        <v>16.3</v>
      </c>
    </row>
    <row r="170" spans="13:14">
      <c r="M170">
        <v>-0.67181166800000003</v>
      </c>
      <c r="N170">
        <v>16.399999999999999</v>
      </c>
    </row>
    <row r="171" spans="13:14">
      <c r="M171">
        <v>-0.67066635500000005</v>
      </c>
      <c r="N171">
        <v>16.5</v>
      </c>
    </row>
    <row r="172" spans="13:14">
      <c r="M172">
        <v>-0.66942049400000003</v>
      </c>
      <c r="N172">
        <v>16.600000000000001</v>
      </c>
    </row>
    <row r="173" spans="13:14">
      <c r="M173">
        <v>-0.668142503</v>
      </c>
      <c r="N173">
        <v>16.7</v>
      </c>
    </row>
    <row r="174" spans="13:14">
      <c r="M174">
        <v>-0.66686451199999996</v>
      </c>
      <c r="N174">
        <v>16.8</v>
      </c>
    </row>
    <row r="175" spans="13:14">
      <c r="M175">
        <v>-0.66674800000000001</v>
      </c>
      <c r="N175">
        <v>16.899999999999999</v>
      </c>
    </row>
    <row r="176" spans="13:14">
      <c r="M176">
        <v>-0.66674800000000001</v>
      </c>
      <c r="N176">
        <v>17</v>
      </c>
    </row>
    <row r="177" spans="13:14">
      <c r="M177">
        <v>-0.66666597400000005</v>
      </c>
      <c r="N177">
        <v>17.100000000000001</v>
      </c>
    </row>
    <row r="178" spans="13:14">
      <c r="M178">
        <v>-0.66529496799999999</v>
      </c>
      <c r="N178">
        <v>17.2</v>
      </c>
    </row>
    <row r="179" spans="13:14">
      <c r="M179">
        <v>-0.66392396200000003</v>
      </c>
      <c r="N179">
        <v>17.3</v>
      </c>
    </row>
    <row r="180" spans="13:14">
      <c r="M180">
        <v>-0.66215897999999995</v>
      </c>
      <c r="N180">
        <v>17.399999999999999</v>
      </c>
    </row>
    <row r="181" spans="13:14">
      <c r="M181">
        <v>-0.65891924999999996</v>
      </c>
      <c r="N181">
        <v>17.5</v>
      </c>
    </row>
    <row r="182" spans="13:14">
      <c r="M182">
        <v>-0.65567951999999996</v>
      </c>
      <c r="N182">
        <v>17.600000000000001</v>
      </c>
    </row>
    <row r="183" spans="13:14">
      <c r="M183">
        <v>-0.65296823699999995</v>
      </c>
      <c r="N183">
        <v>17.7</v>
      </c>
    </row>
    <row r="184" spans="13:14">
      <c r="M184">
        <v>-0.65118901799999995</v>
      </c>
      <c r="N184">
        <v>17.8</v>
      </c>
    </row>
    <row r="185" spans="13:14">
      <c r="M185">
        <v>-0.64940979899999995</v>
      </c>
      <c r="N185">
        <v>17.899999999999999</v>
      </c>
    </row>
    <row r="186" spans="13:14">
      <c r="M186">
        <v>-0.64851455999999996</v>
      </c>
      <c r="N186">
        <v>18</v>
      </c>
    </row>
    <row r="187" spans="13:14">
      <c r="M187">
        <v>-0.64845910200000001</v>
      </c>
      <c r="N187">
        <v>18.100000000000001</v>
      </c>
    </row>
    <row r="188" spans="13:14">
      <c r="M188">
        <v>-0.64840364399999995</v>
      </c>
      <c r="N188">
        <v>18.2</v>
      </c>
    </row>
    <row r="189" spans="13:14">
      <c r="M189">
        <v>-0.64834795300000003</v>
      </c>
      <c r="N189">
        <v>18.3</v>
      </c>
    </row>
    <row r="190" spans="13:14">
      <c r="M190">
        <v>-0.64829214400000001</v>
      </c>
      <c r="N190">
        <v>18.399999999999999</v>
      </c>
    </row>
    <row r="191" spans="13:14">
      <c r="M191">
        <v>-0.648236335</v>
      </c>
      <c r="N191">
        <v>18.5</v>
      </c>
    </row>
    <row r="192" spans="13:14">
      <c r="M192">
        <v>-0.64665786199999997</v>
      </c>
      <c r="N192">
        <v>18.600000000000001</v>
      </c>
    </row>
    <row r="193" spans="13:14">
      <c r="M193">
        <v>-0.64473332900000002</v>
      </c>
      <c r="N193">
        <v>18.7</v>
      </c>
    </row>
    <row r="194" spans="13:14">
      <c r="M194">
        <v>-0.64280879599999996</v>
      </c>
      <c r="N194">
        <v>18.8</v>
      </c>
    </row>
    <row r="195" spans="13:14">
      <c r="M195">
        <v>-0.64268503099999996</v>
      </c>
      <c r="N195">
        <v>18.899999999999999</v>
      </c>
    </row>
    <row r="196" spans="13:14">
      <c r="M196">
        <v>-0.64262501000000005</v>
      </c>
      <c r="N196">
        <v>19</v>
      </c>
    </row>
    <row r="197" spans="13:14">
      <c r="M197">
        <v>-0.64257200000000003</v>
      </c>
      <c r="N197">
        <v>19.100000000000001</v>
      </c>
    </row>
    <row r="198" spans="13:14">
      <c r="M198">
        <v>-0.64257200000000003</v>
      </c>
      <c r="N198">
        <v>19.2</v>
      </c>
    </row>
    <row r="199" spans="13:14">
      <c r="M199">
        <v>-0.64257200000000003</v>
      </c>
      <c r="N199">
        <v>19.3</v>
      </c>
    </row>
    <row r="200" spans="13:14">
      <c r="M200">
        <v>-0.64257200000000003</v>
      </c>
      <c r="N200">
        <v>19.399999999999999</v>
      </c>
    </row>
    <row r="201" spans="13:14">
      <c r="M201">
        <v>-0.64257200000000003</v>
      </c>
      <c r="N201">
        <v>19.5</v>
      </c>
    </row>
    <row r="202" spans="13:14">
      <c r="M202">
        <v>-0.64257200000000003</v>
      </c>
      <c r="N202">
        <v>19.600000000000001</v>
      </c>
    </row>
    <row r="203" spans="13:14">
      <c r="M203">
        <v>-0.64257200000000003</v>
      </c>
      <c r="N203">
        <v>19.7</v>
      </c>
    </row>
    <row r="204" spans="13:14">
      <c r="M204">
        <v>-0.64257200000000003</v>
      </c>
      <c r="N204">
        <v>19.8</v>
      </c>
    </row>
    <row r="205" spans="13:14">
      <c r="M205">
        <v>-0.64257200000000003</v>
      </c>
      <c r="N205">
        <v>19.899999999999999</v>
      </c>
    </row>
    <row r="206" spans="13:14">
      <c r="M206">
        <v>-0.64021439999999996</v>
      </c>
      <c r="N206">
        <v>20</v>
      </c>
    </row>
    <row r="207" spans="13:14">
      <c r="M207">
        <v>-0.63607681199999999</v>
      </c>
      <c r="N207">
        <v>20.100000000000001</v>
      </c>
    </row>
    <row r="208" spans="13:14">
      <c r="M208">
        <v>-0.63193922400000002</v>
      </c>
      <c r="N208">
        <v>20.2</v>
      </c>
    </row>
    <row r="209" spans="13:14">
      <c r="M209">
        <v>-0.62888953599999997</v>
      </c>
      <c r="N209">
        <v>20.3</v>
      </c>
    </row>
    <row r="210" spans="13:14">
      <c r="M210">
        <v>-0.62626124800000005</v>
      </c>
      <c r="N210">
        <v>20.399999999999999</v>
      </c>
    </row>
    <row r="211" spans="13:14">
      <c r="M211">
        <v>-0.62363296000000001</v>
      </c>
      <c r="N211">
        <v>20.5</v>
      </c>
    </row>
    <row r="212" spans="13:14">
      <c r="M212">
        <v>-0.62323265800000005</v>
      </c>
      <c r="N212">
        <v>20.6</v>
      </c>
    </row>
    <row r="213" spans="13:14">
      <c r="M213">
        <v>-0.62316000100000002</v>
      </c>
      <c r="N213">
        <v>20.7</v>
      </c>
    </row>
    <row r="214" spans="13:14">
      <c r="M214">
        <v>-0.623089</v>
      </c>
      <c r="N214">
        <v>20.8</v>
      </c>
    </row>
    <row r="215" spans="13:14">
      <c r="M215">
        <v>-0.623089</v>
      </c>
      <c r="N215">
        <v>20.9</v>
      </c>
    </row>
    <row r="216" spans="13:14">
      <c r="M216">
        <v>-0.623089</v>
      </c>
      <c r="N216">
        <v>21</v>
      </c>
    </row>
    <row r="217" spans="13:14">
      <c r="M217">
        <v>-0.623089</v>
      </c>
      <c r="N217">
        <v>21.1</v>
      </c>
    </row>
    <row r="218" spans="13:14">
      <c r="M218">
        <v>-0.623089</v>
      </c>
      <c r="N218">
        <v>21.2</v>
      </c>
    </row>
    <row r="219" spans="13:14">
      <c r="M219">
        <v>-0.623089</v>
      </c>
      <c r="N219">
        <v>21.3</v>
      </c>
    </row>
    <row r="220" spans="13:14">
      <c r="M220">
        <v>-0.62232759400000004</v>
      </c>
      <c r="N220">
        <v>21.4</v>
      </c>
    </row>
    <row r="221" spans="13:14">
      <c r="M221">
        <v>-0.61998326500000001</v>
      </c>
      <c r="N221">
        <v>21.5</v>
      </c>
    </row>
    <row r="222" spans="13:14">
      <c r="M222">
        <v>-0.61763893599999997</v>
      </c>
      <c r="N222">
        <v>21.6</v>
      </c>
    </row>
    <row r="223" spans="13:14">
      <c r="M223">
        <v>-0.61641000000000001</v>
      </c>
      <c r="N223">
        <v>21.7</v>
      </c>
    </row>
    <row r="224" spans="13:14">
      <c r="M224">
        <v>-0.61641000000000001</v>
      </c>
      <c r="N224">
        <v>21.8</v>
      </c>
    </row>
    <row r="225" spans="13:14">
      <c r="M225">
        <v>-0.61641000000000001</v>
      </c>
      <c r="N225">
        <v>21.9</v>
      </c>
    </row>
    <row r="226" spans="13:14">
      <c r="M226">
        <v>-0.61626502000000005</v>
      </c>
      <c r="N226">
        <v>22</v>
      </c>
    </row>
    <row r="227" spans="13:14">
      <c r="M227">
        <v>-0.61603371100000004</v>
      </c>
      <c r="N227">
        <v>22.1</v>
      </c>
    </row>
    <row r="228" spans="13:14">
      <c r="M228">
        <v>-0.61580240200000003</v>
      </c>
      <c r="N228">
        <v>22.2</v>
      </c>
    </row>
    <row r="229" spans="13:14">
      <c r="M229">
        <v>-0.61382307400000002</v>
      </c>
      <c r="N229">
        <v>22.3</v>
      </c>
    </row>
    <row r="230" spans="13:14">
      <c r="M230">
        <v>-0.61134431199999995</v>
      </c>
      <c r="N230">
        <v>22.4</v>
      </c>
    </row>
    <row r="231" spans="13:14">
      <c r="M231">
        <v>-0.60886554999999998</v>
      </c>
      <c r="N231">
        <v>22.5</v>
      </c>
    </row>
    <row r="232" spans="13:14">
      <c r="M232">
        <v>-0.60861369399999998</v>
      </c>
      <c r="N232">
        <v>22.6</v>
      </c>
    </row>
    <row r="233" spans="13:14">
      <c r="M233">
        <v>-0.60853261299999994</v>
      </c>
      <c r="N233">
        <v>22.7</v>
      </c>
    </row>
    <row r="234" spans="13:14">
      <c r="M234">
        <v>-0.60844500800000001</v>
      </c>
      <c r="N234">
        <v>22.8</v>
      </c>
    </row>
    <row r="235" spans="13:14">
      <c r="M235">
        <v>-0.60828214400000002</v>
      </c>
      <c r="N235">
        <v>22.9</v>
      </c>
    </row>
    <row r="236" spans="13:14">
      <c r="M236">
        <v>-0.60811928000000004</v>
      </c>
      <c r="N236">
        <v>23</v>
      </c>
    </row>
    <row r="237" spans="13:14">
      <c r="M237">
        <v>-0.60737143400000004</v>
      </c>
      <c r="N237">
        <v>23.1</v>
      </c>
    </row>
    <row r="238" spans="13:14">
      <c r="M238">
        <v>-0.60467364800000001</v>
      </c>
      <c r="N238">
        <v>23.2</v>
      </c>
    </row>
    <row r="239" spans="13:14">
      <c r="M239">
        <v>-0.60197586199999997</v>
      </c>
      <c r="N239">
        <v>23.3</v>
      </c>
    </row>
    <row r="240" spans="13:14">
      <c r="M240">
        <v>-0.60027543800000005</v>
      </c>
      <c r="N240">
        <v>23.4</v>
      </c>
    </row>
    <row r="241" spans="13:14">
      <c r="M241">
        <v>-0.60019014500000001</v>
      </c>
      <c r="N241">
        <v>23.5</v>
      </c>
    </row>
    <row r="242" spans="13:14">
      <c r="M242">
        <v>-0.60010485199999997</v>
      </c>
      <c r="N242">
        <v>23.6</v>
      </c>
    </row>
    <row r="243" spans="13:14">
      <c r="M243">
        <v>-0.60006499999999996</v>
      </c>
      <c r="N243">
        <v>23.7</v>
      </c>
    </row>
    <row r="244" spans="13:14">
      <c r="M244">
        <v>-0.60006499999999996</v>
      </c>
      <c r="N244">
        <v>23.8</v>
      </c>
    </row>
    <row r="245" spans="13:14">
      <c r="M245">
        <v>-0.60006499999999996</v>
      </c>
      <c r="N245">
        <v>23.9</v>
      </c>
    </row>
    <row r="246" spans="13:14">
      <c r="M246">
        <v>-0.60000620000000005</v>
      </c>
      <c r="N246">
        <v>24</v>
      </c>
    </row>
    <row r="247" spans="13:14">
      <c r="M247">
        <v>-0.59992020499999998</v>
      </c>
      <c r="N247">
        <v>24.1</v>
      </c>
    </row>
    <row r="248" spans="13:14">
      <c r="M248">
        <v>-0.59983421000000003</v>
      </c>
      <c r="N248">
        <v>24.2</v>
      </c>
    </row>
    <row r="249" spans="13:14">
      <c r="M249">
        <v>-0.59745490400000001</v>
      </c>
      <c r="N249">
        <v>24.3</v>
      </c>
    </row>
    <row r="250" spans="13:14">
      <c r="M250">
        <v>-0.59462163199999996</v>
      </c>
      <c r="N250">
        <v>24.4</v>
      </c>
    </row>
    <row r="251" spans="13:14">
      <c r="M251">
        <v>-0.59178836000000001</v>
      </c>
      <c r="N251">
        <v>24.5</v>
      </c>
    </row>
    <row r="252" spans="13:14">
      <c r="M252">
        <v>-0.59174800000000005</v>
      </c>
      <c r="N252">
        <v>24.6</v>
      </c>
    </row>
    <row r="253" spans="13:14">
      <c r="M253">
        <v>-0.59174800000000005</v>
      </c>
      <c r="N253">
        <v>24.7</v>
      </c>
    </row>
    <row r="254" spans="13:14">
      <c r="M254">
        <v>-0.59173571199999997</v>
      </c>
      <c r="N254">
        <v>24.8</v>
      </c>
    </row>
    <row r="255" spans="13:14">
      <c r="M255">
        <v>-0.59164585599999997</v>
      </c>
      <c r="N255">
        <v>24.9</v>
      </c>
    </row>
    <row r="256" spans="13:14">
      <c r="M256">
        <v>-0.59155599999999997</v>
      </c>
      <c r="N256">
        <v>25</v>
      </c>
    </row>
    <row r="257" spans="13:14">
      <c r="M257">
        <v>-0.591466245</v>
      </c>
      <c r="N257">
        <v>25.1</v>
      </c>
    </row>
    <row r="258" spans="13:14">
      <c r="M258">
        <v>-0.59137673999999996</v>
      </c>
      <c r="N258">
        <v>25.2</v>
      </c>
    </row>
    <row r="259" spans="13:14">
      <c r="M259">
        <v>-0.59128723500000002</v>
      </c>
      <c r="N259">
        <v>25.3</v>
      </c>
    </row>
    <row r="260" spans="13:14">
      <c r="M260">
        <v>-0.59123700000000001</v>
      </c>
      <c r="N260">
        <v>25.4</v>
      </c>
    </row>
    <row r="261" spans="13:14">
      <c r="M261">
        <v>-0.59123700000000001</v>
      </c>
      <c r="N261">
        <v>25.5</v>
      </c>
    </row>
    <row r="262" spans="13:14">
      <c r="M262">
        <v>-0.59123700000000001</v>
      </c>
      <c r="N262">
        <v>25.6</v>
      </c>
    </row>
    <row r="263" spans="13:14">
      <c r="M263">
        <v>-0.59123700000000001</v>
      </c>
      <c r="N263">
        <v>25.7</v>
      </c>
    </row>
    <row r="264" spans="13:14">
      <c r="M264">
        <v>-0.59123700000000001</v>
      </c>
      <c r="N264">
        <v>25.8</v>
      </c>
    </row>
    <row r="265" spans="13:14">
      <c r="M265">
        <v>-0.59123700000000001</v>
      </c>
      <c r="N265">
        <v>25.9</v>
      </c>
    </row>
    <row r="266" spans="13:14">
      <c r="M266">
        <v>-0.59117017999999999</v>
      </c>
      <c r="N266">
        <v>26</v>
      </c>
    </row>
    <row r="267" spans="13:14">
      <c r="M267">
        <v>-0.59107997300000004</v>
      </c>
      <c r="N267">
        <v>26.1</v>
      </c>
    </row>
    <row r="268" spans="13:14">
      <c r="M268">
        <v>-0.59098976599999997</v>
      </c>
      <c r="N268">
        <v>26.2</v>
      </c>
    </row>
    <row r="269" spans="13:14">
      <c r="M269">
        <v>-0.58841433899999995</v>
      </c>
      <c r="N269">
        <v>26.3</v>
      </c>
    </row>
    <row r="270" spans="13:14">
      <c r="M270">
        <v>-0.58553719199999998</v>
      </c>
      <c r="N270">
        <v>26.4</v>
      </c>
    </row>
    <row r="271" spans="13:14">
      <c r="M271">
        <v>-0.58277497499999997</v>
      </c>
      <c r="N271">
        <v>26.5</v>
      </c>
    </row>
    <row r="272" spans="13:14">
      <c r="M272">
        <v>-0.58258719000000003</v>
      </c>
      <c r="N272">
        <v>26.6</v>
      </c>
    </row>
    <row r="273" spans="13:14">
      <c r="M273">
        <v>-0.58239940499999998</v>
      </c>
      <c r="N273">
        <v>26.7</v>
      </c>
    </row>
    <row r="274" spans="13:14">
      <c r="M274">
        <v>-0.58224799999999999</v>
      </c>
      <c r="N274">
        <v>26.8</v>
      </c>
    </row>
    <row r="275" spans="13:14">
      <c r="M275">
        <v>-0.58224799999999999</v>
      </c>
      <c r="N275">
        <v>26.9</v>
      </c>
    </row>
    <row r="276" spans="13:14">
      <c r="M276">
        <v>-0.58224799999999999</v>
      </c>
      <c r="N276">
        <v>27</v>
      </c>
    </row>
    <row r="277" spans="13:14">
      <c r="M277">
        <v>-0.58131436400000003</v>
      </c>
      <c r="N277">
        <v>27.1</v>
      </c>
    </row>
    <row r="278" spans="13:14">
      <c r="M278">
        <v>-0.57860604800000004</v>
      </c>
      <c r="N278">
        <v>27.2</v>
      </c>
    </row>
    <row r="279" spans="13:14">
      <c r="M279">
        <v>-0.57589773200000005</v>
      </c>
      <c r="N279">
        <v>27.3</v>
      </c>
    </row>
    <row r="280" spans="13:14">
      <c r="M280">
        <v>-0.57438688400000004</v>
      </c>
      <c r="N280">
        <v>27.4</v>
      </c>
    </row>
    <row r="281" spans="13:14">
      <c r="M281">
        <v>-0.57409414999999997</v>
      </c>
      <c r="N281">
        <v>27.5</v>
      </c>
    </row>
    <row r="282" spans="13:14">
      <c r="M282">
        <v>-0.57380141600000001</v>
      </c>
      <c r="N282">
        <v>27.6</v>
      </c>
    </row>
    <row r="283" spans="13:14">
      <c r="M283">
        <v>-0.57363489400000001</v>
      </c>
      <c r="N283">
        <v>27.7</v>
      </c>
    </row>
    <row r="284" spans="13:14">
      <c r="M284">
        <v>-0.57353731600000002</v>
      </c>
      <c r="N284">
        <v>27.8</v>
      </c>
    </row>
    <row r="285" spans="13:14">
      <c r="M285">
        <v>-0.57343973800000003</v>
      </c>
      <c r="N285">
        <v>27.9</v>
      </c>
    </row>
    <row r="286" spans="13:14">
      <c r="M286">
        <v>-0.57334216000000005</v>
      </c>
      <c r="N286">
        <v>28</v>
      </c>
    </row>
    <row r="287" spans="13:14">
      <c r="M287">
        <v>-0.57324458199999995</v>
      </c>
      <c r="N287">
        <v>28.1</v>
      </c>
    </row>
    <row r="288" spans="13:14">
      <c r="M288">
        <v>-0.57314700399999996</v>
      </c>
      <c r="N288">
        <v>28.2</v>
      </c>
    </row>
    <row r="289" spans="13:14">
      <c r="M289">
        <v>-0.57304909299999995</v>
      </c>
      <c r="N289">
        <v>28.3</v>
      </c>
    </row>
    <row r="290" spans="13:14">
      <c r="M290">
        <v>-0.57295116400000001</v>
      </c>
      <c r="N290">
        <v>28.4</v>
      </c>
    </row>
    <row r="291" spans="13:14">
      <c r="M291">
        <v>-0.57253109499999999</v>
      </c>
      <c r="N291">
        <v>28.5</v>
      </c>
    </row>
    <row r="292" spans="13:14">
      <c r="M292">
        <v>-0.56920256199999997</v>
      </c>
      <c r="N292">
        <v>28.6</v>
      </c>
    </row>
    <row r="293" spans="13:14">
      <c r="M293">
        <v>-0.56587402899999995</v>
      </c>
      <c r="N293">
        <v>28.7</v>
      </c>
    </row>
    <row r="294" spans="13:14">
      <c r="M294">
        <v>-0.56337999999999999</v>
      </c>
      <c r="N294">
        <v>28.8</v>
      </c>
    </row>
    <row r="295" spans="13:14">
      <c r="M295">
        <v>-0.56337999999999999</v>
      </c>
      <c r="N295">
        <v>28.9</v>
      </c>
    </row>
    <row r="296" spans="13:14">
      <c r="M296">
        <v>-0.56337999999999999</v>
      </c>
      <c r="N296">
        <v>29</v>
      </c>
    </row>
    <row r="297" spans="13:14">
      <c r="M297">
        <v>-0.56333911000000003</v>
      </c>
      <c r="N297">
        <v>29.1</v>
      </c>
    </row>
    <row r="298" spans="13:14">
      <c r="M298">
        <v>-0.56323732000000004</v>
      </c>
      <c r="N298">
        <v>29.2</v>
      </c>
    </row>
    <row r="299" spans="13:14">
      <c r="M299">
        <v>-0.56313553000000005</v>
      </c>
      <c r="N299">
        <v>29.3</v>
      </c>
    </row>
    <row r="300" spans="13:14">
      <c r="M300">
        <v>-0.56308999999999998</v>
      </c>
      <c r="N300">
        <v>29.4</v>
      </c>
    </row>
    <row r="301" spans="13:14">
      <c r="M301">
        <v>-0.56308999999999998</v>
      </c>
      <c r="N301">
        <v>29.5</v>
      </c>
    </row>
    <row r="302" spans="13:14">
      <c r="M302">
        <v>-0.56308999999999998</v>
      </c>
      <c r="N302">
        <v>29.6</v>
      </c>
    </row>
    <row r="303" spans="13:14">
      <c r="M303">
        <v>-0.56080599099999995</v>
      </c>
      <c r="N303">
        <v>29.7</v>
      </c>
    </row>
    <row r="304" spans="13:14">
      <c r="M304">
        <v>-0.55756029399999996</v>
      </c>
      <c r="N304">
        <v>29.8</v>
      </c>
    </row>
    <row r="305" spans="13:14">
      <c r="M305">
        <v>-0.55431459699999996</v>
      </c>
      <c r="N305">
        <v>29.9</v>
      </c>
    </row>
    <row r="306" spans="13:14">
      <c r="M306">
        <v>-0.55375269999999999</v>
      </c>
      <c r="N306">
        <v>30</v>
      </c>
    </row>
    <row r="307" spans="13:14">
      <c r="M307">
        <v>-0.55364704899999995</v>
      </c>
      <c r="N307">
        <v>30.1</v>
      </c>
    </row>
    <row r="308" spans="13:14">
      <c r="M308">
        <v>-0.553540798</v>
      </c>
      <c r="N308">
        <v>30.2</v>
      </c>
    </row>
    <row r="309" spans="13:14">
      <c r="M309">
        <v>-0.55332984699999999</v>
      </c>
      <c r="N309">
        <v>30.3</v>
      </c>
    </row>
    <row r="310" spans="13:14">
      <c r="M310">
        <v>-0.55311889599999997</v>
      </c>
      <c r="N310">
        <v>30.4</v>
      </c>
    </row>
    <row r="311" spans="13:14">
      <c r="M311">
        <v>-0.55294100000000002</v>
      </c>
      <c r="N311">
        <v>30.5</v>
      </c>
    </row>
    <row r="312" spans="13:14">
      <c r="M312">
        <v>-0.55294100000000002</v>
      </c>
      <c r="N312">
        <v>30.6</v>
      </c>
    </row>
    <row r="313" spans="13:14">
      <c r="M313">
        <v>-0.55294100000000002</v>
      </c>
      <c r="N313">
        <v>30.7</v>
      </c>
    </row>
    <row r="314" spans="13:14">
      <c r="M314">
        <v>-0.55294100000000002</v>
      </c>
      <c r="N314">
        <v>30.8</v>
      </c>
    </row>
    <row r="315" spans="13:14">
      <c r="M315">
        <v>-0.55294100000000002</v>
      </c>
      <c r="N315">
        <v>30.9</v>
      </c>
    </row>
    <row r="316" spans="13:14">
      <c r="M316">
        <v>-0.55294100000000002</v>
      </c>
      <c r="N316">
        <v>31</v>
      </c>
    </row>
    <row r="317" spans="13:14">
      <c r="M317">
        <v>-0.55294100000000002</v>
      </c>
      <c r="N317">
        <v>31.1</v>
      </c>
    </row>
    <row r="318" spans="13:14">
      <c r="M318">
        <v>-0.55294100000000002</v>
      </c>
      <c r="N318">
        <v>31.2</v>
      </c>
    </row>
    <row r="319" spans="13:14">
      <c r="M319">
        <v>-0.55294100000000002</v>
      </c>
      <c r="N319">
        <v>31.3</v>
      </c>
    </row>
    <row r="320" spans="13:14">
      <c r="M320">
        <v>-0.55075755800000004</v>
      </c>
      <c r="N320">
        <v>31.4</v>
      </c>
    </row>
    <row r="321" spans="13:14">
      <c r="M321">
        <v>-0.54717630500000003</v>
      </c>
      <c r="N321">
        <v>31.5</v>
      </c>
    </row>
    <row r="322" spans="13:14">
      <c r="M322">
        <v>-0.54359505200000002</v>
      </c>
      <c r="N322">
        <v>31.6</v>
      </c>
    </row>
    <row r="323" spans="13:14">
      <c r="M323">
        <v>-0.54273800000000005</v>
      </c>
      <c r="N323">
        <v>31.7</v>
      </c>
    </row>
    <row r="324" spans="13:14">
      <c r="M324">
        <v>-0.54273800000000005</v>
      </c>
      <c r="N324">
        <v>31.8</v>
      </c>
    </row>
    <row r="325" spans="13:14">
      <c r="M325">
        <v>-0.54273800000000005</v>
      </c>
      <c r="N325">
        <v>31.9</v>
      </c>
    </row>
    <row r="326" spans="13:14">
      <c r="M326">
        <v>-0.54263848000000003</v>
      </c>
      <c r="N326">
        <v>32</v>
      </c>
    </row>
    <row r="327" spans="13:14">
      <c r="M327">
        <v>-0.54252931900000001</v>
      </c>
      <c r="N327">
        <v>32.1</v>
      </c>
    </row>
    <row r="328" spans="13:14">
      <c r="M328">
        <v>-0.54242699999999999</v>
      </c>
      <c r="N328">
        <v>32.200000000000003</v>
      </c>
    </row>
    <row r="329" spans="13:14">
      <c r="M329">
        <v>-0.54242699999999999</v>
      </c>
      <c r="N329">
        <v>32.299999999999997</v>
      </c>
    </row>
    <row r="330" spans="13:14">
      <c r="M330">
        <v>-0.54242699999999999</v>
      </c>
      <c r="N330">
        <v>32.4</v>
      </c>
    </row>
    <row r="331" spans="13:14">
      <c r="M331">
        <v>-0.54168427500000005</v>
      </c>
      <c r="N331">
        <v>32.5</v>
      </c>
    </row>
    <row r="332" spans="13:14">
      <c r="M332">
        <v>-0.53820832200000002</v>
      </c>
      <c r="N332">
        <v>32.6</v>
      </c>
    </row>
    <row r="333" spans="13:14">
      <c r="M333">
        <v>-0.53473236899999999</v>
      </c>
      <c r="N333">
        <v>32.700000000000003</v>
      </c>
    </row>
    <row r="334" spans="13:14">
      <c r="M334">
        <v>-0.532524</v>
      </c>
      <c r="N334">
        <v>32.799999999999997</v>
      </c>
    </row>
    <row r="335" spans="13:14">
      <c r="M335">
        <v>-0.532524</v>
      </c>
      <c r="N335">
        <v>32.9</v>
      </c>
    </row>
    <row r="336" spans="13:14">
      <c r="M336">
        <v>-0.532524</v>
      </c>
      <c r="N336">
        <v>33</v>
      </c>
    </row>
    <row r="337" spans="13:14">
      <c r="M337">
        <v>-0.53240779800000004</v>
      </c>
      <c r="N337">
        <v>33.1</v>
      </c>
    </row>
    <row r="338" spans="13:14">
      <c r="M338">
        <v>-0.53218245600000003</v>
      </c>
      <c r="N338">
        <v>33.200000000000003</v>
      </c>
    </row>
    <row r="339" spans="13:14">
      <c r="M339">
        <v>-0.53195711400000001</v>
      </c>
      <c r="N339">
        <v>33.299999999999997</v>
      </c>
    </row>
    <row r="340" spans="13:14">
      <c r="M340">
        <v>-0.53180665199999999</v>
      </c>
      <c r="N340">
        <v>33.4</v>
      </c>
    </row>
    <row r="341" spans="13:14">
      <c r="M341">
        <v>-0.53169363000000003</v>
      </c>
      <c r="N341">
        <v>33.5</v>
      </c>
    </row>
    <row r="342" spans="13:14">
      <c r="M342">
        <v>-0.53158060799999995</v>
      </c>
      <c r="N342">
        <v>33.6</v>
      </c>
    </row>
    <row r="343" spans="13:14">
      <c r="M343">
        <v>-0.52891328599999998</v>
      </c>
      <c r="N343">
        <v>33.700000000000003</v>
      </c>
    </row>
    <row r="344" spans="13:14">
      <c r="M344">
        <v>-0.52567636399999995</v>
      </c>
      <c r="N344">
        <v>33.799999999999997</v>
      </c>
    </row>
    <row r="345" spans="13:14">
      <c r="M345">
        <v>-0.52243944200000003</v>
      </c>
      <c r="N345">
        <v>33.9</v>
      </c>
    </row>
    <row r="346" spans="13:14">
      <c r="M346">
        <v>-0.52200139999999995</v>
      </c>
      <c r="N346">
        <v>34</v>
      </c>
    </row>
    <row r="347" spans="13:14">
      <c r="M347">
        <v>-0.52165391000000005</v>
      </c>
      <c r="N347">
        <v>34.1</v>
      </c>
    </row>
    <row r="348" spans="13:14">
      <c r="M348">
        <v>-0.52133414</v>
      </c>
      <c r="N348">
        <v>34.200000000000003</v>
      </c>
    </row>
    <row r="349" spans="13:14">
      <c r="M349">
        <v>-0.52121830999999996</v>
      </c>
      <c r="N349">
        <v>34.299999999999997</v>
      </c>
    </row>
    <row r="350" spans="13:14">
      <c r="M350">
        <v>-0.52110248000000003</v>
      </c>
      <c r="N350">
        <v>34.4</v>
      </c>
    </row>
    <row r="351" spans="13:14">
      <c r="M351">
        <v>-0.52095501499999997</v>
      </c>
      <c r="N351">
        <v>34.5</v>
      </c>
    </row>
    <row r="352" spans="13:14">
      <c r="M352">
        <v>-0.52072230200000003</v>
      </c>
      <c r="N352">
        <v>34.6</v>
      </c>
    </row>
    <row r="353" spans="13:14">
      <c r="M353">
        <v>-0.52048958899999997</v>
      </c>
      <c r="N353">
        <v>34.700000000000003</v>
      </c>
    </row>
    <row r="354" spans="13:14">
      <c r="M354">
        <v>-0.51879966799999999</v>
      </c>
      <c r="N354">
        <v>34.799999999999997</v>
      </c>
    </row>
    <row r="355" spans="13:14">
      <c r="M355">
        <v>-0.51511100899999995</v>
      </c>
      <c r="N355">
        <v>34.9</v>
      </c>
    </row>
    <row r="356" spans="13:14">
      <c r="M356">
        <v>-0.51142235000000003</v>
      </c>
      <c r="N356">
        <v>35</v>
      </c>
    </row>
    <row r="357" spans="13:14">
      <c r="M357">
        <v>-0.50970911900000004</v>
      </c>
      <c r="N357">
        <v>35.1</v>
      </c>
    </row>
    <row r="358" spans="13:14">
      <c r="M358">
        <v>-0.50947008800000004</v>
      </c>
      <c r="N358">
        <v>35.200000000000003</v>
      </c>
    </row>
    <row r="359" spans="13:14">
      <c r="M359">
        <v>-0.50923105700000004</v>
      </c>
      <c r="N359">
        <v>35.299999999999997</v>
      </c>
    </row>
    <row r="360" spans="13:14">
      <c r="M360">
        <v>-0.50660264799999999</v>
      </c>
      <c r="N360">
        <v>35.4</v>
      </c>
    </row>
    <row r="361" spans="13:14">
      <c r="M361">
        <v>-0.50306176000000002</v>
      </c>
      <c r="N361">
        <v>35.5</v>
      </c>
    </row>
    <row r="362" spans="13:14">
      <c r="M362">
        <v>-0.499520872</v>
      </c>
      <c r="N362">
        <v>35.6</v>
      </c>
    </row>
    <row r="363" spans="13:14">
      <c r="M363">
        <v>-0.49536751899999998</v>
      </c>
      <c r="N363">
        <v>35.700000000000003</v>
      </c>
    </row>
    <row r="364" spans="13:14">
      <c r="M364">
        <v>-0.49112638600000003</v>
      </c>
      <c r="N364">
        <v>35.799999999999997</v>
      </c>
    </row>
    <row r="365" spans="13:14">
      <c r="M365">
        <v>-0.486987583</v>
      </c>
      <c r="N365">
        <v>35.9</v>
      </c>
    </row>
    <row r="366" spans="13:14">
      <c r="M366">
        <v>-0.48673731999999997</v>
      </c>
      <c r="N366">
        <v>36</v>
      </c>
    </row>
    <row r="367" spans="13:14">
      <c r="M367">
        <v>-0.486487057</v>
      </c>
      <c r="N367">
        <v>36.1</v>
      </c>
    </row>
    <row r="368" spans="13:14">
      <c r="M368">
        <v>-0.48625886600000001</v>
      </c>
      <c r="N368">
        <v>36.200000000000003</v>
      </c>
    </row>
    <row r="369" spans="13:14">
      <c r="M369">
        <v>-0.48613355899999999</v>
      </c>
      <c r="N369">
        <v>36.299999999999997</v>
      </c>
    </row>
    <row r="370" spans="13:14">
      <c r="M370">
        <v>-0.48600825199999997</v>
      </c>
      <c r="N370">
        <v>36.4</v>
      </c>
    </row>
    <row r="371" spans="13:14">
      <c r="M371">
        <v>-0.48592400000000002</v>
      </c>
      <c r="N371">
        <v>36.5</v>
      </c>
    </row>
    <row r="372" spans="13:14">
      <c r="M372">
        <v>-0.48592400000000002</v>
      </c>
      <c r="N372">
        <v>36.6</v>
      </c>
    </row>
    <row r="373" spans="13:14">
      <c r="M373">
        <v>-0.48592400000000002</v>
      </c>
      <c r="N373">
        <v>36.700000000000003</v>
      </c>
    </row>
    <row r="374" spans="13:14">
      <c r="M374">
        <v>-0.48586402400000001</v>
      </c>
      <c r="N374">
        <v>36.799999999999997</v>
      </c>
    </row>
    <row r="375" spans="13:14">
      <c r="M375">
        <v>-0.48573871699999999</v>
      </c>
      <c r="N375">
        <v>36.9</v>
      </c>
    </row>
    <row r="376" spans="13:14">
      <c r="M376">
        <v>-0.48561341000000002</v>
      </c>
      <c r="N376">
        <v>37</v>
      </c>
    </row>
    <row r="377" spans="13:14">
      <c r="M377">
        <v>-0.485488103</v>
      </c>
      <c r="N377">
        <v>37.1</v>
      </c>
    </row>
    <row r="378" spans="13:14">
      <c r="M378">
        <v>-0.48536279599999999</v>
      </c>
      <c r="N378">
        <v>37.200000000000003</v>
      </c>
    </row>
    <row r="379" spans="13:14">
      <c r="M379">
        <v>-0.48523748900000002</v>
      </c>
      <c r="N379">
        <v>37.299999999999997</v>
      </c>
    </row>
    <row r="380" spans="13:14">
      <c r="M380">
        <v>-0.48520999999999997</v>
      </c>
      <c r="N380">
        <v>37.4</v>
      </c>
    </row>
    <row r="381" spans="13:14">
      <c r="M381">
        <v>-0.48520999999999997</v>
      </c>
      <c r="N381">
        <v>37.5</v>
      </c>
    </row>
    <row r="382" spans="13:14">
      <c r="M382">
        <v>-0.48520999999999997</v>
      </c>
      <c r="N382">
        <v>37.6</v>
      </c>
    </row>
    <row r="383" spans="13:14">
      <c r="M383">
        <v>-0.48139227499999998</v>
      </c>
      <c r="N383">
        <v>37.700000000000003</v>
      </c>
    </row>
    <row r="384" spans="13:14">
      <c r="M384">
        <v>-0.47729434999999998</v>
      </c>
      <c r="N384">
        <v>37.799999999999997</v>
      </c>
    </row>
    <row r="385" spans="13:14">
      <c r="M385">
        <v>-0.47320045599999999</v>
      </c>
      <c r="N385">
        <v>37.9</v>
      </c>
    </row>
    <row r="386" spans="13:14">
      <c r="M386">
        <v>-0.46915131999999998</v>
      </c>
      <c r="N386">
        <v>38</v>
      </c>
    </row>
    <row r="387" spans="13:14">
      <c r="M387">
        <v>-0.46510218399999997</v>
      </c>
      <c r="N387">
        <v>38.1</v>
      </c>
    </row>
    <row r="388" spans="13:14">
      <c r="M388">
        <v>-0.46190740600000002</v>
      </c>
      <c r="N388">
        <v>38.200000000000003</v>
      </c>
    </row>
    <row r="389" spans="13:14">
      <c r="M389">
        <v>-0.46151533900000002</v>
      </c>
      <c r="N389">
        <v>38.299999999999997</v>
      </c>
    </row>
    <row r="390" spans="13:14">
      <c r="M390">
        <v>-0.46112327199999997</v>
      </c>
      <c r="N390">
        <v>38.4</v>
      </c>
    </row>
    <row r="391" spans="13:14">
      <c r="M391">
        <v>-0.45929386</v>
      </c>
      <c r="N391">
        <v>38.5</v>
      </c>
    </row>
    <row r="392" spans="13:14">
      <c r="M392">
        <v>-0.45516469599999998</v>
      </c>
      <c r="N392">
        <v>38.6</v>
      </c>
    </row>
    <row r="393" spans="13:14">
      <c r="M393">
        <v>-0.45103553200000002</v>
      </c>
      <c r="N393">
        <v>38.700000000000003</v>
      </c>
    </row>
    <row r="394" spans="13:14">
      <c r="M394">
        <v>-0.44911800000000002</v>
      </c>
      <c r="N394">
        <v>38.799999999999997</v>
      </c>
    </row>
    <row r="395" spans="13:14">
      <c r="M395">
        <v>-0.44911800000000002</v>
      </c>
      <c r="N395">
        <v>38.9</v>
      </c>
    </row>
    <row r="396" spans="13:14">
      <c r="M396">
        <v>-0.44911800000000002</v>
      </c>
      <c r="N396">
        <v>39</v>
      </c>
    </row>
    <row r="397" spans="13:14">
      <c r="M397">
        <v>-0.44595728499999998</v>
      </c>
      <c r="N397">
        <v>39.1</v>
      </c>
    </row>
    <row r="398" spans="13:14">
      <c r="M398">
        <v>-0.44135392000000001</v>
      </c>
      <c r="N398">
        <v>39.200000000000003</v>
      </c>
    </row>
    <row r="399" spans="13:14">
      <c r="M399">
        <v>-0.43675055499999998</v>
      </c>
      <c r="N399">
        <v>39.299999999999997</v>
      </c>
    </row>
    <row r="400" spans="13:14">
      <c r="M400">
        <v>-0.43566254799999998</v>
      </c>
      <c r="N400">
        <v>39.4</v>
      </c>
    </row>
    <row r="401" spans="13:14">
      <c r="M401">
        <v>-0.43525608999999998</v>
      </c>
      <c r="N401">
        <v>39.5</v>
      </c>
    </row>
    <row r="402" spans="13:14">
      <c r="M402">
        <v>-0.43484963199999999</v>
      </c>
      <c r="N402">
        <v>39.6</v>
      </c>
    </row>
    <row r="403" spans="13:14">
      <c r="M403">
        <v>-0.43021150899999999</v>
      </c>
      <c r="N403">
        <v>39.700000000000003</v>
      </c>
    </row>
    <row r="404" spans="13:14">
      <c r="M404">
        <v>-0.42552460600000003</v>
      </c>
      <c r="N404">
        <v>39.799999999999997</v>
      </c>
    </row>
    <row r="405" spans="13:14">
      <c r="M405">
        <v>-0.42149199999999998</v>
      </c>
      <c r="N405">
        <v>39.9</v>
      </c>
    </row>
    <row r="406" spans="13:14">
      <c r="M406">
        <v>-0.42149199999999998</v>
      </c>
      <c r="N406">
        <v>40</v>
      </c>
    </row>
    <row r="407" spans="13:14">
      <c r="M407">
        <v>-0.42149199999999998</v>
      </c>
      <c r="N407">
        <v>40.1</v>
      </c>
    </row>
    <row r="408" spans="13:14">
      <c r="M408">
        <v>-0.42149199999999998</v>
      </c>
      <c r="N408">
        <v>40.200000000000003</v>
      </c>
    </row>
    <row r="409" spans="13:14">
      <c r="M409">
        <v>-0.42149199999999998</v>
      </c>
      <c r="N409">
        <v>40.299999999999997</v>
      </c>
    </row>
    <row r="410" spans="13:14">
      <c r="M410">
        <v>-0.42149199999999998</v>
      </c>
      <c r="N410">
        <v>40.4</v>
      </c>
    </row>
    <row r="411" spans="13:14">
      <c r="M411">
        <v>-0.42137032499999999</v>
      </c>
      <c r="N411">
        <v>40.5</v>
      </c>
    </row>
    <row r="412" spans="13:14">
      <c r="M412">
        <v>-0.42109479</v>
      </c>
      <c r="N412">
        <v>40.6</v>
      </c>
    </row>
    <row r="413" spans="13:14">
      <c r="M413">
        <v>-0.420819255</v>
      </c>
      <c r="N413">
        <v>40.700000000000003</v>
      </c>
    </row>
    <row r="414" spans="13:14">
      <c r="M414">
        <v>-0.41838114399999998</v>
      </c>
      <c r="N414">
        <v>40.799999999999997</v>
      </c>
    </row>
    <row r="415" spans="13:14">
      <c r="M415">
        <v>-0.41445626200000002</v>
      </c>
      <c r="N415">
        <v>40.9</v>
      </c>
    </row>
    <row r="416" spans="13:14">
      <c r="M416">
        <v>-0.41053138</v>
      </c>
      <c r="N416">
        <v>41</v>
      </c>
    </row>
    <row r="417" spans="13:14">
      <c r="M417">
        <v>-0.40910974900000002</v>
      </c>
      <c r="N417">
        <v>41.1</v>
      </c>
    </row>
    <row r="418" spans="13:14">
      <c r="M418">
        <v>-0.408551308</v>
      </c>
      <c r="N418">
        <v>41.2</v>
      </c>
    </row>
    <row r="419" spans="13:14">
      <c r="M419">
        <v>-0.40799286699999998</v>
      </c>
      <c r="N419">
        <v>41.3</v>
      </c>
    </row>
    <row r="420" spans="13:14">
      <c r="M420">
        <v>-0.40793400000000002</v>
      </c>
      <c r="N420">
        <v>41.4</v>
      </c>
    </row>
    <row r="421" spans="13:14">
      <c r="M421">
        <v>-0.40793400000000002</v>
      </c>
      <c r="N421">
        <v>41.5</v>
      </c>
    </row>
    <row r="422" spans="13:14">
      <c r="M422">
        <v>-0.40793400000000002</v>
      </c>
      <c r="N422">
        <v>41.6</v>
      </c>
    </row>
    <row r="423" spans="13:14">
      <c r="M423">
        <v>-0.40793400000000002</v>
      </c>
      <c r="N423">
        <v>41.7</v>
      </c>
    </row>
    <row r="424" spans="13:14">
      <c r="M424">
        <v>-0.40793400000000002</v>
      </c>
      <c r="N424">
        <v>41.8</v>
      </c>
    </row>
    <row r="425" spans="13:14">
      <c r="M425">
        <v>-0.40701333299999998</v>
      </c>
      <c r="N425">
        <v>41.9</v>
      </c>
    </row>
    <row r="426" spans="13:14">
      <c r="M426">
        <v>-0.40232994</v>
      </c>
      <c r="N426">
        <v>42</v>
      </c>
    </row>
    <row r="427" spans="13:14">
      <c r="M427">
        <v>-0.39764654700000002</v>
      </c>
      <c r="N427">
        <v>42.1</v>
      </c>
    </row>
    <row r="428" spans="13:14">
      <c r="M428">
        <v>-0.392992434</v>
      </c>
      <c r="N428">
        <v>42.2</v>
      </c>
    </row>
    <row r="429" spans="13:14">
      <c r="M429">
        <v>-0.38839328099999998</v>
      </c>
      <c r="N429">
        <v>42.3</v>
      </c>
    </row>
    <row r="430" spans="13:14">
      <c r="M430">
        <v>-0.38379412800000001</v>
      </c>
      <c r="N430">
        <v>42.4</v>
      </c>
    </row>
    <row r="431" spans="13:14">
      <c r="M431">
        <v>-0.38148799999999999</v>
      </c>
      <c r="N431">
        <v>42.5</v>
      </c>
    </row>
    <row r="432" spans="13:14">
      <c r="M432">
        <v>-0.38148799999999999</v>
      </c>
      <c r="N432">
        <v>42.6</v>
      </c>
    </row>
    <row r="433" spans="13:14">
      <c r="M433">
        <v>-0.38148799999999999</v>
      </c>
      <c r="N433">
        <v>42.7</v>
      </c>
    </row>
    <row r="434" spans="13:14">
      <c r="M434">
        <v>-0.381301952</v>
      </c>
      <c r="N434">
        <v>42.8</v>
      </c>
    </row>
    <row r="435" spans="13:14">
      <c r="M435">
        <v>-0.38101553599999999</v>
      </c>
      <c r="N435">
        <v>42.9</v>
      </c>
    </row>
    <row r="436" spans="13:14">
      <c r="M436">
        <v>-0.38072911999999998</v>
      </c>
      <c r="N436">
        <v>43</v>
      </c>
    </row>
    <row r="437" spans="13:14">
      <c r="M437">
        <v>-0.37694622100000003</v>
      </c>
      <c r="N437">
        <v>43.1</v>
      </c>
    </row>
    <row r="438" spans="13:14">
      <c r="M438">
        <v>-0.37229231200000001</v>
      </c>
      <c r="N438">
        <v>43.2</v>
      </c>
    </row>
    <row r="439" spans="13:14">
      <c r="M439">
        <v>-0.367638403</v>
      </c>
      <c r="N439">
        <v>43.3</v>
      </c>
    </row>
    <row r="440" spans="13:14">
      <c r="M440">
        <v>-0.36741299999999999</v>
      </c>
      <c r="N440">
        <v>43.4</v>
      </c>
    </row>
    <row r="441" spans="13:14">
      <c r="M441">
        <v>-0.36741299999999999</v>
      </c>
      <c r="N441">
        <v>43.5</v>
      </c>
    </row>
    <row r="442" spans="13:14">
      <c r="M442">
        <v>-0.36638325599999999</v>
      </c>
      <c r="N442">
        <v>43.6</v>
      </c>
    </row>
    <row r="443" spans="13:14">
      <c r="M443">
        <v>-0.356343252</v>
      </c>
      <c r="N443">
        <v>43.7</v>
      </c>
    </row>
    <row r="444" spans="13:14">
      <c r="M444">
        <v>-0.34630324800000001</v>
      </c>
      <c r="N444">
        <v>43.8</v>
      </c>
    </row>
    <row r="445" spans="13:14">
      <c r="M445">
        <v>-0.337517699</v>
      </c>
      <c r="N445">
        <v>43.9</v>
      </c>
    </row>
    <row r="446" spans="13:14">
      <c r="M446">
        <v>-0.33242504</v>
      </c>
      <c r="N446">
        <v>44</v>
      </c>
    </row>
    <row r="447" spans="13:14">
      <c r="M447">
        <v>-0.32733238100000001</v>
      </c>
      <c r="N447">
        <v>44.1</v>
      </c>
    </row>
    <row r="448" spans="13:14">
      <c r="M448">
        <v>-0.32222126200000001</v>
      </c>
      <c r="N448">
        <v>44.2</v>
      </c>
    </row>
    <row r="449" spans="13:14">
      <c r="M449">
        <v>-0.31708297299999999</v>
      </c>
      <c r="N449">
        <v>44.3</v>
      </c>
    </row>
    <row r="450" spans="13:14">
      <c r="M450">
        <v>-0.31194468400000003</v>
      </c>
      <c r="N450">
        <v>44.4</v>
      </c>
    </row>
    <row r="451" spans="13:14">
      <c r="M451">
        <v>-0.30966100000000002</v>
      </c>
      <c r="N451">
        <v>44.5</v>
      </c>
    </row>
    <row r="452" spans="13:14">
      <c r="M452">
        <v>-0.30966100000000002</v>
      </c>
      <c r="N452">
        <v>44.6</v>
      </c>
    </row>
    <row r="453" spans="13:14">
      <c r="M453">
        <v>-0.30966100000000002</v>
      </c>
      <c r="N453">
        <v>44.7</v>
      </c>
    </row>
    <row r="454" spans="13:14">
      <c r="M454">
        <v>-0.30966100000000002</v>
      </c>
      <c r="N454">
        <v>44.8</v>
      </c>
    </row>
    <row r="455" spans="13:14">
      <c r="M455">
        <v>-0.30966100000000002</v>
      </c>
      <c r="N455">
        <v>44.9</v>
      </c>
    </row>
    <row r="456" spans="13:14">
      <c r="M456">
        <v>-0.30966100000000002</v>
      </c>
      <c r="N456">
        <v>45</v>
      </c>
    </row>
    <row r="457" spans="13:14">
      <c r="M457">
        <v>-0.30521733699999998</v>
      </c>
      <c r="N457">
        <v>45.1</v>
      </c>
    </row>
    <row r="458" spans="13:14">
      <c r="M458">
        <v>-0.300035524</v>
      </c>
      <c r="N458">
        <v>45.2</v>
      </c>
    </row>
    <row r="459" spans="13:14">
      <c r="M459">
        <v>-0.29489670400000001</v>
      </c>
      <c r="N459">
        <v>45.3</v>
      </c>
    </row>
    <row r="460" spans="13:14">
      <c r="M460">
        <v>-0.294745072</v>
      </c>
      <c r="N460">
        <v>45.4</v>
      </c>
    </row>
    <row r="461" spans="13:14">
      <c r="M461">
        <v>-0.29459343999999998</v>
      </c>
      <c r="N461">
        <v>45.5</v>
      </c>
    </row>
    <row r="462" spans="13:14">
      <c r="M462">
        <v>-0.29441756000000002</v>
      </c>
      <c r="N462">
        <v>45.6</v>
      </c>
    </row>
    <row r="463" spans="13:14">
      <c r="M463">
        <v>-0.29411394499999999</v>
      </c>
      <c r="N463">
        <v>45.7</v>
      </c>
    </row>
    <row r="464" spans="13:14">
      <c r="M464">
        <v>-0.29381033000000001</v>
      </c>
      <c r="N464">
        <v>45.8</v>
      </c>
    </row>
    <row r="465" spans="13:14">
      <c r="M465">
        <v>-0.29212023500000001</v>
      </c>
      <c r="N465">
        <v>45.9</v>
      </c>
    </row>
    <row r="466" spans="13:14">
      <c r="M466">
        <v>-0.28735189999999999</v>
      </c>
      <c r="N466">
        <v>46</v>
      </c>
    </row>
    <row r="467" spans="13:14">
      <c r="M467">
        <v>-0.28258356499999998</v>
      </c>
      <c r="N467">
        <v>46.1</v>
      </c>
    </row>
    <row r="468" spans="13:14">
      <c r="M468">
        <v>-0.28001599999999999</v>
      </c>
      <c r="N468">
        <v>46.2</v>
      </c>
    </row>
    <row r="469" spans="13:14">
      <c r="M469">
        <v>-0.28001599999999999</v>
      </c>
      <c r="N469">
        <v>46.3</v>
      </c>
    </row>
    <row r="470" spans="13:14">
      <c r="M470">
        <v>-0.28001599999999999</v>
      </c>
      <c r="N470">
        <v>46.4</v>
      </c>
    </row>
    <row r="471" spans="13:14">
      <c r="M471">
        <v>-0.28001599999999999</v>
      </c>
      <c r="N471">
        <v>46.5</v>
      </c>
    </row>
    <row r="472" spans="13:14">
      <c r="M472">
        <v>-0.28001599999999999</v>
      </c>
      <c r="N472">
        <v>46.6</v>
      </c>
    </row>
    <row r="473" spans="13:14">
      <c r="M473">
        <v>-0.28001599999999999</v>
      </c>
      <c r="N473">
        <v>46.7</v>
      </c>
    </row>
    <row r="474" spans="13:14">
      <c r="M474">
        <v>-0.27623157199999998</v>
      </c>
      <c r="N474">
        <v>46.8</v>
      </c>
    </row>
    <row r="475" spans="13:14">
      <c r="M475">
        <v>-0.27127510100000002</v>
      </c>
      <c r="N475">
        <v>46.9</v>
      </c>
    </row>
    <row r="476" spans="13:14">
      <c r="M476">
        <v>-0.26631863</v>
      </c>
      <c r="N476">
        <v>47</v>
      </c>
    </row>
    <row r="477" spans="13:14">
      <c r="M477">
        <v>-0.26104501099999999</v>
      </c>
      <c r="N477">
        <v>47.1</v>
      </c>
    </row>
    <row r="478" spans="13:14">
      <c r="M478">
        <v>-0.25574175199999999</v>
      </c>
      <c r="N478">
        <v>47.2</v>
      </c>
    </row>
    <row r="479" spans="13:14">
      <c r="M479">
        <v>-0.250765668</v>
      </c>
      <c r="N479">
        <v>47.3</v>
      </c>
    </row>
    <row r="480" spans="13:14">
      <c r="M480">
        <v>-0.250455384</v>
      </c>
      <c r="N480">
        <v>47.4</v>
      </c>
    </row>
    <row r="481" spans="13:14">
      <c r="M481">
        <v>-0.25014510000000001</v>
      </c>
      <c r="N481">
        <v>47.5</v>
      </c>
    </row>
    <row r="482" spans="13:14">
      <c r="M482">
        <v>-0.24990200000000001</v>
      </c>
      <c r="N482">
        <v>47.6</v>
      </c>
    </row>
    <row r="483" spans="13:14">
      <c r="M483">
        <v>-0.24990200000000001</v>
      </c>
      <c r="N483">
        <v>47.7</v>
      </c>
    </row>
    <row r="484" spans="13:14">
      <c r="M484">
        <v>-0.24990200000000001</v>
      </c>
      <c r="N484">
        <v>47.8</v>
      </c>
    </row>
    <row r="485" spans="13:14">
      <c r="M485">
        <v>-0.246014068999999</v>
      </c>
      <c r="N485">
        <v>47.9</v>
      </c>
    </row>
    <row r="486" spans="13:14">
      <c r="M486">
        <v>-0.23543528</v>
      </c>
      <c r="N486">
        <v>48</v>
      </c>
    </row>
    <row r="487" spans="13:14">
      <c r="M487">
        <v>-0.22485649099999999</v>
      </c>
      <c r="N487">
        <v>48.1</v>
      </c>
    </row>
    <row r="488" spans="13:14">
      <c r="M488">
        <v>-0.21968128200000001</v>
      </c>
      <c r="N488">
        <v>48.2</v>
      </c>
    </row>
    <row r="489" spans="13:14">
      <c r="M489">
        <v>-0.219523683</v>
      </c>
      <c r="N489">
        <v>48.3</v>
      </c>
    </row>
    <row r="490" spans="13:14">
      <c r="M490">
        <v>-0.21936608399999999</v>
      </c>
      <c r="N490">
        <v>48.4</v>
      </c>
    </row>
    <row r="491" spans="13:14">
      <c r="M491">
        <v>-0.21610108</v>
      </c>
      <c r="N491">
        <v>48.5</v>
      </c>
    </row>
    <row r="492" spans="13:14">
      <c r="M492">
        <v>-0.21130220799999999</v>
      </c>
      <c r="N492">
        <v>48.6</v>
      </c>
    </row>
    <row r="493" spans="13:14">
      <c r="M493">
        <v>-0.20650333600000001</v>
      </c>
      <c r="N493">
        <v>48.7</v>
      </c>
    </row>
    <row r="494" spans="13:14">
      <c r="M494">
        <v>-0.20088510400000001</v>
      </c>
      <c r="N494">
        <v>48.8</v>
      </c>
    </row>
    <row r="495" spans="13:14">
      <c r="M495">
        <v>-0.19508763700000001</v>
      </c>
      <c r="N495">
        <v>48.9</v>
      </c>
    </row>
    <row r="496" spans="13:14">
      <c r="M496">
        <v>-0.18929017000000001</v>
      </c>
      <c r="N496">
        <v>49</v>
      </c>
    </row>
    <row r="497" spans="13:14">
      <c r="M497">
        <v>-0.18881298499999999</v>
      </c>
      <c r="N497">
        <v>49.1</v>
      </c>
    </row>
    <row r="498" spans="13:14">
      <c r="M498">
        <v>-0.18849182</v>
      </c>
      <c r="N498">
        <v>49.2</v>
      </c>
    </row>
    <row r="499" spans="13:14">
      <c r="M499">
        <v>-0.18820999999999999</v>
      </c>
      <c r="N499">
        <v>49.3</v>
      </c>
    </row>
    <row r="500" spans="13:14">
      <c r="M500">
        <v>-0.18820999999999999</v>
      </c>
      <c r="N500">
        <v>49.4</v>
      </c>
    </row>
    <row r="501" spans="13:14">
      <c r="M501">
        <v>-0.18820999999999999</v>
      </c>
      <c r="N501">
        <v>49.5</v>
      </c>
    </row>
    <row r="502" spans="13:14">
      <c r="M502">
        <v>-0.18678497599999999</v>
      </c>
      <c r="N502">
        <v>49.6</v>
      </c>
    </row>
    <row r="503" spans="13:14">
      <c r="M503">
        <v>-0.18157473199999999</v>
      </c>
      <c r="N503">
        <v>49.7</v>
      </c>
    </row>
    <row r="504" spans="13:14">
      <c r="M504">
        <v>-0.17636448800000001</v>
      </c>
      <c r="N504">
        <v>49.8</v>
      </c>
    </row>
    <row r="505" spans="13:14">
      <c r="M505">
        <v>-0.17322832399999999</v>
      </c>
      <c r="N505">
        <v>49.9</v>
      </c>
    </row>
    <row r="506" spans="13:14">
      <c r="M506">
        <v>-0.172904</v>
      </c>
      <c r="N506">
        <v>50</v>
      </c>
    </row>
    <row r="507" spans="13:14">
      <c r="M507">
        <v>-0.17257967599999999</v>
      </c>
      <c r="N507">
        <v>50.1</v>
      </c>
    </row>
    <row r="508" spans="13:14">
      <c r="M508">
        <v>-0.16950673799999999</v>
      </c>
      <c r="N508">
        <v>50.2</v>
      </c>
    </row>
    <row r="509" spans="13:14">
      <c r="M509">
        <v>-0.164406357</v>
      </c>
      <c r="N509">
        <v>50.3</v>
      </c>
    </row>
    <row r="510" spans="13:14">
      <c r="M510">
        <v>-0.15930597599999999</v>
      </c>
      <c r="N510">
        <v>50.4</v>
      </c>
    </row>
    <row r="511" spans="13:14">
      <c r="M511">
        <v>-0.15767334</v>
      </c>
      <c r="N511">
        <v>50.5</v>
      </c>
    </row>
    <row r="512" spans="13:14">
      <c r="M512">
        <v>-0.15734620799999999</v>
      </c>
      <c r="N512">
        <v>50.6</v>
      </c>
    </row>
    <row r="513" spans="13:14">
      <c r="M513">
        <v>-0.15701907600000001</v>
      </c>
      <c r="N513">
        <v>50.7</v>
      </c>
    </row>
    <row r="514" spans="13:14">
      <c r="M514">
        <v>-0.15683485599999999</v>
      </c>
      <c r="N514">
        <v>50.8</v>
      </c>
    </row>
    <row r="515" spans="13:14">
      <c r="M515">
        <v>-0.156670588</v>
      </c>
      <c r="N515">
        <v>50.9</v>
      </c>
    </row>
    <row r="516" spans="13:14">
      <c r="M516">
        <v>-0.15618678</v>
      </c>
      <c r="N516">
        <v>51</v>
      </c>
    </row>
    <row r="517" spans="13:14">
      <c r="M517">
        <v>-0.144806658</v>
      </c>
      <c r="N517">
        <v>51.1</v>
      </c>
    </row>
    <row r="518" spans="13:14">
      <c r="M518">
        <v>-0.13342653599999901</v>
      </c>
      <c r="N518">
        <v>51.2</v>
      </c>
    </row>
    <row r="519" spans="13:14">
      <c r="M519">
        <v>-0.12217499699999999</v>
      </c>
      <c r="N519">
        <v>51.3</v>
      </c>
    </row>
    <row r="520" spans="13:14">
      <c r="M520">
        <v>-0.111511266</v>
      </c>
      <c r="N520">
        <v>51.4</v>
      </c>
    </row>
    <row r="521" spans="13:14">
      <c r="M521">
        <v>-0.100847535</v>
      </c>
      <c r="N521">
        <v>51.5</v>
      </c>
    </row>
    <row r="522" spans="13:14">
      <c r="M522">
        <v>-9.3364987999999996E-2</v>
      </c>
      <c r="N522">
        <v>51.6</v>
      </c>
    </row>
    <row r="523" spans="13:14">
      <c r="M523">
        <v>-9.2327081000000005E-2</v>
      </c>
      <c r="N523">
        <v>51.7</v>
      </c>
    </row>
    <row r="524" spans="13:14">
      <c r="M524">
        <v>-9.1289174000000001E-2</v>
      </c>
      <c r="N524">
        <v>51.8</v>
      </c>
    </row>
    <row r="525" spans="13:14">
      <c r="M525">
        <v>-9.0750999999999998E-2</v>
      </c>
      <c r="N525">
        <v>51.9</v>
      </c>
    </row>
    <row r="526" spans="13:14">
      <c r="M526">
        <v>-9.0750999999999998E-2</v>
      </c>
      <c r="N526">
        <v>52</v>
      </c>
    </row>
    <row r="527" spans="13:14">
      <c r="M527">
        <v>-9.0750999999999998E-2</v>
      </c>
      <c r="N527">
        <v>52.1</v>
      </c>
    </row>
    <row r="528" spans="13:14">
      <c r="M528">
        <v>-8.3087115999999697E-2</v>
      </c>
      <c r="N528">
        <v>52.2</v>
      </c>
    </row>
    <row r="529" spans="13:14">
      <c r="M529">
        <v>-7.09698939999997E-2</v>
      </c>
      <c r="N529">
        <v>52.3</v>
      </c>
    </row>
    <row r="530" spans="13:14">
      <c r="M530">
        <v>-5.88526719999998E-2</v>
      </c>
      <c r="N530">
        <v>52.4</v>
      </c>
    </row>
    <row r="531" spans="13:14">
      <c r="M531">
        <v>-1.63600499999992E-2</v>
      </c>
      <c r="N531">
        <v>52.5</v>
      </c>
    </row>
    <row r="532" spans="13:14">
      <c r="M532">
        <v>3.4527228000000701E-2</v>
      </c>
      <c r="N532">
        <v>52.6</v>
      </c>
    </row>
    <row r="533" spans="13:14">
      <c r="M533">
        <v>8.5414506000000598E-2</v>
      </c>
      <c r="N533">
        <v>52.7</v>
      </c>
    </row>
    <row r="534" spans="13:14">
      <c r="M534">
        <v>9.2421615999999998E-2</v>
      </c>
      <c r="N534">
        <v>52.8</v>
      </c>
    </row>
    <row r="535" spans="13:14">
      <c r="M535">
        <v>9.6351763000000007E-2</v>
      </c>
      <c r="N535">
        <v>52.9</v>
      </c>
    </row>
    <row r="536" spans="13:14">
      <c r="M536">
        <v>0.10227310000000001</v>
      </c>
      <c r="N536">
        <v>53</v>
      </c>
    </row>
    <row r="537" spans="13:14">
      <c r="M537">
        <v>0.12950017</v>
      </c>
      <c r="N537">
        <v>53.1</v>
      </c>
    </row>
    <row r="538" spans="13:14">
      <c r="M538">
        <v>0.15672723999999999</v>
      </c>
      <c r="N538">
        <v>53.2</v>
      </c>
    </row>
    <row r="539" spans="13:14">
      <c r="M539">
        <v>0.179881666</v>
      </c>
      <c r="N539">
        <v>53.3</v>
      </c>
    </row>
    <row r="540" spans="13:14">
      <c r="M540">
        <v>0.18988586800000001</v>
      </c>
      <c r="N540">
        <v>53.4</v>
      </c>
    </row>
    <row r="541" spans="13:14">
      <c r="M541">
        <v>0.199890070000001</v>
      </c>
      <c r="N541">
        <v>53.5</v>
      </c>
    </row>
    <row r="542" spans="13:14">
      <c r="M542">
        <v>0.206508416</v>
      </c>
      <c r="N542">
        <v>53.6</v>
      </c>
    </row>
    <row r="543" spans="13:14">
      <c r="M543">
        <v>0.20777412200000001</v>
      </c>
      <c r="N543">
        <v>53.7</v>
      </c>
    </row>
    <row r="544" spans="13:14">
      <c r="M544">
        <v>0.20903982800000001</v>
      </c>
      <c r="N544">
        <v>53.8</v>
      </c>
    </row>
    <row r="545" spans="13:14">
      <c r="M545">
        <v>0.21172605799999999</v>
      </c>
      <c r="N545">
        <v>53.9</v>
      </c>
    </row>
    <row r="546" spans="13:14">
      <c r="M546">
        <v>0.21562988</v>
      </c>
      <c r="N546">
        <v>54</v>
      </c>
    </row>
    <row r="547" spans="13:14">
      <c r="M547">
        <v>0.219533702</v>
      </c>
      <c r="N547">
        <v>54.1</v>
      </c>
    </row>
    <row r="548" spans="13:14">
      <c r="M548">
        <v>0.22438543799999999</v>
      </c>
      <c r="N548">
        <v>54.2</v>
      </c>
    </row>
    <row r="549" spans="13:14">
      <c r="M549">
        <v>0.229664127</v>
      </c>
      <c r="N549">
        <v>54.3</v>
      </c>
    </row>
    <row r="550" spans="13:14">
      <c r="M550">
        <v>0.234942816</v>
      </c>
      <c r="N550">
        <v>54.4</v>
      </c>
    </row>
    <row r="551" spans="13:14">
      <c r="M551">
        <v>0.23578499999999999</v>
      </c>
      <c r="N551">
        <v>54.5</v>
      </c>
    </row>
    <row r="552" spans="13:14">
      <c r="M552">
        <v>0.23578499999999999</v>
      </c>
      <c r="N552">
        <v>54.6</v>
      </c>
    </row>
    <row r="553" spans="13:14">
      <c r="M553">
        <v>0.23578499999999999</v>
      </c>
      <c r="N553">
        <v>54.7</v>
      </c>
    </row>
    <row r="554" spans="13:14">
      <c r="M554">
        <v>0.23578499999999999</v>
      </c>
      <c r="N554">
        <v>54.8</v>
      </c>
    </row>
    <row r="555" spans="13:14">
      <c r="M555">
        <v>0.23578499999999999</v>
      </c>
      <c r="N555">
        <v>54.9</v>
      </c>
    </row>
    <row r="556" spans="13:14">
      <c r="M556">
        <v>0.23655219999999999</v>
      </c>
      <c r="N556">
        <v>55</v>
      </c>
    </row>
    <row r="557" spans="13:14">
      <c r="M557">
        <v>0.24193794399999999</v>
      </c>
      <c r="N557">
        <v>55.1</v>
      </c>
    </row>
    <row r="558" spans="13:14">
      <c r="M558">
        <v>0.24732368800000001</v>
      </c>
      <c r="N558">
        <v>55.2</v>
      </c>
    </row>
    <row r="559" spans="13:14">
      <c r="M559">
        <v>0.25274012600000001</v>
      </c>
      <c r="N559">
        <v>55.3</v>
      </c>
    </row>
    <row r="560" spans="13:14">
      <c r="M560">
        <v>0.25823046799999999</v>
      </c>
      <c r="N560">
        <v>55.4</v>
      </c>
    </row>
    <row r="561" spans="13:14">
      <c r="M561">
        <v>0.26372081000000003</v>
      </c>
      <c r="N561">
        <v>55.5</v>
      </c>
    </row>
    <row r="562" spans="13:14">
      <c r="M562">
        <v>0.26925576800000001</v>
      </c>
      <c r="N562">
        <v>55.6</v>
      </c>
    </row>
    <row r="563" spans="13:14">
      <c r="M563">
        <v>0.274846496</v>
      </c>
      <c r="N563">
        <v>55.7</v>
      </c>
    </row>
    <row r="564" spans="13:14">
      <c r="M564">
        <v>0.28043722399999998</v>
      </c>
      <c r="N564">
        <v>55.8</v>
      </c>
    </row>
    <row r="565" spans="13:14">
      <c r="M565">
        <v>0.28608647199999998</v>
      </c>
      <c r="N565">
        <v>55.9</v>
      </c>
    </row>
    <row r="566" spans="13:14">
      <c r="M566">
        <v>0.29177547999999998</v>
      </c>
      <c r="N566">
        <v>56</v>
      </c>
    </row>
    <row r="567" spans="13:14">
      <c r="M567">
        <v>0.29746448800000003</v>
      </c>
      <c r="N567">
        <v>56.1</v>
      </c>
    </row>
    <row r="568" spans="13:14">
      <c r="M568">
        <v>0.30322371199999998</v>
      </c>
      <c r="N568">
        <v>56.2</v>
      </c>
    </row>
    <row r="569" spans="13:14">
      <c r="M569">
        <v>0.30900678799999998</v>
      </c>
      <c r="N569">
        <v>56.3</v>
      </c>
    </row>
    <row r="570" spans="13:14">
      <c r="M570">
        <v>0.31478986399999997</v>
      </c>
      <c r="N570">
        <v>56.4</v>
      </c>
    </row>
    <row r="571" spans="13:14">
      <c r="M571">
        <v>0.32019052999999997</v>
      </c>
      <c r="N571">
        <v>56.5</v>
      </c>
    </row>
    <row r="572" spans="13:14">
      <c r="M572">
        <v>0.32554749199999999</v>
      </c>
      <c r="N572">
        <v>56.6</v>
      </c>
    </row>
    <row r="573" spans="13:14">
      <c r="M573">
        <v>0.33067002400000001</v>
      </c>
      <c r="N573">
        <v>56.7</v>
      </c>
    </row>
    <row r="574" spans="13:14">
      <c r="M574">
        <v>0.331186696</v>
      </c>
      <c r="N574">
        <v>56.8</v>
      </c>
    </row>
    <row r="575" spans="13:14">
      <c r="M575">
        <v>0.331703368</v>
      </c>
      <c r="N575">
        <v>56.9</v>
      </c>
    </row>
    <row r="576" spans="13:14">
      <c r="M576">
        <v>0.332117</v>
      </c>
      <c r="N576">
        <v>57</v>
      </c>
    </row>
    <row r="577" spans="13:14">
      <c r="M577">
        <v>0.332117</v>
      </c>
      <c r="N577">
        <v>57.1</v>
      </c>
    </row>
    <row r="578" spans="13:14">
      <c r="M578">
        <v>0.332117</v>
      </c>
      <c r="N578">
        <v>57.2</v>
      </c>
    </row>
    <row r="579" spans="13:14">
      <c r="M579">
        <v>0.332117</v>
      </c>
      <c r="N579">
        <v>57.3</v>
      </c>
    </row>
    <row r="580" spans="13:14">
      <c r="M580">
        <v>0.332117</v>
      </c>
      <c r="N580">
        <v>57.4</v>
      </c>
    </row>
    <row r="581" spans="13:14">
      <c r="M581">
        <v>0.332117</v>
      </c>
      <c r="N581">
        <v>57.5</v>
      </c>
    </row>
    <row r="582" spans="13:14">
      <c r="M582">
        <v>0.33510495200000001</v>
      </c>
      <c r="N582">
        <v>57.6</v>
      </c>
    </row>
    <row r="583" spans="13:14">
      <c r="M583">
        <v>0.34106387900000001</v>
      </c>
      <c r="N583">
        <v>57.7</v>
      </c>
    </row>
    <row r="584" spans="13:14">
      <c r="M584">
        <v>0.34702280600000002</v>
      </c>
      <c r="N584">
        <v>57.8</v>
      </c>
    </row>
    <row r="585" spans="13:14">
      <c r="M585">
        <v>0.35291967400000002</v>
      </c>
      <c r="N585">
        <v>57.9</v>
      </c>
    </row>
    <row r="586" spans="13:14">
      <c r="M586">
        <v>0.35878347999999999</v>
      </c>
      <c r="N586">
        <v>58</v>
      </c>
    </row>
    <row r="587" spans="13:14">
      <c r="M587">
        <v>0.36464728600000001</v>
      </c>
      <c r="N587">
        <v>58.1</v>
      </c>
    </row>
    <row r="588" spans="13:14">
      <c r="M588">
        <v>0.36594212799999998</v>
      </c>
      <c r="N588">
        <v>58.2</v>
      </c>
    </row>
    <row r="589" spans="13:14">
      <c r="M589">
        <v>0.36611903200000001</v>
      </c>
      <c r="N589">
        <v>58.3</v>
      </c>
    </row>
    <row r="590" spans="13:14">
      <c r="M590">
        <v>0.36629593599999999</v>
      </c>
      <c r="N590">
        <v>58.4</v>
      </c>
    </row>
    <row r="591" spans="13:14">
      <c r="M591">
        <v>0.36630400000000002</v>
      </c>
      <c r="N591">
        <v>58.5</v>
      </c>
    </row>
    <row r="592" spans="13:14">
      <c r="M592">
        <v>0.36630400000000002</v>
      </c>
      <c r="N592">
        <v>58.6</v>
      </c>
    </row>
    <row r="593" spans="13:14">
      <c r="M593">
        <v>0.36630400000000002</v>
      </c>
      <c r="N593">
        <v>58.7</v>
      </c>
    </row>
    <row r="594" spans="13:14">
      <c r="M594">
        <v>0.36630400000000002</v>
      </c>
      <c r="N594">
        <v>58.8</v>
      </c>
    </row>
    <row r="595" spans="13:14">
      <c r="M595">
        <v>0.36630400000000002</v>
      </c>
      <c r="N595">
        <v>58.9</v>
      </c>
    </row>
    <row r="596" spans="13:14">
      <c r="M596">
        <v>0.36773454999999999</v>
      </c>
      <c r="N596">
        <v>59</v>
      </c>
    </row>
    <row r="597" spans="13:14">
      <c r="M597">
        <v>0.373313695</v>
      </c>
      <c r="N597">
        <v>59.1</v>
      </c>
    </row>
    <row r="598" spans="13:14">
      <c r="M598">
        <v>0.37889284000000001</v>
      </c>
      <c r="N598">
        <v>59.2</v>
      </c>
    </row>
    <row r="599" spans="13:14">
      <c r="M599">
        <v>0.38234514600000002</v>
      </c>
      <c r="N599">
        <v>59.3</v>
      </c>
    </row>
    <row r="600" spans="13:14">
      <c r="M600">
        <v>0.382703868</v>
      </c>
      <c r="N600">
        <v>59.4</v>
      </c>
    </row>
    <row r="601" spans="13:14">
      <c r="M601">
        <v>0.38306258999999998</v>
      </c>
      <c r="N601">
        <v>59.5</v>
      </c>
    </row>
    <row r="602" spans="13:14">
      <c r="M602">
        <v>0.38322099999999998</v>
      </c>
      <c r="N602">
        <v>59.6</v>
      </c>
    </row>
    <row r="603" spans="13:14">
      <c r="M603">
        <v>0.38322099999999998</v>
      </c>
      <c r="N603">
        <v>59.7</v>
      </c>
    </row>
    <row r="604" spans="13:14">
      <c r="M604">
        <v>0.38322099999999998</v>
      </c>
      <c r="N604">
        <v>59.8</v>
      </c>
    </row>
    <row r="605" spans="13:14">
      <c r="M605">
        <v>0.38334823899999998</v>
      </c>
      <c r="N605">
        <v>59.9</v>
      </c>
    </row>
    <row r="606" spans="13:14">
      <c r="M606">
        <v>0.38352760000000002</v>
      </c>
      <c r="N606">
        <v>60</v>
      </c>
    </row>
    <row r="607" spans="13:14">
      <c r="M607">
        <v>0.38370696100000001</v>
      </c>
      <c r="N607">
        <v>60.1</v>
      </c>
    </row>
    <row r="608" spans="13:14">
      <c r="M608">
        <v>0.38373200000000002</v>
      </c>
      <c r="N608">
        <v>60.2</v>
      </c>
    </row>
    <row r="609" spans="13:14">
      <c r="M609">
        <v>0.38373200000000002</v>
      </c>
      <c r="N609">
        <v>60.3</v>
      </c>
    </row>
    <row r="610" spans="13:14">
      <c r="M610">
        <v>0.38380046400000001</v>
      </c>
      <c r="N610">
        <v>60.4</v>
      </c>
    </row>
    <row r="611" spans="13:14">
      <c r="M611">
        <v>0.38980818</v>
      </c>
      <c r="N611">
        <v>60.5</v>
      </c>
    </row>
    <row r="612" spans="13:14">
      <c r="M612">
        <v>0.395815896</v>
      </c>
      <c r="N612">
        <v>60.6</v>
      </c>
    </row>
    <row r="613" spans="13:14">
      <c r="M613">
        <v>0.40087746899999999</v>
      </c>
      <c r="N613">
        <v>60.7</v>
      </c>
    </row>
    <row r="614" spans="13:14">
      <c r="M614">
        <v>0.40105893599999998</v>
      </c>
      <c r="N614">
        <v>60.8</v>
      </c>
    </row>
    <row r="615" spans="13:14">
      <c r="M615">
        <v>0.40124040300000002</v>
      </c>
      <c r="N615">
        <v>60.9</v>
      </c>
    </row>
    <row r="616" spans="13:14">
      <c r="M616">
        <v>0.40315316000000001</v>
      </c>
      <c r="N616">
        <v>61</v>
      </c>
    </row>
    <row r="617" spans="13:14">
      <c r="M617">
        <v>0.40885901600000002</v>
      </c>
      <c r="N617">
        <v>61.1</v>
      </c>
    </row>
    <row r="618" spans="13:14">
      <c r="M618">
        <v>0.41456487199999997</v>
      </c>
      <c r="N618">
        <v>61.2</v>
      </c>
    </row>
    <row r="619" spans="13:14">
      <c r="M619">
        <v>0.41770608599999998</v>
      </c>
      <c r="N619">
        <v>61.3</v>
      </c>
    </row>
    <row r="620" spans="13:14">
      <c r="M620">
        <v>0.41788930800000001</v>
      </c>
      <c r="N620">
        <v>61.4</v>
      </c>
    </row>
    <row r="621" spans="13:14">
      <c r="M621">
        <v>0.41807253</v>
      </c>
      <c r="N621">
        <v>61.5</v>
      </c>
    </row>
    <row r="622" spans="13:14">
      <c r="M622">
        <v>0.42191479199999998</v>
      </c>
      <c r="N622">
        <v>61.6</v>
      </c>
    </row>
    <row r="623" spans="13:14">
      <c r="M623">
        <v>0.428043954</v>
      </c>
      <c r="N623">
        <v>61.7</v>
      </c>
    </row>
    <row r="624" spans="13:14">
      <c r="M624">
        <v>0.43417311600000003</v>
      </c>
      <c r="N624">
        <v>61.8</v>
      </c>
    </row>
    <row r="625" spans="13:14">
      <c r="M625">
        <v>0.43574676299999998</v>
      </c>
      <c r="N625">
        <v>61.9</v>
      </c>
    </row>
    <row r="626" spans="13:14">
      <c r="M626">
        <v>0.43593174000000001</v>
      </c>
      <c r="N626">
        <v>62</v>
      </c>
    </row>
    <row r="627" spans="13:14">
      <c r="M627">
        <v>0.43611671699999999</v>
      </c>
      <c r="N627">
        <v>62.1</v>
      </c>
    </row>
    <row r="628" spans="13:14">
      <c r="M628">
        <v>0.44180564</v>
      </c>
      <c r="N628">
        <v>62.2</v>
      </c>
    </row>
    <row r="629" spans="13:14">
      <c r="M629">
        <v>0.44799025999999997</v>
      </c>
      <c r="N629">
        <v>62.3</v>
      </c>
    </row>
    <row r="630" spans="13:14">
      <c r="M630">
        <v>0.45375199999999999</v>
      </c>
      <c r="N630">
        <v>62.4</v>
      </c>
    </row>
    <row r="631" spans="13:14">
      <c r="M631">
        <v>0.45375199999999999</v>
      </c>
      <c r="N631">
        <v>62.5</v>
      </c>
    </row>
    <row r="632" spans="13:14">
      <c r="M632">
        <v>0.45375199999999999</v>
      </c>
      <c r="N632">
        <v>62.6</v>
      </c>
    </row>
    <row r="633" spans="13:14">
      <c r="M633">
        <v>0.45516079199999998</v>
      </c>
      <c r="N633">
        <v>62.7</v>
      </c>
    </row>
    <row r="634" spans="13:14">
      <c r="M634">
        <v>0.46158268800000002</v>
      </c>
      <c r="N634">
        <v>62.8</v>
      </c>
    </row>
    <row r="635" spans="13:14">
      <c r="M635">
        <v>0.468004584</v>
      </c>
      <c r="N635">
        <v>62.9</v>
      </c>
    </row>
    <row r="636" spans="13:14">
      <c r="M636">
        <v>0.47211755</v>
      </c>
      <c r="N636">
        <v>63</v>
      </c>
    </row>
    <row r="637" spans="13:14">
      <c r="M637">
        <v>0.47230533499999999</v>
      </c>
      <c r="N637">
        <v>63.1</v>
      </c>
    </row>
    <row r="638" spans="13:14">
      <c r="M638">
        <v>0.47249311999999999</v>
      </c>
      <c r="N638">
        <v>63.2</v>
      </c>
    </row>
    <row r="639" spans="13:14">
      <c r="M639">
        <v>0.47258299999999998</v>
      </c>
      <c r="N639">
        <v>63.3</v>
      </c>
    </row>
    <row r="640" spans="13:14">
      <c r="M640">
        <v>0.47258299999999998</v>
      </c>
      <c r="N640">
        <v>63.4</v>
      </c>
    </row>
    <row r="641" spans="13:14">
      <c r="M641">
        <v>0.47258299999999998</v>
      </c>
      <c r="N641">
        <v>63.5</v>
      </c>
    </row>
    <row r="642" spans="13:14">
      <c r="M642">
        <v>0.47270926000000002</v>
      </c>
      <c r="N642">
        <v>63.6</v>
      </c>
    </row>
    <row r="643" spans="13:14">
      <c r="M643">
        <v>0.47289704500000002</v>
      </c>
      <c r="N643">
        <v>63.7</v>
      </c>
    </row>
    <row r="644" spans="13:14">
      <c r="M644">
        <v>0.47308483000000001</v>
      </c>
      <c r="N644">
        <v>63.8</v>
      </c>
    </row>
    <row r="645" spans="13:14">
      <c r="M645">
        <v>0.47327290399999999</v>
      </c>
      <c r="N645">
        <v>63.9</v>
      </c>
    </row>
    <row r="646" spans="13:14">
      <c r="M646">
        <v>0.47346104</v>
      </c>
      <c r="N646">
        <v>64</v>
      </c>
    </row>
    <row r="647" spans="13:14">
      <c r="M647">
        <v>0.47364917600000001</v>
      </c>
      <c r="N647">
        <v>64.099999999999994</v>
      </c>
    </row>
    <row r="648" spans="13:14">
      <c r="M648">
        <v>0.47365400000000002</v>
      </c>
      <c r="N648">
        <v>64.2</v>
      </c>
    </row>
    <row r="649" spans="13:14">
      <c r="M649">
        <v>0.47365400000000002</v>
      </c>
      <c r="N649">
        <v>64.3</v>
      </c>
    </row>
    <row r="650" spans="13:14">
      <c r="M650">
        <v>0.47365400000000002</v>
      </c>
      <c r="N650">
        <v>64.400000000000006</v>
      </c>
    </row>
    <row r="651" spans="13:14">
      <c r="M651">
        <v>0.47365400000000002</v>
      </c>
      <c r="N651">
        <v>64.5</v>
      </c>
    </row>
    <row r="652" spans="13:14">
      <c r="M652">
        <v>0.47365400000000002</v>
      </c>
      <c r="N652">
        <v>64.599999999999994</v>
      </c>
    </row>
    <row r="653" spans="13:14">
      <c r="M653">
        <v>0.47523374200000001</v>
      </c>
      <c r="N653">
        <v>64.7</v>
      </c>
    </row>
    <row r="654" spans="13:14">
      <c r="M654">
        <v>0.48095012799999998</v>
      </c>
      <c r="N654">
        <v>64.8</v>
      </c>
    </row>
    <row r="655" spans="13:14">
      <c r="M655">
        <v>0.48666651399999999</v>
      </c>
      <c r="N655">
        <v>64.900000000000006</v>
      </c>
    </row>
    <row r="656" spans="13:14">
      <c r="M656">
        <v>0.49002085000000001</v>
      </c>
      <c r="N656">
        <v>65</v>
      </c>
    </row>
    <row r="657" spans="13:14">
      <c r="M657">
        <v>0.49021003899999999</v>
      </c>
      <c r="N657">
        <v>65.099999999999994</v>
      </c>
    </row>
    <row r="658" spans="13:14">
      <c r="M658">
        <v>0.49039922800000002</v>
      </c>
      <c r="N658">
        <v>65.2</v>
      </c>
    </row>
    <row r="659" spans="13:14">
      <c r="M659">
        <v>0.490479</v>
      </c>
      <c r="N659">
        <v>65.3</v>
      </c>
    </row>
    <row r="660" spans="13:14">
      <c r="M660">
        <v>0.490479</v>
      </c>
      <c r="N660">
        <v>65.400000000000006</v>
      </c>
    </row>
    <row r="661" spans="13:14">
      <c r="M661">
        <v>0.490479</v>
      </c>
      <c r="N661">
        <v>65.5</v>
      </c>
    </row>
    <row r="662" spans="13:14">
      <c r="M662">
        <v>0.49075496800000001</v>
      </c>
      <c r="N662">
        <v>65.599999999999994</v>
      </c>
    </row>
    <row r="663" spans="13:14">
      <c r="M663">
        <v>0.49113334600000003</v>
      </c>
      <c r="N663">
        <v>65.7</v>
      </c>
    </row>
    <row r="664" spans="13:14">
      <c r="M664">
        <v>0.49151172399999998</v>
      </c>
      <c r="N664">
        <v>65.8</v>
      </c>
    </row>
    <row r="665" spans="13:14">
      <c r="M665">
        <v>0.49155700000000002</v>
      </c>
      <c r="N665">
        <v>65.900000000000006</v>
      </c>
    </row>
    <row r="666" spans="13:14">
      <c r="M666">
        <v>0.49155700000000002</v>
      </c>
      <c r="N666">
        <v>66</v>
      </c>
    </row>
    <row r="667" spans="13:14">
      <c r="M667">
        <v>0.49155700000000002</v>
      </c>
      <c r="N667">
        <v>66.099999999999994</v>
      </c>
    </row>
    <row r="668" spans="13:14">
      <c r="M668">
        <v>0.49155700000000002</v>
      </c>
      <c r="N668">
        <v>66.2</v>
      </c>
    </row>
    <row r="669" spans="13:14">
      <c r="M669">
        <v>0.49155700000000002</v>
      </c>
      <c r="N669">
        <v>66.3</v>
      </c>
    </row>
    <row r="670" spans="13:14">
      <c r="M670">
        <v>0.49159143199999999</v>
      </c>
      <c r="N670">
        <v>66.400000000000006</v>
      </c>
    </row>
    <row r="671" spans="13:14">
      <c r="M671">
        <v>0.49178027000000002</v>
      </c>
      <c r="N671">
        <v>66.5</v>
      </c>
    </row>
    <row r="672" spans="13:14">
      <c r="M672">
        <v>0.49196910799999999</v>
      </c>
      <c r="N672">
        <v>66.599999999999994</v>
      </c>
    </row>
    <row r="673" spans="13:14">
      <c r="M673">
        <v>0.492095</v>
      </c>
      <c r="N673">
        <v>66.7</v>
      </c>
    </row>
    <row r="674" spans="13:14">
      <c r="M674">
        <v>0.492095</v>
      </c>
      <c r="N674">
        <v>66.8</v>
      </c>
    </row>
    <row r="675" spans="13:14">
      <c r="M675">
        <v>0.492095</v>
      </c>
      <c r="N675">
        <v>66.900000000000006</v>
      </c>
    </row>
    <row r="676" spans="13:14">
      <c r="M676">
        <v>0.492095</v>
      </c>
      <c r="N676">
        <v>67</v>
      </c>
    </row>
    <row r="677" spans="13:14">
      <c r="M677">
        <v>0.492095</v>
      </c>
      <c r="N677">
        <v>67.099999999999994</v>
      </c>
    </row>
    <row r="678" spans="13:14">
      <c r="M678">
        <v>0.492095</v>
      </c>
      <c r="N678">
        <v>67.2</v>
      </c>
    </row>
    <row r="679" spans="13:14">
      <c r="M679">
        <v>0.49575086200000001</v>
      </c>
      <c r="N679">
        <v>67.3</v>
      </c>
    </row>
    <row r="680" spans="13:14">
      <c r="M680">
        <v>0.50150515600000001</v>
      </c>
      <c r="N680">
        <v>67.400000000000006</v>
      </c>
    </row>
    <row r="681" spans="13:14">
      <c r="M681">
        <v>0.50725944999999995</v>
      </c>
      <c r="N681">
        <v>67.5</v>
      </c>
    </row>
    <row r="682" spans="13:14">
      <c r="M682">
        <v>0.50863859199999994</v>
      </c>
      <c r="N682">
        <v>67.599999999999994</v>
      </c>
    </row>
    <row r="683" spans="13:14">
      <c r="M683">
        <v>0.50882883400000001</v>
      </c>
      <c r="N683">
        <v>67.7</v>
      </c>
    </row>
    <row r="684" spans="13:14">
      <c r="M684">
        <v>0.50901907599999996</v>
      </c>
      <c r="N684">
        <v>67.8</v>
      </c>
    </row>
    <row r="685" spans="13:14">
      <c r="M685">
        <v>0.50920931800000002</v>
      </c>
      <c r="N685">
        <v>67.900000000000006</v>
      </c>
    </row>
    <row r="686" spans="13:14">
      <c r="M686">
        <v>0.50939955999999997</v>
      </c>
      <c r="N686">
        <v>68</v>
      </c>
    </row>
    <row r="687" spans="13:14">
      <c r="M687">
        <v>0.50958983300000005</v>
      </c>
      <c r="N687">
        <v>68.099999999999994</v>
      </c>
    </row>
    <row r="688" spans="13:14">
      <c r="M688">
        <v>0.50978042599999995</v>
      </c>
      <c r="N688">
        <v>68.2</v>
      </c>
    </row>
    <row r="689" spans="13:14">
      <c r="M689">
        <v>0.50997101899999997</v>
      </c>
      <c r="N689">
        <v>68.3</v>
      </c>
    </row>
    <row r="690" spans="13:14">
      <c r="M690">
        <v>0.51016152800000003</v>
      </c>
      <c r="N690">
        <v>68.400000000000006</v>
      </c>
    </row>
    <row r="691" spans="13:14">
      <c r="M691">
        <v>0.51035176999999998</v>
      </c>
      <c r="N691">
        <v>68.5</v>
      </c>
    </row>
    <row r="692" spans="13:14">
      <c r="M692">
        <v>0.51054201200000005</v>
      </c>
      <c r="N692">
        <v>68.599999999999994</v>
      </c>
    </row>
    <row r="693" spans="13:14">
      <c r="M693">
        <v>0.51065799999999995</v>
      </c>
      <c r="N693">
        <v>68.7</v>
      </c>
    </row>
    <row r="694" spans="13:14">
      <c r="M694">
        <v>0.51065799999999995</v>
      </c>
      <c r="N694">
        <v>68.8</v>
      </c>
    </row>
    <row r="695" spans="13:14">
      <c r="M695">
        <v>0.51065799999999995</v>
      </c>
      <c r="N695">
        <v>68.900000000000006</v>
      </c>
    </row>
    <row r="696" spans="13:14">
      <c r="M696">
        <v>0.51410175000000002</v>
      </c>
      <c r="N696">
        <v>69</v>
      </c>
    </row>
    <row r="697" spans="13:14">
      <c r="M697">
        <v>0.52046362499999999</v>
      </c>
      <c r="N697">
        <v>69.099999999999994</v>
      </c>
    </row>
    <row r="698" spans="13:14">
      <c r="M698">
        <v>0.52682549999999995</v>
      </c>
      <c r="N698">
        <v>69.2</v>
      </c>
    </row>
    <row r="699" spans="13:14">
      <c r="M699">
        <v>0.52891543500000004</v>
      </c>
      <c r="N699">
        <v>69.3</v>
      </c>
    </row>
    <row r="700" spans="13:14">
      <c r="M700">
        <v>0.52910672999999997</v>
      </c>
      <c r="N700">
        <v>69.400000000000006</v>
      </c>
    </row>
    <row r="701" spans="13:14">
      <c r="M701">
        <v>0.52929802500000001</v>
      </c>
      <c r="N701">
        <v>69.5</v>
      </c>
    </row>
    <row r="702" spans="13:14">
      <c r="M702">
        <v>0.53439640799999999</v>
      </c>
      <c r="N702">
        <v>69.599999999999994</v>
      </c>
    </row>
    <row r="703" spans="13:14">
      <c r="M703">
        <v>0.54040658100000005</v>
      </c>
      <c r="N703">
        <v>69.7</v>
      </c>
    </row>
    <row r="704" spans="13:14">
      <c r="M704">
        <v>0.546416754</v>
      </c>
      <c r="N704">
        <v>69.8</v>
      </c>
    </row>
    <row r="705" spans="13:14">
      <c r="M705">
        <v>0.54645100000000002</v>
      </c>
      <c r="N705">
        <v>69.900000000000006</v>
      </c>
    </row>
    <row r="706" spans="13:14">
      <c r="M706">
        <v>0.54645100000000002</v>
      </c>
      <c r="N706">
        <v>70</v>
      </c>
    </row>
    <row r="707" spans="13:14">
      <c r="M707">
        <v>0.54647894799999996</v>
      </c>
      <c r="N707">
        <v>70.099999999999994</v>
      </c>
    </row>
    <row r="708" spans="13:14">
      <c r="M708">
        <v>0.54667129599999997</v>
      </c>
      <c r="N708">
        <v>70.2</v>
      </c>
    </row>
    <row r="709" spans="13:14">
      <c r="M709">
        <v>0.54686364399999998</v>
      </c>
      <c r="N709">
        <v>70.3</v>
      </c>
    </row>
    <row r="710" spans="13:14">
      <c r="M710">
        <v>0.54699900000000001</v>
      </c>
      <c r="N710">
        <v>70.400000000000006</v>
      </c>
    </row>
    <row r="711" spans="13:14">
      <c r="M711">
        <v>0.54699900000000001</v>
      </c>
      <c r="N711">
        <v>70.5</v>
      </c>
    </row>
    <row r="712" spans="13:14">
      <c r="M712">
        <v>0.54699900000000001</v>
      </c>
      <c r="N712">
        <v>70.599999999999994</v>
      </c>
    </row>
    <row r="713" spans="13:14">
      <c r="M713">
        <v>0.54708487900000002</v>
      </c>
      <c r="N713">
        <v>70.7</v>
      </c>
    </row>
    <row r="714" spans="13:14">
      <c r="M714">
        <v>0.54727687599999997</v>
      </c>
      <c r="N714">
        <v>70.8</v>
      </c>
    </row>
    <row r="715" spans="13:14">
      <c r="M715">
        <v>0.54746887300000002</v>
      </c>
      <c r="N715">
        <v>70.900000000000006</v>
      </c>
    </row>
    <row r="716" spans="13:14">
      <c r="M716">
        <v>0.54766108000000002</v>
      </c>
      <c r="N716">
        <v>71</v>
      </c>
    </row>
    <row r="717" spans="13:14">
      <c r="M717">
        <v>0.54785342800000003</v>
      </c>
      <c r="N717">
        <v>71.099999999999994</v>
      </c>
    </row>
    <row r="718" spans="13:14">
      <c r="M718">
        <v>0.54804577600000004</v>
      </c>
      <c r="N718">
        <v>71.2</v>
      </c>
    </row>
    <row r="719" spans="13:14">
      <c r="M719">
        <v>0.54809399999999997</v>
      </c>
      <c r="N719">
        <v>71.3</v>
      </c>
    </row>
    <row r="720" spans="13:14">
      <c r="M720">
        <v>0.54809399999999997</v>
      </c>
      <c r="N720">
        <v>71.400000000000006</v>
      </c>
    </row>
    <row r="721" spans="13:14">
      <c r="M721">
        <v>0.54809399999999997</v>
      </c>
      <c r="N721">
        <v>71.5</v>
      </c>
    </row>
    <row r="722" spans="13:14">
      <c r="M722">
        <v>0.55300780000000005</v>
      </c>
      <c r="N722">
        <v>71.599999999999994</v>
      </c>
    </row>
    <row r="723" spans="13:14">
      <c r="M723">
        <v>0.55846585000000004</v>
      </c>
      <c r="N723">
        <v>71.7</v>
      </c>
    </row>
    <row r="724" spans="13:14">
      <c r="M724">
        <v>0.56365390000000004</v>
      </c>
      <c r="N724">
        <v>71.8</v>
      </c>
    </row>
    <row r="725" spans="13:14">
      <c r="M725">
        <v>0.56384694999999996</v>
      </c>
      <c r="N725">
        <v>71.900000000000006</v>
      </c>
    </row>
    <row r="726" spans="13:14">
      <c r="M726">
        <v>0.56403999999999999</v>
      </c>
      <c r="N726">
        <v>72</v>
      </c>
    </row>
    <row r="727" spans="13:14">
      <c r="M727">
        <v>0.56423305000000001</v>
      </c>
      <c r="N727">
        <v>72.099999999999994</v>
      </c>
    </row>
    <row r="728" spans="13:14">
      <c r="M728">
        <v>0.56442610000000004</v>
      </c>
      <c r="N728">
        <v>72.2</v>
      </c>
    </row>
    <row r="729" spans="13:14">
      <c r="M729">
        <v>0.56461914999999996</v>
      </c>
      <c r="N729">
        <v>72.3</v>
      </c>
    </row>
    <row r="730" spans="13:14">
      <c r="M730">
        <v>0.56481219999999999</v>
      </c>
      <c r="N730">
        <v>72.400000000000006</v>
      </c>
    </row>
    <row r="731" spans="13:14">
      <c r="M731">
        <v>0.56500525000000001</v>
      </c>
      <c r="N731">
        <v>72.5</v>
      </c>
    </row>
    <row r="732" spans="13:14">
      <c r="M732">
        <v>0.56519830000000004</v>
      </c>
      <c r="N732">
        <v>72.599999999999994</v>
      </c>
    </row>
    <row r="733" spans="13:14">
      <c r="M733">
        <v>0.56558640400000004</v>
      </c>
      <c r="N733">
        <v>72.7</v>
      </c>
    </row>
    <row r="734" spans="13:14">
      <c r="M734">
        <v>0.56616625600000003</v>
      </c>
      <c r="N734">
        <v>72.8</v>
      </c>
    </row>
    <row r="735" spans="13:14">
      <c r="M735">
        <v>0.56674610800000003</v>
      </c>
      <c r="N735">
        <v>72.900000000000006</v>
      </c>
    </row>
    <row r="736" spans="13:14">
      <c r="M736">
        <v>0.57091809999999998</v>
      </c>
      <c r="N736">
        <v>73</v>
      </c>
    </row>
    <row r="737" spans="13:14">
      <c r="M737">
        <v>0.57697986999999995</v>
      </c>
      <c r="N737">
        <v>73.099999999999994</v>
      </c>
    </row>
    <row r="738" spans="13:14">
      <c r="M738">
        <v>0.58304164000000003</v>
      </c>
      <c r="N738">
        <v>73.2</v>
      </c>
    </row>
    <row r="739" spans="13:14">
      <c r="M739">
        <v>0.58421599999999996</v>
      </c>
      <c r="N739">
        <v>73.3</v>
      </c>
    </row>
    <row r="740" spans="13:14">
      <c r="M740">
        <v>0.58421599999999996</v>
      </c>
      <c r="N740">
        <v>73.400000000000006</v>
      </c>
    </row>
    <row r="741" spans="13:14">
      <c r="M741">
        <v>0.58421599999999996</v>
      </c>
      <c r="N741">
        <v>73.5</v>
      </c>
    </row>
    <row r="742" spans="13:14">
      <c r="M742">
        <v>0.58477308800000005</v>
      </c>
      <c r="N742">
        <v>73.599999999999994</v>
      </c>
    </row>
    <row r="743" spans="13:14">
      <c r="M743">
        <v>0.58535504599999999</v>
      </c>
      <c r="N743">
        <v>73.7</v>
      </c>
    </row>
    <row r="744" spans="13:14">
      <c r="M744">
        <v>0.58719328400000004</v>
      </c>
      <c r="N744">
        <v>73.8</v>
      </c>
    </row>
    <row r="745" spans="13:14">
      <c r="M745">
        <v>0.599379302</v>
      </c>
      <c r="N745">
        <v>73.900000000000006</v>
      </c>
    </row>
    <row r="746" spans="13:14">
      <c r="M746">
        <v>0.61156531999999997</v>
      </c>
      <c r="N746">
        <v>74</v>
      </c>
    </row>
    <row r="747" spans="13:14">
      <c r="M747">
        <v>0.62089566699999998</v>
      </c>
      <c r="N747">
        <v>74.099999999999994</v>
      </c>
    </row>
    <row r="748" spans="13:14">
      <c r="M748">
        <v>0.62206695400000001</v>
      </c>
      <c r="N748">
        <v>74.2</v>
      </c>
    </row>
    <row r="749" spans="13:14">
      <c r="M749">
        <v>0.62323824100000003</v>
      </c>
      <c r="N749">
        <v>74.3</v>
      </c>
    </row>
    <row r="750" spans="13:14">
      <c r="M750">
        <v>0.62644050399999995</v>
      </c>
      <c r="N750">
        <v>74.400000000000006</v>
      </c>
    </row>
    <row r="751" spans="13:14">
      <c r="M751">
        <v>0.63256229500000005</v>
      </c>
      <c r="N751">
        <v>74.5</v>
      </c>
    </row>
    <row r="752" spans="13:14">
      <c r="M752">
        <v>0.63868408600000004</v>
      </c>
      <c r="N752">
        <v>74.599999999999994</v>
      </c>
    </row>
    <row r="753" spans="13:14">
      <c r="M753">
        <v>0.64514530800000003</v>
      </c>
      <c r="N753">
        <v>74.7</v>
      </c>
    </row>
    <row r="754" spans="13:14">
      <c r="M754">
        <v>0.65187187199999996</v>
      </c>
      <c r="N754">
        <v>74.8</v>
      </c>
    </row>
    <row r="755" spans="13:14">
      <c r="M755">
        <v>0.65859843600000001</v>
      </c>
      <c r="N755">
        <v>74.900000000000006</v>
      </c>
    </row>
    <row r="756" spans="13:14">
      <c r="M756">
        <v>0.66067374999999995</v>
      </c>
      <c r="N756">
        <v>75</v>
      </c>
    </row>
    <row r="757" spans="13:14">
      <c r="M757">
        <v>0.66086995900000001</v>
      </c>
      <c r="N757">
        <v>75.099999999999994</v>
      </c>
    </row>
    <row r="758" spans="13:14">
      <c r="M758">
        <v>0.66106616799999995</v>
      </c>
      <c r="N758">
        <v>75.2</v>
      </c>
    </row>
    <row r="759" spans="13:14">
      <c r="M759">
        <v>0.66623703099999998</v>
      </c>
      <c r="N759">
        <v>75.3</v>
      </c>
    </row>
    <row r="760" spans="13:14">
      <c r="M760">
        <v>0.67219595799999998</v>
      </c>
      <c r="N760">
        <v>75.400000000000006</v>
      </c>
    </row>
    <row r="761" spans="13:14">
      <c r="M761">
        <v>0.67807841499999999</v>
      </c>
      <c r="N761">
        <v>75.5</v>
      </c>
    </row>
    <row r="762" spans="13:14">
      <c r="M762">
        <v>0.678669148</v>
      </c>
      <c r="N762">
        <v>75.599999999999994</v>
      </c>
    </row>
    <row r="763" spans="13:14">
      <c r="M763">
        <v>0.67925988100000001</v>
      </c>
      <c r="N763">
        <v>75.7</v>
      </c>
    </row>
    <row r="764" spans="13:14">
      <c r="M764">
        <v>0.67975300000000005</v>
      </c>
      <c r="N764">
        <v>75.8</v>
      </c>
    </row>
    <row r="765" spans="13:14">
      <c r="M765">
        <v>0.67975300000000005</v>
      </c>
      <c r="N765">
        <v>75.900000000000006</v>
      </c>
    </row>
    <row r="766" spans="13:14">
      <c r="M766">
        <v>0.67975300000000005</v>
      </c>
      <c r="N766">
        <v>76</v>
      </c>
    </row>
    <row r="767" spans="13:14">
      <c r="M767">
        <v>0.68170482399999999</v>
      </c>
      <c r="N767">
        <v>76.099999999999994</v>
      </c>
    </row>
    <row r="768" spans="13:14">
      <c r="M768">
        <v>0.68787680799999995</v>
      </c>
      <c r="N768">
        <v>76.2</v>
      </c>
    </row>
    <row r="769" spans="13:14">
      <c r="M769">
        <v>0.69404879200000003</v>
      </c>
      <c r="N769">
        <v>76.3</v>
      </c>
    </row>
    <row r="770" spans="13:14">
      <c r="M770">
        <v>0.69733699999999998</v>
      </c>
      <c r="N770">
        <v>76.400000000000006</v>
      </c>
    </row>
    <row r="771" spans="13:14">
      <c r="M771">
        <v>0.69733699999999998</v>
      </c>
      <c r="N771">
        <v>76.5</v>
      </c>
    </row>
    <row r="772" spans="13:14">
      <c r="M772">
        <v>0.69733699999999998</v>
      </c>
      <c r="N772">
        <v>76.599999999999994</v>
      </c>
    </row>
    <row r="773" spans="13:14">
      <c r="M773">
        <v>0.69733699999999998</v>
      </c>
      <c r="N773">
        <v>76.7</v>
      </c>
    </row>
    <row r="774" spans="13:14">
      <c r="M774">
        <v>0.69733699999999998</v>
      </c>
      <c r="N774">
        <v>76.8</v>
      </c>
    </row>
    <row r="775" spans="13:14">
      <c r="M775">
        <v>0.69733699999999998</v>
      </c>
      <c r="N775">
        <v>76.900000000000006</v>
      </c>
    </row>
    <row r="776" spans="13:14">
      <c r="M776">
        <v>0.69779276000000001</v>
      </c>
      <c r="N776">
        <v>77</v>
      </c>
    </row>
    <row r="777" spans="13:14">
      <c r="M777">
        <v>0.69838524800000001</v>
      </c>
      <c r="N777">
        <v>77.099999999999994</v>
      </c>
    </row>
    <row r="778" spans="13:14">
      <c r="M778">
        <v>0.69897773600000002</v>
      </c>
      <c r="N778">
        <v>77.2</v>
      </c>
    </row>
    <row r="779" spans="13:14">
      <c r="M779">
        <v>0.70472207399999998</v>
      </c>
      <c r="N779">
        <v>77.3</v>
      </c>
    </row>
    <row r="780" spans="13:14">
      <c r="M780">
        <v>0.71091301200000101</v>
      </c>
      <c r="N780">
        <v>77.400000000000006</v>
      </c>
    </row>
    <row r="781" spans="13:14">
      <c r="M781">
        <v>0.71670532499999995</v>
      </c>
      <c r="N781">
        <v>77.5</v>
      </c>
    </row>
    <row r="782" spans="13:14">
      <c r="M782">
        <v>0.71729956800000005</v>
      </c>
      <c r="N782">
        <v>77.599999999999994</v>
      </c>
    </row>
    <row r="783" spans="13:14">
      <c r="M783">
        <v>0.71789381100000005</v>
      </c>
      <c r="N783">
        <v>77.7</v>
      </c>
    </row>
    <row r="784" spans="13:14">
      <c r="M784">
        <v>0.71986873200000101</v>
      </c>
      <c r="N784">
        <v>77.8</v>
      </c>
    </row>
    <row r="785" spans="13:14">
      <c r="M785">
        <v>0.72667602600000103</v>
      </c>
      <c r="N785">
        <v>77.900000000000006</v>
      </c>
    </row>
    <row r="786" spans="13:14">
      <c r="M786">
        <v>0.73348332000000105</v>
      </c>
      <c r="N786">
        <v>78</v>
      </c>
    </row>
    <row r="787" spans="13:14">
      <c r="M787">
        <v>0.74007656000000099</v>
      </c>
      <c r="N787">
        <v>78.099999999999994</v>
      </c>
    </row>
    <row r="788" spans="13:14">
      <c r="M788">
        <v>0.74631032000000097</v>
      </c>
      <c r="N788">
        <v>78.2</v>
      </c>
    </row>
    <row r="789" spans="13:14">
      <c r="M789">
        <v>0.75254408000000095</v>
      </c>
      <c r="N789">
        <v>78.3</v>
      </c>
    </row>
    <row r="790" spans="13:14">
      <c r="M790">
        <v>0.75551000000000001</v>
      </c>
      <c r="N790">
        <v>78.400000000000006</v>
      </c>
    </row>
    <row r="791" spans="13:14">
      <c r="M791">
        <v>0.75551000000000001</v>
      </c>
      <c r="N791">
        <v>78.5</v>
      </c>
    </row>
    <row r="792" spans="13:14">
      <c r="M792">
        <v>0.75551000000000001</v>
      </c>
      <c r="N792">
        <v>78.599999999999994</v>
      </c>
    </row>
    <row r="793" spans="13:14">
      <c r="M793">
        <v>0.76014121700000004</v>
      </c>
      <c r="N793">
        <v>78.7</v>
      </c>
    </row>
    <row r="794" spans="13:14">
      <c r="M794">
        <v>0.76700010799999996</v>
      </c>
      <c r="N794">
        <v>78.8</v>
      </c>
    </row>
    <row r="795" spans="13:14">
      <c r="M795">
        <v>0.77385899899999999</v>
      </c>
      <c r="N795">
        <v>78.900000000000006</v>
      </c>
    </row>
    <row r="796" spans="13:14">
      <c r="M796">
        <v>0.77505100000000005</v>
      </c>
      <c r="N796">
        <v>79</v>
      </c>
    </row>
    <row r="797" spans="13:14">
      <c r="M797">
        <v>0.77505100000000005</v>
      </c>
      <c r="N797">
        <v>79.099999999999994</v>
      </c>
    </row>
    <row r="798" spans="13:14">
      <c r="M798">
        <v>0.77505100000000005</v>
      </c>
      <c r="N798">
        <v>79.2</v>
      </c>
    </row>
    <row r="799" spans="13:14">
      <c r="M799">
        <v>0.78178580499999994</v>
      </c>
      <c r="N799">
        <v>79.3</v>
      </c>
    </row>
    <row r="800" spans="13:14">
      <c r="M800">
        <v>0.78867768999999999</v>
      </c>
      <c r="N800">
        <v>79.400000000000006</v>
      </c>
    </row>
    <row r="801" spans="13:14">
      <c r="M801">
        <v>0.794686</v>
      </c>
      <c r="N801">
        <v>79.5</v>
      </c>
    </row>
    <row r="802" spans="13:14">
      <c r="M802">
        <v>0.794686</v>
      </c>
      <c r="N802">
        <v>79.599999999999994</v>
      </c>
    </row>
    <row r="803" spans="13:14">
      <c r="M803">
        <v>0.794686</v>
      </c>
      <c r="N803">
        <v>79.7</v>
      </c>
    </row>
    <row r="804" spans="13:14">
      <c r="M804">
        <v>0.794686</v>
      </c>
      <c r="N804">
        <v>79.8</v>
      </c>
    </row>
    <row r="805" spans="13:14">
      <c r="M805">
        <v>0.794686</v>
      </c>
      <c r="N805">
        <v>79.900000000000006</v>
      </c>
    </row>
    <row r="806" spans="13:14">
      <c r="M806">
        <v>0.794686</v>
      </c>
      <c r="N806">
        <v>80</v>
      </c>
    </row>
    <row r="807" spans="13:14">
      <c r="M807">
        <v>0.794686</v>
      </c>
      <c r="N807">
        <v>80.099999999999994</v>
      </c>
    </row>
    <row r="808" spans="13:14">
      <c r="M808">
        <v>0.794686</v>
      </c>
      <c r="N808">
        <v>80.2</v>
      </c>
    </row>
    <row r="809" spans="13:14">
      <c r="M809">
        <v>0.794686</v>
      </c>
      <c r="N809">
        <v>80.3</v>
      </c>
    </row>
    <row r="810" spans="13:14">
      <c r="M810">
        <v>0.79871418400000005</v>
      </c>
      <c r="N810">
        <v>80.400000000000006</v>
      </c>
    </row>
    <row r="811" spans="13:14">
      <c r="M811">
        <v>0.80564502999999998</v>
      </c>
      <c r="N811">
        <v>80.5</v>
      </c>
    </row>
    <row r="812" spans="13:14">
      <c r="M812">
        <v>0.81257587600000003</v>
      </c>
      <c r="N812">
        <v>80.599999999999994</v>
      </c>
    </row>
    <row r="813" spans="13:14">
      <c r="M813">
        <v>0.81443200000000004</v>
      </c>
      <c r="N813">
        <v>80.7</v>
      </c>
    </row>
    <row r="814" spans="13:14">
      <c r="M814">
        <v>0.81443200000000004</v>
      </c>
      <c r="N814">
        <v>80.8</v>
      </c>
    </row>
    <row r="815" spans="13:14">
      <c r="M815">
        <v>0.81443200000000004</v>
      </c>
      <c r="N815">
        <v>80.900000000000006</v>
      </c>
    </row>
    <row r="816" spans="13:14">
      <c r="M816">
        <v>0.81496860999999998</v>
      </c>
      <c r="N816">
        <v>81</v>
      </c>
    </row>
    <row r="817" spans="13:14">
      <c r="M817">
        <v>0.81557619100000001</v>
      </c>
      <c r="N817">
        <v>81.099999999999994</v>
      </c>
    </row>
    <row r="818" spans="13:14">
      <c r="M818">
        <v>0.81616299999999997</v>
      </c>
      <c r="N818">
        <v>81.2</v>
      </c>
    </row>
    <row r="819" spans="13:14">
      <c r="M819">
        <v>0.81616299999999997</v>
      </c>
      <c r="N819">
        <v>81.3</v>
      </c>
    </row>
    <row r="820" spans="13:14">
      <c r="M820">
        <v>0.81616299999999997</v>
      </c>
      <c r="N820">
        <v>81.400000000000006</v>
      </c>
    </row>
    <row r="821" spans="13:14">
      <c r="M821">
        <v>0.81734242499999998</v>
      </c>
      <c r="N821">
        <v>81.5</v>
      </c>
    </row>
    <row r="822" spans="13:14">
      <c r="M822">
        <v>0.82371132000000002</v>
      </c>
      <c r="N822">
        <v>81.599999999999994</v>
      </c>
    </row>
    <row r="823" spans="13:14">
      <c r="M823">
        <v>0.83008021499999995</v>
      </c>
      <c r="N823">
        <v>81.7</v>
      </c>
    </row>
    <row r="824" spans="13:14">
      <c r="M824">
        <v>0.83667118600000001</v>
      </c>
      <c r="N824">
        <v>81.8</v>
      </c>
    </row>
    <row r="825" spans="13:14">
      <c r="M825">
        <v>0.84370066300000002</v>
      </c>
      <c r="N825">
        <v>81.900000000000006</v>
      </c>
    </row>
    <row r="826" spans="13:14">
      <c r="M826">
        <v>0.85073014000000102</v>
      </c>
      <c r="N826">
        <v>82</v>
      </c>
    </row>
    <row r="827" spans="13:14">
      <c r="M827">
        <v>0.85433499999999996</v>
      </c>
      <c r="N827">
        <v>82.1</v>
      </c>
    </row>
    <row r="828" spans="13:14">
      <c r="M828">
        <v>0.85433499999999996</v>
      </c>
      <c r="N828">
        <v>82.2</v>
      </c>
    </row>
    <row r="829" spans="13:14">
      <c r="M829">
        <v>0.85433499999999996</v>
      </c>
      <c r="N829">
        <v>82.3</v>
      </c>
    </row>
    <row r="830" spans="13:14">
      <c r="M830">
        <v>0.85886069600000103</v>
      </c>
      <c r="N830">
        <v>82.4</v>
      </c>
    </row>
    <row r="831" spans="13:14">
      <c r="M831">
        <v>0.86595230000000101</v>
      </c>
      <c r="N831">
        <v>82.5</v>
      </c>
    </row>
    <row r="832" spans="13:14">
      <c r="M832">
        <v>0.87304390400000098</v>
      </c>
      <c r="N832">
        <v>82.6</v>
      </c>
    </row>
    <row r="833" spans="13:14">
      <c r="M833">
        <v>0.87503039800000004</v>
      </c>
      <c r="N833">
        <v>82.7</v>
      </c>
    </row>
    <row r="834" spans="13:14">
      <c r="M834">
        <v>0.87565307199999998</v>
      </c>
      <c r="N834">
        <v>82.8</v>
      </c>
    </row>
    <row r="835" spans="13:14">
      <c r="M835">
        <v>0.87627574600000002</v>
      </c>
      <c r="N835">
        <v>82.9</v>
      </c>
    </row>
    <row r="836" spans="13:14">
      <c r="M836">
        <v>0.87650835999999999</v>
      </c>
      <c r="N836">
        <v>83</v>
      </c>
    </row>
    <row r="837" spans="13:14">
      <c r="M837">
        <v>0.87671615199999997</v>
      </c>
      <c r="N837">
        <v>83.1</v>
      </c>
    </row>
    <row r="838" spans="13:14">
      <c r="M838">
        <v>0.87748231200000104</v>
      </c>
      <c r="N838">
        <v>83.2</v>
      </c>
    </row>
    <row r="839" spans="13:14">
      <c r="M839">
        <v>0.88381470299999998</v>
      </c>
      <c r="N839">
        <v>83.3</v>
      </c>
    </row>
    <row r="840" spans="13:14">
      <c r="M840">
        <v>0.89014709400000003</v>
      </c>
      <c r="N840">
        <v>83.4</v>
      </c>
    </row>
    <row r="841" spans="13:14">
      <c r="M841">
        <v>0.89494600000000002</v>
      </c>
      <c r="N841">
        <v>83.5</v>
      </c>
    </row>
    <row r="842" spans="13:14">
      <c r="M842">
        <v>0.89494600000000002</v>
      </c>
      <c r="N842">
        <v>83.6</v>
      </c>
    </row>
    <row r="843" spans="13:14">
      <c r="M843">
        <v>0.89494600000000002</v>
      </c>
      <c r="N843">
        <v>83.7</v>
      </c>
    </row>
    <row r="844" spans="13:14">
      <c r="M844">
        <v>0.89519384800000001</v>
      </c>
      <c r="N844">
        <v>83.8</v>
      </c>
    </row>
    <row r="845" spans="13:14">
      <c r="M845">
        <v>0.89582424400000005</v>
      </c>
      <c r="N845">
        <v>83.9</v>
      </c>
    </row>
    <row r="846" spans="13:14">
      <c r="M846">
        <v>0.89645463999999997</v>
      </c>
      <c r="N846">
        <v>84</v>
      </c>
    </row>
    <row r="847" spans="13:14">
      <c r="M847">
        <v>0.900342540999999</v>
      </c>
      <c r="N847">
        <v>84.1</v>
      </c>
    </row>
    <row r="848" spans="13:14">
      <c r="M848">
        <v>0.906959241999999</v>
      </c>
      <c r="N848">
        <v>84.2</v>
      </c>
    </row>
    <row r="849" spans="13:14">
      <c r="M849">
        <v>0.913575942999999</v>
      </c>
      <c r="N849">
        <v>84.3</v>
      </c>
    </row>
    <row r="850" spans="13:14">
      <c r="M850">
        <v>0.91559299999999999</v>
      </c>
      <c r="N850">
        <v>84.4</v>
      </c>
    </row>
    <row r="851" spans="13:14">
      <c r="M851">
        <v>0.91559299999999999</v>
      </c>
      <c r="N851">
        <v>84.5</v>
      </c>
    </row>
    <row r="852" spans="13:14">
      <c r="M852">
        <v>0.91559299999999999</v>
      </c>
      <c r="N852">
        <v>84.6</v>
      </c>
    </row>
    <row r="853" spans="13:14">
      <c r="M853">
        <v>0.92180594299999896</v>
      </c>
      <c r="N853">
        <v>84.7</v>
      </c>
    </row>
    <row r="854" spans="13:14">
      <c r="M854">
        <v>0.92914851199999904</v>
      </c>
      <c r="N854">
        <v>84.8</v>
      </c>
    </row>
    <row r="855" spans="13:14">
      <c r="M855">
        <v>0.936491080999999</v>
      </c>
      <c r="N855">
        <v>84.9</v>
      </c>
    </row>
    <row r="856" spans="13:14">
      <c r="M856">
        <v>0.93651200000000001</v>
      </c>
      <c r="N856">
        <v>85</v>
      </c>
    </row>
    <row r="857" spans="13:14">
      <c r="M857">
        <v>0.93651200000000001</v>
      </c>
      <c r="N857">
        <v>85.1</v>
      </c>
    </row>
    <row r="858" spans="13:14">
      <c r="M858">
        <v>0.93651200000000001</v>
      </c>
      <c r="N858">
        <v>85.2</v>
      </c>
    </row>
    <row r="859" spans="13:14">
      <c r="M859">
        <v>0.93651200000000001</v>
      </c>
      <c r="N859">
        <v>85.3</v>
      </c>
    </row>
    <row r="860" spans="13:14">
      <c r="M860">
        <v>0.93651200000000001</v>
      </c>
      <c r="N860">
        <v>85.4</v>
      </c>
    </row>
    <row r="861" spans="13:14">
      <c r="M861">
        <v>0.93874157000000003</v>
      </c>
      <c r="N861">
        <v>85.5</v>
      </c>
    </row>
    <row r="862" spans="13:14">
      <c r="M862">
        <v>0.94619470400000005</v>
      </c>
      <c r="N862">
        <v>85.6</v>
      </c>
    </row>
    <row r="863" spans="13:14">
      <c r="M863">
        <v>0.95364783799999997</v>
      </c>
      <c r="N863">
        <v>85.7</v>
      </c>
    </row>
    <row r="864" spans="13:14">
      <c r="M864">
        <v>0.95774599999999999</v>
      </c>
      <c r="N864">
        <v>85.8</v>
      </c>
    </row>
    <row r="865" spans="13:14">
      <c r="M865">
        <v>0.95774599999999999</v>
      </c>
      <c r="N865">
        <v>85.9</v>
      </c>
    </row>
    <row r="866" spans="13:14">
      <c r="M866">
        <v>0.95774599999999999</v>
      </c>
      <c r="N866">
        <v>86</v>
      </c>
    </row>
    <row r="867" spans="13:14">
      <c r="M867">
        <v>0.96694370100000004</v>
      </c>
      <c r="N867">
        <v>86.1</v>
      </c>
    </row>
    <row r="868" spans="13:14">
      <c r="M868">
        <v>0.98224414200000099</v>
      </c>
      <c r="N868">
        <v>86.2</v>
      </c>
    </row>
    <row r="869" spans="13:14">
      <c r="M869">
        <v>0.99754458300000004</v>
      </c>
      <c r="N869">
        <v>86.3</v>
      </c>
    </row>
    <row r="870" spans="13:14">
      <c r="M870">
        <v>1.0013369999999999</v>
      </c>
      <c r="N870">
        <v>86.4</v>
      </c>
    </row>
    <row r="871" spans="13:14">
      <c r="M871">
        <v>1.0013369999999999</v>
      </c>
      <c r="N871">
        <v>86.5</v>
      </c>
    </row>
    <row r="872" spans="13:14">
      <c r="M872">
        <v>1.0013369999999999</v>
      </c>
      <c r="N872">
        <v>86.6</v>
      </c>
    </row>
    <row r="873" spans="13:14">
      <c r="M873">
        <v>1.0080383799999999</v>
      </c>
      <c r="N873">
        <v>86.7</v>
      </c>
    </row>
    <row r="874" spans="13:14">
      <c r="M874">
        <v>1.0154585199999999</v>
      </c>
      <c r="N874">
        <v>86.8</v>
      </c>
    </row>
    <row r="875" spans="13:14">
      <c r="M875">
        <v>1.022502118</v>
      </c>
      <c r="N875">
        <v>86.9</v>
      </c>
    </row>
    <row r="876" spans="13:14">
      <c r="M876">
        <v>1.0229661400000001</v>
      </c>
      <c r="N876">
        <v>87</v>
      </c>
    </row>
    <row r="877" spans="13:14">
      <c r="M877">
        <v>1.0234301619999999</v>
      </c>
      <c r="N877">
        <v>87.1</v>
      </c>
    </row>
    <row r="878" spans="13:14">
      <c r="M878">
        <v>1.0237989999999999</v>
      </c>
      <c r="N878">
        <v>87.2</v>
      </c>
    </row>
    <row r="879" spans="13:14">
      <c r="M879">
        <v>1.0237989999999999</v>
      </c>
      <c r="N879">
        <v>87.3</v>
      </c>
    </row>
    <row r="880" spans="13:14">
      <c r="M880">
        <v>1.0237989999999999</v>
      </c>
      <c r="N880">
        <v>87.4</v>
      </c>
    </row>
    <row r="881" spans="13:14">
      <c r="M881">
        <v>1.025595625</v>
      </c>
      <c r="N881">
        <v>87.5</v>
      </c>
    </row>
    <row r="882" spans="13:14">
      <c r="M882">
        <v>1.030640548</v>
      </c>
      <c r="N882">
        <v>87.6</v>
      </c>
    </row>
    <row r="883" spans="13:14">
      <c r="M883">
        <v>1.0356854710000001</v>
      </c>
      <c r="N883">
        <v>87.7</v>
      </c>
    </row>
    <row r="884" spans="13:14">
      <c r="M884">
        <v>1.0428567820000001</v>
      </c>
      <c r="N884">
        <v>87.8</v>
      </c>
    </row>
    <row r="885" spans="13:14">
      <c r="M885">
        <v>1.0520947510000001</v>
      </c>
      <c r="N885">
        <v>87.9</v>
      </c>
    </row>
    <row r="886" spans="13:14">
      <c r="M886">
        <v>1.06133272</v>
      </c>
      <c r="N886">
        <v>88</v>
      </c>
    </row>
    <row r="887" spans="13:14">
      <c r="M887">
        <v>1.071447796</v>
      </c>
      <c r="N887">
        <v>88.1</v>
      </c>
    </row>
    <row r="888" spans="13:14">
      <c r="M888">
        <v>1.0820185120000001</v>
      </c>
      <c r="N888">
        <v>88.2</v>
      </c>
    </row>
    <row r="889" spans="13:14">
      <c r="M889">
        <v>1.092589228</v>
      </c>
      <c r="N889">
        <v>88.3</v>
      </c>
    </row>
    <row r="890" spans="13:14">
      <c r="M890">
        <v>1.1089819439999999</v>
      </c>
      <c r="N890">
        <v>88.4</v>
      </c>
    </row>
    <row r="891" spans="13:14">
      <c r="M891">
        <v>1.12674816</v>
      </c>
      <c r="N891">
        <v>88.5</v>
      </c>
    </row>
    <row r="892" spans="13:14">
      <c r="M892">
        <v>1.1445143760000001</v>
      </c>
      <c r="N892">
        <v>88.6</v>
      </c>
    </row>
    <row r="893" spans="13:14">
      <c r="M893">
        <v>1.154465225</v>
      </c>
      <c r="N893">
        <v>88.7</v>
      </c>
    </row>
    <row r="894" spans="13:14">
      <c r="M894">
        <v>1.1640914</v>
      </c>
      <c r="N894">
        <v>88.8</v>
      </c>
    </row>
    <row r="895" spans="13:14">
      <c r="M895">
        <v>1.1746841509999999</v>
      </c>
      <c r="N895">
        <v>88.9</v>
      </c>
    </row>
    <row r="896" spans="13:14">
      <c r="M896">
        <v>1.19300951</v>
      </c>
      <c r="N896">
        <v>89</v>
      </c>
    </row>
    <row r="897" spans="13:14">
      <c r="M897">
        <v>1.2113348690000001</v>
      </c>
      <c r="N897">
        <v>89.1</v>
      </c>
    </row>
    <row r="898" spans="13:14">
      <c r="M898">
        <v>1.2250156080000001</v>
      </c>
      <c r="N898">
        <v>89.2</v>
      </c>
    </row>
    <row r="899" spans="13:14">
      <c r="M899">
        <v>1.2256207320000001</v>
      </c>
      <c r="N899">
        <v>89.3</v>
      </c>
    </row>
    <row r="900" spans="13:14">
      <c r="M900">
        <v>1.2262258559999999</v>
      </c>
      <c r="N900">
        <v>89.4</v>
      </c>
    </row>
    <row r="901" spans="13:14">
      <c r="M901">
        <v>1.2266858350000001</v>
      </c>
      <c r="N901">
        <v>89.5</v>
      </c>
    </row>
    <row r="902" spans="13:14">
      <c r="M902">
        <v>1.2269396079999999</v>
      </c>
      <c r="N902">
        <v>89.6</v>
      </c>
    </row>
    <row r="903" spans="13:14">
      <c r="M903">
        <v>1.227193381</v>
      </c>
      <c r="N903">
        <v>89.7</v>
      </c>
    </row>
    <row r="904" spans="13:14">
      <c r="M904">
        <v>1.232521894</v>
      </c>
      <c r="N904">
        <v>89.8</v>
      </c>
    </row>
    <row r="905" spans="13:14">
      <c r="M905">
        <v>1.241771797</v>
      </c>
      <c r="N905">
        <v>89.9</v>
      </c>
    </row>
    <row r="906" spans="13:14">
      <c r="M906">
        <v>1.2510216999999999</v>
      </c>
      <c r="N906">
        <v>90</v>
      </c>
    </row>
    <row r="907" spans="13:14">
      <c r="M907">
        <v>1.254272201</v>
      </c>
      <c r="N907">
        <v>90.1</v>
      </c>
    </row>
    <row r="908" spans="13:14">
      <c r="M908">
        <v>1.2551325019999999</v>
      </c>
      <c r="N908">
        <v>90.2</v>
      </c>
    </row>
    <row r="909" spans="13:14">
      <c r="M909">
        <v>1.255992803</v>
      </c>
      <c r="N909">
        <v>90.3</v>
      </c>
    </row>
    <row r="910" spans="13:14">
      <c r="M910">
        <v>1.2644081119999999</v>
      </c>
      <c r="N910">
        <v>90.4</v>
      </c>
    </row>
    <row r="911" spans="13:14">
      <c r="M911">
        <v>1.2739914649999999</v>
      </c>
      <c r="N911">
        <v>90.5</v>
      </c>
    </row>
    <row r="912" spans="13:14">
      <c r="M912">
        <v>1.283585288</v>
      </c>
      <c r="N912">
        <v>90.6</v>
      </c>
    </row>
    <row r="913" spans="13:14">
      <c r="M913">
        <v>1.293781136</v>
      </c>
      <c r="N913">
        <v>90.7</v>
      </c>
    </row>
    <row r="914" spans="13:14">
      <c r="M914">
        <v>1.303976984</v>
      </c>
      <c r="N914">
        <v>90.8</v>
      </c>
    </row>
    <row r="915" spans="13:14">
      <c r="M915">
        <v>1.314080143</v>
      </c>
      <c r="N915">
        <v>90.9</v>
      </c>
    </row>
    <row r="916" spans="13:14">
      <c r="M916">
        <v>1.32372457</v>
      </c>
      <c r="N916">
        <v>91</v>
      </c>
    </row>
    <row r="917" spans="13:14">
      <c r="M917">
        <v>1.333368997</v>
      </c>
      <c r="N917">
        <v>91.1</v>
      </c>
    </row>
    <row r="918" spans="13:14">
      <c r="M918">
        <v>1.3400284</v>
      </c>
      <c r="N918">
        <v>91.2</v>
      </c>
    </row>
    <row r="919" spans="13:14">
      <c r="M919">
        <v>1.3403179750000001</v>
      </c>
      <c r="N919">
        <v>91.3</v>
      </c>
    </row>
    <row r="920" spans="13:14">
      <c r="M920">
        <v>1.3406075500000001</v>
      </c>
      <c r="N920">
        <v>91.4</v>
      </c>
    </row>
    <row r="921" spans="13:14">
      <c r="M921">
        <v>1.34543809</v>
      </c>
      <c r="N921">
        <v>91.5</v>
      </c>
    </row>
    <row r="922" spans="13:14">
      <c r="M922">
        <v>1.3553875360000001</v>
      </c>
      <c r="N922">
        <v>91.6</v>
      </c>
    </row>
    <row r="923" spans="13:14">
      <c r="M923">
        <v>1.3653369820000001</v>
      </c>
      <c r="N923">
        <v>91.7</v>
      </c>
    </row>
    <row r="924" spans="13:14">
      <c r="M924">
        <v>1.3691070000000001</v>
      </c>
      <c r="N924">
        <v>91.8</v>
      </c>
    </row>
    <row r="925" spans="13:14">
      <c r="M925">
        <v>1.3691070000000001</v>
      </c>
      <c r="N925">
        <v>91.9</v>
      </c>
    </row>
    <row r="926" spans="13:14">
      <c r="M926">
        <v>1.3691070000000001</v>
      </c>
      <c r="N926">
        <v>92</v>
      </c>
    </row>
    <row r="927" spans="13:14">
      <c r="M927">
        <v>1.3691070000000001</v>
      </c>
      <c r="N927">
        <v>92.1</v>
      </c>
    </row>
    <row r="928" spans="13:14">
      <c r="M928">
        <v>1.3691070000000001</v>
      </c>
      <c r="N928">
        <v>92.2</v>
      </c>
    </row>
    <row r="929" spans="13:14">
      <c r="M929">
        <v>1.3691070000000001</v>
      </c>
      <c r="N929">
        <v>92.3</v>
      </c>
    </row>
    <row r="930" spans="13:14">
      <c r="M930">
        <v>1.38953196</v>
      </c>
      <c r="N930">
        <v>92.4</v>
      </c>
    </row>
    <row r="931" spans="13:14">
      <c r="M931">
        <v>1.411659</v>
      </c>
      <c r="N931">
        <v>92.5</v>
      </c>
    </row>
    <row r="932" spans="13:14">
      <c r="M932">
        <v>1.432718454</v>
      </c>
      <c r="N932">
        <v>92.6</v>
      </c>
    </row>
    <row r="933" spans="13:14">
      <c r="M933">
        <v>1.4404330830000001</v>
      </c>
      <c r="N933">
        <v>92.7</v>
      </c>
    </row>
    <row r="934" spans="13:14">
      <c r="M934">
        <v>1.4481477119999999</v>
      </c>
      <c r="N934">
        <v>92.8</v>
      </c>
    </row>
    <row r="935" spans="13:14">
      <c r="M935">
        <v>1.4583865490000001</v>
      </c>
      <c r="N935">
        <v>92.9</v>
      </c>
    </row>
    <row r="936" spans="13:14">
      <c r="M936">
        <v>1.4773163300000001</v>
      </c>
      <c r="N936">
        <v>93</v>
      </c>
    </row>
    <row r="937" spans="13:14">
      <c r="M937">
        <v>1.496246111</v>
      </c>
      <c r="N937">
        <v>93.1</v>
      </c>
    </row>
    <row r="938" spans="13:14">
      <c r="M938">
        <v>1.508273084</v>
      </c>
      <c r="N938">
        <v>93.2</v>
      </c>
    </row>
    <row r="939" spans="13:14">
      <c r="M939">
        <v>1.5088476710000001</v>
      </c>
      <c r="N939">
        <v>93.3</v>
      </c>
    </row>
    <row r="940" spans="13:14">
      <c r="M940">
        <v>1.5094222580000001</v>
      </c>
      <c r="N940">
        <v>93.4</v>
      </c>
    </row>
    <row r="941" spans="13:14">
      <c r="M941">
        <v>1.5098457000000001</v>
      </c>
      <c r="N941">
        <v>93.5</v>
      </c>
    </row>
    <row r="942" spans="13:14">
      <c r="M942">
        <v>1.5101335199999999</v>
      </c>
      <c r="N942">
        <v>93.6</v>
      </c>
    </row>
    <row r="943" spans="13:14">
      <c r="M943">
        <v>1.5104213399999999</v>
      </c>
      <c r="N943">
        <v>93.7</v>
      </c>
    </row>
    <row r="944" spans="13:14">
      <c r="M944">
        <v>1.5105139999999999</v>
      </c>
      <c r="N944">
        <v>93.8</v>
      </c>
    </row>
    <row r="945" spans="13:14">
      <c r="M945">
        <v>1.5105139999999999</v>
      </c>
      <c r="N945">
        <v>93.9</v>
      </c>
    </row>
    <row r="946" spans="13:14">
      <c r="M946">
        <v>1.5105139999999999</v>
      </c>
      <c r="N946">
        <v>94</v>
      </c>
    </row>
    <row r="947" spans="13:14">
      <c r="M947">
        <v>1.5267881750000001</v>
      </c>
      <c r="N947">
        <v>94.1</v>
      </c>
    </row>
    <row r="948" spans="13:14">
      <c r="M948">
        <v>1.5464178500000001</v>
      </c>
      <c r="N948">
        <v>94.2</v>
      </c>
    </row>
    <row r="949" spans="13:14">
      <c r="M949">
        <v>1.5660475250000001</v>
      </c>
      <c r="N949">
        <v>94.3</v>
      </c>
    </row>
    <row r="950" spans="13:14">
      <c r="M950">
        <v>1.5664389999999999</v>
      </c>
      <c r="N950">
        <v>94.4</v>
      </c>
    </row>
    <row r="951" spans="13:14">
      <c r="M951">
        <v>1.5664389999999999</v>
      </c>
      <c r="N951">
        <v>94.5</v>
      </c>
    </row>
    <row r="952" spans="13:14">
      <c r="M952">
        <v>1.56887263</v>
      </c>
      <c r="N952">
        <v>94.6</v>
      </c>
    </row>
    <row r="953" spans="13:14">
      <c r="M953">
        <v>1.5874422850000001</v>
      </c>
      <c r="N953">
        <v>94.7</v>
      </c>
    </row>
    <row r="954" spans="13:14">
      <c r="M954">
        <v>1.6060119399999999</v>
      </c>
      <c r="N954">
        <v>94.8</v>
      </c>
    </row>
    <row r="955" spans="13:14">
      <c r="M955">
        <v>1.6222928139999999</v>
      </c>
      <c r="N955">
        <v>94.9</v>
      </c>
    </row>
    <row r="956" spans="13:14">
      <c r="M956">
        <v>1.6327476999999999</v>
      </c>
      <c r="N956">
        <v>95</v>
      </c>
    </row>
    <row r="957" spans="13:14">
      <c r="M957">
        <v>1.6432025859999999</v>
      </c>
      <c r="N957">
        <v>95.1</v>
      </c>
    </row>
    <row r="958" spans="13:14">
      <c r="M958">
        <v>1.66512572</v>
      </c>
      <c r="N958">
        <v>95.2</v>
      </c>
    </row>
    <row r="959" spans="13:14">
      <c r="M959">
        <v>1.702063205</v>
      </c>
      <c r="N959">
        <v>95.3</v>
      </c>
    </row>
    <row r="960" spans="13:14">
      <c r="M960">
        <v>1.7390006899999999</v>
      </c>
      <c r="N960">
        <v>95.4</v>
      </c>
    </row>
    <row r="961" spans="13:14">
      <c r="M961">
        <v>1.75946417</v>
      </c>
      <c r="N961">
        <v>95.5</v>
      </c>
    </row>
    <row r="962" spans="13:14">
      <c r="M962">
        <v>1.768194944</v>
      </c>
      <c r="N962">
        <v>95.6</v>
      </c>
    </row>
    <row r="963" spans="13:14">
      <c r="M963">
        <v>1.776925718</v>
      </c>
      <c r="N963">
        <v>95.7</v>
      </c>
    </row>
    <row r="964" spans="13:14">
      <c r="M964">
        <v>1.7863995319999999</v>
      </c>
      <c r="N964">
        <v>95.8</v>
      </c>
    </row>
    <row r="965" spans="13:14">
      <c r="M965">
        <v>1.7961411860000001</v>
      </c>
      <c r="N965">
        <v>95.9</v>
      </c>
    </row>
    <row r="966" spans="13:14">
      <c r="M966">
        <v>1.80588284</v>
      </c>
      <c r="N966">
        <v>96</v>
      </c>
    </row>
    <row r="967" spans="13:14">
      <c r="M967">
        <v>1.815093617</v>
      </c>
      <c r="N967">
        <v>96.1</v>
      </c>
    </row>
    <row r="968" spans="13:14">
      <c r="M968">
        <v>1.8242361140000001</v>
      </c>
      <c r="N968">
        <v>96.2</v>
      </c>
    </row>
    <row r="969" spans="13:14">
      <c r="M969">
        <v>1.8337212000000001</v>
      </c>
      <c r="N969">
        <v>96.3</v>
      </c>
    </row>
    <row r="970" spans="13:14">
      <c r="M970">
        <v>1.8521136</v>
      </c>
      <c r="N970">
        <v>96.4</v>
      </c>
    </row>
    <row r="971" spans="13:14">
      <c r="M971">
        <v>1.870506</v>
      </c>
      <c r="N971">
        <v>96.5</v>
      </c>
    </row>
    <row r="972" spans="13:14">
      <c r="M972">
        <v>1.8914317439999999</v>
      </c>
      <c r="N972">
        <v>96.6</v>
      </c>
    </row>
    <row r="973" spans="13:14">
      <c r="M973">
        <v>1.9232969280000001</v>
      </c>
      <c r="N973">
        <v>96.7</v>
      </c>
    </row>
    <row r="974" spans="13:14">
      <c r="M974">
        <v>1.955162112</v>
      </c>
      <c r="N974">
        <v>96.8</v>
      </c>
    </row>
    <row r="975" spans="13:14">
      <c r="M975">
        <v>1.976224</v>
      </c>
      <c r="N975">
        <v>96.9</v>
      </c>
    </row>
    <row r="976" spans="13:14">
      <c r="M976">
        <v>1.976224</v>
      </c>
      <c r="N976">
        <v>97</v>
      </c>
    </row>
    <row r="977" spans="13:14">
      <c r="M977">
        <v>1.976224</v>
      </c>
      <c r="N977">
        <v>97.1</v>
      </c>
    </row>
    <row r="978" spans="13:14">
      <c r="M978">
        <v>1.9909521880000001</v>
      </c>
      <c r="N978">
        <v>97.2</v>
      </c>
    </row>
    <row r="979" spans="13:14">
      <c r="M979">
        <v>2.0210079670000001</v>
      </c>
      <c r="N979">
        <v>97.3</v>
      </c>
    </row>
    <row r="980" spans="13:14">
      <c r="M980">
        <v>2.0510637460000001</v>
      </c>
      <c r="N980">
        <v>97.4</v>
      </c>
    </row>
    <row r="981" spans="13:14">
      <c r="M981">
        <v>2.06771065</v>
      </c>
      <c r="N981">
        <v>97.5</v>
      </c>
    </row>
    <row r="982" spans="13:14">
      <c r="M982">
        <v>2.0768485839999999</v>
      </c>
      <c r="N982">
        <v>97.6</v>
      </c>
    </row>
    <row r="983" spans="13:14">
      <c r="M983">
        <v>2.0859865179999999</v>
      </c>
      <c r="N983">
        <v>97.7</v>
      </c>
    </row>
    <row r="984" spans="13:14">
      <c r="M984">
        <v>2.0951997900000001</v>
      </c>
      <c r="N984">
        <v>97.8</v>
      </c>
    </row>
    <row r="985" spans="13:14">
      <c r="M985">
        <v>2.1044328449999998</v>
      </c>
      <c r="N985">
        <v>97.9</v>
      </c>
    </row>
    <row r="986" spans="13:14">
      <c r="M986">
        <v>2.1136659</v>
      </c>
      <c r="N986">
        <v>98</v>
      </c>
    </row>
    <row r="987" spans="13:14">
      <c r="M987">
        <v>2.1206848960000002</v>
      </c>
      <c r="N987">
        <v>98.1</v>
      </c>
    </row>
    <row r="988" spans="13:14">
      <c r="M988">
        <v>2.1275701119999999</v>
      </c>
      <c r="N988">
        <v>98.2</v>
      </c>
    </row>
    <row r="989" spans="13:14">
      <c r="M989">
        <v>2.1358440999999999</v>
      </c>
      <c r="N989">
        <v>98.3</v>
      </c>
    </row>
    <row r="990" spans="13:14">
      <c r="M990">
        <v>2.1575008000000002</v>
      </c>
      <c r="N990">
        <v>98.4</v>
      </c>
    </row>
    <row r="991" spans="13:14">
      <c r="M991">
        <v>2.1791575000000001</v>
      </c>
      <c r="N991">
        <v>98.5</v>
      </c>
    </row>
    <row r="992" spans="13:14">
      <c r="M992">
        <v>2.200415848</v>
      </c>
      <c r="N992">
        <v>98.6</v>
      </c>
    </row>
    <row r="993" spans="13:14">
      <c r="M993">
        <v>2.2204467160000001</v>
      </c>
      <c r="N993">
        <v>98.7</v>
      </c>
    </row>
    <row r="994" spans="13:14">
      <c r="M994">
        <v>2.2404775840000002</v>
      </c>
      <c r="N994">
        <v>98.8</v>
      </c>
    </row>
    <row r="995" spans="13:14">
      <c r="M995">
        <v>2.3167367319999999</v>
      </c>
      <c r="N995">
        <v>98.9</v>
      </c>
    </row>
    <row r="996" spans="13:14">
      <c r="M996">
        <v>2.4787541200000001</v>
      </c>
      <c r="N996">
        <v>99</v>
      </c>
    </row>
    <row r="997" spans="13:14">
      <c r="M997">
        <v>2.6407715079999998</v>
      </c>
      <c r="N997">
        <v>99.1</v>
      </c>
    </row>
    <row r="998" spans="13:14">
      <c r="M998">
        <v>2.7204758080000002</v>
      </c>
      <c r="N998">
        <v>99.2</v>
      </c>
    </row>
    <row r="999" spans="13:14">
      <c r="M999">
        <v>2.7320145820000001</v>
      </c>
      <c r="N999">
        <v>99.3</v>
      </c>
    </row>
    <row r="1000" spans="13:14">
      <c r="M1000">
        <v>2.7435533560000001</v>
      </c>
      <c r="N1000">
        <v>99.4</v>
      </c>
    </row>
    <row r="1001" spans="13:14">
      <c r="M1001">
        <v>2.829333745</v>
      </c>
      <c r="N1001">
        <v>99.5</v>
      </c>
    </row>
    <row r="1002" spans="13:14">
      <c r="M1002">
        <v>2.9472349960000002</v>
      </c>
      <c r="N1002">
        <v>99.6</v>
      </c>
    </row>
    <row r="1003" spans="13:14">
      <c r="M1003">
        <v>3.0651362469999999</v>
      </c>
      <c r="N1003">
        <v>99.7</v>
      </c>
    </row>
    <row r="1004" spans="13:14">
      <c r="M1004">
        <v>3.1698879500000001</v>
      </c>
      <c r="N1004">
        <v>99.8</v>
      </c>
    </row>
    <row r="1005" spans="13:14">
      <c r="M1005">
        <v>3.2723009749999998</v>
      </c>
      <c r="N1005">
        <v>99.9</v>
      </c>
    </row>
    <row r="1006" spans="13:14">
      <c r="M1006">
        <v>3.374714</v>
      </c>
      <c r="N1006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8"/>
  <sheetViews>
    <sheetView workbookViewId="0">
      <selection activeCell="I38" sqref="I38"/>
    </sheetView>
  </sheetViews>
  <sheetFormatPr baseColWidth="10" defaultRowHeight="15.5"/>
  <cols>
    <col min="1" max="1" width="10.6640625" customWidth="1"/>
  </cols>
  <sheetData>
    <row r="1" spans="1:16">
      <c r="A1" s="2" t="s">
        <v>4</v>
      </c>
      <c r="J1" s="5"/>
      <c r="L1" s="2" t="s">
        <v>13</v>
      </c>
    </row>
    <row r="2" spans="1:16">
      <c r="A2" s="2"/>
      <c r="J2" s="5"/>
      <c r="L2" s="2"/>
    </row>
    <row r="3" spans="1:16">
      <c r="A3" s="23" t="s">
        <v>18</v>
      </c>
      <c r="G3" s="21">
        <f>SQRT(DigDir!J6)</f>
        <v>1.040915</v>
      </c>
      <c r="J3" s="5"/>
    </row>
    <row r="4" spans="1:16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16">
      <c r="J5" s="5"/>
      <c r="L5">
        <f>DigDir!M6</f>
        <v>-2.2946710000000001</v>
      </c>
      <c r="M5">
        <f>DigDir!N6</f>
        <v>0</v>
      </c>
      <c r="O5">
        <f>ABS(L5-DigDir!$C$34)</f>
        <v>2.7285635658951399</v>
      </c>
      <c r="P5">
        <f>M5</f>
        <v>0</v>
      </c>
    </row>
    <row r="6" spans="1:16">
      <c r="A6" s="2" t="s">
        <v>28</v>
      </c>
      <c r="J6" s="5"/>
      <c r="L6">
        <f>DigDir!M7</f>
        <v>-2.2946710000000001</v>
      </c>
      <c r="M6">
        <f>DigDir!N7</f>
        <v>0.1</v>
      </c>
      <c r="O6">
        <f>ABS(L6-DigDir!$C$34)</f>
        <v>2.7285635658951399</v>
      </c>
      <c r="P6">
        <f t="shared" ref="P6:P70" si="0">M6</f>
        <v>0.1</v>
      </c>
    </row>
    <row r="7" spans="1:16">
      <c r="J7" s="5"/>
      <c r="L7">
        <f>DigDir!M8</f>
        <v>-2.2946710000000001</v>
      </c>
      <c r="M7">
        <f>DigDir!N8</f>
        <v>0.2</v>
      </c>
      <c r="O7">
        <f>ABS(L7-DigDir!$C$34)</f>
        <v>2.7285635658951399</v>
      </c>
      <c r="P7">
        <f t="shared" si="0"/>
        <v>0.2</v>
      </c>
    </row>
    <row r="8" spans="1:16">
      <c r="A8" t="s">
        <v>16</v>
      </c>
      <c r="B8">
        <f>DigDir!C27</f>
        <v>5.2287602081587403</v>
      </c>
      <c r="J8" s="5"/>
    </row>
    <row r="9" spans="1:16">
      <c r="J9" s="5"/>
      <c r="L9">
        <f>DigDir!M9</f>
        <v>-2.2887656870000002</v>
      </c>
      <c r="M9">
        <f>DigDir!N9</f>
        <v>0.3</v>
      </c>
      <c r="O9">
        <f>ABS(L9-DigDir!$C$34)</f>
        <v>2.7344688788951399</v>
      </c>
      <c r="P9">
        <f t="shared" si="0"/>
        <v>0.3</v>
      </c>
    </row>
    <row r="10" spans="1:16">
      <c r="B10" t="str">
        <f>RAVLT_Learning!J10</f>
        <v>Residual variance</v>
      </c>
      <c r="C10" t="str">
        <f>RAVLT_Learning!I10</f>
        <v>Predicted test score</v>
      </c>
      <c r="J10" s="5"/>
      <c r="L10">
        <f>DigDir!M10</f>
        <v>-2.2496569160000002</v>
      </c>
      <c r="M10">
        <f>DigDir!N10</f>
        <v>0.4</v>
      </c>
      <c r="O10">
        <f>ABS(L10-DigDir!$C$34)</f>
        <v>2.7735776498951399</v>
      </c>
      <c r="P10">
        <f t="shared" si="0"/>
        <v>0.4</v>
      </c>
    </row>
    <row r="11" spans="1:16">
      <c r="B11">
        <f>DigDir!J11</f>
        <v>0</v>
      </c>
      <c r="C11">
        <f>DigDir!I11</f>
        <v>0</v>
      </c>
      <c r="J11" s="5"/>
      <c r="L11">
        <f>DigDir!M11</f>
        <v>-2.2105481450000002</v>
      </c>
      <c r="M11">
        <f>DigDir!N11</f>
        <v>0.5</v>
      </c>
      <c r="O11">
        <f>ABS(L11-DigDir!$C$34)</f>
        <v>2.8126864208951399</v>
      </c>
      <c r="P11">
        <f t="shared" si="0"/>
        <v>0.5</v>
      </c>
    </row>
    <row r="12" spans="1:16">
      <c r="B12">
        <f>DigDir!J12</f>
        <v>0</v>
      </c>
      <c r="C12">
        <f>DigDir!I12</f>
        <v>0</v>
      </c>
      <c r="J12" s="5"/>
      <c r="L12">
        <f>DigDir!M12</f>
        <v>-2.1832500000000001</v>
      </c>
      <c r="M12">
        <f>DigDir!N12</f>
        <v>0.6</v>
      </c>
      <c r="O12">
        <f>ABS(L12-DigDir!$C$34)</f>
        <v>2.8399845658951399</v>
      </c>
      <c r="P12">
        <f t="shared" si="0"/>
        <v>0.6</v>
      </c>
    </row>
    <row r="13" spans="1:16">
      <c r="B13">
        <f>DigDir!J13</f>
        <v>0</v>
      </c>
      <c r="C13">
        <f>DigDir!I13</f>
        <v>0</v>
      </c>
      <c r="J13" s="5"/>
      <c r="L13">
        <f>DigDir!M13</f>
        <v>-2.1832500000000001</v>
      </c>
      <c r="M13">
        <f>DigDir!N13</f>
        <v>0.7</v>
      </c>
      <c r="O13">
        <f>ABS(L13-DigDir!$C$34)</f>
        <v>2.8399845658951399</v>
      </c>
      <c r="P13">
        <f t="shared" si="0"/>
        <v>0.7</v>
      </c>
    </row>
    <row r="14" spans="1:16">
      <c r="B14">
        <f>DigDir!J14</f>
        <v>0</v>
      </c>
      <c r="C14">
        <f>DigDir!I14</f>
        <v>0</v>
      </c>
      <c r="J14" s="5"/>
      <c r="L14">
        <f>DigDir!M14</f>
        <v>-2.1832500000000001</v>
      </c>
      <c r="M14">
        <f>DigDir!N14</f>
        <v>0.8</v>
      </c>
      <c r="O14">
        <f>ABS(L14-DigDir!$C$34)</f>
        <v>2.8399845658951399</v>
      </c>
      <c r="P14">
        <f t="shared" si="0"/>
        <v>0.8</v>
      </c>
    </row>
    <row r="15" spans="1:16">
      <c r="B15">
        <f>DigDir!J15</f>
        <v>0</v>
      </c>
      <c r="C15">
        <f>DigDir!I15</f>
        <v>0</v>
      </c>
      <c r="J15" s="5"/>
      <c r="L15">
        <f>DigDir!M15</f>
        <v>-2.1832500000000001</v>
      </c>
      <c r="M15">
        <f>DigDir!N15</f>
        <v>0.9</v>
      </c>
      <c r="O15">
        <f>ABS(L15-DigDir!$C$34)</f>
        <v>2.8399845658951399</v>
      </c>
      <c r="P15">
        <f t="shared" si="0"/>
        <v>0.9</v>
      </c>
    </row>
    <row r="16" spans="1:16">
      <c r="B16">
        <f>DigDir!J16</f>
        <v>0</v>
      </c>
      <c r="C16">
        <f>DigDir!I16</f>
        <v>0</v>
      </c>
      <c r="J16" s="5"/>
      <c r="L16">
        <f>DigDir!M16</f>
        <v>-2.1832500000000001</v>
      </c>
      <c r="M16">
        <f>DigDir!N16</f>
        <v>1</v>
      </c>
      <c r="O16">
        <f>ABS(L16-DigDir!$C$34)</f>
        <v>2.8399845658951399</v>
      </c>
      <c r="P16">
        <f t="shared" si="0"/>
        <v>1</v>
      </c>
    </row>
    <row r="17" spans="1:16">
      <c r="B17">
        <f>DigDir!J17</f>
        <v>0</v>
      </c>
      <c r="C17">
        <f>DigDir!I17</f>
        <v>0</v>
      </c>
      <c r="J17" s="5"/>
      <c r="L17">
        <f>DigDir!M17</f>
        <v>-2.1832500000000001</v>
      </c>
      <c r="M17">
        <f>DigDir!N17</f>
        <v>1.1000000000000001</v>
      </c>
      <c r="O17">
        <f>ABS(L17-DigDir!$C$34)</f>
        <v>2.8399845658951399</v>
      </c>
      <c r="P17">
        <f t="shared" si="0"/>
        <v>1.1000000000000001</v>
      </c>
    </row>
    <row r="18" spans="1:16">
      <c r="B18">
        <f>DigDir!J18</f>
        <v>0</v>
      </c>
      <c r="C18">
        <f>DigDir!I18</f>
        <v>0</v>
      </c>
      <c r="J18" s="5"/>
      <c r="L18">
        <f>DigDir!M18</f>
        <v>-2.1714394800000001</v>
      </c>
      <c r="M18">
        <f>DigDir!N18</f>
        <v>1.2</v>
      </c>
      <c r="O18">
        <f>ABS(L18-DigDir!$C$34)</f>
        <v>2.85179508589514</v>
      </c>
      <c r="P18">
        <f t="shared" si="0"/>
        <v>1.2</v>
      </c>
    </row>
    <row r="19" spans="1:16">
      <c r="B19">
        <f>DigDir!J19</f>
        <v>0</v>
      </c>
      <c r="C19">
        <f>DigDir!I19</f>
        <v>0</v>
      </c>
      <c r="J19" s="5"/>
      <c r="L19">
        <f>DigDir!M19</f>
        <v>-2.1518852700000002</v>
      </c>
      <c r="M19">
        <f>DigDir!N19</f>
        <v>1.3</v>
      </c>
      <c r="O19">
        <f>ABS(L19-DigDir!$C$34)</f>
        <v>2.8713492958951399</v>
      </c>
      <c r="P19">
        <f t="shared" si="0"/>
        <v>1.3</v>
      </c>
    </row>
    <row r="20" spans="1:16">
      <c r="B20">
        <f>DigDir!J20</f>
        <v>0</v>
      </c>
      <c r="C20">
        <f>DigDir!I20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DigDir!M20</f>
        <v>-2.1323310599999998</v>
      </c>
      <c r="M20">
        <f>DigDir!N20</f>
        <v>1.4</v>
      </c>
      <c r="O20">
        <f>ABS(L20-DigDir!$C$34)</f>
        <v>2.8909035058951402</v>
      </c>
      <c r="P20">
        <f t="shared" si="0"/>
        <v>1.4</v>
      </c>
    </row>
    <row r="21" spans="1:16">
      <c r="B21">
        <f>DigDir!J21</f>
        <v>0</v>
      </c>
      <c r="C21">
        <f>DigDir!I21</f>
        <v>0</v>
      </c>
      <c r="E21" t="s">
        <v>38</v>
      </c>
      <c r="G21" s="21">
        <f>SQRT(G20)</f>
        <v>0</v>
      </c>
      <c r="J21" s="5"/>
      <c r="L21">
        <f>DigDir!M21</f>
        <v>-2.1275400000000002</v>
      </c>
      <c r="M21">
        <f>DigDir!N21</f>
        <v>1.5</v>
      </c>
      <c r="O21">
        <f>ABS(L21-DigDir!$C$34)</f>
        <v>2.8956945658951398</v>
      </c>
      <c r="P21">
        <f t="shared" si="0"/>
        <v>1.5</v>
      </c>
    </row>
    <row r="22" spans="1:16">
      <c r="B22">
        <f>DigDir!J22</f>
        <v>0</v>
      </c>
      <c r="C22">
        <f>DigDir!I22</f>
        <v>0</v>
      </c>
      <c r="J22" s="5"/>
      <c r="L22">
        <f>DigDir!M22</f>
        <v>-2.1275400000000002</v>
      </c>
      <c r="M22">
        <f>DigDir!N22</f>
        <v>1.6</v>
      </c>
      <c r="O22">
        <f>ABS(L22-DigDir!$C$34)</f>
        <v>2.8956945658951398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DigDir!M23</f>
        <v>-2.1275400000000002</v>
      </c>
      <c r="M23">
        <f>DigDir!N23</f>
        <v>1.7</v>
      </c>
      <c r="O23">
        <f>ABS(L23-DigDir!$C$34)</f>
        <v>2.8956945658951398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DigDir!M24</f>
        <v>-2.109823902</v>
      </c>
      <c r="M24">
        <f>DigDir!N24</f>
        <v>1.8</v>
      </c>
      <c r="O24">
        <f>ABS(L24-DigDir!$C$34)</f>
        <v>2.91341066389514</v>
      </c>
      <c r="P24">
        <f t="shared" si="0"/>
        <v>1.8</v>
      </c>
    </row>
    <row r="25" spans="1:16">
      <c r="A25" s="2" t="s">
        <v>27</v>
      </c>
      <c r="J25" s="5"/>
      <c r="L25">
        <f>DigDir!M25</f>
        <v>-2.0902693409999999</v>
      </c>
      <c r="M25">
        <f>DigDir!N25</f>
        <v>1.9</v>
      </c>
      <c r="O25">
        <f>ABS(L25-DigDir!$C$34)</f>
        <v>2.9329652248951401</v>
      </c>
      <c r="P25">
        <f t="shared" si="0"/>
        <v>1.9</v>
      </c>
    </row>
    <row r="26" spans="1:16">
      <c r="H26" s="1"/>
      <c r="J26" s="5"/>
      <c r="L26">
        <f>DigDir!M26</f>
        <v>-2.0718290000000001</v>
      </c>
      <c r="M26">
        <f>DigDir!N26</f>
        <v>2</v>
      </c>
      <c r="O26">
        <f>ABS(L26-DigDir!$C$34)</f>
        <v>2.9514055658951399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J27" s="5"/>
      <c r="L27">
        <f>DigDir!M27</f>
        <v>-2.0718290000000001</v>
      </c>
      <c r="M27">
        <f>DigDir!N27</f>
        <v>2.1</v>
      </c>
      <c r="O27">
        <f>ABS(L27-DigDir!$C$34)</f>
        <v>2.9514055658951399</v>
      </c>
      <c r="P27">
        <f t="shared" si="0"/>
        <v>2.1</v>
      </c>
    </row>
    <row r="28" spans="1:16">
      <c r="J28" s="5"/>
      <c r="L28">
        <f>DigDir!M28</f>
        <v>-2.0718290000000001</v>
      </c>
      <c r="M28">
        <f>DigDir!N28</f>
        <v>2.2000000000000002</v>
      </c>
      <c r="O28">
        <f>ABS(L28-DigDir!$C$34)</f>
        <v>2.9514055658951399</v>
      </c>
      <c r="P28">
        <f t="shared" si="0"/>
        <v>2.2000000000000002</v>
      </c>
    </row>
    <row r="29" spans="1:16">
      <c r="J29" s="5"/>
      <c r="L29">
        <f>DigDir!M29</f>
        <v>-2.06776217</v>
      </c>
      <c r="M29">
        <f>DigDir!N29</f>
        <v>2.2999999999999998</v>
      </c>
      <c r="O29">
        <f>ABS(L29-DigDir!$C$34)</f>
        <v>2.9554723958951401</v>
      </c>
      <c r="P29">
        <f t="shared" si="0"/>
        <v>2.2999999999999998</v>
      </c>
    </row>
    <row r="30" spans="1:16">
      <c r="J30" s="5"/>
      <c r="L30">
        <f>DigDir!M30</f>
        <v>-2.04820796</v>
      </c>
      <c r="M30">
        <f>DigDir!N30</f>
        <v>2.4</v>
      </c>
      <c r="O30">
        <f>ABS(L30-DigDir!$C$34)</f>
        <v>2.97502660589514</v>
      </c>
      <c r="P30">
        <f t="shared" si="0"/>
        <v>2.4</v>
      </c>
    </row>
    <row r="31" spans="1:16">
      <c r="J31" s="5"/>
      <c r="L31">
        <f>DigDir!M31</f>
        <v>-2.0286537500000001</v>
      </c>
      <c r="M31">
        <f>DigDir!N31</f>
        <v>2.5</v>
      </c>
      <c r="O31">
        <f>ABS(L31-DigDir!$C$34)</f>
        <v>2.9945808158951399</v>
      </c>
      <c r="P31">
        <f t="shared" si="0"/>
        <v>2.5</v>
      </c>
    </row>
    <row r="32" spans="1:16">
      <c r="J32" s="5"/>
      <c r="L32">
        <f>DigDir!M32</f>
        <v>-2.0161190000000002</v>
      </c>
      <c r="M32">
        <f>DigDir!N32</f>
        <v>2.6</v>
      </c>
      <c r="O32">
        <f>ABS(L32-DigDir!$C$34)</f>
        <v>3.0071155658951398</v>
      </c>
      <c r="P32">
        <f t="shared" si="0"/>
        <v>2.6</v>
      </c>
    </row>
    <row r="33" spans="1:16">
      <c r="J33" s="5"/>
      <c r="L33">
        <f>DigDir!M33</f>
        <v>-2.0161190000000002</v>
      </c>
      <c r="M33">
        <f>DigDir!N33</f>
        <v>2.7</v>
      </c>
      <c r="O33">
        <f>ABS(L33-DigDir!$C$34)</f>
        <v>3.0071155658951398</v>
      </c>
      <c r="P33">
        <f t="shared" si="0"/>
        <v>2.7</v>
      </c>
    </row>
    <row r="34" spans="1:16">
      <c r="G34" s="21">
        <f>SQRT(D35)</f>
        <v>0</v>
      </c>
      <c r="J34" s="5"/>
      <c r="L34">
        <f>DigDir!M34</f>
        <v>-2.0161190000000002</v>
      </c>
      <c r="M34">
        <f>DigDir!N34</f>
        <v>2.8</v>
      </c>
      <c r="O34">
        <f>ABS(L34-DigDir!$C$34)</f>
        <v>3.0071155658951398</v>
      </c>
      <c r="P34">
        <f t="shared" si="0"/>
        <v>2.8</v>
      </c>
    </row>
    <row r="35" spans="1:16">
      <c r="A35" s="18"/>
      <c r="B35" s="18" t="s">
        <v>31</v>
      </c>
      <c r="C35" s="18"/>
      <c r="D35" s="18"/>
      <c r="E35" s="18"/>
      <c r="F35" s="18"/>
      <c r="G35" s="18"/>
      <c r="H35" s="18"/>
      <c r="I35" s="18"/>
      <c r="J35" s="19"/>
      <c r="L35">
        <f>DigDir!M35</f>
        <v>-2.0161190000000002</v>
      </c>
      <c r="M35">
        <f>DigDir!N35</f>
        <v>2.9</v>
      </c>
      <c r="O35">
        <f>ABS(L35-DigDir!$C$34)</f>
        <v>3.0071155658951398</v>
      </c>
      <c r="P35">
        <f t="shared" si="0"/>
        <v>2.9</v>
      </c>
    </row>
    <row r="36" spans="1:16">
      <c r="J36" s="5"/>
      <c r="L36">
        <f>DigDir!M36</f>
        <v>-2.0161190000000002</v>
      </c>
      <c r="M36">
        <f>DigDir!N36</f>
        <v>3</v>
      </c>
      <c r="O36">
        <f>ABS(L36-DigDir!$C$34)</f>
        <v>3.0071155658951398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DigDir!M37</f>
        <v>-2.0161190000000002</v>
      </c>
      <c r="M37">
        <f>DigDir!N37</f>
        <v>3.1</v>
      </c>
      <c r="O37">
        <f>ABS(L37-DigDir!$C$34)</f>
        <v>3.0071155658951398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1</v>
      </c>
      <c r="E38" s="24"/>
      <c r="F38" s="24"/>
      <c r="G38" s="2" t="s">
        <v>21</v>
      </c>
      <c r="H38" s="2"/>
      <c r="I38" s="2">
        <f>IF(D41=1, G3+G21+G34, )</f>
        <v>1.040915</v>
      </c>
      <c r="J38" s="5"/>
      <c r="L38">
        <f>DigDir!M38</f>
        <v>-2.0031940480000001</v>
      </c>
      <c r="M38">
        <f>DigDir!N38</f>
        <v>3.2</v>
      </c>
      <c r="O38">
        <f>ABS(L38-DigDir!$C$34)</f>
        <v>3.0200405178951399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DigDir!M39</f>
        <v>-1.983639487</v>
      </c>
      <c r="M39">
        <f>DigDir!N39</f>
        <v>3.3</v>
      </c>
      <c r="O39">
        <f>ABS(L39-DigDir!$C$34)</f>
        <v>3.03959507889514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0</v>
      </c>
      <c r="E40" s="24"/>
      <c r="F40" s="24"/>
      <c r="J40" s="5"/>
      <c r="L40">
        <f>DigDir!M40</f>
        <v>-1.964084926</v>
      </c>
      <c r="M40">
        <f>DigDir!N40</f>
        <v>3.4</v>
      </c>
      <c r="O40">
        <f>ABS(L40-DigDir!$C$34)</f>
        <v>3.0591496398951401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DigDir!M41</f>
        <v>-1.9445303650000001</v>
      </c>
      <c r="M41">
        <f>DigDir!N41</f>
        <v>3.5</v>
      </c>
      <c r="O41">
        <f>ABS(L41-DigDir!$C$34)</f>
        <v>3.0787042008951397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DigDir!M42</f>
        <v>-1.924975804</v>
      </c>
      <c r="M42">
        <f>DigDir!N42</f>
        <v>3.6</v>
      </c>
      <c r="O42">
        <f>ABS(L42-DigDir!$C$34)</f>
        <v>3.0982587618951403</v>
      </c>
      <c r="P42">
        <f t="shared" si="0"/>
        <v>3.6</v>
      </c>
    </row>
    <row r="43" spans="1:16">
      <c r="A43" s="22"/>
      <c r="J43" s="5"/>
      <c r="L43">
        <f>DigDir!M43</f>
        <v>-1.9054212429999999</v>
      </c>
      <c r="M43">
        <f>DigDir!N43</f>
        <v>3.7</v>
      </c>
      <c r="O43">
        <f>ABS(L43-DigDir!$C$34)</f>
        <v>3.1178133228951399</v>
      </c>
      <c r="P43">
        <f t="shared" si="0"/>
        <v>3.7</v>
      </c>
    </row>
    <row r="44" spans="1:16">
      <c r="J44" s="5"/>
      <c r="L44">
        <f>DigDir!M44</f>
        <v>-1.885867358</v>
      </c>
      <c r="M44">
        <f>DigDir!N44</f>
        <v>3.8</v>
      </c>
      <c r="O44">
        <f>ABS(L44-DigDir!$C$34)</f>
        <v>3.13736720789514</v>
      </c>
      <c r="P44">
        <f t="shared" si="0"/>
        <v>3.8</v>
      </c>
    </row>
    <row r="45" spans="1:16">
      <c r="J45" s="5"/>
      <c r="L45">
        <f>DigDir!M45</f>
        <v>-1.8663134990000001</v>
      </c>
      <c r="M45">
        <f>DigDir!N45</f>
        <v>3.9</v>
      </c>
      <c r="O45">
        <f>ABS(L45-DigDir!$C$34)</f>
        <v>3.1569210668951397</v>
      </c>
      <c r="P45">
        <f t="shared" si="0"/>
        <v>3.9</v>
      </c>
    </row>
    <row r="46" spans="1:16">
      <c r="J46" s="5"/>
      <c r="L46">
        <f>DigDir!M46</f>
        <v>-1.8489880000000001</v>
      </c>
      <c r="M46">
        <f>DigDir!N46</f>
        <v>4</v>
      </c>
      <c r="O46">
        <f>ABS(L46-DigDir!$C$34)</f>
        <v>3.1742465658951398</v>
      </c>
      <c r="P46">
        <f t="shared" si="0"/>
        <v>4</v>
      </c>
    </row>
    <row r="47" spans="1:16">
      <c r="J47" s="5"/>
      <c r="L47">
        <f>DigDir!M47</f>
        <v>-1.8489880000000001</v>
      </c>
      <c r="M47">
        <f>DigDir!N47</f>
        <v>4.0999999999999996</v>
      </c>
      <c r="O47">
        <f>ABS(L47-DigDir!$C$34)</f>
        <v>3.1742465658951398</v>
      </c>
      <c r="P47">
        <f t="shared" si="0"/>
        <v>4.0999999999999996</v>
      </c>
    </row>
    <row r="48" spans="1:16">
      <c r="J48" s="5"/>
      <c r="L48">
        <f>DigDir!M48</f>
        <v>-1.8489880000000001</v>
      </c>
      <c r="M48">
        <f>DigDir!N48</f>
        <v>4.2</v>
      </c>
      <c r="O48">
        <f>ABS(L48-DigDir!$C$34)</f>
        <v>3.1742465658951398</v>
      </c>
      <c r="P48">
        <f t="shared" si="0"/>
        <v>4.2</v>
      </c>
    </row>
    <row r="49" spans="10:16">
      <c r="J49" s="5"/>
      <c r="L49">
        <f>DigDir!M49</f>
        <v>-1.8489880000000001</v>
      </c>
      <c r="M49">
        <f>DigDir!N49</f>
        <v>4.3</v>
      </c>
      <c r="O49">
        <f>ABS(L49-DigDir!$C$34)</f>
        <v>3.1742465658951398</v>
      </c>
      <c r="P49">
        <f t="shared" si="0"/>
        <v>4.3</v>
      </c>
    </row>
    <row r="50" spans="10:16">
      <c r="J50" s="5"/>
      <c r="L50">
        <f>DigDir!M50</f>
        <v>-1.8489880000000001</v>
      </c>
      <c r="M50">
        <f>DigDir!N50</f>
        <v>4.4000000000000004</v>
      </c>
      <c r="O50">
        <f>ABS(L50-DigDir!$C$34)</f>
        <v>3.1742465658951398</v>
      </c>
      <c r="P50">
        <f t="shared" si="0"/>
        <v>4.4000000000000004</v>
      </c>
    </row>
    <row r="51" spans="10:16">
      <c r="J51" s="5"/>
      <c r="L51">
        <f>DigDir!M51</f>
        <v>-1.8489880000000001</v>
      </c>
      <c r="M51">
        <f>DigDir!N51</f>
        <v>4.5</v>
      </c>
      <c r="O51">
        <f>ABS(L51-DigDir!$C$34)</f>
        <v>3.1742465658951398</v>
      </c>
      <c r="P51">
        <f t="shared" si="0"/>
        <v>4.5</v>
      </c>
    </row>
    <row r="52" spans="10:16">
      <c r="J52" s="5"/>
      <c r="L52">
        <f>DigDir!M52</f>
        <v>-1.8489880000000001</v>
      </c>
      <c r="M52">
        <f>DigDir!N52</f>
        <v>4.5999999999999996</v>
      </c>
      <c r="O52">
        <f>ABS(L52-DigDir!$C$34)</f>
        <v>3.1742465658951398</v>
      </c>
      <c r="P52">
        <f t="shared" si="0"/>
        <v>4.5999999999999996</v>
      </c>
    </row>
    <row r="53" spans="10:16">
      <c r="J53" s="5"/>
      <c r="L53">
        <f>DigDir!M53</f>
        <v>-1.8489880000000001</v>
      </c>
      <c r="M53">
        <f>DigDir!N53</f>
        <v>4.7</v>
      </c>
      <c r="O53">
        <f>ABS(L53-DigDir!$C$34)</f>
        <v>3.1742465658951398</v>
      </c>
      <c r="P53">
        <f t="shared" si="0"/>
        <v>4.7</v>
      </c>
    </row>
    <row r="54" spans="10:16">
      <c r="J54" s="5"/>
      <c r="L54">
        <f>DigDir!M54</f>
        <v>-1.8489880000000001</v>
      </c>
      <c r="M54">
        <f>DigDir!N54</f>
        <v>4.8</v>
      </c>
      <c r="O54">
        <f>ABS(L54-DigDir!$C$34)</f>
        <v>3.1742465658951398</v>
      </c>
      <c r="P54">
        <f t="shared" si="0"/>
        <v>4.8</v>
      </c>
    </row>
    <row r="55" spans="10:16">
      <c r="J55" s="5"/>
      <c r="L55">
        <f>DigDir!M55</f>
        <v>-1.8489880000000001</v>
      </c>
      <c r="M55">
        <f>DigDir!N55</f>
        <v>4.9000000000000004</v>
      </c>
      <c r="O55">
        <f>ABS(L55-DigDir!$C$34)</f>
        <v>3.1742465658951398</v>
      </c>
      <c r="P55">
        <f t="shared" si="0"/>
        <v>4.9000000000000004</v>
      </c>
    </row>
    <row r="56" spans="10:16">
      <c r="J56" s="5"/>
      <c r="L56">
        <f>DigDir!M56</f>
        <v>-1.8489880000000001</v>
      </c>
      <c r="M56">
        <f>DigDir!N56</f>
        <v>5</v>
      </c>
      <c r="O56">
        <f>ABS(L56-DigDir!$C$34)</f>
        <v>3.1742465658951398</v>
      </c>
      <c r="P56">
        <f t="shared" si="0"/>
        <v>5</v>
      </c>
    </row>
    <row r="57" spans="10:16">
      <c r="J57" s="5"/>
      <c r="L57">
        <f>DigDir!M57</f>
        <v>-1.8489880000000001</v>
      </c>
      <c r="M57">
        <f>DigDir!N57</f>
        <v>5.0999999999999996</v>
      </c>
      <c r="O57">
        <f>ABS(L57-DigDir!$C$34)</f>
        <v>3.1742465658951398</v>
      </c>
      <c r="P57">
        <f t="shared" si="0"/>
        <v>5.0999999999999996</v>
      </c>
    </row>
    <row r="58" spans="10:16">
      <c r="J58" s="5"/>
      <c r="L58">
        <f>DigDir!M58</f>
        <v>-1.8489880000000001</v>
      </c>
      <c r="M58">
        <f>DigDir!N58</f>
        <v>5.2</v>
      </c>
      <c r="O58">
        <f>ABS(L58-DigDir!$C$34)</f>
        <v>3.1742465658951398</v>
      </c>
      <c r="P58">
        <f t="shared" si="0"/>
        <v>5.2</v>
      </c>
    </row>
    <row r="59" spans="10:16">
      <c r="J59" s="5"/>
      <c r="L59">
        <f>DigDir!M59</f>
        <v>-1.8489880000000001</v>
      </c>
      <c r="M59">
        <f>DigDir!N59</f>
        <v>5.3</v>
      </c>
      <c r="O59">
        <f>ABS(L59-DigDir!$C$34)</f>
        <v>3.1742465658951398</v>
      </c>
      <c r="P59">
        <f t="shared" si="0"/>
        <v>5.3</v>
      </c>
    </row>
    <row r="60" spans="10:16">
      <c r="J60" s="5"/>
      <c r="L60">
        <f>DigDir!M60</f>
        <v>-1.8489880000000001</v>
      </c>
      <c r="M60">
        <f>DigDir!N60</f>
        <v>5.4</v>
      </c>
      <c r="O60">
        <f>ABS(L60-DigDir!$C$34)</f>
        <v>3.1742465658951398</v>
      </c>
      <c r="P60">
        <f t="shared" si="0"/>
        <v>5.4</v>
      </c>
    </row>
    <row r="61" spans="10:16">
      <c r="J61" s="5"/>
      <c r="L61">
        <f>DigDir!M61</f>
        <v>-1.764029335</v>
      </c>
      <c r="M61">
        <f>DigDir!N61</f>
        <v>5.5</v>
      </c>
      <c r="O61">
        <f>ABS(L61-DigDir!$C$34)</f>
        <v>3.25920523089514</v>
      </c>
      <c r="P61">
        <f t="shared" si="0"/>
        <v>5.5</v>
      </c>
    </row>
    <row r="62" spans="10:16">
      <c r="J62" s="5"/>
      <c r="L62">
        <f>DigDir!M62</f>
        <v>-1.666257232</v>
      </c>
      <c r="M62">
        <f>DigDir!N62</f>
        <v>5.6</v>
      </c>
      <c r="O62">
        <f>ABS(L62-DigDir!$C$34)</f>
        <v>3.3569773338951401</v>
      </c>
      <c r="P62">
        <f t="shared" si="0"/>
        <v>5.6</v>
      </c>
    </row>
    <row r="63" spans="10:16">
      <c r="J63" s="5"/>
      <c r="L63">
        <f>DigDir!M63</f>
        <v>-1.570045023</v>
      </c>
      <c r="M63">
        <f>DigDir!N63</f>
        <v>5.7</v>
      </c>
      <c r="O63">
        <f>ABS(L63-DigDir!$C$34)</f>
        <v>3.45318954289514</v>
      </c>
      <c r="P63">
        <f t="shared" si="0"/>
        <v>5.7</v>
      </c>
    </row>
    <row r="64" spans="10:16">
      <c r="J64" s="5"/>
      <c r="L64">
        <f>DigDir!M64</f>
        <v>-1.550490462</v>
      </c>
      <c r="M64">
        <f>DigDir!N64</f>
        <v>5.8</v>
      </c>
      <c r="O64">
        <f>ABS(L64-DigDir!$C$34)</f>
        <v>3.4727441038951401</v>
      </c>
      <c r="P64">
        <f t="shared" si="0"/>
        <v>5.8</v>
      </c>
    </row>
    <row r="65" spans="10:16">
      <c r="J65" s="5"/>
      <c r="L65">
        <f>DigDir!M65</f>
        <v>-1.5309359010000001</v>
      </c>
      <c r="M65">
        <f>DigDir!N65</f>
        <v>5.9</v>
      </c>
      <c r="O65">
        <f>ABS(L65-DigDir!$C$34)</f>
        <v>3.4922986648951397</v>
      </c>
      <c r="P65">
        <f t="shared" si="0"/>
        <v>5.9</v>
      </c>
    </row>
    <row r="66" spans="10:16">
      <c r="J66" s="5"/>
      <c r="L66">
        <f>DigDir!M66</f>
        <v>-1.49719398</v>
      </c>
      <c r="M66">
        <f>DigDir!N66</f>
        <v>6</v>
      </c>
      <c r="O66">
        <f>ABS(L66-DigDir!$C$34)</f>
        <v>3.52604058589514</v>
      </c>
      <c r="P66">
        <f t="shared" si="0"/>
        <v>6</v>
      </c>
    </row>
    <row r="67" spans="10:16">
      <c r="J67" s="5"/>
      <c r="L67">
        <f>DigDir!M67</f>
        <v>-1.3946433629999999</v>
      </c>
      <c r="M67">
        <f>DigDir!N67</f>
        <v>6.1</v>
      </c>
      <c r="O67">
        <f>ABS(L67-DigDir!$C$34)</f>
        <v>3.6285912028951399</v>
      </c>
      <c r="P67">
        <f t="shared" si="0"/>
        <v>6.1</v>
      </c>
    </row>
    <row r="68" spans="10:16">
      <c r="J68" s="5"/>
      <c r="L68">
        <f>DigDir!M68</f>
        <v>-1.292092746</v>
      </c>
      <c r="M68">
        <f>DigDir!N68</f>
        <v>6.2</v>
      </c>
      <c r="O68">
        <f>ABS(L68-DigDir!$C$34)</f>
        <v>3.7311418198951403</v>
      </c>
      <c r="P68">
        <f t="shared" si="0"/>
        <v>6.2</v>
      </c>
    </row>
    <row r="69" spans="10:16">
      <c r="J69" s="5"/>
      <c r="L69">
        <f>DigDir!M69</f>
        <v>-1.2225569999999999</v>
      </c>
      <c r="M69">
        <f>DigDir!N69</f>
        <v>6.3</v>
      </c>
      <c r="O69">
        <f>ABS(L69-DigDir!$C$34)</f>
        <v>3.8006775658951399</v>
      </c>
      <c r="P69">
        <f t="shared" si="0"/>
        <v>6.3</v>
      </c>
    </row>
    <row r="70" spans="10:16">
      <c r="J70" s="5"/>
      <c r="L70">
        <f>DigDir!M70</f>
        <v>-1.2225569999999999</v>
      </c>
      <c r="M70">
        <f>DigDir!N70</f>
        <v>6.4</v>
      </c>
      <c r="O70">
        <f>ABS(L70-DigDir!$C$34)</f>
        <v>3.8006775658951399</v>
      </c>
      <c r="P70">
        <f t="shared" si="0"/>
        <v>6.4</v>
      </c>
    </row>
    <row r="71" spans="10:16">
      <c r="J71" s="5"/>
      <c r="L71">
        <f>DigDir!M71</f>
        <v>-1.2225569999999999</v>
      </c>
      <c r="M71">
        <f>DigDir!N71</f>
        <v>6.5</v>
      </c>
      <c r="O71">
        <f>ABS(L71-DigDir!$C$34)</f>
        <v>3.8006775658951399</v>
      </c>
      <c r="P71">
        <f t="shared" ref="P71:P134" si="1">M71</f>
        <v>6.5</v>
      </c>
    </row>
    <row r="72" spans="10:16">
      <c r="J72" s="5"/>
      <c r="L72">
        <f>DigDir!M72</f>
        <v>-1.2225569999999999</v>
      </c>
      <c r="M72">
        <f>DigDir!N72</f>
        <v>6.6</v>
      </c>
      <c r="O72">
        <f>ABS(L72-DigDir!$C$34)</f>
        <v>3.8006775658951399</v>
      </c>
      <c r="P72">
        <f t="shared" si="1"/>
        <v>6.6</v>
      </c>
    </row>
    <row r="73" spans="10:16">
      <c r="J73" s="5"/>
      <c r="L73">
        <f>DigDir!M73</f>
        <v>-1.2225569999999999</v>
      </c>
      <c r="M73">
        <f>DigDir!N73</f>
        <v>6.7</v>
      </c>
      <c r="O73">
        <f>ABS(L73-DigDir!$C$34)</f>
        <v>3.8006775658951399</v>
      </c>
      <c r="P73">
        <f t="shared" si="1"/>
        <v>6.7</v>
      </c>
    </row>
    <row r="74" spans="10:16">
      <c r="J74" s="5"/>
      <c r="L74">
        <f>DigDir!M74</f>
        <v>-1.2225569999999999</v>
      </c>
      <c r="M74">
        <f>DigDir!N74</f>
        <v>6.8</v>
      </c>
      <c r="O74">
        <f>ABS(L74-DigDir!$C$34)</f>
        <v>3.8006775658951399</v>
      </c>
      <c r="P74">
        <f t="shared" si="1"/>
        <v>6.8</v>
      </c>
    </row>
    <row r="75" spans="10:16">
      <c r="J75" s="5"/>
      <c r="L75">
        <f>DigDir!M75</f>
        <v>-1.2225569999999999</v>
      </c>
      <c r="M75">
        <f>DigDir!N75</f>
        <v>6.9</v>
      </c>
      <c r="O75">
        <f>ABS(L75-DigDir!$C$34)</f>
        <v>3.8006775658951399</v>
      </c>
      <c r="P75">
        <f t="shared" si="1"/>
        <v>6.9</v>
      </c>
    </row>
    <row r="76" spans="10:16">
      <c r="J76" s="5"/>
      <c r="L76">
        <f>DigDir!M76</f>
        <v>-1.2225569999999999</v>
      </c>
      <c r="M76">
        <f>DigDir!N76</f>
        <v>7</v>
      </c>
      <c r="O76">
        <f>ABS(L76-DigDir!$C$34)</f>
        <v>3.8006775658951399</v>
      </c>
      <c r="P76">
        <f t="shared" si="1"/>
        <v>7</v>
      </c>
    </row>
    <row r="77" spans="10:16">
      <c r="J77" s="5"/>
      <c r="L77">
        <f>DigDir!M77</f>
        <v>-1.2225569999999999</v>
      </c>
      <c r="M77">
        <f>DigDir!N77</f>
        <v>7.1</v>
      </c>
      <c r="O77">
        <f>ABS(L77-DigDir!$C$34)</f>
        <v>3.8006775658951399</v>
      </c>
      <c r="P77">
        <f t="shared" si="1"/>
        <v>7.1</v>
      </c>
    </row>
    <row r="78" spans="10:16">
      <c r="J78" s="5"/>
      <c r="L78">
        <f>DigDir!M78</f>
        <v>-1.2225569999999999</v>
      </c>
      <c r="M78">
        <f>DigDir!N78</f>
        <v>7.2</v>
      </c>
      <c r="O78">
        <f>ABS(L78-DigDir!$C$34)</f>
        <v>3.8006775658951399</v>
      </c>
      <c r="P78">
        <f t="shared" si="1"/>
        <v>7.2</v>
      </c>
    </row>
    <row r="79" spans="10:16">
      <c r="J79" s="5"/>
      <c r="L79">
        <f>DigDir!M79</f>
        <v>-1.2225569999999999</v>
      </c>
      <c r="M79">
        <f>DigDir!N79</f>
        <v>7.3</v>
      </c>
      <c r="O79">
        <f>ABS(L79-DigDir!$C$34)</f>
        <v>3.8006775658951399</v>
      </c>
      <c r="P79">
        <f t="shared" si="1"/>
        <v>7.3</v>
      </c>
    </row>
    <row r="80" spans="10:16">
      <c r="J80" s="5"/>
      <c r="L80">
        <f>DigDir!M80</f>
        <v>-1.2225569999999999</v>
      </c>
      <c r="M80">
        <f>DigDir!N80</f>
        <v>7.4</v>
      </c>
      <c r="O80">
        <f>ABS(L80-DigDir!$C$34)</f>
        <v>3.8006775658951399</v>
      </c>
      <c r="P80">
        <f t="shared" si="1"/>
        <v>7.4</v>
      </c>
    </row>
    <row r="81" spans="10:16">
      <c r="J81" s="5"/>
      <c r="L81">
        <f>DigDir!M81</f>
        <v>-1.2225569999999999</v>
      </c>
      <c r="M81">
        <f>DigDir!N81</f>
        <v>7.5</v>
      </c>
      <c r="O81">
        <f>ABS(L81-DigDir!$C$34)</f>
        <v>3.8006775658951399</v>
      </c>
      <c r="P81">
        <f t="shared" si="1"/>
        <v>7.5</v>
      </c>
    </row>
    <row r="82" spans="10:16">
      <c r="J82" s="5"/>
      <c r="L82">
        <f>DigDir!M82</f>
        <v>-1.2225569999999999</v>
      </c>
      <c r="M82">
        <f>DigDir!N82</f>
        <v>7.6</v>
      </c>
      <c r="O82">
        <f>ABS(L82-DigDir!$C$34)</f>
        <v>3.8006775658951399</v>
      </c>
      <c r="P82">
        <f t="shared" si="1"/>
        <v>7.6</v>
      </c>
    </row>
    <row r="83" spans="10:16">
      <c r="J83" s="5"/>
      <c r="L83">
        <f>DigDir!M83</f>
        <v>-1.2225569999999999</v>
      </c>
      <c r="M83">
        <f>DigDir!N83</f>
        <v>7.7</v>
      </c>
      <c r="O83">
        <f>ABS(L83-DigDir!$C$34)</f>
        <v>3.8006775658951399</v>
      </c>
      <c r="P83">
        <f t="shared" si="1"/>
        <v>7.7</v>
      </c>
    </row>
    <row r="84" spans="10:16">
      <c r="J84" s="5"/>
      <c r="L84">
        <f>DigDir!M84</f>
        <v>-1.2225569999999999</v>
      </c>
      <c r="M84">
        <f>DigDir!N84</f>
        <v>7.8</v>
      </c>
      <c r="O84">
        <f>ABS(L84-DigDir!$C$34)</f>
        <v>3.8006775658951399</v>
      </c>
      <c r="P84">
        <f t="shared" si="1"/>
        <v>7.8</v>
      </c>
    </row>
    <row r="85" spans="10:16">
      <c r="J85" s="5"/>
      <c r="L85">
        <f>DigDir!M85</f>
        <v>-1.2225569999999999</v>
      </c>
      <c r="M85">
        <f>DigDir!N85</f>
        <v>7.9</v>
      </c>
      <c r="O85">
        <f>ABS(L85-DigDir!$C$34)</f>
        <v>3.8006775658951399</v>
      </c>
      <c r="P85">
        <f t="shared" si="1"/>
        <v>7.9</v>
      </c>
    </row>
    <row r="86" spans="10:16">
      <c r="J86" s="5"/>
      <c r="L86">
        <f>DigDir!M86</f>
        <v>-1.2225569999999999</v>
      </c>
      <c r="M86">
        <f>DigDir!N86</f>
        <v>8</v>
      </c>
      <c r="O86">
        <f>ABS(L86-DigDir!$C$34)</f>
        <v>3.8006775658951399</v>
      </c>
      <c r="P86">
        <f t="shared" si="1"/>
        <v>8</v>
      </c>
    </row>
    <row r="87" spans="10:16">
      <c r="J87" s="5"/>
      <c r="L87">
        <f>DigDir!M87</f>
        <v>-1.2225569999999999</v>
      </c>
      <c r="M87">
        <f>DigDir!N87</f>
        <v>8.1</v>
      </c>
      <c r="O87">
        <f>ABS(L87-DigDir!$C$34)</f>
        <v>3.8006775658951399</v>
      </c>
      <c r="P87">
        <f t="shared" si="1"/>
        <v>8.1</v>
      </c>
    </row>
    <row r="88" spans="10:16">
      <c r="J88" s="5"/>
      <c r="L88">
        <f>DigDir!M88</f>
        <v>-1.2225569999999999</v>
      </c>
      <c r="M88">
        <f>DigDir!N88</f>
        <v>8.1999999999999993</v>
      </c>
      <c r="O88">
        <f>ABS(L88-DigDir!$C$34)</f>
        <v>3.8006775658951399</v>
      </c>
      <c r="P88">
        <f t="shared" si="1"/>
        <v>8.1999999999999993</v>
      </c>
    </row>
    <row r="89" spans="10:16">
      <c r="J89" s="5"/>
      <c r="L89">
        <f>DigDir!M89</f>
        <v>-1.2225569999999999</v>
      </c>
      <c r="M89">
        <f>DigDir!N89</f>
        <v>8.3000000000000007</v>
      </c>
      <c r="O89">
        <f>ABS(L89-DigDir!$C$34)</f>
        <v>3.8006775658951399</v>
      </c>
      <c r="P89">
        <f t="shared" si="1"/>
        <v>8.3000000000000007</v>
      </c>
    </row>
    <row r="90" spans="10:16">
      <c r="J90" s="5"/>
      <c r="L90">
        <f>DigDir!M90</f>
        <v>-1.2225569999999999</v>
      </c>
      <c r="M90">
        <f>DigDir!N90</f>
        <v>8.4</v>
      </c>
      <c r="O90">
        <f>ABS(L90-DigDir!$C$34)</f>
        <v>3.8006775658951399</v>
      </c>
      <c r="P90">
        <f t="shared" si="1"/>
        <v>8.4</v>
      </c>
    </row>
    <row r="91" spans="10:16">
      <c r="J91" s="5"/>
      <c r="L91">
        <f>DigDir!M91</f>
        <v>-1.2225569999999999</v>
      </c>
      <c r="M91">
        <f>DigDir!N91</f>
        <v>8.5</v>
      </c>
      <c r="O91">
        <f>ABS(L91-DigDir!$C$34)</f>
        <v>3.8006775658951399</v>
      </c>
      <c r="P91">
        <f t="shared" si="1"/>
        <v>8.5</v>
      </c>
    </row>
    <row r="92" spans="10:16">
      <c r="J92" s="5"/>
      <c r="L92">
        <f>DigDir!M92</f>
        <v>-1.2225569999999999</v>
      </c>
      <c r="M92">
        <f>DigDir!N92</f>
        <v>8.6</v>
      </c>
      <c r="O92">
        <f>ABS(L92-DigDir!$C$34)</f>
        <v>3.8006775658951399</v>
      </c>
      <c r="P92">
        <f t="shared" si="1"/>
        <v>8.6</v>
      </c>
    </row>
    <row r="93" spans="10:16">
      <c r="J93" s="5"/>
      <c r="L93">
        <f>DigDir!M93</f>
        <v>-1.2225569999999999</v>
      </c>
      <c r="M93">
        <f>DigDir!N93</f>
        <v>8.6999999999999993</v>
      </c>
      <c r="O93">
        <f>ABS(L93-DigDir!$C$34)</f>
        <v>3.8006775658951399</v>
      </c>
      <c r="P93">
        <f t="shared" si="1"/>
        <v>8.6999999999999993</v>
      </c>
    </row>
    <row r="94" spans="10:16">
      <c r="J94" s="5"/>
      <c r="L94">
        <f>DigDir!M94</f>
        <v>-1.2225569999999999</v>
      </c>
      <c r="M94">
        <f>DigDir!N94</f>
        <v>8.8000000000000007</v>
      </c>
      <c r="O94">
        <f>ABS(L94-DigDir!$C$34)</f>
        <v>3.8006775658951399</v>
      </c>
      <c r="P94">
        <f t="shared" si="1"/>
        <v>8.8000000000000007</v>
      </c>
    </row>
    <row r="95" spans="10:16">
      <c r="J95" s="5"/>
      <c r="L95">
        <f>DigDir!M95</f>
        <v>-1.2225569999999999</v>
      </c>
      <c r="M95">
        <f>DigDir!N95</f>
        <v>8.9</v>
      </c>
      <c r="O95">
        <f>ABS(L95-DigDir!$C$34)</f>
        <v>3.8006775658951399</v>
      </c>
      <c r="P95">
        <f t="shared" si="1"/>
        <v>8.9</v>
      </c>
    </row>
    <row r="96" spans="10:16">
      <c r="J96" s="5"/>
      <c r="L96">
        <f>DigDir!M96</f>
        <v>-1.2225569999999999</v>
      </c>
      <c r="M96">
        <f>DigDir!N96</f>
        <v>9</v>
      </c>
      <c r="O96">
        <f>ABS(L96-DigDir!$C$34)</f>
        <v>3.8006775658951399</v>
      </c>
      <c r="P96">
        <f t="shared" si="1"/>
        <v>9</v>
      </c>
    </row>
    <row r="97" spans="10:16">
      <c r="J97" s="5"/>
      <c r="L97">
        <f>DigDir!M97</f>
        <v>-1.2225569999999999</v>
      </c>
      <c r="M97">
        <f>DigDir!N97</f>
        <v>9.1</v>
      </c>
      <c r="O97">
        <f>ABS(L97-DigDir!$C$34)</f>
        <v>3.8006775658951399</v>
      </c>
      <c r="P97">
        <f t="shared" si="1"/>
        <v>9.1</v>
      </c>
    </row>
    <row r="98" spans="10:16">
      <c r="J98" s="5"/>
      <c r="L98">
        <f>DigDir!M98</f>
        <v>-1.2225569999999999</v>
      </c>
      <c r="M98">
        <f>DigDir!N98</f>
        <v>9.1999999999999993</v>
      </c>
      <c r="O98">
        <f>ABS(L98-DigDir!$C$34)</f>
        <v>3.8006775658951399</v>
      </c>
      <c r="P98">
        <f t="shared" si="1"/>
        <v>9.1999999999999993</v>
      </c>
    </row>
    <row r="99" spans="10:16">
      <c r="J99" s="5"/>
      <c r="L99">
        <f>DigDir!M99</f>
        <v>-1.2225569999999999</v>
      </c>
      <c r="M99">
        <f>DigDir!N99</f>
        <v>9.3000000000000007</v>
      </c>
      <c r="O99">
        <f>ABS(L99-DigDir!$C$34)</f>
        <v>3.8006775658951399</v>
      </c>
      <c r="P99">
        <f t="shared" si="1"/>
        <v>9.3000000000000007</v>
      </c>
    </row>
    <row r="100" spans="10:16">
      <c r="J100" s="5"/>
      <c r="L100">
        <f>DigDir!M100</f>
        <v>-1.2225569999999999</v>
      </c>
      <c r="M100">
        <f>DigDir!N100</f>
        <v>9.4</v>
      </c>
      <c r="O100">
        <f>ABS(L100-DigDir!$C$34)</f>
        <v>3.8006775658951399</v>
      </c>
      <c r="P100">
        <f t="shared" si="1"/>
        <v>9.4</v>
      </c>
    </row>
    <row r="101" spans="10:16">
      <c r="J101" s="5"/>
      <c r="L101">
        <f>DigDir!M101</f>
        <v>-1.2225569999999999</v>
      </c>
      <c r="M101">
        <f>DigDir!N101</f>
        <v>9.5</v>
      </c>
      <c r="O101">
        <f>ABS(L101-DigDir!$C$34)</f>
        <v>3.8006775658951399</v>
      </c>
      <c r="P101">
        <f t="shared" si="1"/>
        <v>9.5</v>
      </c>
    </row>
    <row r="102" spans="10:16">
      <c r="J102" s="5"/>
      <c r="L102">
        <f>DigDir!M102</f>
        <v>-1.2225569999999999</v>
      </c>
      <c r="M102">
        <f>DigDir!N102</f>
        <v>9.6</v>
      </c>
      <c r="O102">
        <f>ABS(L102-DigDir!$C$34)</f>
        <v>3.8006775658951399</v>
      </c>
      <c r="P102">
        <f t="shared" si="1"/>
        <v>9.6</v>
      </c>
    </row>
    <row r="103" spans="10:16">
      <c r="J103" s="5"/>
      <c r="L103">
        <f>DigDir!M103</f>
        <v>-1.219938583</v>
      </c>
      <c r="M103">
        <f>DigDir!N103</f>
        <v>9.6999999999999993</v>
      </c>
      <c r="O103">
        <f>ABS(L103-DigDir!$C$34)</f>
        <v>3.8032959828951398</v>
      </c>
      <c r="P103">
        <f t="shared" si="1"/>
        <v>9.6999999999999993</v>
      </c>
    </row>
    <row r="104" spans="10:16">
      <c r="J104" s="5"/>
      <c r="L104">
        <f>DigDir!M104</f>
        <v>-1.2003840219999999</v>
      </c>
      <c r="M104">
        <f>DigDir!N104</f>
        <v>9.8000000000000007</v>
      </c>
      <c r="O104">
        <f>ABS(L104-DigDir!$C$34)</f>
        <v>3.8228505438951403</v>
      </c>
      <c r="P104">
        <f t="shared" si="1"/>
        <v>9.8000000000000007</v>
      </c>
    </row>
    <row r="105" spans="10:16">
      <c r="J105" s="5"/>
      <c r="L105">
        <f>DigDir!M105</f>
        <v>-1.1808294610000001</v>
      </c>
      <c r="M105">
        <f>DigDir!N105</f>
        <v>9.9</v>
      </c>
      <c r="O105">
        <f>ABS(L105-DigDir!$C$34)</f>
        <v>3.84240510489514</v>
      </c>
      <c r="P105">
        <f t="shared" si="1"/>
        <v>9.9</v>
      </c>
    </row>
    <row r="106" spans="10:16">
      <c r="J106" s="5"/>
      <c r="L106">
        <f>DigDir!M106</f>
        <v>-1.166846</v>
      </c>
      <c r="M106">
        <f>DigDir!N106</f>
        <v>10</v>
      </c>
      <c r="O106">
        <f>ABS(L106-DigDir!$C$34)</f>
        <v>3.85638856589514</v>
      </c>
      <c r="P106">
        <f t="shared" si="1"/>
        <v>10</v>
      </c>
    </row>
    <row r="107" spans="10:16">
      <c r="J107" s="5"/>
      <c r="L107">
        <f>DigDir!M107</f>
        <v>-1.166846</v>
      </c>
      <c r="M107">
        <f>DigDir!N107</f>
        <v>10.1</v>
      </c>
      <c r="O107">
        <f>ABS(L107-DigDir!$C$34)</f>
        <v>3.85638856589514</v>
      </c>
      <c r="P107">
        <f t="shared" si="1"/>
        <v>10.1</v>
      </c>
    </row>
    <row r="108" spans="10:16">
      <c r="J108" s="5"/>
      <c r="L108">
        <f>DigDir!M108</f>
        <v>-1.166846</v>
      </c>
      <c r="M108">
        <f>DigDir!N108</f>
        <v>10.199999999999999</v>
      </c>
      <c r="O108">
        <f>ABS(L108-DigDir!$C$34)</f>
        <v>3.85638856589514</v>
      </c>
      <c r="P108">
        <f t="shared" si="1"/>
        <v>10.199999999999999</v>
      </c>
    </row>
    <row r="109" spans="10:16">
      <c r="J109" s="5"/>
      <c r="L109">
        <f>DigDir!M109</f>
        <v>-1.166846</v>
      </c>
      <c r="M109">
        <f>DigDir!N109</f>
        <v>10.3</v>
      </c>
      <c r="O109">
        <f>ABS(L109-DigDir!$C$34)</f>
        <v>3.85638856589514</v>
      </c>
      <c r="P109">
        <f t="shared" si="1"/>
        <v>10.3</v>
      </c>
    </row>
    <row r="110" spans="10:16">
      <c r="J110" s="5"/>
      <c r="L110">
        <f>DigDir!M110</f>
        <v>-1.166846</v>
      </c>
      <c r="M110">
        <f>DigDir!N110</f>
        <v>10.4</v>
      </c>
      <c r="O110">
        <f>ABS(L110-DigDir!$C$34)</f>
        <v>3.85638856589514</v>
      </c>
      <c r="P110">
        <f t="shared" si="1"/>
        <v>10.4</v>
      </c>
    </row>
    <row r="111" spans="10:16">
      <c r="J111" s="5"/>
      <c r="L111">
        <f>DigDir!M111</f>
        <v>-1.166846</v>
      </c>
      <c r="M111">
        <f>DigDir!N111</f>
        <v>10.5</v>
      </c>
      <c r="O111">
        <f>ABS(L111-DigDir!$C$34)</f>
        <v>3.85638856589514</v>
      </c>
      <c r="P111">
        <f t="shared" si="1"/>
        <v>10.5</v>
      </c>
    </row>
    <row r="112" spans="10:16">
      <c r="J112" s="5"/>
      <c r="L112">
        <f>DigDir!M112</f>
        <v>-1.166846</v>
      </c>
      <c r="M112">
        <f>DigDir!N112</f>
        <v>10.6</v>
      </c>
      <c r="O112">
        <f>ABS(L112-DigDir!$C$34)</f>
        <v>3.85638856589514</v>
      </c>
      <c r="P112">
        <f t="shared" si="1"/>
        <v>10.6</v>
      </c>
    </row>
    <row r="113" spans="10:16">
      <c r="J113" s="5"/>
      <c r="L113">
        <f>DigDir!M113</f>
        <v>-1.166846</v>
      </c>
      <c r="M113">
        <f>DigDir!N113</f>
        <v>10.7</v>
      </c>
      <c r="O113">
        <f>ABS(L113-DigDir!$C$34)</f>
        <v>3.85638856589514</v>
      </c>
      <c r="P113">
        <f t="shared" si="1"/>
        <v>10.7</v>
      </c>
    </row>
    <row r="114" spans="10:16">
      <c r="J114" s="5"/>
      <c r="L114">
        <f>DigDir!M114</f>
        <v>-1.166846</v>
      </c>
      <c r="M114">
        <f>DigDir!N114</f>
        <v>10.8</v>
      </c>
      <c r="O114">
        <f>ABS(L114-DigDir!$C$34)</f>
        <v>3.85638856589514</v>
      </c>
      <c r="P114">
        <f t="shared" si="1"/>
        <v>10.8</v>
      </c>
    </row>
    <row r="115" spans="10:16">
      <c r="J115" s="5"/>
      <c r="L115">
        <f>DigDir!M115</f>
        <v>-1.166846</v>
      </c>
      <c r="M115">
        <f>DigDir!N115</f>
        <v>10.9</v>
      </c>
      <c r="O115">
        <f>ABS(L115-DigDir!$C$34)</f>
        <v>3.85638856589514</v>
      </c>
      <c r="P115">
        <f t="shared" si="1"/>
        <v>10.9</v>
      </c>
    </row>
    <row r="116" spans="10:16">
      <c r="J116" s="5"/>
      <c r="L116">
        <f>DigDir!M116</f>
        <v>-1.166846</v>
      </c>
      <c r="M116">
        <f>DigDir!N116</f>
        <v>11</v>
      </c>
      <c r="O116">
        <f>ABS(L116-DigDir!$C$34)</f>
        <v>3.85638856589514</v>
      </c>
      <c r="P116">
        <f t="shared" si="1"/>
        <v>11</v>
      </c>
    </row>
    <row r="117" spans="10:16">
      <c r="J117" s="5"/>
      <c r="L117">
        <f>DigDir!M117</f>
        <v>-1.166846</v>
      </c>
      <c r="M117">
        <f>DigDir!N117</f>
        <v>11.1</v>
      </c>
      <c r="O117">
        <f>ABS(L117-DigDir!$C$34)</f>
        <v>3.85638856589514</v>
      </c>
      <c r="P117">
        <f t="shared" si="1"/>
        <v>11.1</v>
      </c>
    </row>
    <row r="118" spans="10:16">
      <c r="J118" s="5"/>
      <c r="L118">
        <f>DigDir!M118</f>
        <v>-1.166846</v>
      </c>
      <c r="M118">
        <f>DigDir!N118</f>
        <v>11.2</v>
      </c>
      <c r="O118">
        <f>ABS(L118-DigDir!$C$34)</f>
        <v>3.85638856589514</v>
      </c>
      <c r="P118">
        <f t="shared" si="1"/>
        <v>11.2</v>
      </c>
    </row>
    <row r="119" spans="10:16">
      <c r="J119" s="5"/>
      <c r="L119">
        <f>DigDir!M119</f>
        <v>-1.166846</v>
      </c>
      <c r="M119">
        <f>DigDir!N119</f>
        <v>11.3</v>
      </c>
      <c r="O119">
        <f>ABS(L119-DigDir!$C$34)</f>
        <v>3.85638856589514</v>
      </c>
      <c r="P119">
        <f t="shared" si="1"/>
        <v>11.3</v>
      </c>
    </row>
    <row r="120" spans="10:16">
      <c r="J120" s="5"/>
      <c r="L120">
        <f>DigDir!M120</f>
        <v>-1.166846</v>
      </c>
      <c r="M120">
        <f>DigDir!N120</f>
        <v>11.4</v>
      </c>
      <c r="O120">
        <f>ABS(L120-DigDir!$C$34)</f>
        <v>3.85638856589514</v>
      </c>
      <c r="P120">
        <f t="shared" si="1"/>
        <v>11.4</v>
      </c>
    </row>
    <row r="121" spans="10:16">
      <c r="J121" s="5"/>
      <c r="L121">
        <f>DigDir!M121</f>
        <v>-1.166846</v>
      </c>
      <c r="M121">
        <f>DigDir!N121</f>
        <v>11.5</v>
      </c>
      <c r="O121">
        <f>ABS(L121-DigDir!$C$34)</f>
        <v>3.85638856589514</v>
      </c>
      <c r="P121">
        <f t="shared" si="1"/>
        <v>11.5</v>
      </c>
    </row>
    <row r="122" spans="10:16">
      <c r="J122" s="5"/>
      <c r="L122">
        <f>DigDir!M122</f>
        <v>-1.166846</v>
      </c>
      <c r="M122">
        <f>DigDir!N122</f>
        <v>11.6</v>
      </c>
      <c r="O122">
        <f>ABS(L122-DigDir!$C$34)</f>
        <v>3.85638856589514</v>
      </c>
      <c r="P122">
        <f t="shared" si="1"/>
        <v>11.6</v>
      </c>
    </row>
    <row r="123" spans="10:16">
      <c r="J123" s="5"/>
      <c r="L123">
        <f>DigDir!M123</f>
        <v>-1.1631134299999999</v>
      </c>
      <c r="M123">
        <f>DigDir!N123</f>
        <v>11.7</v>
      </c>
      <c r="O123">
        <f>ABS(L123-DigDir!$C$34)</f>
        <v>3.8601211358951399</v>
      </c>
      <c r="P123">
        <f t="shared" si="1"/>
        <v>11.7</v>
      </c>
    </row>
    <row r="124" spans="10:16">
      <c r="J124" s="5"/>
      <c r="L124">
        <f>DigDir!M124</f>
        <v>-1.14355922</v>
      </c>
      <c r="M124">
        <f>DigDir!N124</f>
        <v>11.8</v>
      </c>
      <c r="O124">
        <f>ABS(L124-DigDir!$C$34)</f>
        <v>3.8796753458951398</v>
      </c>
      <c r="P124">
        <f t="shared" si="1"/>
        <v>11.8</v>
      </c>
    </row>
    <row r="125" spans="10:16">
      <c r="J125" s="5"/>
      <c r="L125">
        <f>DigDir!M125</f>
        <v>-1.1240050100000001</v>
      </c>
      <c r="M125">
        <f>DigDir!N125</f>
        <v>11.9</v>
      </c>
      <c r="O125">
        <f>ABS(L125-DigDir!$C$34)</f>
        <v>3.8992295558951398</v>
      </c>
      <c r="P125">
        <f t="shared" si="1"/>
        <v>11.9</v>
      </c>
    </row>
    <row r="126" spans="10:16">
      <c r="J126" s="5"/>
      <c r="L126">
        <f>DigDir!M126</f>
        <v>-1.1111359999999999</v>
      </c>
      <c r="M126">
        <f>DigDir!N126</f>
        <v>12</v>
      </c>
      <c r="O126">
        <f>ABS(L126-DigDir!$C$34)</f>
        <v>3.9120985658951399</v>
      </c>
      <c r="P126">
        <f t="shared" si="1"/>
        <v>12</v>
      </c>
    </row>
    <row r="127" spans="10:16">
      <c r="J127" s="5"/>
      <c r="L127">
        <f>DigDir!M127</f>
        <v>-1.1111359999999999</v>
      </c>
      <c r="M127">
        <f>DigDir!N127</f>
        <v>12.1</v>
      </c>
      <c r="O127">
        <f>ABS(L127-DigDir!$C$34)</f>
        <v>3.9120985658951399</v>
      </c>
      <c r="P127">
        <f t="shared" si="1"/>
        <v>12.1</v>
      </c>
    </row>
    <row r="128" spans="10:16">
      <c r="J128" s="5"/>
      <c r="L128">
        <f>DigDir!M128</f>
        <v>-1.1111359999999999</v>
      </c>
      <c r="M128">
        <f>DigDir!N128</f>
        <v>12.2</v>
      </c>
      <c r="O128">
        <f>ABS(L128-DigDir!$C$34)</f>
        <v>3.9120985658951399</v>
      </c>
      <c r="P128">
        <f t="shared" si="1"/>
        <v>12.2</v>
      </c>
    </row>
    <row r="129" spans="10:16">
      <c r="J129" s="5"/>
      <c r="L129">
        <f>DigDir!M129</f>
        <v>-1.1111359999999999</v>
      </c>
      <c r="M129">
        <f>DigDir!N129</f>
        <v>12.3</v>
      </c>
      <c r="O129">
        <f>ABS(L129-DigDir!$C$34)</f>
        <v>3.9120985658951399</v>
      </c>
      <c r="P129">
        <f t="shared" si="1"/>
        <v>12.3</v>
      </c>
    </row>
    <row r="130" spans="10:16">
      <c r="J130" s="5"/>
      <c r="L130">
        <f>DigDir!M130</f>
        <v>-1.1111359999999999</v>
      </c>
      <c r="M130">
        <f>DigDir!N130</f>
        <v>12.4</v>
      </c>
      <c r="O130">
        <f>ABS(L130-DigDir!$C$34)</f>
        <v>3.9120985658951399</v>
      </c>
      <c r="P130">
        <f t="shared" si="1"/>
        <v>12.4</v>
      </c>
    </row>
    <row r="131" spans="10:16">
      <c r="J131" s="5"/>
      <c r="L131">
        <f>DigDir!M131</f>
        <v>-1.1111359999999999</v>
      </c>
      <c r="M131">
        <f>DigDir!N131</f>
        <v>12.5</v>
      </c>
      <c r="O131">
        <f>ABS(L131-DigDir!$C$34)</f>
        <v>3.9120985658951399</v>
      </c>
      <c r="P131">
        <f t="shared" si="1"/>
        <v>12.5</v>
      </c>
    </row>
    <row r="132" spans="10:16">
      <c r="J132" s="5"/>
      <c r="L132">
        <f>DigDir!M132</f>
        <v>-1.1111359999999999</v>
      </c>
      <c r="M132">
        <f>DigDir!N132</f>
        <v>12.6</v>
      </c>
      <c r="O132">
        <f>ABS(L132-DigDir!$C$34)</f>
        <v>3.9120985658951399</v>
      </c>
      <c r="P132">
        <f t="shared" si="1"/>
        <v>12.6</v>
      </c>
    </row>
    <row r="133" spans="10:16">
      <c r="J133" s="5"/>
      <c r="L133">
        <f>DigDir!M133</f>
        <v>-1.1111359999999999</v>
      </c>
      <c r="M133">
        <f>DigDir!N133</f>
        <v>12.7</v>
      </c>
      <c r="O133">
        <f>ABS(L133-DigDir!$C$34)</f>
        <v>3.9120985658951399</v>
      </c>
      <c r="P133">
        <f t="shared" si="1"/>
        <v>12.7</v>
      </c>
    </row>
    <row r="134" spans="10:16">
      <c r="J134" s="5"/>
      <c r="L134">
        <f>DigDir!M134</f>
        <v>-1.1111359999999999</v>
      </c>
      <c r="M134">
        <f>DigDir!N134</f>
        <v>12.8</v>
      </c>
      <c r="O134">
        <f>ABS(L134-DigDir!$C$34)</f>
        <v>3.9120985658951399</v>
      </c>
      <c r="P134">
        <f t="shared" si="1"/>
        <v>12.8</v>
      </c>
    </row>
    <row r="135" spans="10:16">
      <c r="J135" s="5"/>
      <c r="L135">
        <f>DigDir!M135</f>
        <v>-1.1111359999999999</v>
      </c>
      <c r="M135">
        <f>DigDir!N135</f>
        <v>12.9</v>
      </c>
      <c r="O135">
        <f>ABS(L135-DigDir!$C$34)</f>
        <v>3.9120985658951399</v>
      </c>
      <c r="P135">
        <f t="shared" ref="P135:P198" si="2">M135</f>
        <v>12.9</v>
      </c>
    </row>
    <row r="136" spans="10:16">
      <c r="J136" s="5"/>
      <c r="L136">
        <f>DigDir!M136</f>
        <v>-1.1111359999999999</v>
      </c>
      <c r="M136">
        <f>DigDir!N136</f>
        <v>13</v>
      </c>
      <c r="O136">
        <f>ABS(L136-DigDir!$C$34)</f>
        <v>3.9120985658951399</v>
      </c>
      <c r="P136">
        <f t="shared" si="2"/>
        <v>13</v>
      </c>
    </row>
    <row r="137" spans="10:16">
      <c r="J137" s="5"/>
      <c r="L137">
        <f>DigDir!M137</f>
        <v>-1.1111359999999999</v>
      </c>
      <c r="M137">
        <f>DigDir!N137</f>
        <v>13.1</v>
      </c>
      <c r="O137">
        <f>ABS(L137-DigDir!$C$34)</f>
        <v>3.9120985658951399</v>
      </c>
      <c r="P137">
        <f t="shared" si="2"/>
        <v>13.1</v>
      </c>
    </row>
    <row r="138" spans="10:16">
      <c r="J138" s="5"/>
      <c r="L138">
        <f>DigDir!M138</f>
        <v>-1.1111359999999999</v>
      </c>
      <c r="M138">
        <f>DigDir!N138</f>
        <v>13.2</v>
      </c>
      <c r="O138">
        <f>ABS(L138-DigDir!$C$34)</f>
        <v>3.9120985658951399</v>
      </c>
      <c r="P138">
        <f t="shared" si="2"/>
        <v>13.2</v>
      </c>
    </row>
    <row r="139" spans="10:16">
      <c r="J139" s="5"/>
      <c r="L139">
        <f>DigDir!M139</f>
        <v>-1.1111359999999999</v>
      </c>
      <c r="M139">
        <f>DigDir!N139</f>
        <v>13.3</v>
      </c>
      <c r="O139">
        <f>ABS(L139-DigDir!$C$34)</f>
        <v>3.9120985658951399</v>
      </c>
      <c r="P139">
        <f t="shared" si="2"/>
        <v>13.3</v>
      </c>
    </row>
    <row r="140" spans="10:16">
      <c r="J140" s="5"/>
      <c r="L140">
        <f>DigDir!M140</f>
        <v>-1.1111359999999999</v>
      </c>
      <c r="M140">
        <f>DigDir!N140</f>
        <v>13.4</v>
      </c>
      <c r="O140">
        <f>ABS(L140-DigDir!$C$34)</f>
        <v>3.9120985658951399</v>
      </c>
      <c r="P140">
        <f t="shared" si="2"/>
        <v>13.4</v>
      </c>
    </row>
    <row r="141" spans="10:16">
      <c r="J141" s="5"/>
      <c r="L141">
        <f>DigDir!M141</f>
        <v>-1.1111359999999999</v>
      </c>
      <c r="M141">
        <f>DigDir!N141</f>
        <v>13.5</v>
      </c>
      <c r="O141">
        <f>ABS(L141-DigDir!$C$34)</f>
        <v>3.9120985658951399</v>
      </c>
      <c r="P141">
        <f t="shared" si="2"/>
        <v>13.5</v>
      </c>
    </row>
    <row r="142" spans="10:16">
      <c r="J142" s="5"/>
      <c r="L142">
        <f>DigDir!M142</f>
        <v>-1.1111359999999999</v>
      </c>
      <c r="M142">
        <f>DigDir!N142</f>
        <v>13.6</v>
      </c>
      <c r="O142">
        <f>ABS(L142-DigDir!$C$34)</f>
        <v>3.9120985658951399</v>
      </c>
      <c r="P142">
        <f t="shared" si="2"/>
        <v>13.6</v>
      </c>
    </row>
    <row r="143" spans="10:16">
      <c r="J143" s="5"/>
      <c r="L143">
        <f>DigDir!M143</f>
        <v>-1.1111359999999999</v>
      </c>
      <c r="M143">
        <f>DigDir!N143</f>
        <v>13.7</v>
      </c>
      <c r="O143">
        <f>ABS(L143-DigDir!$C$34)</f>
        <v>3.9120985658951399</v>
      </c>
      <c r="P143">
        <f t="shared" si="2"/>
        <v>13.7</v>
      </c>
    </row>
    <row r="144" spans="10:16">
      <c r="J144" s="5"/>
      <c r="L144">
        <f>DigDir!M144</f>
        <v>-1.1111359999999999</v>
      </c>
      <c r="M144">
        <f>DigDir!N144</f>
        <v>13.8</v>
      </c>
      <c r="O144">
        <f>ABS(L144-DigDir!$C$34)</f>
        <v>3.9120985658951399</v>
      </c>
      <c r="P144">
        <f t="shared" si="2"/>
        <v>13.8</v>
      </c>
    </row>
    <row r="145" spans="10:16">
      <c r="J145" s="5"/>
      <c r="L145">
        <f>DigDir!M145</f>
        <v>-1.1111359999999999</v>
      </c>
      <c r="M145">
        <f>DigDir!N145</f>
        <v>13.9</v>
      </c>
      <c r="O145">
        <f>ABS(L145-DigDir!$C$34)</f>
        <v>3.9120985658951399</v>
      </c>
      <c r="P145">
        <f t="shared" si="2"/>
        <v>13.9</v>
      </c>
    </row>
    <row r="146" spans="10:16">
      <c r="J146" s="5"/>
      <c r="L146">
        <f>DigDir!M146</f>
        <v>-1.10333646</v>
      </c>
      <c r="M146">
        <f>DigDir!N146</f>
        <v>14</v>
      </c>
      <c r="O146">
        <f>ABS(L146-DigDir!$C$34)</f>
        <v>3.9198981058951401</v>
      </c>
      <c r="P146">
        <f t="shared" si="2"/>
        <v>14</v>
      </c>
    </row>
    <row r="147" spans="10:16">
      <c r="J147" s="5"/>
      <c r="L147">
        <f>DigDir!M147</f>
        <v>-1.0837818990000001</v>
      </c>
      <c r="M147">
        <f>DigDir!N147</f>
        <v>14.1</v>
      </c>
      <c r="O147">
        <f>ABS(L147-DigDir!$C$34)</f>
        <v>3.9394526668951402</v>
      </c>
      <c r="P147">
        <f t="shared" si="2"/>
        <v>14.1</v>
      </c>
    </row>
    <row r="148" spans="10:16">
      <c r="J148" s="5"/>
      <c r="L148">
        <f>DigDir!M148</f>
        <v>-1.064227338</v>
      </c>
      <c r="M148">
        <f>DigDir!N148</f>
        <v>14.2</v>
      </c>
      <c r="O148">
        <f>ABS(L148-DigDir!$C$34)</f>
        <v>3.9590072278951398</v>
      </c>
      <c r="P148">
        <f t="shared" si="2"/>
        <v>14.2</v>
      </c>
    </row>
    <row r="149" spans="10:16">
      <c r="J149" s="5"/>
      <c r="L149">
        <f>DigDir!M149</f>
        <v>-1.0554250000000001</v>
      </c>
      <c r="M149">
        <f>DigDir!N149</f>
        <v>14.3</v>
      </c>
      <c r="O149">
        <f>ABS(L149-DigDir!$C$34)</f>
        <v>3.96780956589514</v>
      </c>
      <c r="P149">
        <f t="shared" si="2"/>
        <v>14.3</v>
      </c>
    </row>
    <row r="150" spans="10:16">
      <c r="J150" s="5"/>
      <c r="L150">
        <f>DigDir!M150</f>
        <v>-1.0554250000000001</v>
      </c>
      <c r="M150">
        <f>DigDir!N150</f>
        <v>14.4</v>
      </c>
      <c r="O150">
        <f>ABS(L150-DigDir!$C$34)</f>
        <v>3.96780956589514</v>
      </c>
      <c r="P150">
        <f t="shared" si="2"/>
        <v>14.4</v>
      </c>
    </row>
    <row r="151" spans="10:16">
      <c r="J151" s="5"/>
      <c r="L151">
        <f>DigDir!M151</f>
        <v>-1.0554250000000001</v>
      </c>
      <c r="M151">
        <f>DigDir!N151</f>
        <v>14.5</v>
      </c>
      <c r="O151">
        <f>ABS(L151-DigDir!$C$34)</f>
        <v>3.96780956589514</v>
      </c>
      <c r="P151">
        <f t="shared" si="2"/>
        <v>14.5</v>
      </c>
    </row>
    <row r="152" spans="10:16">
      <c r="J152" s="5"/>
      <c r="L152">
        <f>DigDir!M152</f>
        <v>-1.0554250000000001</v>
      </c>
      <c r="M152">
        <f>DigDir!N152</f>
        <v>14.6</v>
      </c>
      <c r="O152">
        <f>ABS(L152-DigDir!$C$34)</f>
        <v>3.96780956589514</v>
      </c>
      <c r="P152">
        <f t="shared" si="2"/>
        <v>14.6</v>
      </c>
    </row>
    <row r="153" spans="10:16">
      <c r="J153" s="5"/>
      <c r="L153">
        <f>DigDir!M153</f>
        <v>-1.0554250000000001</v>
      </c>
      <c r="M153">
        <f>DigDir!N153</f>
        <v>14.7</v>
      </c>
      <c r="O153">
        <f>ABS(L153-DigDir!$C$34)</f>
        <v>3.96780956589514</v>
      </c>
      <c r="P153">
        <f t="shared" si="2"/>
        <v>14.7</v>
      </c>
    </row>
    <row r="154" spans="10:16">
      <c r="J154" s="5"/>
      <c r="L154">
        <f>DigDir!M154</f>
        <v>-1.0554250000000001</v>
      </c>
      <c r="M154">
        <f>DigDir!N154</f>
        <v>14.8</v>
      </c>
      <c r="O154">
        <f>ABS(L154-DigDir!$C$34)</f>
        <v>3.96780956589514</v>
      </c>
      <c r="P154">
        <f t="shared" si="2"/>
        <v>14.8</v>
      </c>
    </row>
    <row r="155" spans="10:16">
      <c r="J155" s="5"/>
      <c r="L155">
        <f>DigDir!M155</f>
        <v>-1.0554250000000001</v>
      </c>
      <c r="M155">
        <f>DigDir!N155</f>
        <v>14.9</v>
      </c>
      <c r="O155">
        <f>ABS(L155-DigDir!$C$34)</f>
        <v>3.96780956589514</v>
      </c>
      <c r="P155">
        <f t="shared" si="2"/>
        <v>14.9</v>
      </c>
    </row>
    <row r="156" spans="10:16">
      <c r="J156" s="5"/>
      <c r="L156">
        <f>DigDir!M156</f>
        <v>-1.0554250000000001</v>
      </c>
      <c r="M156">
        <f>DigDir!N156</f>
        <v>15</v>
      </c>
      <c r="O156">
        <f>ABS(L156-DigDir!$C$34)</f>
        <v>3.96780956589514</v>
      </c>
      <c r="P156">
        <f t="shared" si="2"/>
        <v>15</v>
      </c>
    </row>
    <row r="157" spans="10:16">
      <c r="J157" s="5"/>
      <c r="L157">
        <f>DigDir!M157</f>
        <v>-1.0554250000000001</v>
      </c>
      <c r="M157">
        <f>DigDir!N157</f>
        <v>15.1</v>
      </c>
      <c r="O157">
        <f>ABS(L157-DigDir!$C$34)</f>
        <v>3.96780956589514</v>
      </c>
      <c r="P157">
        <f t="shared" si="2"/>
        <v>15.1</v>
      </c>
    </row>
    <row r="158" spans="10:16">
      <c r="J158" s="5"/>
      <c r="L158">
        <f>DigDir!M158</f>
        <v>-1.0554250000000001</v>
      </c>
      <c r="M158">
        <f>DigDir!N158</f>
        <v>15.2</v>
      </c>
      <c r="O158">
        <f>ABS(L158-DigDir!$C$34)</f>
        <v>3.96780956589514</v>
      </c>
      <c r="P158">
        <f t="shared" si="2"/>
        <v>15.2</v>
      </c>
    </row>
    <row r="159" spans="10:16">
      <c r="J159" s="5"/>
      <c r="L159">
        <f>DigDir!M159</f>
        <v>-1.0554250000000001</v>
      </c>
      <c r="M159">
        <f>DigDir!N159</f>
        <v>15.3</v>
      </c>
      <c r="O159">
        <f>ABS(L159-DigDir!$C$34)</f>
        <v>3.96780956589514</v>
      </c>
      <c r="P159">
        <f t="shared" si="2"/>
        <v>15.3</v>
      </c>
    </row>
    <row r="160" spans="10:16">
      <c r="J160" s="5"/>
      <c r="L160">
        <f>DigDir!M160</f>
        <v>-1.0554250000000001</v>
      </c>
      <c r="M160">
        <f>DigDir!N160</f>
        <v>15.4</v>
      </c>
      <c r="O160">
        <f>ABS(L160-DigDir!$C$34)</f>
        <v>3.96780956589514</v>
      </c>
      <c r="P160">
        <f t="shared" si="2"/>
        <v>15.4</v>
      </c>
    </row>
    <row r="161" spans="10:16">
      <c r="J161" s="5"/>
      <c r="L161">
        <f>DigDir!M161</f>
        <v>-1.0554250000000001</v>
      </c>
      <c r="M161">
        <f>DigDir!N161</f>
        <v>15.5</v>
      </c>
      <c r="O161">
        <f>ABS(L161-DigDir!$C$34)</f>
        <v>3.96780956589514</v>
      </c>
      <c r="P161">
        <f t="shared" si="2"/>
        <v>15.5</v>
      </c>
    </row>
    <row r="162" spans="10:16">
      <c r="J162" s="5"/>
      <c r="L162">
        <f>DigDir!M162</f>
        <v>-1.0554250000000001</v>
      </c>
      <c r="M162">
        <f>DigDir!N162</f>
        <v>15.6</v>
      </c>
      <c r="O162">
        <f>ABS(L162-DigDir!$C$34)</f>
        <v>3.96780956589514</v>
      </c>
      <c r="P162">
        <f t="shared" si="2"/>
        <v>15.6</v>
      </c>
    </row>
    <row r="163" spans="10:16">
      <c r="J163" s="5"/>
      <c r="L163">
        <f>DigDir!M163</f>
        <v>-1.0554250000000001</v>
      </c>
      <c r="M163">
        <f>DigDir!N163</f>
        <v>15.7</v>
      </c>
      <c r="O163">
        <f>ABS(L163-DigDir!$C$34)</f>
        <v>3.96780956589514</v>
      </c>
      <c r="P163">
        <f t="shared" si="2"/>
        <v>15.7</v>
      </c>
    </row>
    <row r="164" spans="10:16">
      <c r="J164" s="5"/>
      <c r="L164">
        <f>DigDir!M164</f>
        <v>-1.0554250000000001</v>
      </c>
      <c r="M164">
        <f>DigDir!N164</f>
        <v>15.8</v>
      </c>
      <c r="O164">
        <f>ABS(L164-DigDir!$C$34)</f>
        <v>3.96780956589514</v>
      </c>
      <c r="P164">
        <f t="shared" si="2"/>
        <v>15.8</v>
      </c>
    </row>
    <row r="165" spans="10:16">
      <c r="J165" s="5"/>
      <c r="L165">
        <f>DigDir!M165</f>
        <v>-1.0554250000000001</v>
      </c>
      <c r="M165">
        <f>DigDir!N165</f>
        <v>15.9</v>
      </c>
      <c r="O165">
        <f>ABS(L165-DigDir!$C$34)</f>
        <v>3.96780956589514</v>
      </c>
      <c r="P165">
        <f t="shared" si="2"/>
        <v>15.9</v>
      </c>
    </row>
    <row r="166" spans="10:16">
      <c r="J166" s="5"/>
      <c r="L166">
        <f>DigDir!M166</f>
        <v>-1.0554250000000001</v>
      </c>
      <c r="M166">
        <f>DigDir!N166</f>
        <v>16</v>
      </c>
      <c r="O166">
        <f>ABS(L166-DigDir!$C$34)</f>
        <v>3.96780956589514</v>
      </c>
      <c r="P166">
        <f t="shared" si="2"/>
        <v>16</v>
      </c>
    </row>
    <row r="167" spans="10:16">
      <c r="J167" s="5"/>
      <c r="L167">
        <f>DigDir!M167</f>
        <v>-1.0554250000000001</v>
      </c>
      <c r="M167">
        <f>DigDir!N167</f>
        <v>16.100000000000001</v>
      </c>
      <c r="O167">
        <f>ABS(L167-DigDir!$C$34)</f>
        <v>3.96780956589514</v>
      </c>
      <c r="P167">
        <f t="shared" si="2"/>
        <v>16.100000000000001</v>
      </c>
    </row>
    <row r="168" spans="10:16">
      <c r="J168" s="5"/>
      <c r="L168">
        <f>DigDir!M168</f>
        <v>-1.0554250000000001</v>
      </c>
      <c r="M168">
        <f>DigDir!N168</f>
        <v>16.2</v>
      </c>
      <c r="O168">
        <f>ABS(L168-DigDir!$C$34)</f>
        <v>3.96780956589514</v>
      </c>
      <c r="P168">
        <f t="shared" si="2"/>
        <v>16.2</v>
      </c>
    </row>
    <row r="169" spans="10:16">
      <c r="J169" s="5"/>
      <c r="L169">
        <f>DigDir!M169</f>
        <v>-1.0554250000000001</v>
      </c>
      <c r="M169">
        <f>DigDir!N169</f>
        <v>16.3</v>
      </c>
      <c r="O169">
        <f>ABS(L169-DigDir!$C$34)</f>
        <v>3.96780956589514</v>
      </c>
      <c r="P169">
        <f t="shared" si="2"/>
        <v>16.3</v>
      </c>
    </row>
    <row r="170" spans="10:16">
      <c r="J170" s="5"/>
      <c r="L170">
        <f>DigDir!M170</f>
        <v>-1.0554250000000001</v>
      </c>
      <c r="M170">
        <f>DigDir!N170</f>
        <v>16.399999999999999</v>
      </c>
      <c r="O170">
        <f>ABS(L170-DigDir!$C$34)</f>
        <v>3.96780956589514</v>
      </c>
      <c r="P170">
        <f t="shared" si="2"/>
        <v>16.399999999999999</v>
      </c>
    </row>
    <row r="171" spans="10:16">
      <c r="J171" s="5"/>
      <c r="L171">
        <f>DigDir!M171</f>
        <v>-1.0554250000000001</v>
      </c>
      <c r="M171">
        <f>DigDir!N171</f>
        <v>16.5</v>
      </c>
      <c r="O171">
        <f>ABS(L171-DigDir!$C$34)</f>
        <v>3.96780956589514</v>
      </c>
      <c r="P171">
        <f t="shared" si="2"/>
        <v>16.5</v>
      </c>
    </row>
    <row r="172" spans="10:16">
      <c r="J172" s="5"/>
      <c r="L172">
        <f>DigDir!M172</f>
        <v>-1.0554250000000001</v>
      </c>
      <c r="M172">
        <f>DigDir!N172</f>
        <v>16.600000000000001</v>
      </c>
      <c r="O172">
        <f>ABS(L172-DigDir!$C$34)</f>
        <v>3.96780956589514</v>
      </c>
      <c r="P172">
        <f t="shared" si="2"/>
        <v>16.600000000000001</v>
      </c>
    </row>
    <row r="173" spans="10:16">
      <c r="J173" s="5"/>
      <c r="L173">
        <f>DigDir!M173</f>
        <v>-1.0554250000000001</v>
      </c>
      <c r="M173">
        <f>DigDir!N173</f>
        <v>16.7</v>
      </c>
      <c r="O173">
        <f>ABS(L173-DigDir!$C$34)</f>
        <v>3.96780956589514</v>
      </c>
      <c r="P173">
        <f t="shared" si="2"/>
        <v>16.7</v>
      </c>
    </row>
    <row r="174" spans="10:16">
      <c r="J174" s="5"/>
      <c r="L174">
        <f>DigDir!M174</f>
        <v>-1.0554250000000001</v>
      </c>
      <c r="M174">
        <f>DigDir!N174</f>
        <v>16.8</v>
      </c>
      <c r="O174">
        <f>ABS(L174-DigDir!$C$34)</f>
        <v>3.96780956589514</v>
      </c>
      <c r="P174">
        <f t="shared" si="2"/>
        <v>16.8</v>
      </c>
    </row>
    <row r="175" spans="10:16">
      <c r="J175" s="5"/>
      <c r="L175">
        <f>DigDir!M175</f>
        <v>-1.0554250000000001</v>
      </c>
      <c r="M175">
        <f>DigDir!N175</f>
        <v>16.899999999999999</v>
      </c>
      <c r="O175">
        <f>ABS(L175-DigDir!$C$34)</f>
        <v>3.96780956589514</v>
      </c>
      <c r="P175">
        <f t="shared" si="2"/>
        <v>16.899999999999999</v>
      </c>
    </row>
    <row r="176" spans="10:16">
      <c r="J176" s="5"/>
      <c r="L176">
        <f>DigDir!M176</f>
        <v>-1.0554250000000001</v>
      </c>
      <c r="M176">
        <f>DigDir!N176</f>
        <v>17</v>
      </c>
      <c r="O176">
        <f>ABS(L176-DigDir!$C$34)</f>
        <v>3.96780956589514</v>
      </c>
      <c r="P176">
        <f t="shared" si="2"/>
        <v>17</v>
      </c>
    </row>
    <row r="177" spans="10:16">
      <c r="J177" s="5"/>
      <c r="L177">
        <f>DigDir!M177</f>
        <v>-1.0554250000000001</v>
      </c>
      <c r="M177">
        <f>DigDir!N177</f>
        <v>17.100000000000001</v>
      </c>
      <c r="O177">
        <f>ABS(L177-DigDir!$C$34)</f>
        <v>3.96780956589514</v>
      </c>
      <c r="P177">
        <f t="shared" si="2"/>
        <v>17.100000000000001</v>
      </c>
    </row>
    <row r="178" spans="10:16">
      <c r="J178" s="5"/>
      <c r="L178">
        <f>DigDir!M178</f>
        <v>-1.0554250000000001</v>
      </c>
      <c r="M178">
        <f>DigDir!N178</f>
        <v>17.2</v>
      </c>
      <c r="O178">
        <f>ABS(L178-DigDir!$C$34)</f>
        <v>3.96780956589514</v>
      </c>
      <c r="P178">
        <f t="shared" si="2"/>
        <v>17.2</v>
      </c>
    </row>
    <row r="179" spans="10:16">
      <c r="J179" s="5"/>
      <c r="L179">
        <f>DigDir!M179</f>
        <v>-1.0554250000000001</v>
      </c>
      <c r="M179">
        <f>DigDir!N179</f>
        <v>17.3</v>
      </c>
      <c r="O179">
        <f>ABS(L179-DigDir!$C$34)</f>
        <v>3.96780956589514</v>
      </c>
      <c r="P179">
        <f t="shared" si="2"/>
        <v>17.3</v>
      </c>
    </row>
    <row r="180" spans="10:16">
      <c r="J180" s="5"/>
      <c r="L180">
        <f>DigDir!M180</f>
        <v>-1.0554250000000001</v>
      </c>
      <c r="M180">
        <f>DigDir!N180</f>
        <v>17.399999999999999</v>
      </c>
      <c r="O180">
        <f>ABS(L180-DigDir!$C$34)</f>
        <v>3.96780956589514</v>
      </c>
      <c r="P180">
        <f t="shared" si="2"/>
        <v>17.399999999999999</v>
      </c>
    </row>
    <row r="181" spans="10:16">
      <c r="J181" s="5"/>
      <c r="L181">
        <f>DigDir!M181</f>
        <v>-1.0554250000000001</v>
      </c>
      <c r="M181">
        <f>DigDir!N181</f>
        <v>17.5</v>
      </c>
      <c r="O181">
        <f>ABS(L181-DigDir!$C$34)</f>
        <v>3.96780956589514</v>
      </c>
      <c r="P181">
        <f t="shared" si="2"/>
        <v>17.5</v>
      </c>
    </row>
    <row r="182" spans="10:16">
      <c r="J182" s="5"/>
      <c r="L182">
        <f>DigDir!M182</f>
        <v>-1.0554250000000001</v>
      </c>
      <c r="M182">
        <f>DigDir!N182</f>
        <v>17.600000000000001</v>
      </c>
      <c r="O182">
        <f>ABS(L182-DigDir!$C$34)</f>
        <v>3.96780956589514</v>
      </c>
      <c r="P182">
        <f t="shared" si="2"/>
        <v>17.600000000000001</v>
      </c>
    </row>
    <row r="183" spans="10:16">
      <c r="J183" s="5"/>
      <c r="L183">
        <f>DigDir!M183</f>
        <v>-1.0554250000000001</v>
      </c>
      <c r="M183">
        <f>DigDir!N183</f>
        <v>17.7</v>
      </c>
      <c r="O183">
        <f>ABS(L183-DigDir!$C$34)</f>
        <v>3.96780956589514</v>
      </c>
      <c r="P183">
        <f t="shared" si="2"/>
        <v>17.7</v>
      </c>
    </row>
    <row r="184" spans="10:16">
      <c r="J184" s="5"/>
      <c r="L184">
        <f>DigDir!M184</f>
        <v>-1.0554250000000001</v>
      </c>
      <c r="M184">
        <f>DigDir!N184</f>
        <v>17.8</v>
      </c>
      <c r="O184">
        <f>ABS(L184-DigDir!$C$34)</f>
        <v>3.96780956589514</v>
      </c>
      <c r="P184">
        <f t="shared" si="2"/>
        <v>17.8</v>
      </c>
    </row>
    <row r="185" spans="10:16">
      <c r="J185" s="5"/>
      <c r="L185">
        <f>DigDir!M185</f>
        <v>-1.0554250000000001</v>
      </c>
      <c r="M185">
        <f>DigDir!N185</f>
        <v>17.899999999999999</v>
      </c>
      <c r="O185">
        <f>ABS(L185-DigDir!$C$34)</f>
        <v>3.96780956589514</v>
      </c>
      <c r="P185">
        <f t="shared" si="2"/>
        <v>17.899999999999999</v>
      </c>
    </row>
    <row r="186" spans="10:16">
      <c r="J186" s="5"/>
      <c r="L186">
        <f>DigDir!M186</f>
        <v>-1.0453972</v>
      </c>
      <c r="M186">
        <f>DigDir!N186</f>
        <v>18</v>
      </c>
      <c r="O186">
        <f>ABS(L186-DigDir!$C$34)</f>
        <v>3.97783736589514</v>
      </c>
      <c r="P186">
        <f t="shared" si="2"/>
        <v>18</v>
      </c>
    </row>
    <row r="187" spans="10:16">
      <c r="J187" s="5"/>
      <c r="L187">
        <f>DigDir!M187</f>
        <v>-1.0258429899999999</v>
      </c>
      <c r="M187">
        <f>DigDir!N187</f>
        <v>18.100000000000001</v>
      </c>
      <c r="O187">
        <f>ABS(L187-DigDir!$C$34)</f>
        <v>3.9973915758951399</v>
      </c>
      <c r="P187">
        <f t="shared" si="2"/>
        <v>18.100000000000001</v>
      </c>
    </row>
    <row r="188" spans="10:16">
      <c r="J188" s="5"/>
      <c r="L188">
        <f>DigDir!M188</f>
        <v>-1.00628878</v>
      </c>
      <c r="M188">
        <f>DigDir!N188</f>
        <v>18.2</v>
      </c>
      <c r="O188">
        <f>ABS(L188-DigDir!$C$34)</f>
        <v>4.0169457858951398</v>
      </c>
      <c r="P188">
        <f t="shared" si="2"/>
        <v>18.2</v>
      </c>
    </row>
    <row r="189" spans="10:16">
      <c r="J189" s="5"/>
      <c r="L189">
        <f>DigDir!M189</f>
        <v>-0.99971500000000002</v>
      </c>
      <c r="M189">
        <f>DigDir!N189</f>
        <v>18.3</v>
      </c>
      <c r="O189">
        <f>ABS(L189-DigDir!$C$34)</f>
        <v>4.0235195658951399</v>
      </c>
      <c r="P189">
        <f t="shared" si="2"/>
        <v>18.3</v>
      </c>
    </row>
    <row r="190" spans="10:16">
      <c r="J190" s="5"/>
      <c r="L190">
        <f>DigDir!M190</f>
        <v>-0.99971500000000002</v>
      </c>
      <c r="M190">
        <f>DigDir!N190</f>
        <v>18.399999999999999</v>
      </c>
      <c r="O190">
        <f>ABS(L190-DigDir!$C$34)</f>
        <v>4.0235195658951399</v>
      </c>
      <c r="P190">
        <f t="shared" si="2"/>
        <v>18.399999999999999</v>
      </c>
    </row>
    <row r="191" spans="10:16">
      <c r="J191" s="5"/>
      <c r="L191">
        <f>DigDir!M191</f>
        <v>-0.99971500000000002</v>
      </c>
      <c r="M191">
        <f>DigDir!N191</f>
        <v>18.5</v>
      </c>
      <c r="O191">
        <f>ABS(L191-DigDir!$C$34)</f>
        <v>4.0235195658951399</v>
      </c>
      <c r="P191">
        <f t="shared" si="2"/>
        <v>18.5</v>
      </c>
    </row>
    <row r="192" spans="10:16">
      <c r="J192" s="5"/>
      <c r="L192">
        <f>DigDir!M192</f>
        <v>-0.99971500000000002</v>
      </c>
      <c r="M192">
        <f>DigDir!N192</f>
        <v>18.600000000000001</v>
      </c>
      <c r="O192">
        <f>ABS(L192-DigDir!$C$34)</f>
        <v>4.0235195658951399</v>
      </c>
      <c r="P192">
        <f t="shared" si="2"/>
        <v>18.600000000000001</v>
      </c>
    </row>
    <row r="193" spans="10:16">
      <c r="J193" s="5"/>
      <c r="L193">
        <f>DigDir!M193</f>
        <v>-0.99971500000000002</v>
      </c>
      <c r="M193">
        <f>DigDir!N193</f>
        <v>18.7</v>
      </c>
      <c r="O193">
        <f>ABS(L193-DigDir!$C$34)</f>
        <v>4.0235195658951399</v>
      </c>
      <c r="P193">
        <f t="shared" si="2"/>
        <v>18.7</v>
      </c>
    </row>
    <row r="194" spans="10:16">
      <c r="J194" s="5"/>
      <c r="L194">
        <f>DigDir!M194</f>
        <v>-0.99971500000000002</v>
      </c>
      <c r="M194">
        <f>DigDir!N194</f>
        <v>18.8</v>
      </c>
      <c r="O194">
        <f>ABS(L194-DigDir!$C$34)</f>
        <v>4.0235195658951399</v>
      </c>
      <c r="P194">
        <f t="shared" si="2"/>
        <v>18.8</v>
      </c>
    </row>
    <row r="195" spans="10:16">
      <c r="J195" s="5"/>
      <c r="L195">
        <f>DigDir!M195</f>
        <v>-0.96194328100000004</v>
      </c>
      <c r="M195">
        <f>DigDir!N195</f>
        <v>18.899999999999999</v>
      </c>
      <c r="O195">
        <f>ABS(L195-DigDir!$C$34)</f>
        <v>4.0612912848951401</v>
      </c>
      <c r="P195">
        <f t="shared" si="2"/>
        <v>18.899999999999999</v>
      </c>
    </row>
    <row r="196" spans="10:16">
      <c r="J196" s="5"/>
      <c r="L196">
        <f>DigDir!M196</f>
        <v>-0.92283451000000005</v>
      </c>
      <c r="M196">
        <f>DigDir!N196</f>
        <v>19</v>
      </c>
      <c r="O196">
        <f>ABS(L196-DigDir!$C$34)</f>
        <v>4.1004000558951397</v>
      </c>
      <c r="P196">
        <f t="shared" si="2"/>
        <v>19</v>
      </c>
    </row>
    <row r="197" spans="10:16">
      <c r="J197" s="5"/>
      <c r="L197">
        <f>DigDir!M197</f>
        <v>-0.88829400000000003</v>
      </c>
      <c r="M197">
        <f>DigDir!N197</f>
        <v>19.100000000000001</v>
      </c>
      <c r="O197">
        <f>ABS(L197-DigDir!$C$34)</f>
        <v>4.1349405658951399</v>
      </c>
      <c r="P197">
        <f t="shared" si="2"/>
        <v>19.100000000000001</v>
      </c>
    </row>
    <row r="198" spans="10:16">
      <c r="J198" s="5"/>
      <c r="L198">
        <f>DigDir!M198</f>
        <v>-0.88829400000000003</v>
      </c>
      <c r="M198">
        <f>DigDir!N198</f>
        <v>19.2</v>
      </c>
      <c r="O198">
        <f>ABS(L198-DigDir!$C$34)</f>
        <v>4.1349405658951399</v>
      </c>
      <c r="P198">
        <f t="shared" si="2"/>
        <v>19.2</v>
      </c>
    </row>
    <row r="199" spans="10:16">
      <c r="J199" s="5"/>
      <c r="L199">
        <f>DigDir!M199</f>
        <v>-0.88829400000000003</v>
      </c>
      <c r="M199">
        <f>DigDir!N199</f>
        <v>19.3</v>
      </c>
      <c r="O199">
        <f>ABS(L199-DigDir!$C$34)</f>
        <v>4.1349405658951399</v>
      </c>
      <c r="P199">
        <f t="shared" ref="P199:P262" si="3">M199</f>
        <v>19.3</v>
      </c>
    </row>
    <row r="200" spans="10:16">
      <c r="J200" s="5"/>
      <c r="L200">
        <f>DigDir!M200</f>
        <v>-0.88829400000000003</v>
      </c>
      <c r="M200">
        <f>DigDir!N200</f>
        <v>19.399999999999999</v>
      </c>
      <c r="O200">
        <f>ABS(L200-DigDir!$C$34)</f>
        <v>4.1349405658951399</v>
      </c>
      <c r="P200">
        <f t="shared" si="3"/>
        <v>19.399999999999999</v>
      </c>
    </row>
    <row r="201" spans="10:16">
      <c r="J201" s="5"/>
      <c r="L201">
        <f>DigDir!M201</f>
        <v>-0.88829400000000003</v>
      </c>
      <c r="M201">
        <f>DigDir!N201</f>
        <v>19.5</v>
      </c>
      <c r="O201">
        <f>ABS(L201-DigDir!$C$34)</f>
        <v>4.1349405658951399</v>
      </c>
      <c r="P201">
        <f t="shared" si="3"/>
        <v>19.5</v>
      </c>
    </row>
    <row r="202" spans="10:16">
      <c r="J202" s="5"/>
      <c r="L202">
        <f>DigDir!M202</f>
        <v>-0.88829400000000003</v>
      </c>
      <c r="M202">
        <f>DigDir!N202</f>
        <v>19.600000000000001</v>
      </c>
      <c r="O202">
        <f>ABS(L202-DigDir!$C$34)</f>
        <v>4.1349405658951399</v>
      </c>
      <c r="P202">
        <f t="shared" si="3"/>
        <v>19.600000000000001</v>
      </c>
    </row>
    <row r="203" spans="10:16">
      <c r="J203" s="5"/>
      <c r="L203">
        <f>DigDir!M203</f>
        <v>-0.88829400000000003</v>
      </c>
      <c r="M203">
        <f>DigDir!N203</f>
        <v>19.7</v>
      </c>
      <c r="O203">
        <f>ABS(L203-DigDir!$C$34)</f>
        <v>4.1349405658951399</v>
      </c>
      <c r="P203">
        <f t="shared" si="3"/>
        <v>19.7</v>
      </c>
    </row>
    <row r="204" spans="10:16">
      <c r="J204" s="5"/>
      <c r="L204">
        <f>DigDir!M204</f>
        <v>-0.88829400000000003</v>
      </c>
      <c r="M204">
        <f>DigDir!N204</f>
        <v>19.8</v>
      </c>
      <c r="O204">
        <f>ABS(L204-DigDir!$C$34)</f>
        <v>4.1349405658951399</v>
      </c>
      <c r="P204">
        <f t="shared" si="3"/>
        <v>19.8</v>
      </c>
    </row>
    <row r="205" spans="10:16">
      <c r="J205" s="5"/>
      <c r="L205">
        <f>DigDir!M205</f>
        <v>-0.88829400000000003</v>
      </c>
      <c r="M205">
        <f>DigDir!N205</f>
        <v>19.899999999999999</v>
      </c>
      <c r="O205">
        <f>ABS(L205-DigDir!$C$34)</f>
        <v>4.1349405658951399</v>
      </c>
      <c r="P205">
        <f t="shared" si="3"/>
        <v>19.899999999999999</v>
      </c>
    </row>
    <row r="206" spans="10:16">
      <c r="J206" s="5"/>
      <c r="L206">
        <f>DigDir!M206</f>
        <v>-0.88829400000000003</v>
      </c>
      <c r="M206">
        <f>DigDir!N206</f>
        <v>20</v>
      </c>
      <c r="O206">
        <f>ABS(L206-DigDir!$C$34)</f>
        <v>4.1349405658951399</v>
      </c>
      <c r="P206">
        <f t="shared" si="3"/>
        <v>20</v>
      </c>
    </row>
    <row r="207" spans="10:16">
      <c r="J207" s="5"/>
      <c r="L207">
        <f>DigDir!M207</f>
        <v>-0.88829400000000003</v>
      </c>
      <c r="M207">
        <f>DigDir!N207</f>
        <v>20.100000000000001</v>
      </c>
      <c r="O207">
        <f>ABS(L207-DigDir!$C$34)</f>
        <v>4.1349405658951399</v>
      </c>
      <c r="P207">
        <f t="shared" si="3"/>
        <v>20.100000000000001</v>
      </c>
    </row>
    <row r="208" spans="10:16">
      <c r="J208" s="5"/>
      <c r="L208">
        <f>DigDir!M208</f>
        <v>-0.88829400000000003</v>
      </c>
      <c r="M208">
        <f>DigDir!N208</f>
        <v>20.2</v>
      </c>
      <c r="O208">
        <f>ABS(L208-DigDir!$C$34)</f>
        <v>4.1349405658951399</v>
      </c>
      <c r="P208">
        <f t="shared" si="3"/>
        <v>20.2</v>
      </c>
    </row>
    <row r="209" spans="10:16">
      <c r="J209" s="5"/>
      <c r="L209">
        <f>DigDir!M209</f>
        <v>-0.88829400000000003</v>
      </c>
      <c r="M209">
        <f>DigDir!N209</f>
        <v>20.3</v>
      </c>
      <c r="O209">
        <f>ABS(L209-DigDir!$C$34)</f>
        <v>4.1349405658951399</v>
      </c>
      <c r="P209">
        <f t="shared" si="3"/>
        <v>20.3</v>
      </c>
    </row>
    <row r="210" spans="10:16">
      <c r="J210" s="5"/>
      <c r="L210">
        <f>DigDir!M210</f>
        <v>-0.88829400000000003</v>
      </c>
      <c r="M210">
        <f>DigDir!N210</f>
        <v>20.399999999999999</v>
      </c>
      <c r="O210">
        <f>ABS(L210-DigDir!$C$34)</f>
        <v>4.1349405658951399</v>
      </c>
      <c r="P210">
        <f t="shared" si="3"/>
        <v>20.399999999999999</v>
      </c>
    </row>
    <row r="211" spans="10:16">
      <c r="J211" s="5"/>
      <c r="L211">
        <f>DigDir!M211</f>
        <v>-0.88829400000000003</v>
      </c>
      <c r="M211">
        <f>DigDir!N211</f>
        <v>20.5</v>
      </c>
      <c r="O211">
        <f>ABS(L211-DigDir!$C$34)</f>
        <v>4.1349405658951399</v>
      </c>
      <c r="P211">
        <f t="shared" si="3"/>
        <v>20.5</v>
      </c>
    </row>
    <row r="212" spans="10:16">
      <c r="J212" s="5"/>
      <c r="L212">
        <f>DigDir!M212</f>
        <v>-0.88829400000000003</v>
      </c>
      <c r="M212">
        <f>DigDir!N212</f>
        <v>20.6</v>
      </c>
      <c r="O212">
        <f>ABS(L212-DigDir!$C$34)</f>
        <v>4.1349405658951399</v>
      </c>
      <c r="P212">
        <f t="shared" si="3"/>
        <v>20.6</v>
      </c>
    </row>
    <row r="213" spans="10:16">
      <c r="J213" s="5"/>
      <c r="L213">
        <f>DigDir!M213</f>
        <v>-0.88829400000000003</v>
      </c>
      <c r="M213">
        <f>DigDir!N213</f>
        <v>20.7</v>
      </c>
      <c r="O213">
        <f>ABS(L213-DigDir!$C$34)</f>
        <v>4.1349405658951399</v>
      </c>
      <c r="P213">
        <f t="shared" si="3"/>
        <v>20.7</v>
      </c>
    </row>
    <row r="214" spans="10:16">
      <c r="J214" s="5"/>
      <c r="L214">
        <f>DigDir!M214</f>
        <v>-0.88829400000000003</v>
      </c>
      <c r="M214">
        <f>DigDir!N214</f>
        <v>20.8</v>
      </c>
      <c r="O214">
        <f>ABS(L214-DigDir!$C$34)</f>
        <v>4.1349405658951399</v>
      </c>
      <c r="P214">
        <f t="shared" si="3"/>
        <v>20.8</v>
      </c>
    </row>
    <row r="215" spans="10:16">
      <c r="J215" s="5"/>
      <c r="L215">
        <f>DigDir!M215</f>
        <v>-0.88829400000000003</v>
      </c>
      <c r="M215">
        <f>DigDir!N215</f>
        <v>20.9</v>
      </c>
      <c r="O215">
        <f>ABS(L215-DigDir!$C$34)</f>
        <v>4.1349405658951399</v>
      </c>
      <c r="P215">
        <f t="shared" si="3"/>
        <v>20.9</v>
      </c>
    </row>
    <row r="216" spans="10:16">
      <c r="J216" s="5"/>
      <c r="L216">
        <f>DigDir!M216</f>
        <v>-0.88829400000000003</v>
      </c>
      <c r="M216">
        <f>DigDir!N216</f>
        <v>21</v>
      </c>
      <c r="O216">
        <f>ABS(L216-DigDir!$C$34)</f>
        <v>4.1349405658951399</v>
      </c>
      <c r="P216">
        <f t="shared" si="3"/>
        <v>21</v>
      </c>
    </row>
    <row r="217" spans="10:16">
      <c r="J217" s="5"/>
      <c r="L217">
        <f>DigDir!M217</f>
        <v>-0.88829400000000003</v>
      </c>
      <c r="M217">
        <f>DigDir!N217</f>
        <v>21.1</v>
      </c>
      <c r="O217">
        <f>ABS(L217-DigDir!$C$34)</f>
        <v>4.1349405658951399</v>
      </c>
      <c r="P217">
        <f t="shared" si="3"/>
        <v>21.1</v>
      </c>
    </row>
    <row r="218" spans="10:16">
      <c r="J218" s="5"/>
      <c r="L218">
        <f>DigDir!M218</f>
        <v>-0.88829400000000003</v>
      </c>
      <c r="M218">
        <f>DigDir!N218</f>
        <v>21.2</v>
      </c>
      <c r="O218">
        <f>ABS(L218-DigDir!$C$34)</f>
        <v>4.1349405658951399</v>
      </c>
      <c r="P218">
        <f t="shared" si="3"/>
        <v>21.2</v>
      </c>
    </row>
    <row r="219" spans="10:16">
      <c r="J219" s="5"/>
      <c r="L219">
        <f>DigDir!M219</f>
        <v>-0.88829400000000003</v>
      </c>
      <c r="M219">
        <f>DigDir!N219</f>
        <v>21.3</v>
      </c>
      <c r="O219">
        <f>ABS(L219-DigDir!$C$34)</f>
        <v>4.1349405658951399</v>
      </c>
      <c r="P219">
        <f t="shared" si="3"/>
        <v>21.3</v>
      </c>
    </row>
    <row r="220" spans="10:16">
      <c r="J220" s="5"/>
      <c r="L220">
        <f>DigDir!M220</f>
        <v>-0.88829400000000003</v>
      </c>
      <c r="M220">
        <f>DigDir!N220</f>
        <v>21.4</v>
      </c>
      <c r="O220">
        <f>ABS(L220-DigDir!$C$34)</f>
        <v>4.1349405658951399</v>
      </c>
      <c r="P220">
        <f t="shared" si="3"/>
        <v>21.4</v>
      </c>
    </row>
    <row r="221" spans="10:16">
      <c r="J221" s="5"/>
      <c r="L221">
        <f>DigDir!M221</f>
        <v>-0.88829400000000003</v>
      </c>
      <c r="M221">
        <f>DigDir!N221</f>
        <v>21.5</v>
      </c>
      <c r="O221">
        <f>ABS(L221-DigDir!$C$34)</f>
        <v>4.1349405658951399</v>
      </c>
      <c r="P221">
        <f t="shared" si="3"/>
        <v>21.5</v>
      </c>
    </row>
    <row r="222" spans="10:16">
      <c r="J222" s="5"/>
      <c r="L222">
        <f>DigDir!M222</f>
        <v>-0.88829400000000003</v>
      </c>
      <c r="M222">
        <f>DigDir!N222</f>
        <v>21.6</v>
      </c>
      <c r="O222">
        <f>ABS(L222-DigDir!$C$34)</f>
        <v>4.1349405658951399</v>
      </c>
      <c r="P222">
        <f t="shared" si="3"/>
        <v>21.6</v>
      </c>
    </row>
    <row r="223" spans="10:16">
      <c r="J223" s="5"/>
      <c r="L223">
        <f>DigDir!M223</f>
        <v>-0.88829400000000003</v>
      </c>
      <c r="M223">
        <f>DigDir!N223</f>
        <v>21.7</v>
      </c>
      <c r="O223">
        <f>ABS(L223-DigDir!$C$34)</f>
        <v>4.1349405658951399</v>
      </c>
      <c r="P223">
        <f t="shared" si="3"/>
        <v>21.7</v>
      </c>
    </row>
    <row r="224" spans="10:16">
      <c r="J224" s="5"/>
      <c r="L224">
        <f>DigDir!M224</f>
        <v>-0.88829400000000003</v>
      </c>
      <c r="M224">
        <f>DigDir!N224</f>
        <v>21.8</v>
      </c>
      <c r="O224">
        <f>ABS(L224-DigDir!$C$34)</f>
        <v>4.1349405658951399</v>
      </c>
      <c r="P224">
        <f t="shared" si="3"/>
        <v>21.8</v>
      </c>
    </row>
    <row r="225" spans="10:16">
      <c r="J225" s="5"/>
      <c r="L225">
        <f>DigDir!M225</f>
        <v>-0.88829400000000003</v>
      </c>
      <c r="M225">
        <f>DigDir!N225</f>
        <v>21.9</v>
      </c>
      <c r="O225">
        <f>ABS(L225-DigDir!$C$34)</f>
        <v>4.1349405658951399</v>
      </c>
      <c r="P225">
        <f t="shared" si="3"/>
        <v>21.9</v>
      </c>
    </row>
    <row r="226" spans="10:16">
      <c r="J226" s="5"/>
      <c r="L226">
        <f>DigDir!M226</f>
        <v>-0.88829400000000003</v>
      </c>
      <c r="M226">
        <f>DigDir!N226</f>
        <v>22</v>
      </c>
      <c r="O226">
        <f>ABS(L226-DigDir!$C$34)</f>
        <v>4.1349405658951399</v>
      </c>
      <c r="P226">
        <f t="shared" si="3"/>
        <v>22</v>
      </c>
    </row>
    <row r="227" spans="10:16">
      <c r="J227" s="5"/>
      <c r="L227">
        <f>DigDir!M227</f>
        <v>-0.88829400000000003</v>
      </c>
      <c r="M227">
        <f>DigDir!N227</f>
        <v>22.1</v>
      </c>
      <c r="O227">
        <f>ABS(L227-DigDir!$C$34)</f>
        <v>4.1349405658951399</v>
      </c>
      <c r="P227">
        <f t="shared" si="3"/>
        <v>22.1</v>
      </c>
    </row>
    <row r="228" spans="10:16">
      <c r="J228" s="5"/>
      <c r="L228">
        <f>DigDir!M228</f>
        <v>-0.88829400000000003</v>
      </c>
      <c r="M228">
        <f>DigDir!N228</f>
        <v>22.2</v>
      </c>
      <c r="O228">
        <f>ABS(L228-DigDir!$C$34)</f>
        <v>4.1349405658951399</v>
      </c>
      <c r="P228">
        <f t="shared" si="3"/>
        <v>22.2</v>
      </c>
    </row>
    <row r="229" spans="10:16">
      <c r="J229" s="5"/>
      <c r="L229">
        <f>DigDir!M229</f>
        <v>-0.88829400000000003</v>
      </c>
      <c r="M229">
        <f>DigDir!N229</f>
        <v>22.3</v>
      </c>
      <c r="O229">
        <f>ABS(L229-DigDir!$C$34)</f>
        <v>4.1349405658951399</v>
      </c>
      <c r="P229">
        <f t="shared" si="3"/>
        <v>22.3</v>
      </c>
    </row>
    <row r="230" spans="10:16">
      <c r="J230" s="5"/>
      <c r="L230">
        <f>DigDir!M230</f>
        <v>-0.88829400000000003</v>
      </c>
      <c r="M230">
        <f>DigDir!N230</f>
        <v>22.4</v>
      </c>
      <c r="O230">
        <f>ABS(L230-DigDir!$C$34)</f>
        <v>4.1349405658951399</v>
      </c>
      <c r="P230">
        <f t="shared" si="3"/>
        <v>22.4</v>
      </c>
    </row>
    <row r="231" spans="10:16">
      <c r="J231" s="5"/>
      <c r="L231">
        <f>DigDir!M231</f>
        <v>-0.88829400000000003</v>
      </c>
      <c r="M231">
        <f>DigDir!N231</f>
        <v>22.5</v>
      </c>
      <c r="O231">
        <f>ABS(L231-DigDir!$C$34)</f>
        <v>4.1349405658951399</v>
      </c>
      <c r="P231">
        <f t="shared" si="3"/>
        <v>22.5</v>
      </c>
    </row>
    <row r="232" spans="10:16">
      <c r="J232" s="5"/>
      <c r="L232">
        <f>DigDir!M232</f>
        <v>-0.88829400000000003</v>
      </c>
      <c r="M232">
        <f>DigDir!N232</f>
        <v>22.6</v>
      </c>
      <c r="O232">
        <f>ABS(L232-DigDir!$C$34)</f>
        <v>4.1349405658951399</v>
      </c>
      <c r="P232">
        <f t="shared" si="3"/>
        <v>22.6</v>
      </c>
    </row>
    <row r="233" spans="10:16">
      <c r="J233" s="5"/>
      <c r="L233">
        <f>DigDir!M233</f>
        <v>-0.88829400000000003</v>
      </c>
      <c r="M233">
        <f>DigDir!N233</f>
        <v>22.7</v>
      </c>
      <c r="O233">
        <f>ABS(L233-DigDir!$C$34)</f>
        <v>4.1349405658951399</v>
      </c>
      <c r="P233">
        <f t="shared" si="3"/>
        <v>22.7</v>
      </c>
    </row>
    <row r="234" spans="10:16">
      <c r="J234" s="5"/>
      <c r="L234">
        <f>DigDir!M234</f>
        <v>-0.88829400000000003</v>
      </c>
      <c r="M234">
        <f>DigDir!N234</f>
        <v>22.8</v>
      </c>
      <c r="O234">
        <f>ABS(L234-DigDir!$C$34)</f>
        <v>4.1349405658951399</v>
      </c>
      <c r="P234">
        <f t="shared" si="3"/>
        <v>22.8</v>
      </c>
    </row>
    <row r="235" spans="10:16">
      <c r="J235" s="5"/>
      <c r="L235">
        <f>DigDir!M235</f>
        <v>-0.88829400000000003</v>
      </c>
      <c r="M235">
        <f>DigDir!N235</f>
        <v>22.9</v>
      </c>
      <c r="O235">
        <f>ABS(L235-DigDir!$C$34)</f>
        <v>4.1349405658951399</v>
      </c>
      <c r="P235">
        <f t="shared" si="3"/>
        <v>22.9</v>
      </c>
    </row>
    <row r="236" spans="10:16">
      <c r="J236" s="5"/>
      <c r="L236">
        <f>DigDir!M236</f>
        <v>-0.88829400000000003</v>
      </c>
      <c r="M236">
        <f>DigDir!N236</f>
        <v>23</v>
      </c>
      <c r="O236">
        <f>ABS(L236-DigDir!$C$34)</f>
        <v>4.1349405658951399</v>
      </c>
      <c r="P236">
        <f t="shared" si="3"/>
        <v>23</v>
      </c>
    </row>
    <row r="237" spans="10:16">
      <c r="J237" s="5"/>
      <c r="L237">
        <f>DigDir!M237</f>
        <v>-0.88829400000000003</v>
      </c>
      <c r="M237">
        <f>DigDir!N237</f>
        <v>23.1</v>
      </c>
      <c r="O237">
        <f>ABS(L237-DigDir!$C$34)</f>
        <v>4.1349405658951399</v>
      </c>
      <c r="P237">
        <f t="shared" si="3"/>
        <v>23.1</v>
      </c>
    </row>
    <row r="238" spans="10:16">
      <c r="J238" s="5"/>
      <c r="L238">
        <f>DigDir!M238</f>
        <v>-0.88829400000000003</v>
      </c>
      <c r="M238">
        <f>DigDir!N238</f>
        <v>23.2</v>
      </c>
      <c r="O238">
        <f>ABS(L238-DigDir!$C$34)</f>
        <v>4.1349405658951399</v>
      </c>
      <c r="P238">
        <f t="shared" si="3"/>
        <v>23.2</v>
      </c>
    </row>
    <row r="239" spans="10:16">
      <c r="J239" s="5"/>
      <c r="L239">
        <f>DigDir!M239</f>
        <v>-0.88829400000000003</v>
      </c>
      <c r="M239">
        <f>DigDir!N239</f>
        <v>23.3</v>
      </c>
      <c r="O239">
        <f>ABS(L239-DigDir!$C$34)</f>
        <v>4.1349405658951399</v>
      </c>
      <c r="P239">
        <f t="shared" si="3"/>
        <v>23.3</v>
      </c>
    </row>
    <row r="240" spans="10:16">
      <c r="J240" s="5"/>
      <c r="L240">
        <f>DigDir!M240</f>
        <v>-0.88829400000000003</v>
      </c>
      <c r="M240">
        <f>DigDir!N240</f>
        <v>23.4</v>
      </c>
      <c r="O240">
        <f>ABS(L240-DigDir!$C$34)</f>
        <v>4.1349405658951399</v>
      </c>
      <c r="P240">
        <f t="shared" si="3"/>
        <v>23.4</v>
      </c>
    </row>
    <row r="241" spans="10:16">
      <c r="J241" s="5"/>
      <c r="L241">
        <f>DigDir!M241</f>
        <v>-0.88829400000000003</v>
      </c>
      <c r="M241">
        <f>DigDir!N241</f>
        <v>23.5</v>
      </c>
      <c r="O241">
        <f>ABS(L241-DigDir!$C$34)</f>
        <v>4.1349405658951399</v>
      </c>
      <c r="P241">
        <f t="shared" si="3"/>
        <v>23.5</v>
      </c>
    </row>
    <row r="242" spans="10:16">
      <c r="J242" s="5"/>
      <c r="L242">
        <f>DigDir!M242</f>
        <v>-0.88829400000000003</v>
      </c>
      <c r="M242">
        <f>DigDir!N242</f>
        <v>23.6</v>
      </c>
      <c r="O242">
        <f>ABS(L242-DigDir!$C$34)</f>
        <v>4.1349405658951399</v>
      </c>
      <c r="P242">
        <f t="shared" si="3"/>
        <v>23.6</v>
      </c>
    </row>
    <row r="243" spans="10:16">
      <c r="J243" s="5"/>
      <c r="L243">
        <f>DigDir!M243</f>
        <v>-0.88829400000000003</v>
      </c>
      <c r="M243">
        <f>DigDir!N243</f>
        <v>23.7</v>
      </c>
      <c r="O243">
        <f>ABS(L243-DigDir!$C$34)</f>
        <v>4.1349405658951399</v>
      </c>
      <c r="P243">
        <f t="shared" si="3"/>
        <v>23.7</v>
      </c>
    </row>
    <row r="244" spans="10:16">
      <c r="J244" s="5"/>
      <c r="L244">
        <f>DigDir!M244</f>
        <v>-0.88829400000000003</v>
      </c>
      <c r="M244">
        <f>DigDir!N244</f>
        <v>23.8</v>
      </c>
      <c r="O244">
        <f>ABS(L244-DigDir!$C$34)</f>
        <v>4.1349405658951399</v>
      </c>
      <c r="P244">
        <f t="shared" si="3"/>
        <v>23.8</v>
      </c>
    </row>
    <row r="245" spans="10:16">
      <c r="J245" s="5"/>
      <c r="L245">
        <f>DigDir!M245</f>
        <v>-0.88829400000000003</v>
      </c>
      <c r="M245">
        <f>DigDir!N245</f>
        <v>23.9</v>
      </c>
      <c r="O245">
        <f>ABS(L245-DigDir!$C$34)</f>
        <v>4.1349405658951399</v>
      </c>
      <c r="P245">
        <f t="shared" si="3"/>
        <v>23.9</v>
      </c>
    </row>
    <row r="246" spans="10:16">
      <c r="J246" s="5"/>
      <c r="L246">
        <f>DigDir!M246</f>
        <v>-0.87492360000000002</v>
      </c>
      <c r="M246">
        <f>DigDir!N246</f>
        <v>24</v>
      </c>
      <c r="O246">
        <f>ABS(L246-DigDir!$C$34)</f>
        <v>4.1483109658951403</v>
      </c>
      <c r="P246">
        <f t="shared" si="3"/>
        <v>24</v>
      </c>
    </row>
    <row r="247" spans="10:16">
      <c r="J247" s="5"/>
      <c r="L247">
        <f>DigDir!M247</f>
        <v>-0.85536939000000001</v>
      </c>
      <c r="M247">
        <f>DigDir!N247</f>
        <v>24.1</v>
      </c>
      <c r="O247">
        <f>ABS(L247-DigDir!$C$34)</f>
        <v>4.1678651758951402</v>
      </c>
      <c r="P247">
        <f t="shared" si="3"/>
        <v>24.1</v>
      </c>
    </row>
    <row r="248" spans="10:16">
      <c r="J248" s="5"/>
      <c r="L248">
        <f>DigDir!M248</f>
        <v>-0.83581517999999999</v>
      </c>
      <c r="M248">
        <f>DigDir!N248</f>
        <v>24.2</v>
      </c>
      <c r="O248">
        <f>ABS(L248-DigDir!$C$34)</f>
        <v>4.1874193858951401</v>
      </c>
      <c r="P248">
        <f t="shared" si="3"/>
        <v>24.2</v>
      </c>
    </row>
    <row r="249" spans="10:16">
      <c r="J249" s="5"/>
      <c r="L249">
        <f>DigDir!M249</f>
        <v>-0.81626067700000005</v>
      </c>
      <c r="M249">
        <f>DigDir!N249</f>
        <v>24.3</v>
      </c>
      <c r="O249">
        <f>ABS(L249-DigDir!$C$34)</f>
        <v>4.2069738888951402</v>
      </c>
      <c r="P249">
        <f t="shared" si="3"/>
        <v>24.3</v>
      </c>
    </row>
    <row r="250" spans="10:16">
      <c r="J250" s="5"/>
      <c r="L250">
        <f>DigDir!M250</f>
        <v>-0.79670611600000096</v>
      </c>
      <c r="M250">
        <f>DigDir!N250</f>
        <v>24.4</v>
      </c>
      <c r="O250">
        <f>ABS(L250-DigDir!$C$34)</f>
        <v>4.226528449895139</v>
      </c>
      <c r="P250">
        <f t="shared" si="3"/>
        <v>24.4</v>
      </c>
    </row>
    <row r="251" spans="10:16">
      <c r="J251" s="5"/>
      <c r="L251">
        <f>DigDir!M251</f>
        <v>-0.77715155499999999</v>
      </c>
      <c r="M251">
        <f>DigDir!N251</f>
        <v>24.5</v>
      </c>
      <c r="O251">
        <f>ABS(L251-DigDir!$C$34)</f>
        <v>4.2460830108951404</v>
      </c>
      <c r="P251">
        <f t="shared" si="3"/>
        <v>24.5</v>
      </c>
    </row>
    <row r="252" spans="10:16">
      <c r="J252" s="5"/>
      <c r="L252">
        <f>DigDir!M252</f>
        <v>-0.77687300000000004</v>
      </c>
      <c r="M252">
        <f>DigDir!N252</f>
        <v>24.6</v>
      </c>
      <c r="O252">
        <f>ABS(L252-DigDir!$C$34)</f>
        <v>4.2463615658951399</v>
      </c>
      <c r="P252">
        <f t="shared" si="3"/>
        <v>24.6</v>
      </c>
    </row>
    <row r="253" spans="10:16">
      <c r="J253" s="5"/>
      <c r="L253">
        <f>DigDir!M253</f>
        <v>-0.77687300000000004</v>
      </c>
      <c r="M253">
        <f>DigDir!N253</f>
        <v>24.7</v>
      </c>
      <c r="O253">
        <f>ABS(L253-DigDir!$C$34)</f>
        <v>4.2463615658951399</v>
      </c>
      <c r="P253">
        <f t="shared" si="3"/>
        <v>24.7</v>
      </c>
    </row>
    <row r="254" spans="10:16">
      <c r="J254" s="5"/>
      <c r="L254">
        <f>DigDir!M254</f>
        <v>-0.77419892000000001</v>
      </c>
      <c r="M254">
        <f>DigDir!N254</f>
        <v>24.8</v>
      </c>
      <c r="O254">
        <f>ABS(L254-DigDir!$C$34)</f>
        <v>4.2490356458951402</v>
      </c>
      <c r="P254">
        <f t="shared" si="3"/>
        <v>24.8</v>
      </c>
    </row>
    <row r="255" spans="10:16">
      <c r="J255" s="5"/>
      <c r="L255">
        <f>DigDir!M255</f>
        <v>-0.75464471</v>
      </c>
      <c r="M255">
        <f>DigDir!N255</f>
        <v>24.9</v>
      </c>
      <c r="O255">
        <f>ABS(L255-DigDir!$C$34)</f>
        <v>4.2685898558951401</v>
      </c>
      <c r="P255">
        <f t="shared" si="3"/>
        <v>24.9</v>
      </c>
    </row>
    <row r="256" spans="10:16">
      <c r="J256" s="5"/>
      <c r="L256">
        <f>DigDir!M256</f>
        <v>-0.73509049999999998</v>
      </c>
      <c r="M256">
        <f>DigDir!N256</f>
        <v>25</v>
      </c>
      <c r="O256">
        <f>ABS(L256-DigDir!$C$34)</f>
        <v>4.28814406589514</v>
      </c>
      <c r="P256">
        <f t="shared" si="3"/>
        <v>25</v>
      </c>
    </row>
    <row r="257" spans="10:16">
      <c r="J257" s="5"/>
      <c r="L257">
        <f>DigDir!M257</f>
        <v>-0.70428266799999995</v>
      </c>
      <c r="M257">
        <f>DigDir!N257</f>
        <v>25.1</v>
      </c>
      <c r="O257">
        <f>ABS(L257-DigDir!$C$34)</f>
        <v>4.3189518978951398</v>
      </c>
      <c r="P257">
        <f t="shared" si="3"/>
        <v>25.1</v>
      </c>
    </row>
    <row r="258" spans="10:16">
      <c r="J258" s="5"/>
      <c r="L258">
        <f>DigDir!M258</f>
        <v>-0.64561933599999999</v>
      </c>
      <c r="M258">
        <f>DigDir!N258</f>
        <v>25.2</v>
      </c>
      <c r="O258">
        <f>ABS(L258-DigDir!$C$34)</f>
        <v>4.3776152298951398</v>
      </c>
      <c r="P258">
        <f t="shared" si="3"/>
        <v>25.2</v>
      </c>
    </row>
    <row r="259" spans="10:16">
      <c r="J259" s="5"/>
      <c r="L259">
        <f>DigDir!M259</f>
        <v>-0.58695600400000003</v>
      </c>
      <c r="M259">
        <f>DigDir!N259</f>
        <v>25.3</v>
      </c>
      <c r="O259">
        <f>ABS(L259-DigDir!$C$34)</f>
        <v>4.4362785618951399</v>
      </c>
      <c r="P259">
        <f t="shared" si="3"/>
        <v>25.3</v>
      </c>
    </row>
    <row r="260" spans="10:16">
      <c r="J260" s="5"/>
      <c r="L260">
        <f>DigDir!M260</f>
        <v>-0.55403100000000005</v>
      </c>
      <c r="M260">
        <f>DigDir!N260</f>
        <v>25.4</v>
      </c>
      <c r="O260">
        <f>ABS(L260-DigDir!$C$34)</f>
        <v>4.4692035658951399</v>
      </c>
      <c r="P260">
        <f t="shared" si="3"/>
        <v>25.4</v>
      </c>
    </row>
    <row r="261" spans="10:16">
      <c r="J261" s="5"/>
      <c r="L261">
        <f>DigDir!M261</f>
        <v>-0.55403100000000005</v>
      </c>
      <c r="M261">
        <f>DigDir!N261</f>
        <v>25.5</v>
      </c>
      <c r="O261">
        <f>ABS(L261-DigDir!$C$34)</f>
        <v>4.4692035658951399</v>
      </c>
      <c r="P261">
        <f t="shared" si="3"/>
        <v>25.5</v>
      </c>
    </row>
    <row r="262" spans="10:16">
      <c r="J262" s="5"/>
      <c r="L262">
        <f>DigDir!M262</f>
        <v>-0.55403100000000005</v>
      </c>
      <c r="M262">
        <f>DigDir!N262</f>
        <v>25.6</v>
      </c>
      <c r="O262">
        <f>ABS(L262-DigDir!$C$34)</f>
        <v>4.4692035658951399</v>
      </c>
      <c r="P262">
        <f t="shared" si="3"/>
        <v>25.6</v>
      </c>
    </row>
    <row r="263" spans="10:16">
      <c r="J263" s="5"/>
      <c r="L263">
        <f>DigDir!M263</f>
        <v>-0.51661637099999902</v>
      </c>
      <c r="M263">
        <f>DigDir!N263</f>
        <v>25.7</v>
      </c>
      <c r="O263">
        <f>ABS(L263-DigDir!$C$34)</f>
        <v>4.5066181948951414</v>
      </c>
      <c r="P263">
        <f t="shared" ref="P263:P326" si="4">M263</f>
        <v>25.7</v>
      </c>
    </row>
    <row r="264" spans="10:16">
      <c r="J264" s="5"/>
      <c r="L264">
        <f>DigDir!M264</f>
        <v>-0.45317417399999899</v>
      </c>
      <c r="M264">
        <f>DigDir!N264</f>
        <v>25.8</v>
      </c>
      <c r="O264">
        <f>ABS(L264-DigDir!$C$34)</f>
        <v>4.570060391895141</v>
      </c>
      <c r="P264">
        <f t="shared" si="4"/>
        <v>25.8</v>
      </c>
    </row>
    <row r="265" spans="10:16">
      <c r="J265" s="5"/>
      <c r="L265">
        <f>DigDir!M265</f>
        <v>-0.38973197699999901</v>
      </c>
      <c r="M265">
        <f>DigDir!N265</f>
        <v>25.9</v>
      </c>
      <c r="O265">
        <f>ABS(L265-DigDir!$C$34)</f>
        <v>4.6335025888951407</v>
      </c>
      <c r="P265">
        <f t="shared" si="4"/>
        <v>25.9</v>
      </c>
    </row>
    <row r="266" spans="10:16">
      <c r="J266" s="5"/>
      <c r="L266">
        <f>DigDir!M266</f>
        <v>-0.373284</v>
      </c>
      <c r="M266">
        <f>DigDir!N266</f>
        <v>26</v>
      </c>
      <c r="O266">
        <f>ABS(L266-DigDir!$C$34)</f>
        <v>4.6499505658951401</v>
      </c>
      <c r="P266">
        <f t="shared" si="4"/>
        <v>26</v>
      </c>
    </row>
    <row r="267" spans="10:16">
      <c r="J267" s="5"/>
      <c r="L267">
        <f>DigDir!M267</f>
        <v>-0.373284</v>
      </c>
      <c r="M267">
        <f>DigDir!N267</f>
        <v>26.1</v>
      </c>
      <c r="O267">
        <f>ABS(L267-DigDir!$C$34)</f>
        <v>4.6499505658951401</v>
      </c>
      <c r="P267">
        <f t="shared" si="4"/>
        <v>26.1</v>
      </c>
    </row>
    <row r="268" spans="10:16">
      <c r="J268" s="5"/>
      <c r="L268">
        <f>DigDir!M268</f>
        <v>-0.373284</v>
      </c>
      <c r="M268">
        <f>DigDir!N268</f>
        <v>26.2</v>
      </c>
      <c r="O268">
        <f>ABS(L268-DigDir!$C$34)</f>
        <v>4.6499505658951401</v>
      </c>
      <c r="P268">
        <f t="shared" si="4"/>
        <v>26.2</v>
      </c>
    </row>
    <row r="269" spans="10:16">
      <c r="J269" s="5"/>
      <c r="L269">
        <f>DigDir!M269</f>
        <v>-0.33840954000000001</v>
      </c>
      <c r="M269">
        <f>DigDir!N269</f>
        <v>26.3</v>
      </c>
      <c r="O269">
        <f>ABS(L269-DigDir!$C$34)</f>
        <v>4.6848250258951403</v>
      </c>
      <c r="P269">
        <f t="shared" si="4"/>
        <v>26.3</v>
      </c>
    </row>
    <row r="270" spans="10:16">
      <c r="J270" s="5"/>
      <c r="L270">
        <f>DigDir!M270</f>
        <v>-0.29930111999999998</v>
      </c>
      <c r="M270">
        <f>DigDir!N270</f>
        <v>26.4</v>
      </c>
      <c r="O270">
        <f>ABS(L270-DigDir!$C$34)</f>
        <v>4.7239334458951401</v>
      </c>
      <c r="P270">
        <f t="shared" si="4"/>
        <v>26.4</v>
      </c>
    </row>
    <row r="271" spans="10:16">
      <c r="J271" s="5"/>
      <c r="L271">
        <f>DigDir!M271</f>
        <v>-0.26186399999999999</v>
      </c>
      <c r="M271">
        <f>DigDir!N271</f>
        <v>26.5</v>
      </c>
      <c r="O271">
        <f>ABS(L271-DigDir!$C$34)</f>
        <v>4.76137056589514</v>
      </c>
      <c r="P271">
        <f t="shared" si="4"/>
        <v>26.5</v>
      </c>
    </row>
    <row r="272" spans="10:16">
      <c r="J272" s="5"/>
      <c r="L272">
        <f>DigDir!M272</f>
        <v>-0.26186399999999999</v>
      </c>
      <c r="M272">
        <f>DigDir!N272</f>
        <v>26.6</v>
      </c>
      <c r="O272">
        <f>ABS(L272-DigDir!$C$34)</f>
        <v>4.76137056589514</v>
      </c>
      <c r="P272">
        <f t="shared" si="4"/>
        <v>26.6</v>
      </c>
    </row>
    <row r="273" spans="10:16">
      <c r="J273" s="5"/>
      <c r="L273">
        <f>DigDir!M273</f>
        <v>-0.26186399999999999</v>
      </c>
      <c r="M273">
        <f>DigDir!N273</f>
        <v>26.7</v>
      </c>
      <c r="O273">
        <f>ABS(L273-DigDir!$C$34)</f>
        <v>4.76137056589514</v>
      </c>
      <c r="P273">
        <f t="shared" si="4"/>
        <v>26.7</v>
      </c>
    </row>
    <row r="274" spans="10:16">
      <c r="J274" s="5"/>
      <c r="L274">
        <f>DigDir!M274</f>
        <v>-0.26186399999999999</v>
      </c>
      <c r="M274">
        <f>DigDir!N274</f>
        <v>26.8</v>
      </c>
      <c r="O274">
        <f>ABS(L274-DigDir!$C$34)</f>
        <v>4.76137056589514</v>
      </c>
      <c r="P274">
        <f t="shared" si="4"/>
        <v>26.8</v>
      </c>
    </row>
    <row r="275" spans="10:16">
      <c r="J275" s="5"/>
      <c r="L275">
        <f>DigDir!M275</f>
        <v>-0.26186399999999999</v>
      </c>
      <c r="M275">
        <f>DigDir!N275</f>
        <v>26.9</v>
      </c>
      <c r="O275">
        <f>ABS(L275-DigDir!$C$34)</f>
        <v>4.76137056589514</v>
      </c>
      <c r="P275">
        <f t="shared" si="4"/>
        <v>26.9</v>
      </c>
    </row>
    <row r="276" spans="10:16">
      <c r="J276" s="5"/>
      <c r="L276">
        <f>DigDir!M276</f>
        <v>-0.26186399999999999</v>
      </c>
      <c r="M276">
        <f>DigDir!N276</f>
        <v>27</v>
      </c>
      <c r="O276">
        <f>ABS(L276-DigDir!$C$34)</f>
        <v>4.76137056589514</v>
      </c>
      <c r="P276">
        <f t="shared" si="4"/>
        <v>27</v>
      </c>
    </row>
    <row r="277" spans="10:16">
      <c r="J277" s="5"/>
      <c r="L277">
        <f>DigDir!M277</f>
        <v>-0.26186399999999999</v>
      </c>
      <c r="M277">
        <f>DigDir!N277</f>
        <v>27.1</v>
      </c>
      <c r="O277">
        <f>ABS(L277-DigDir!$C$34)</f>
        <v>4.76137056589514</v>
      </c>
      <c r="P277">
        <f t="shared" si="4"/>
        <v>27.1</v>
      </c>
    </row>
    <row r="278" spans="10:16">
      <c r="J278" s="5"/>
      <c r="L278">
        <f>DigDir!M278</f>
        <v>-0.26186399999999999</v>
      </c>
      <c r="M278">
        <f>DigDir!N278</f>
        <v>27.2</v>
      </c>
      <c r="O278">
        <f>ABS(L278-DigDir!$C$34)</f>
        <v>4.76137056589514</v>
      </c>
      <c r="P278">
        <f t="shared" si="4"/>
        <v>27.2</v>
      </c>
    </row>
    <row r="279" spans="10:16">
      <c r="J279" s="5"/>
      <c r="L279">
        <f>DigDir!M279</f>
        <v>-0.26186399999999999</v>
      </c>
      <c r="M279">
        <f>DigDir!N279</f>
        <v>27.3</v>
      </c>
      <c r="O279">
        <f>ABS(L279-DigDir!$C$34)</f>
        <v>4.76137056589514</v>
      </c>
      <c r="P279">
        <f t="shared" si="4"/>
        <v>27.3</v>
      </c>
    </row>
    <row r="280" spans="10:16">
      <c r="J280" s="5"/>
      <c r="L280">
        <f>DigDir!M280</f>
        <v>-0.26186399999999999</v>
      </c>
      <c r="M280">
        <f>DigDir!N280</f>
        <v>27.4</v>
      </c>
      <c r="O280">
        <f>ABS(L280-DigDir!$C$34)</f>
        <v>4.76137056589514</v>
      </c>
      <c r="P280">
        <f t="shared" si="4"/>
        <v>27.4</v>
      </c>
    </row>
    <row r="281" spans="10:16">
      <c r="J281" s="5"/>
      <c r="L281">
        <f>DigDir!M281</f>
        <v>-0.26186399999999999</v>
      </c>
      <c r="M281">
        <f>DigDir!N281</f>
        <v>27.5</v>
      </c>
      <c r="O281">
        <f>ABS(L281-DigDir!$C$34)</f>
        <v>4.76137056589514</v>
      </c>
      <c r="P281">
        <f t="shared" si="4"/>
        <v>27.5</v>
      </c>
    </row>
    <row r="282" spans="10:16">
      <c r="J282" s="5"/>
      <c r="L282">
        <f>DigDir!M282</f>
        <v>-0.26186399999999999</v>
      </c>
      <c r="M282">
        <f>DigDir!N282</f>
        <v>27.6</v>
      </c>
      <c r="O282">
        <f>ABS(L282-DigDir!$C$34)</f>
        <v>4.76137056589514</v>
      </c>
      <c r="P282">
        <f t="shared" si="4"/>
        <v>27.6</v>
      </c>
    </row>
    <row r="283" spans="10:16">
      <c r="J283" s="5"/>
      <c r="L283">
        <f>DigDir!M283</f>
        <v>-0.26186399999999999</v>
      </c>
      <c r="M283">
        <f>DigDir!N283</f>
        <v>27.7</v>
      </c>
      <c r="O283">
        <f>ABS(L283-DigDir!$C$34)</f>
        <v>4.76137056589514</v>
      </c>
      <c r="P283">
        <f t="shared" si="4"/>
        <v>27.7</v>
      </c>
    </row>
    <row r="284" spans="10:16">
      <c r="J284" s="5"/>
      <c r="L284">
        <f>DigDir!M284</f>
        <v>-0.26186399999999999</v>
      </c>
      <c r="M284">
        <f>DigDir!N284</f>
        <v>27.8</v>
      </c>
      <c r="O284">
        <f>ABS(L284-DigDir!$C$34)</f>
        <v>4.76137056589514</v>
      </c>
      <c r="P284">
        <f t="shared" si="4"/>
        <v>27.8</v>
      </c>
    </row>
    <row r="285" spans="10:16">
      <c r="J285" s="5"/>
      <c r="L285">
        <f>DigDir!M285</f>
        <v>-0.26186399999999999</v>
      </c>
      <c r="M285">
        <f>DigDir!N285</f>
        <v>27.9</v>
      </c>
      <c r="O285">
        <f>ABS(L285-DigDir!$C$34)</f>
        <v>4.76137056589514</v>
      </c>
      <c r="P285">
        <f t="shared" si="4"/>
        <v>27.9</v>
      </c>
    </row>
    <row r="286" spans="10:16">
      <c r="J286" s="5"/>
      <c r="L286">
        <f>DigDir!M286</f>
        <v>-0.26186399999999999</v>
      </c>
      <c r="M286">
        <f>DigDir!N286</f>
        <v>28</v>
      </c>
      <c r="O286">
        <f>ABS(L286-DigDir!$C$34)</f>
        <v>4.76137056589514</v>
      </c>
      <c r="P286">
        <f t="shared" si="4"/>
        <v>28</v>
      </c>
    </row>
    <row r="287" spans="10:16">
      <c r="J287" s="5"/>
      <c r="L287">
        <f>DigDir!M287</f>
        <v>-0.26186399999999999</v>
      </c>
      <c r="M287">
        <f>DigDir!N287</f>
        <v>28.1</v>
      </c>
      <c r="O287">
        <f>ABS(L287-DigDir!$C$34)</f>
        <v>4.76137056589514</v>
      </c>
      <c r="P287">
        <f t="shared" si="4"/>
        <v>28.1</v>
      </c>
    </row>
    <row r="288" spans="10:16">
      <c r="J288" s="5"/>
      <c r="L288">
        <f>DigDir!M288</f>
        <v>-0.26186399999999999</v>
      </c>
      <c r="M288">
        <f>DigDir!N288</f>
        <v>28.2</v>
      </c>
      <c r="O288">
        <f>ABS(L288-DigDir!$C$34)</f>
        <v>4.76137056589514</v>
      </c>
      <c r="P288">
        <f t="shared" si="4"/>
        <v>28.2</v>
      </c>
    </row>
    <row r="289" spans="10:16">
      <c r="J289" s="5"/>
      <c r="L289">
        <f>DigDir!M289</f>
        <v>-0.26186399999999999</v>
      </c>
      <c r="M289">
        <f>DigDir!N289</f>
        <v>28.3</v>
      </c>
      <c r="O289">
        <f>ABS(L289-DigDir!$C$34)</f>
        <v>4.76137056589514</v>
      </c>
      <c r="P289">
        <f t="shared" si="4"/>
        <v>28.3</v>
      </c>
    </row>
    <row r="290" spans="10:16">
      <c r="J290" s="5"/>
      <c r="L290">
        <f>DigDir!M290</f>
        <v>-0.26186399999999999</v>
      </c>
      <c r="M290">
        <f>DigDir!N290</f>
        <v>28.4</v>
      </c>
      <c r="O290">
        <f>ABS(L290-DigDir!$C$34)</f>
        <v>4.76137056589514</v>
      </c>
      <c r="P290">
        <f t="shared" si="4"/>
        <v>28.4</v>
      </c>
    </row>
    <row r="291" spans="10:16">
      <c r="J291" s="5"/>
      <c r="L291">
        <f>DigDir!M291</f>
        <v>-0.26186399999999999</v>
      </c>
      <c r="M291">
        <f>DigDir!N291</f>
        <v>28.5</v>
      </c>
      <c r="O291">
        <f>ABS(L291-DigDir!$C$34)</f>
        <v>4.76137056589514</v>
      </c>
      <c r="P291">
        <f t="shared" si="4"/>
        <v>28.5</v>
      </c>
    </row>
    <row r="292" spans="10:16">
      <c r="J292" s="5"/>
      <c r="L292">
        <f>DigDir!M292</f>
        <v>-0.26186399999999999</v>
      </c>
      <c r="M292">
        <f>DigDir!N292</f>
        <v>28.6</v>
      </c>
      <c r="O292">
        <f>ABS(L292-DigDir!$C$34)</f>
        <v>4.76137056589514</v>
      </c>
      <c r="P292">
        <f t="shared" si="4"/>
        <v>28.6</v>
      </c>
    </row>
    <row r="293" spans="10:16">
      <c r="J293" s="5"/>
      <c r="L293">
        <f>DigDir!M293</f>
        <v>-0.26186399999999999</v>
      </c>
      <c r="M293">
        <f>DigDir!N293</f>
        <v>28.7</v>
      </c>
      <c r="O293">
        <f>ABS(L293-DigDir!$C$34)</f>
        <v>4.76137056589514</v>
      </c>
      <c r="P293">
        <f t="shared" si="4"/>
        <v>28.7</v>
      </c>
    </row>
    <row r="294" spans="10:16">
      <c r="J294" s="5"/>
      <c r="L294">
        <f>DigDir!M294</f>
        <v>-0.26186399999999999</v>
      </c>
      <c r="M294">
        <f>DigDir!N294</f>
        <v>28.8</v>
      </c>
      <c r="O294">
        <f>ABS(L294-DigDir!$C$34)</f>
        <v>4.76137056589514</v>
      </c>
      <c r="P294">
        <f t="shared" si="4"/>
        <v>28.8</v>
      </c>
    </row>
    <row r="295" spans="10:16">
      <c r="J295" s="5"/>
      <c r="L295">
        <f>DigDir!M295</f>
        <v>-0.26186399999999999</v>
      </c>
      <c r="M295">
        <f>DigDir!N295</f>
        <v>28.9</v>
      </c>
      <c r="O295">
        <f>ABS(L295-DigDir!$C$34)</f>
        <v>4.76137056589514</v>
      </c>
      <c r="P295">
        <f t="shared" si="4"/>
        <v>28.9</v>
      </c>
    </row>
    <row r="296" spans="10:16">
      <c r="J296" s="5"/>
      <c r="L296">
        <f>DigDir!M296</f>
        <v>-0.26186399999999999</v>
      </c>
      <c r="M296">
        <f>DigDir!N296</f>
        <v>29</v>
      </c>
      <c r="O296">
        <f>ABS(L296-DigDir!$C$34)</f>
        <v>4.76137056589514</v>
      </c>
      <c r="P296">
        <f t="shared" si="4"/>
        <v>29</v>
      </c>
    </row>
    <row r="297" spans="10:16">
      <c r="J297" s="5"/>
      <c r="L297">
        <f>DigDir!M297</f>
        <v>-0.26186399999999999</v>
      </c>
      <c r="M297">
        <f>DigDir!N297</f>
        <v>29.1</v>
      </c>
      <c r="O297">
        <f>ABS(L297-DigDir!$C$34)</f>
        <v>4.76137056589514</v>
      </c>
      <c r="P297">
        <f t="shared" si="4"/>
        <v>29.1</v>
      </c>
    </row>
    <row r="298" spans="10:16">
      <c r="J298" s="5"/>
      <c r="L298">
        <f>DigDir!M298</f>
        <v>-0.26186399999999999</v>
      </c>
      <c r="M298">
        <f>DigDir!N298</f>
        <v>29.2</v>
      </c>
      <c r="O298">
        <f>ABS(L298-DigDir!$C$34)</f>
        <v>4.76137056589514</v>
      </c>
      <c r="P298">
        <f t="shared" si="4"/>
        <v>29.2</v>
      </c>
    </row>
    <row r="299" spans="10:16">
      <c r="J299" s="5"/>
      <c r="L299">
        <f>DigDir!M299</f>
        <v>-0.26186399999999999</v>
      </c>
      <c r="M299">
        <f>DigDir!N299</f>
        <v>29.3</v>
      </c>
      <c r="O299">
        <f>ABS(L299-DigDir!$C$34)</f>
        <v>4.76137056589514</v>
      </c>
      <c r="P299">
        <f t="shared" si="4"/>
        <v>29.3</v>
      </c>
    </row>
    <row r="300" spans="10:16">
      <c r="J300" s="5"/>
      <c r="L300">
        <f>DigDir!M300</f>
        <v>-0.26186399999999999</v>
      </c>
      <c r="M300">
        <f>DigDir!N300</f>
        <v>29.4</v>
      </c>
      <c r="O300">
        <f>ABS(L300-DigDir!$C$34)</f>
        <v>4.76137056589514</v>
      </c>
      <c r="P300">
        <f t="shared" si="4"/>
        <v>29.4</v>
      </c>
    </row>
    <row r="301" spans="10:16">
      <c r="J301" s="5"/>
      <c r="L301">
        <f>DigDir!M301</f>
        <v>-0.26186399999999999</v>
      </c>
      <c r="M301">
        <f>DigDir!N301</f>
        <v>29.5</v>
      </c>
      <c r="O301">
        <f>ABS(L301-DigDir!$C$34)</f>
        <v>4.76137056589514</v>
      </c>
      <c r="P301">
        <f t="shared" si="4"/>
        <v>29.5</v>
      </c>
    </row>
    <row r="302" spans="10:16">
      <c r="J302" s="5"/>
      <c r="L302">
        <f>DigDir!M302</f>
        <v>-0.26186399999999999</v>
      </c>
      <c r="M302">
        <f>DigDir!N302</f>
        <v>29.6</v>
      </c>
      <c r="O302">
        <f>ABS(L302-DigDir!$C$34)</f>
        <v>4.76137056589514</v>
      </c>
      <c r="P302">
        <f t="shared" si="4"/>
        <v>29.6</v>
      </c>
    </row>
    <row r="303" spans="10:16">
      <c r="J303" s="5"/>
      <c r="L303">
        <f>DigDir!M303</f>
        <v>-0.26186399999999999</v>
      </c>
      <c r="M303">
        <f>DigDir!N303</f>
        <v>29.7</v>
      </c>
      <c r="O303">
        <f>ABS(L303-DigDir!$C$34)</f>
        <v>4.76137056589514</v>
      </c>
      <c r="P303">
        <f t="shared" si="4"/>
        <v>29.7</v>
      </c>
    </row>
    <row r="304" spans="10:16">
      <c r="J304" s="5"/>
      <c r="L304">
        <f>DigDir!M304</f>
        <v>-0.26186399999999999</v>
      </c>
      <c r="M304">
        <f>DigDir!N304</f>
        <v>29.8</v>
      </c>
      <c r="O304">
        <f>ABS(L304-DigDir!$C$34)</f>
        <v>4.76137056589514</v>
      </c>
      <c r="P304">
        <f t="shared" si="4"/>
        <v>29.8</v>
      </c>
    </row>
    <row r="305" spans="10:16">
      <c r="J305" s="5"/>
      <c r="L305">
        <f>DigDir!M305</f>
        <v>-0.26186399999999999</v>
      </c>
      <c r="M305">
        <f>DigDir!N305</f>
        <v>29.9</v>
      </c>
      <c r="O305">
        <f>ABS(L305-DigDir!$C$34)</f>
        <v>4.76137056589514</v>
      </c>
      <c r="P305">
        <f t="shared" si="4"/>
        <v>29.9</v>
      </c>
    </row>
    <row r="306" spans="10:16">
      <c r="J306" s="5"/>
      <c r="L306">
        <f>DigDir!M306</f>
        <v>-0.26186399999999999</v>
      </c>
      <c r="M306">
        <f>DigDir!N306</f>
        <v>30</v>
      </c>
      <c r="O306">
        <f>ABS(L306-DigDir!$C$34)</f>
        <v>4.76137056589514</v>
      </c>
      <c r="P306">
        <f t="shared" si="4"/>
        <v>30</v>
      </c>
    </row>
    <row r="307" spans="10:16">
      <c r="J307" s="5"/>
      <c r="L307">
        <f>DigDir!M307</f>
        <v>-0.26186399999999999</v>
      </c>
      <c r="M307">
        <f>DigDir!N307</f>
        <v>30.1</v>
      </c>
      <c r="O307">
        <f>ABS(L307-DigDir!$C$34)</f>
        <v>4.76137056589514</v>
      </c>
      <c r="P307">
        <f t="shared" si="4"/>
        <v>30.1</v>
      </c>
    </row>
    <row r="308" spans="10:16">
      <c r="J308" s="5"/>
      <c r="L308">
        <f>DigDir!M308</f>
        <v>-0.26186399999999999</v>
      </c>
      <c r="M308">
        <f>DigDir!N308</f>
        <v>30.2</v>
      </c>
      <c r="O308">
        <f>ABS(L308-DigDir!$C$34)</f>
        <v>4.76137056589514</v>
      </c>
      <c r="P308">
        <f t="shared" si="4"/>
        <v>30.2</v>
      </c>
    </row>
    <row r="309" spans="10:16">
      <c r="J309" s="5"/>
      <c r="L309">
        <f>DigDir!M309</f>
        <v>-0.26186399999999999</v>
      </c>
      <c r="M309">
        <f>DigDir!N309</f>
        <v>30.3</v>
      </c>
      <c r="O309">
        <f>ABS(L309-DigDir!$C$34)</f>
        <v>4.76137056589514</v>
      </c>
      <c r="P309">
        <f t="shared" si="4"/>
        <v>30.3</v>
      </c>
    </row>
    <row r="310" spans="10:16">
      <c r="J310" s="5"/>
      <c r="L310">
        <f>DigDir!M310</f>
        <v>-0.26186399999999999</v>
      </c>
      <c r="M310">
        <f>DigDir!N310</f>
        <v>30.4</v>
      </c>
      <c r="O310">
        <f>ABS(L310-DigDir!$C$34)</f>
        <v>4.76137056589514</v>
      </c>
      <c r="P310">
        <f t="shared" si="4"/>
        <v>30.4</v>
      </c>
    </row>
    <row r="311" spans="10:16">
      <c r="J311" s="5"/>
      <c r="L311">
        <f>DigDir!M311</f>
        <v>-0.26186399999999999</v>
      </c>
      <c r="M311">
        <f>DigDir!N311</f>
        <v>30.5</v>
      </c>
      <c r="O311">
        <f>ABS(L311-DigDir!$C$34)</f>
        <v>4.76137056589514</v>
      </c>
      <c r="P311">
        <f t="shared" si="4"/>
        <v>30.5</v>
      </c>
    </row>
    <row r="312" spans="10:16">
      <c r="J312" s="5"/>
      <c r="L312">
        <f>DigDir!M312</f>
        <v>-0.26186399999999999</v>
      </c>
      <c r="M312">
        <f>DigDir!N312</f>
        <v>30.6</v>
      </c>
      <c r="O312">
        <f>ABS(L312-DigDir!$C$34)</f>
        <v>4.76137056589514</v>
      </c>
      <c r="P312">
        <f t="shared" si="4"/>
        <v>30.6</v>
      </c>
    </row>
    <row r="313" spans="10:16">
      <c r="J313" s="5"/>
      <c r="L313">
        <f>DigDir!M313</f>
        <v>-0.26186399999999999</v>
      </c>
      <c r="M313">
        <f>DigDir!N313</f>
        <v>30.7</v>
      </c>
      <c r="O313">
        <f>ABS(L313-DigDir!$C$34)</f>
        <v>4.76137056589514</v>
      </c>
      <c r="P313">
        <f t="shared" si="4"/>
        <v>30.7</v>
      </c>
    </row>
    <row r="314" spans="10:16">
      <c r="J314" s="5"/>
      <c r="L314">
        <f>DigDir!M314</f>
        <v>-0.26186399999999999</v>
      </c>
      <c r="M314">
        <f>DigDir!N314</f>
        <v>30.8</v>
      </c>
      <c r="O314">
        <f>ABS(L314-DigDir!$C$34)</f>
        <v>4.76137056589514</v>
      </c>
      <c r="P314">
        <f t="shared" si="4"/>
        <v>30.8</v>
      </c>
    </row>
    <row r="315" spans="10:16">
      <c r="J315" s="5"/>
      <c r="L315">
        <f>DigDir!M315</f>
        <v>-0.26186399999999999</v>
      </c>
      <c r="M315">
        <f>DigDir!N315</f>
        <v>30.9</v>
      </c>
      <c r="O315">
        <f>ABS(L315-DigDir!$C$34)</f>
        <v>4.76137056589514</v>
      </c>
      <c r="P315">
        <f t="shared" si="4"/>
        <v>30.9</v>
      </c>
    </row>
    <row r="316" spans="10:16">
      <c r="J316" s="5"/>
      <c r="L316">
        <f>DigDir!M316</f>
        <v>-0.26186399999999999</v>
      </c>
      <c r="M316">
        <f>DigDir!N316</f>
        <v>31</v>
      </c>
      <c r="O316">
        <f>ABS(L316-DigDir!$C$34)</f>
        <v>4.76137056589514</v>
      </c>
      <c r="P316">
        <f t="shared" si="4"/>
        <v>31</v>
      </c>
    </row>
    <row r="317" spans="10:16">
      <c r="J317" s="5"/>
      <c r="L317">
        <f>DigDir!M317</f>
        <v>-0.26186399999999999</v>
      </c>
      <c r="M317">
        <f>DigDir!N317</f>
        <v>31.1</v>
      </c>
      <c r="O317">
        <f>ABS(L317-DigDir!$C$34)</f>
        <v>4.76137056589514</v>
      </c>
      <c r="P317">
        <f t="shared" si="4"/>
        <v>31.1</v>
      </c>
    </row>
    <row r="318" spans="10:16">
      <c r="J318" s="5"/>
      <c r="L318">
        <f>DigDir!M318</f>
        <v>-0.26186399999999999</v>
      </c>
      <c r="M318">
        <f>DigDir!N318</f>
        <v>31.2</v>
      </c>
      <c r="O318">
        <f>ABS(L318-DigDir!$C$34)</f>
        <v>4.76137056589514</v>
      </c>
      <c r="P318">
        <f t="shared" si="4"/>
        <v>31.2</v>
      </c>
    </row>
    <row r="319" spans="10:16">
      <c r="J319" s="5"/>
      <c r="L319">
        <f>DigDir!M319</f>
        <v>-0.26186399999999999</v>
      </c>
      <c r="M319">
        <f>DigDir!N319</f>
        <v>31.3</v>
      </c>
      <c r="O319">
        <f>ABS(L319-DigDir!$C$34)</f>
        <v>4.76137056589514</v>
      </c>
      <c r="P319">
        <f t="shared" si="4"/>
        <v>31.3</v>
      </c>
    </row>
    <row r="320" spans="10:16">
      <c r="J320" s="5"/>
      <c r="L320">
        <f>DigDir!M320</f>
        <v>-0.26186399999999999</v>
      </c>
      <c r="M320">
        <f>DigDir!N320</f>
        <v>31.4</v>
      </c>
      <c r="O320">
        <f>ABS(L320-DigDir!$C$34)</f>
        <v>4.76137056589514</v>
      </c>
      <c r="P320">
        <f t="shared" si="4"/>
        <v>31.4</v>
      </c>
    </row>
    <row r="321" spans="10:16">
      <c r="J321" s="5"/>
      <c r="L321">
        <f>DigDir!M321</f>
        <v>-0.26186399999999999</v>
      </c>
      <c r="M321">
        <f>DigDir!N321</f>
        <v>31.5</v>
      </c>
      <c r="O321">
        <f>ABS(L321-DigDir!$C$34)</f>
        <v>4.76137056589514</v>
      </c>
      <c r="P321">
        <f t="shared" si="4"/>
        <v>31.5</v>
      </c>
    </row>
    <row r="322" spans="10:16">
      <c r="J322" s="5"/>
      <c r="L322">
        <f>DigDir!M322</f>
        <v>-0.26186399999999999</v>
      </c>
      <c r="M322">
        <f>DigDir!N322</f>
        <v>31.6</v>
      </c>
      <c r="O322">
        <f>ABS(L322-DigDir!$C$34)</f>
        <v>4.76137056589514</v>
      </c>
      <c r="P322">
        <f t="shared" si="4"/>
        <v>31.6</v>
      </c>
    </row>
    <row r="323" spans="10:16">
      <c r="J323" s="5"/>
      <c r="L323">
        <f>DigDir!M323</f>
        <v>-0.26186399999999999</v>
      </c>
      <c r="M323">
        <f>DigDir!N323</f>
        <v>31.7</v>
      </c>
      <c r="O323">
        <f>ABS(L323-DigDir!$C$34)</f>
        <v>4.76137056589514</v>
      </c>
      <c r="P323">
        <f t="shared" si="4"/>
        <v>31.7</v>
      </c>
    </row>
    <row r="324" spans="10:16">
      <c r="J324" s="5"/>
      <c r="L324">
        <f>DigDir!M324</f>
        <v>-0.26186399999999999</v>
      </c>
      <c r="M324">
        <f>DigDir!N324</f>
        <v>31.8</v>
      </c>
      <c r="O324">
        <f>ABS(L324-DigDir!$C$34)</f>
        <v>4.76137056589514</v>
      </c>
      <c r="P324">
        <f t="shared" si="4"/>
        <v>31.8</v>
      </c>
    </row>
    <row r="325" spans="10:16">
      <c r="J325" s="5"/>
      <c r="L325">
        <f>DigDir!M325</f>
        <v>-0.26186399999999999</v>
      </c>
      <c r="M325">
        <f>DigDir!N325</f>
        <v>31.9</v>
      </c>
      <c r="O325">
        <f>ABS(L325-DigDir!$C$34)</f>
        <v>4.76137056589514</v>
      </c>
      <c r="P325">
        <f t="shared" si="4"/>
        <v>31.9</v>
      </c>
    </row>
    <row r="326" spans="10:16">
      <c r="J326" s="5"/>
      <c r="L326">
        <f>DigDir!M326</f>
        <v>-0.26186399999999999</v>
      </c>
      <c r="M326">
        <f>DigDir!N326</f>
        <v>32</v>
      </c>
      <c r="O326">
        <f>ABS(L326-DigDir!$C$34)</f>
        <v>4.76137056589514</v>
      </c>
      <c r="P326">
        <f t="shared" si="4"/>
        <v>32</v>
      </c>
    </row>
    <row r="327" spans="10:16">
      <c r="J327" s="5"/>
      <c r="L327">
        <f>DigDir!M327</f>
        <v>-0.26186399999999999</v>
      </c>
      <c r="M327">
        <f>DigDir!N327</f>
        <v>32.1</v>
      </c>
      <c r="O327">
        <f>ABS(L327-DigDir!$C$34)</f>
        <v>4.76137056589514</v>
      </c>
      <c r="P327">
        <f t="shared" ref="P327:P390" si="5">M327</f>
        <v>32.1</v>
      </c>
    </row>
    <row r="328" spans="10:16">
      <c r="J328" s="5"/>
      <c r="L328">
        <f>DigDir!M328</f>
        <v>-0.26186399999999999</v>
      </c>
      <c r="M328">
        <f>DigDir!N328</f>
        <v>32.200000000000003</v>
      </c>
      <c r="O328">
        <f>ABS(L328-DigDir!$C$34)</f>
        <v>4.76137056589514</v>
      </c>
      <c r="P328">
        <f t="shared" si="5"/>
        <v>32.200000000000003</v>
      </c>
    </row>
    <row r="329" spans="10:16">
      <c r="J329" s="5"/>
      <c r="L329">
        <f>DigDir!M329</f>
        <v>-0.26186399999999999</v>
      </c>
      <c r="M329">
        <f>DigDir!N329</f>
        <v>32.299999999999997</v>
      </c>
      <c r="O329">
        <f>ABS(L329-DigDir!$C$34)</f>
        <v>4.76137056589514</v>
      </c>
      <c r="P329">
        <f t="shared" si="5"/>
        <v>32.299999999999997</v>
      </c>
    </row>
    <row r="330" spans="10:16">
      <c r="J330" s="5"/>
      <c r="L330">
        <f>DigDir!M330</f>
        <v>-0.26186399999999999</v>
      </c>
      <c r="M330">
        <f>DigDir!N330</f>
        <v>32.4</v>
      </c>
      <c r="O330">
        <f>ABS(L330-DigDir!$C$34)</f>
        <v>4.76137056589514</v>
      </c>
      <c r="P330">
        <f t="shared" si="5"/>
        <v>32.4</v>
      </c>
    </row>
    <row r="331" spans="10:16">
      <c r="J331" s="5"/>
      <c r="L331">
        <f>DigDir!M331</f>
        <v>-0.26186399999999999</v>
      </c>
      <c r="M331">
        <f>DigDir!N331</f>
        <v>32.5</v>
      </c>
      <c r="O331">
        <f>ABS(L331-DigDir!$C$34)</f>
        <v>4.76137056589514</v>
      </c>
      <c r="P331">
        <f t="shared" si="5"/>
        <v>32.5</v>
      </c>
    </row>
    <row r="332" spans="10:16">
      <c r="J332" s="5"/>
      <c r="L332">
        <f>DigDir!M332</f>
        <v>-0.26186399999999999</v>
      </c>
      <c r="M332">
        <f>DigDir!N332</f>
        <v>32.6</v>
      </c>
      <c r="O332">
        <f>ABS(L332-DigDir!$C$34)</f>
        <v>4.76137056589514</v>
      </c>
      <c r="P332">
        <f t="shared" si="5"/>
        <v>32.6</v>
      </c>
    </row>
    <row r="333" spans="10:16">
      <c r="J333" s="5"/>
      <c r="L333">
        <f>DigDir!M333</f>
        <v>-0.26186399999999999</v>
      </c>
      <c r="M333">
        <f>DigDir!N333</f>
        <v>32.700000000000003</v>
      </c>
      <c r="O333">
        <f>ABS(L333-DigDir!$C$34)</f>
        <v>4.76137056589514</v>
      </c>
      <c r="P333">
        <f t="shared" si="5"/>
        <v>32.700000000000003</v>
      </c>
    </row>
    <row r="334" spans="10:16">
      <c r="J334" s="5"/>
      <c r="L334">
        <f>DigDir!M334</f>
        <v>-0.26186399999999999</v>
      </c>
      <c r="M334">
        <f>DigDir!N334</f>
        <v>32.799999999999997</v>
      </c>
      <c r="O334">
        <f>ABS(L334-DigDir!$C$34)</f>
        <v>4.76137056589514</v>
      </c>
      <c r="P334">
        <f t="shared" si="5"/>
        <v>32.799999999999997</v>
      </c>
    </row>
    <row r="335" spans="10:16">
      <c r="J335" s="5"/>
      <c r="L335">
        <f>DigDir!M335</f>
        <v>-0.26186399999999999</v>
      </c>
      <c r="M335">
        <f>DigDir!N335</f>
        <v>32.9</v>
      </c>
      <c r="O335">
        <f>ABS(L335-DigDir!$C$34)</f>
        <v>4.76137056589514</v>
      </c>
      <c r="P335">
        <f t="shared" si="5"/>
        <v>32.9</v>
      </c>
    </row>
    <row r="336" spans="10:16">
      <c r="J336" s="5"/>
      <c r="L336">
        <f>DigDir!M336</f>
        <v>-0.26186399999999999</v>
      </c>
      <c r="M336">
        <f>DigDir!N336</f>
        <v>33</v>
      </c>
      <c r="O336">
        <f>ABS(L336-DigDir!$C$34)</f>
        <v>4.76137056589514</v>
      </c>
      <c r="P336">
        <f t="shared" si="5"/>
        <v>33</v>
      </c>
    </row>
    <row r="337" spans="10:16">
      <c r="J337" s="5"/>
      <c r="L337">
        <f>DigDir!M337</f>
        <v>-0.26186399999999999</v>
      </c>
      <c r="M337">
        <f>DigDir!N337</f>
        <v>33.1</v>
      </c>
      <c r="O337">
        <f>ABS(L337-DigDir!$C$34)</f>
        <v>4.76137056589514</v>
      </c>
      <c r="P337">
        <f t="shared" si="5"/>
        <v>33.1</v>
      </c>
    </row>
    <row r="338" spans="10:16">
      <c r="J338" s="5"/>
      <c r="L338">
        <f>DigDir!M338</f>
        <v>-0.26186399999999999</v>
      </c>
      <c r="M338">
        <f>DigDir!N338</f>
        <v>33.200000000000003</v>
      </c>
      <c r="O338">
        <f>ABS(L338-DigDir!$C$34)</f>
        <v>4.76137056589514</v>
      </c>
      <c r="P338">
        <f t="shared" si="5"/>
        <v>33.200000000000003</v>
      </c>
    </row>
    <row r="339" spans="10:16">
      <c r="J339" s="5"/>
      <c r="L339">
        <f>DigDir!M339</f>
        <v>-0.26186399999999999</v>
      </c>
      <c r="M339">
        <f>DigDir!N339</f>
        <v>33.299999999999997</v>
      </c>
      <c r="O339">
        <f>ABS(L339-DigDir!$C$34)</f>
        <v>4.76137056589514</v>
      </c>
      <c r="P339">
        <f t="shared" si="5"/>
        <v>33.299999999999997</v>
      </c>
    </row>
    <row r="340" spans="10:16">
      <c r="J340" s="5"/>
      <c r="L340">
        <f>DigDir!M340</f>
        <v>-0.26186399999999999</v>
      </c>
      <c r="M340">
        <f>DigDir!N340</f>
        <v>33.4</v>
      </c>
      <c r="O340">
        <f>ABS(L340-DigDir!$C$34)</f>
        <v>4.76137056589514</v>
      </c>
      <c r="P340">
        <f t="shared" si="5"/>
        <v>33.4</v>
      </c>
    </row>
    <row r="341" spans="10:16">
      <c r="J341" s="5"/>
      <c r="L341">
        <f>DigDir!M341</f>
        <v>-0.26186399999999999</v>
      </c>
      <c r="M341">
        <f>DigDir!N341</f>
        <v>33.5</v>
      </c>
      <c r="O341">
        <f>ABS(L341-DigDir!$C$34)</f>
        <v>4.76137056589514</v>
      </c>
      <c r="P341">
        <f t="shared" si="5"/>
        <v>33.5</v>
      </c>
    </row>
    <row r="342" spans="10:16">
      <c r="J342" s="5"/>
      <c r="L342">
        <f>DigDir!M342</f>
        <v>-0.26186399999999999</v>
      </c>
      <c r="M342">
        <f>DigDir!N342</f>
        <v>33.6</v>
      </c>
      <c r="O342">
        <f>ABS(L342-DigDir!$C$34)</f>
        <v>4.76137056589514</v>
      </c>
      <c r="P342">
        <f t="shared" si="5"/>
        <v>33.6</v>
      </c>
    </row>
    <row r="343" spans="10:16">
      <c r="J343" s="5"/>
      <c r="L343">
        <f>DigDir!M343</f>
        <v>-0.26186399999999999</v>
      </c>
      <c r="M343">
        <f>DigDir!N343</f>
        <v>33.700000000000003</v>
      </c>
      <c r="O343">
        <f>ABS(L343-DigDir!$C$34)</f>
        <v>4.76137056589514</v>
      </c>
      <c r="P343">
        <f t="shared" si="5"/>
        <v>33.700000000000003</v>
      </c>
    </row>
    <row r="344" spans="10:16">
      <c r="J344" s="5"/>
      <c r="L344">
        <f>DigDir!M344</f>
        <v>-0.26186399999999999</v>
      </c>
      <c r="M344">
        <f>DigDir!N344</f>
        <v>33.799999999999997</v>
      </c>
      <c r="O344">
        <f>ABS(L344-DigDir!$C$34)</f>
        <v>4.76137056589514</v>
      </c>
      <c r="P344">
        <f t="shared" si="5"/>
        <v>33.799999999999997</v>
      </c>
    </row>
    <row r="345" spans="10:16">
      <c r="J345" s="5"/>
      <c r="L345">
        <f>DigDir!M345</f>
        <v>-0.26186399999999999</v>
      </c>
      <c r="M345">
        <f>DigDir!N345</f>
        <v>33.9</v>
      </c>
      <c r="O345">
        <f>ABS(L345-DigDir!$C$34)</f>
        <v>4.76137056589514</v>
      </c>
      <c r="P345">
        <f t="shared" si="5"/>
        <v>33.9</v>
      </c>
    </row>
    <row r="346" spans="10:16">
      <c r="J346" s="5"/>
      <c r="L346">
        <f>DigDir!M346</f>
        <v>-0.26186399999999999</v>
      </c>
      <c r="M346">
        <f>DigDir!N346</f>
        <v>34</v>
      </c>
      <c r="O346">
        <f>ABS(L346-DigDir!$C$34)</f>
        <v>4.76137056589514</v>
      </c>
      <c r="P346">
        <f t="shared" si="5"/>
        <v>34</v>
      </c>
    </row>
    <row r="347" spans="10:16">
      <c r="J347" s="5"/>
      <c r="L347">
        <f>DigDir!M347</f>
        <v>-0.26186399999999999</v>
      </c>
      <c r="M347">
        <f>DigDir!N347</f>
        <v>34.1</v>
      </c>
      <c r="O347">
        <f>ABS(L347-DigDir!$C$34)</f>
        <v>4.76137056589514</v>
      </c>
      <c r="P347">
        <f t="shared" si="5"/>
        <v>34.1</v>
      </c>
    </row>
    <row r="348" spans="10:16">
      <c r="J348" s="5"/>
      <c r="L348">
        <f>DigDir!M348</f>
        <v>-0.26186399999999999</v>
      </c>
      <c r="M348">
        <f>DigDir!N348</f>
        <v>34.200000000000003</v>
      </c>
      <c r="O348">
        <f>ABS(L348-DigDir!$C$34)</f>
        <v>4.76137056589514</v>
      </c>
      <c r="P348">
        <f t="shared" si="5"/>
        <v>34.200000000000003</v>
      </c>
    </row>
    <row r="349" spans="10:16">
      <c r="J349" s="5"/>
      <c r="L349">
        <f>DigDir!M349</f>
        <v>-0.26186399999999999</v>
      </c>
      <c r="M349">
        <f>DigDir!N349</f>
        <v>34.299999999999997</v>
      </c>
      <c r="O349">
        <f>ABS(L349-DigDir!$C$34)</f>
        <v>4.76137056589514</v>
      </c>
      <c r="P349">
        <f t="shared" si="5"/>
        <v>34.299999999999997</v>
      </c>
    </row>
    <row r="350" spans="10:16">
      <c r="J350" s="5"/>
      <c r="L350">
        <f>DigDir!M350</f>
        <v>-0.26186399999999999</v>
      </c>
      <c r="M350">
        <f>DigDir!N350</f>
        <v>34.4</v>
      </c>
      <c r="O350">
        <f>ABS(L350-DigDir!$C$34)</f>
        <v>4.76137056589514</v>
      </c>
      <c r="P350">
        <f t="shared" si="5"/>
        <v>34.4</v>
      </c>
    </row>
    <row r="351" spans="10:16">
      <c r="J351" s="5"/>
      <c r="L351">
        <f>DigDir!M351</f>
        <v>-0.26186399999999999</v>
      </c>
      <c r="M351">
        <f>DigDir!N351</f>
        <v>34.5</v>
      </c>
      <c r="O351">
        <f>ABS(L351-DigDir!$C$34)</f>
        <v>4.76137056589514</v>
      </c>
      <c r="P351">
        <f t="shared" si="5"/>
        <v>34.5</v>
      </c>
    </row>
    <row r="352" spans="10:16">
      <c r="J352" s="5"/>
      <c r="L352">
        <f>DigDir!M352</f>
        <v>-0.26186399999999999</v>
      </c>
      <c r="M352">
        <f>DigDir!N352</f>
        <v>34.6</v>
      </c>
      <c r="O352">
        <f>ABS(L352-DigDir!$C$34)</f>
        <v>4.76137056589514</v>
      </c>
      <c r="P352">
        <f t="shared" si="5"/>
        <v>34.6</v>
      </c>
    </row>
    <row r="353" spans="10:16">
      <c r="J353" s="5"/>
      <c r="L353">
        <f>DigDir!M353</f>
        <v>-0.26186399999999999</v>
      </c>
      <c r="M353">
        <f>DigDir!N353</f>
        <v>34.700000000000003</v>
      </c>
      <c r="O353">
        <f>ABS(L353-DigDir!$C$34)</f>
        <v>4.76137056589514</v>
      </c>
      <c r="P353">
        <f t="shared" si="5"/>
        <v>34.700000000000003</v>
      </c>
    </row>
    <row r="354" spans="10:16">
      <c r="J354" s="5"/>
      <c r="L354">
        <f>DigDir!M354</f>
        <v>-0.26186399999999999</v>
      </c>
      <c r="M354">
        <f>DigDir!N354</f>
        <v>34.799999999999997</v>
      </c>
      <c r="O354">
        <f>ABS(L354-DigDir!$C$34)</f>
        <v>4.76137056589514</v>
      </c>
      <c r="P354">
        <f t="shared" si="5"/>
        <v>34.799999999999997</v>
      </c>
    </row>
    <row r="355" spans="10:16">
      <c r="J355" s="5"/>
      <c r="L355">
        <f>DigDir!M355</f>
        <v>-0.26186399999999999</v>
      </c>
      <c r="M355">
        <f>DigDir!N355</f>
        <v>34.9</v>
      </c>
      <c r="O355">
        <f>ABS(L355-DigDir!$C$34)</f>
        <v>4.76137056589514</v>
      </c>
      <c r="P355">
        <f t="shared" si="5"/>
        <v>34.9</v>
      </c>
    </row>
    <row r="356" spans="10:16">
      <c r="J356" s="5"/>
      <c r="L356">
        <f>DigDir!M356</f>
        <v>-0.26186399999999999</v>
      </c>
      <c r="M356">
        <f>DigDir!N356</f>
        <v>35</v>
      </c>
      <c r="O356">
        <f>ABS(L356-DigDir!$C$34)</f>
        <v>4.76137056589514</v>
      </c>
      <c r="P356">
        <f t="shared" si="5"/>
        <v>35</v>
      </c>
    </row>
    <row r="357" spans="10:16">
      <c r="J357" s="5"/>
      <c r="L357">
        <f>DigDir!M357</f>
        <v>-0.26186399999999999</v>
      </c>
      <c r="M357">
        <f>DigDir!N357</f>
        <v>35.1</v>
      </c>
      <c r="O357">
        <f>ABS(L357-DigDir!$C$34)</f>
        <v>4.76137056589514</v>
      </c>
      <c r="P357">
        <f t="shared" si="5"/>
        <v>35.1</v>
      </c>
    </row>
    <row r="358" spans="10:16">
      <c r="J358" s="5"/>
      <c r="L358">
        <f>DigDir!M358</f>
        <v>-0.26186399999999999</v>
      </c>
      <c r="M358">
        <f>DigDir!N358</f>
        <v>35.200000000000003</v>
      </c>
      <c r="O358">
        <f>ABS(L358-DigDir!$C$34)</f>
        <v>4.76137056589514</v>
      </c>
      <c r="P358">
        <f t="shared" si="5"/>
        <v>35.200000000000003</v>
      </c>
    </row>
    <row r="359" spans="10:16">
      <c r="J359" s="5"/>
      <c r="L359">
        <f>DigDir!M359</f>
        <v>-0.26186399999999999</v>
      </c>
      <c r="M359">
        <f>DigDir!N359</f>
        <v>35.299999999999997</v>
      </c>
      <c r="O359">
        <f>ABS(L359-DigDir!$C$34)</f>
        <v>4.76137056589514</v>
      </c>
      <c r="P359">
        <f t="shared" si="5"/>
        <v>35.299999999999997</v>
      </c>
    </row>
    <row r="360" spans="10:16">
      <c r="J360" s="5"/>
      <c r="L360">
        <f>DigDir!M360</f>
        <v>-0.26186399999999999</v>
      </c>
      <c r="M360">
        <f>DigDir!N360</f>
        <v>35.4</v>
      </c>
      <c r="O360">
        <f>ABS(L360-DigDir!$C$34)</f>
        <v>4.76137056589514</v>
      </c>
      <c r="P360">
        <f t="shared" si="5"/>
        <v>35.4</v>
      </c>
    </row>
    <row r="361" spans="10:16">
      <c r="J361" s="5"/>
      <c r="L361">
        <f>DigDir!M361</f>
        <v>-0.26186399999999999</v>
      </c>
      <c r="M361">
        <f>DigDir!N361</f>
        <v>35.5</v>
      </c>
      <c r="O361">
        <f>ABS(L361-DigDir!$C$34)</f>
        <v>4.76137056589514</v>
      </c>
      <c r="P361">
        <f t="shared" si="5"/>
        <v>35.5</v>
      </c>
    </row>
    <row r="362" spans="10:16">
      <c r="J362" s="5"/>
      <c r="L362">
        <f>DigDir!M362</f>
        <v>-0.26186399999999999</v>
      </c>
      <c r="M362">
        <f>DigDir!N362</f>
        <v>35.6</v>
      </c>
      <c r="O362">
        <f>ABS(L362-DigDir!$C$34)</f>
        <v>4.76137056589514</v>
      </c>
      <c r="P362">
        <f t="shared" si="5"/>
        <v>35.6</v>
      </c>
    </row>
    <row r="363" spans="10:16">
      <c r="J363" s="5"/>
      <c r="L363">
        <f>DigDir!M363</f>
        <v>-0.26186399999999999</v>
      </c>
      <c r="M363">
        <f>DigDir!N363</f>
        <v>35.700000000000003</v>
      </c>
      <c r="O363">
        <f>ABS(L363-DigDir!$C$34)</f>
        <v>4.76137056589514</v>
      </c>
      <c r="P363">
        <f t="shared" si="5"/>
        <v>35.700000000000003</v>
      </c>
    </row>
    <row r="364" spans="10:16">
      <c r="J364" s="5"/>
      <c r="L364">
        <f>DigDir!M364</f>
        <v>-0.26186399999999999</v>
      </c>
      <c r="M364">
        <f>DigDir!N364</f>
        <v>35.799999999999997</v>
      </c>
      <c r="O364">
        <f>ABS(L364-DigDir!$C$34)</f>
        <v>4.76137056589514</v>
      </c>
      <c r="P364">
        <f t="shared" si="5"/>
        <v>35.799999999999997</v>
      </c>
    </row>
    <row r="365" spans="10:16">
      <c r="J365" s="5"/>
      <c r="L365">
        <f>DigDir!M365</f>
        <v>-0.26186399999999999</v>
      </c>
      <c r="M365">
        <f>DigDir!N365</f>
        <v>35.9</v>
      </c>
      <c r="O365">
        <f>ABS(L365-DigDir!$C$34)</f>
        <v>4.76137056589514</v>
      </c>
      <c r="P365">
        <f t="shared" si="5"/>
        <v>35.9</v>
      </c>
    </row>
    <row r="366" spans="10:16">
      <c r="J366" s="5"/>
      <c r="L366">
        <f>DigDir!M366</f>
        <v>-0.26186399999999999</v>
      </c>
      <c r="M366">
        <f>DigDir!N366</f>
        <v>36</v>
      </c>
      <c r="O366">
        <f>ABS(L366-DigDir!$C$34)</f>
        <v>4.76137056589514</v>
      </c>
      <c r="P366">
        <f t="shared" si="5"/>
        <v>36</v>
      </c>
    </row>
    <row r="367" spans="10:16">
      <c r="J367" s="5"/>
      <c r="L367">
        <f>DigDir!M367</f>
        <v>-0.26186399999999999</v>
      </c>
      <c r="M367">
        <f>DigDir!N367</f>
        <v>36.1</v>
      </c>
      <c r="O367">
        <f>ABS(L367-DigDir!$C$34)</f>
        <v>4.76137056589514</v>
      </c>
      <c r="P367">
        <f t="shared" si="5"/>
        <v>36.1</v>
      </c>
    </row>
    <row r="368" spans="10:16">
      <c r="J368" s="5"/>
      <c r="L368">
        <f>DigDir!M368</f>
        <v>-0.26186399999999999</v>
      </c>
      <c r="M368">
        <f>DigDir!N368</f>
        <v>36.200000000000003</v>
      </c>
      <c r="O368">
        <f>ABS(L368-DigDir!$C$34)</f>
        <v>4.76137056589514</v>
      </c>
      <c r="P368">
        <f t="shared" si="5"/>
        <v>36.200000000000003</v>
      </c>
    </row>
    <row r="369" spans="10:16">
      <c r="J369" s="5"/>
      <c r="L369">
        <f>DigDir!M369</f>
        <v>-0.26186399999999999</v>
      </c>
      <c r="M369">
        <f>DigDir!N369</f>
        <v>36.299999999999997</v>
      </c>
      <c r="O369">
        <f>ABS(L369-DigDir!$C$34)</f>
        <v>4.76137056589514</v>
      </c>
      <c r="P369">
        <f t="shared" si="5"/>
        <v>36.299999999999997</v>
      </c>
    </row>
    <row r="370" spans="10:16">
      <c r="J370" s="5"/>
      <c r="L370">
        <f>DigDir!M370</f>
        <v>-0.26186399999999999</v>
      </c>
      <c r="M370">
        <f>DigDir!N370</f>
        <v>36.4</v>
      </c>
      <c r="O370">
        <f>ABS(L370-DigDir!$C$34)</f>
        <v>4.76137056589514</v>
      </c>
      <c r="P370">
        <f t="shared" si="5"/>
        <v>36.4</v>
      </c>
    </row>
    <row r="371" spans="10:16">
      <c r="J371" s="5"/>
      <c r="L371">
        <f>DigDir!M371</f>
        <v>-0.26186399999999999</v>
      </c>
      <c r="M371">
        <f>DigDir!N371</f>
        <v>36.5</v>
      </c>
      <c r="O371">
        <f>ABS(L371-DigDir!$C$34)</f>
        <v>4.76137056589514</v>
      </c>
      <c r="P371">
        <f t="shared" si="5"/>
        <v>36.5</v>
      </c>
    </row>
    <row r="372" spans="10:16">
      <c r="J372" s="5"/>
      <c r="L372">
        <f>DigDir!M372</f>
        <v>-0.26186399999999999</v>
      </c>
      <c r="M372">
        <f>DigDir!N372</f>
        <v>36.6</v>
      </c>
      <c r="O372">
        <f>ABS(L372-DigDir!$C$34)</f>
        <v>4.76137056589514</v>
      </c>
      <c r="P372">
        <f t="shared" si="5"/>
        <v>36.6</v>
      </c>
    </row>
    <row r="373" spans="10:16">
      <c r="J373" s="5"/>
      <c r="L373">
        <f>DigDir!M373</f>
        <v>-0.26186399999999999</v>
      </c>
      <c r="M373">
        <f>DigDir!N373</f>
        <v>36.700000000000003</v>
      </c>
      <c r="O373">
        <f>ABS(L373-DigDir!$C$34)</f>
        <v>4.76137056589514</v>
      </c>
      <c r="P373">
        <f t="shared" si="5"/>
        <v>36.700000000000003</v>
      </c>
    </row>
    <row r="374" spans="10:16">
      <c r="J374" s="5"/>
      <c r="L374">
        <f>DigDir!M374</f>
        <v>-0.26186399999999999</v>
      </c>
      <c r="M374">
        <f>DigDir!N374</f>
        <v>36.799999999999997</v>
      </c>
      <c r="O374">
        <f>ABS(L374-DigDir!$C$34)</f>
        <v>4.76137056589514</v>
      </c>
      <c r="P374">
        <f t="shared" si="5"/>
        <v>36.799999999999997</v>
      </c>
    </row>
    <row r="375" spans="10:16">
      <c r="J375" s="5"/>
      <c r="L375">
        <f>DigDir!M375</f>
        <v>-0.26186399999999999</v>
      </c>
      <c r="M375">
        <f>DigDir!N375</f>
        <v>36.9</v>
      </c>
      <c r="O375">
        <f>ABS(L375-DigDir!$C$34)</f>
        <v>4.76137056589514</v>
      </c>
      <c r="P375">
        <f t="shared" si="5"/>
        <v>36.9</v>
      </c>
    </row>
    <row r="376" spans="10:16">
      <c r="J376" s="5"/>
      <c r="L376">
        <f>DigDir!M376</f>
        <v>-0.26186399999999999</v>
      </c>
      <c r="M376">
        <f>DigDir!N376</f>
        <v>37</v>
      </c>
      <c r="O376">
        <f>ABS(L376-DigDir!$C$34)</f>
        <v>4.76137056589514</v>
      </c>
      <c r="P376">
        <f t="shared" si="5"/>
        <v>37</v>
      </c>
    </row>
    <row r="377" spans="10:16">
      <c r="J377" s="5"/>
      <c r="L377">
        <f>DigDir!M377</f>
        <v>-0.26186399999999999</v>
      </c>
      <c r="M377">
        <f>DigDir!N377</f>
        <v>37.1</v>
      </c>
      <c r="O377">
        <f>ABS(L377-DigDir!$C$34)</f>
        <v>4.76137056589514</v>
      </c>
      <c r="P377">
        <f t="shared" si="5"/>
        <v>37.1</v>
      </c>
    </row>
    <row r="378" spans="10:16">
      <c r="J378" s="5"/>
      <c r="L378">
        <f>DigDir!M378</f>
        <v>-0.26186399999999999</v>
      </c>
      <c r="M378">
        <f>DigDir!N378</f>
        <v>37.200000000000003</v>
      </c>
      <c r="O378">
        <f>ABS(L378-DigDir!$C$34)</f>
        <v>4.76137056589514</v>
      </c>
      <c r="P378">
        <f t="shared" si="5"/>
        <v>37.200000000000003</v>
      </c>
    </row>
    <row r="379" spans="10:16">
      <c r="J379" s="5"/>
      <c r="L379">
        <f>DigDir!M379</f>
        <v>-0.26186399999999999</v>
      </c>
      <c r="M379">
        <f>DigDir!N379</f>
        <v>37.299999999999997</v>
      </c>
      <c r="O379">
        <f>ABS(L379-DigDir!$C$34)</f>
        <v>4.76137056589514</v>
      </c>
      <c r="P379">
        <f t="shared" si="5"/>
        <v>37.299999999999997</v>
      </c>
    </row>
    <row r="380" spans="10:16">
      <c r="J380" s="5"/>
      <c r="L380">
        <f>DigDir!M380</f>
        <v>-0.26186399999999999</v>
      </c>
      <c r="M380">
        <f>DigDir!N380</f>
        <v>37.4</v>
      </c>
      <c r="O380">
        <f>ABS(L380-DigDir!$C$34)</f>
        <v>4.76137056589514</v>
      </c>
      <c r="P380">
        <f t="shared" si="5"/>
        <v>37.4</v>
      </c>
    </row>
    <row r="381" spans="10:16">
      <c r="J381" s="5"/>
      <c r="L381">
        <f>DigDir!M381</f>
        <v>-0.26186399999999999</v>
      </c>
      <c r="M381">
        <f>DigDir!N381</f>
        <v>37.5</v>
      </c>
      <c r="O381">
        <f>ABS(L381-DigDir!$C$34)</f>
        <v>4.76137056589514</v>
      </c>
      <c r="P381">
        <f t="shared" si="5"/>
        <v>37.5</v>
      </c>
    </row>
    <row r="382" spans="10:16">
      <c r="J382" s="5"/>
      <c r="L382">
        <f>DigDir!M382</f>
        <v>-0.26186399999999999</v>
      </c>
      <c r="M382">
        <f>DigDir!N382</f>
        <v>37.6</v>
      </c>
      <c r="O382">
        <f>ABS(L382-DigDir!$C$34)</f>
        <v>4.76137056589514</v>
      </c>
      <c r="P382">
        <f t="shared" si="5"/>
        <v>37.6</v>
      </c>
    </row>
    <row r="383" spans="10:16">
      <c r="J383" s="5"/>
      <c r="L383">
        <f>DigDir!M383</f>
        <v>-0.24364650299999999</v>
      </c>
      <c r="M383">
        <f>DigDir!N383</f>
        <v>37.700000000000003</v>
      </c>
      <c r="O383">
        <f>ABS(L383-DigDir!$C$34)</f>
        <v>4.7795880628951402</v>
      </c>
      <c r="P383">
        <f t="shared" si="5"/>
        <v>37.700000000000003</v>
      </c>
    </row>
    <row r="384" spans="10:16">
      <c r="J384" s="5"/>
      <c r="L384">
        <f>DigDir!M384</f>
        <v>-0.22409194199999999</v>
      </c>
      <c r="M384">
        <f>DigDir!N384</f>
        <v>37.799999999999997</v>
      </c>
      <c r="O384">
        <f>ABS(L384-DigDir!$C$34)</f>
        <v>4.7991426238951398</v>
      </c>
      <c r="P384">
        <f t="shared" si="5"/>
        <v>37.799999999999997</v>
      </c>
    </row>
    <row r="385" spans="10:16">
      <c r="J385" s="5"/>
      <c r="L385">
        <f>DigDir!M385</f>
        <v>-0.206153</v>
      </c>
      <c r="M385">
        <f>DigDir!N385</f>
        <v>37.9</v>
      </c>
      <c r="O385">
        <f>ABS(L385-DigDir!$C$34)</f>
        <v>4.8170815658951405</v>
      </c>
      <c r="P385">
        <f t="shared" si="5"/>
        <v>37.9</v>
      </c>
    </row>
    <row r="386" spans="10:16">
      <c r="J386" s="5"/>
      <c r="L386">
        <f>DigDir!M386</f>
        <v>-0.206153</v>
      </c>
      <c r="M386">
        <f>DigDir!N386</f>
        <v>38</v>
      </c>
      <c r="O386">
        <f>ABS(L386-DigDir!$C$34)</f>
        <v>4.8170815658951405</v>
      </c>
      <c r="P386">
        <f t="shared" si="5"/>
        <v>38</v>
      </c>
    </row>
    <row r="387" spans="10:16">
      <c r="J387" s="5"/>
      <c r="L387">
        <f>DigDir!M387</f>
        <v>-0.206153</v>
      </c>
      <c r="M387">
        <f>DigDir!N387</f>
        <v>38.1</v>
      </c>
      <c r="O387">
        <f>ABS(L387-DigDir!$C$34)</f>
        <v>4.8170815658951405</v>
      </c>
      <c r="P387">
        <f t="shared" si="5"/>
        <v>38.1</v>
      </c>
    </row>
    <row r="388" spans="10:16">
      <c r="J388" s="5"/>
      <c r="L388">
        <f>DigDir!M388</f>
        <v>-0.206153</v>
      </c>
      <c r="M388">
        <f>DigDir!N388</f>
        <v>38.200000000000003</v>
      </c>
      <c r="O388">
        <f>ABS(L388-DigDir!$C$34)</f>
        <v>4.8170815658951405</v>
      </c>
      <c r="P388">
        <f t="shared" si="5"/>
        <v>38.200000000000003</v>
      </c>
    </row>
    <row r="389" spans="10:16">
      <c r="J389" s="5"/>
      <c r="L389">
        <f>DigDir!M389</f>
        <v>-0.206153</v>
      </c>
      <c r="M389">
        <f>DigDir!N389</f>
        <v>38.299999999999997</v>
      </c>
      <c r="O389">
        <f>ABS(L389-DigDir!$C$34)</f>
        <v>4.8170815658951405</v>
      </c>
      <c r="P389">
        <f t="shared" si="5"/>
        <v>38.299999999999997</v>
      </c>
    </row>
    <row r="390" spans="10:16">
      <c r="J390" s="5"/>
      <c r="L390">
        <f>DigDir!M390</f>
        <v>-0.206153</v>
      </c>
      <c r="M390">
        <f>DigDir!N390</f>
        <v>38.4</v>
      </c>
      <c r="O390">
        <f>ABS(L390-DigDir!$C$34)</f>
        <v>4.8170815658951405</v>
      </c>
      <c r="P390">
        <f t="shared" si="5"/>
        <v>38.4</v>
      </c>
    </row>
    <row r="391" spans="10:16">
      <c r="J391" s="5"/>
      <c r="L391">
        <f>DigDir!M391</f>
        <v>-0.206153</v>
      </c>
      <c r="M391">
        <f>DigDir!N391</f>
        <v>38.5</v>
      </c>
      <c r="O391">
        <f>ABS(L391-DigDir!$C$34)</f>
        <v>4.8170815658951405</v>
      </c>
      <c r="P391">
        <f t="shared" ref="P391:P454" si="6">M391</f>
        <v>38.5</v>
      </c>
    </row>
    <row r="392" spans="10:16">
      <c r="J392" s="5"/>
      <c r="L392">
        <f>DigDir!M392</f>
        <v>-0.206153</v>
      </c>
      <c r="M392">
        <f>DigDir!N392</f>
        <v>38.6</v>
      </c>
      <c r="O392">
        <f>ABS(L392-DigDir!$C$34)</f>
        <v>4.8170815658951405</v>
      </c>
      <c r="P392">
        <f t="shared" si="6"/>
        <v>38.6</v>
      </c>
    </row>
    <row r="393" spans="10:16">
      <c r="J393" s="5"/>
      <c r="L393">
        <f>DigDir!M393</f>
        <v>-0.206153</v>
      </c>
      <c r="M393">
        <f>DigDir!N393</f>
        <v>38.700000000000003</v>
      </c>
      <c r="O393">
        <f>ABS(L393-DigDir!$C$34)</f>
        <v>4.8170815658951405</v>
      </c>
      <c r="P393">
        <f t="shared" si="6"/>
        <v>38.700000000000003</v>
      </c>
    </row>
    <row r="394" spans="10:16">
      <c r="J394" s="5"/>
      <c r="L394">
        <f>DigDir!M394</f>
        <v>-0.206153</v>
      </c>
      <c r="M394">
        <f>DigDir!N394</f>
        <v>38.799999999999997</v>
      </c>
      <c r="O394">
        <f>ABS(L394-DigDir!$C$34)</f>
        <v>4.8170815658951405</v>
      </c>
      <c r="P394">
        <f t="shared" si="6"/>
        <v>38.799999999999997</v>
      </c>
    </row>
    <row r="395" spans="10:16">
      <c r="J395" s="5"/>
      <c r="L395">
        <f>DigDir!M395</f>
        <v>-0.206153</v>
      </c>
      <c r="M395">
        <f>DigDir!N395</f>
        <v>38.9</v>
      </c>
      <c r="O395">
        <f>ABS(L395-DigDir!$C$34)</f>
        <v>4.8170815658951405</v>
      </c>
      <c r="P395">
        <f t="shared" si="6"/>
        <v>38.9</v>
      </c>
    </row>
    <row r="396" spans="10:16">
      <c r="J396" s="5"/>
      <c r="L396">
        <f>DigDir!M396</f>
        <v>-0.206153</v>
      </c>
      <c r="M396">
        <f>DigDir!N396</f>
        <v>39</v>
      </c>
      <c r="O396">
        <f>ABS(L396-DigDir!$C$34)</f>
        <v>4.8170815658951405</v>
      </c>
      <c r="P396">
        <f t="shared" si="6"/>
        <v>39</v>
      </c>
    </row>
    <row r="397" spans="10:16">
      <c r="J397" s="5"/>
      <c r="L397">
        <f>DigDir!M397</f>
        <v>-0.206153</v>
      </c>
      <c r="M397">
        <f>DigDir!N397</f>
        <v>39.1</v>
      </c>
      <c r="O397">
        <f>ABS(L397-DigDir!$C$34)</f>
        <v>4.8170815658951405</v>
      </c>
      <c r="P397">
        <f t="shared" si="6"/>
        <v>39.1</v>
      </c>
    </row>
    <row r="398" spans="10:16">
      <c r="J398" s="5"/>
      <c r="L398">
        <f>DigDir!M398</f>
        <v>-0.206153</v>
      </c>
      <c r="M398">
        <f>DigDir!N398</f>
        <v>39.200000000000003</v>
      </c>
      <c r="O398">
        <f>ABS(L398-DigDir!$C$34)</f>
        <v>4.8170815658951405</v>
      </c>
      <c r="P398">
        <f t="shared" si="6"/>
        <v>39.200000000000003</v>
      </c>
    </row>
    <row r="399" spans="10:16">
      <c r="J399" s="5"/>
      <c r="L399">
        <f>DigDir!M399</f>
        <v>-0.206153</v>
      </c>
      <c r="M399">
        <f>DigDir!N399</f>
        <v>39.299999999999997</v>
      </c>
      <c r="O399">
        <f>ABS(L399-DigDir!$C$34)</f>
        <v>4.8170815658951405</v>
      </c>
      <c r="P399">
        <f t="shared" si="6"/>
        <v>39.299999999999997</v>
      </c>
    </row>
    <row r="400" spans="10:16">
      <c r="J400" s="5"/>
      <c r="L400">
        <f>DigDir!M400</f>
        <v>-0.206153</v>
      </c>
      <c r="M400">
        <f>DigDir!N400</f>
        <v>39.4</v>
      </c>
      <c r="O400">
        <f>ABS(L400-DigDir!$C$34)</f>
        <v>4.8170815658951405</v>
      </c>
      <c r="P400">
        <f t="shared" si="6"/>
        <v>39.4</v>
      </c>
    </row>
    <row r="401" spans="10:16">
      <c r="J401" s="5"/>
      <c r="L401">
        <f>DigDir!M401</f>
        <v>-0.206153</v>
      </c>
      <c r="M401">
        <f>DigDir!N401</f>
        <v>39.5</v>
      </c>
      <c r="O401">
        <f>ABS(L401-DigDir!$C$34)</f>
        <v>4.8170815658951405</v>
      </c>
      <c r="P401">
        <f t="shared" si="6"/>
        <v>39.5</v>
      </c>
    </row>
    <row r="402" spans="10:16">
      <c r="J402" s="5"/>
      <c r="L402">
        <f>DigDir!M402</f>
        <v>-0.206153</v>
      </c>
      <c r="M402">
        <f>DigDir!N402</f>
        <v>39.6</v>
      </c>
      <c r="O402">
        <f>ABS(L402-DigDir!$C$34)</f>
        <v>4.8170815658951405</v>
      </c>
      <c r="P402">
        <f t="shared" si="6"/>
        <v>39.6</v>
      </c>
    </row>
    <row r="403" spans="10:16">
      <c r="J403" s="5"/>
      <c r="L403">
        <f>DigDir!M403</f>
        <v>-0.206153</v>
      </c>
      <c r="M403">
        <f>DigDir!N403</f>
        <v>39.700000000000003</v>
      </c>
      <c r="O403">
        <f>ABS(L403-DigDir!$C$34)</f>
        <v>4.8170815658951405</v>
      </c>
      <c r="P403">
        <f t="shared" si="6"/>
        <v>39.700000000000003</v>
      </c>
    </row>
    <row r="404" spans="10:16">
      <c r="J404" s="5"/>
      <c r="L404">
        <f>DigDir!M404</f>
        <v>-0.206153</v>
      </c>
      <c r="M404">
        <f>DigDir!N404</f>
        <v>39.799999999999997</v>
      </c>
      <c r="O404">
        <f>ABS(L404-DigDir!$C$34)</f>
        <v>4.8170815658951405</v>
      </c>
      <c r="P404">
        <f t="shared" si="6"/>
        <v>39.799999999999997</v>
      </c>
    </row>
    <row r="405" spans="10:16">
      <c r="J405" s="5"/>
      <c r="L405">
        <f>DigDir!M405</f>
        <v>-0.206153</v>
      </c>
      <c r="M405">
        <f>DigDir!N405</f>
        <v>39.9</v>
      </c>
      <c r="O405">
        <f>ABS(L405-DigDir!$C$34)</f>
        <v>4.8170815658951405</v>
      </c>
      <c r="P405">
        <f t="shared" si="6"/>
        <v>39.9</v>
      </c>
    </row>
    <row r="406" spans="10:16">
      <c r="J406" s="5"/>
      <c r="L406">
        <f>DigDir!M406</f>
        <v>-0.206153</v>
      </c>
      <c r="M406">
        <f>DigDir!N406</f>
        <v>40</v>
      </c>
      <c r="O406">
        <f>ABS(L406-DigDir!$C$34)</f>
        <v>4.8170815658951405</v>
      </c>
      <c r="P406">
        <f t="shared" si="6"/>
        <v>40</v>
      </c>
    </row>
    <row r="407" spans="10:16">
      <c r="J407" s="5"/>
      <c r="L407">
        <f>DigDir!M407</f>
        <v>-0.206153</v>
      </c>
      <c r="M407">
        <f>DigDir!N407</f>
        <v>40.1</v>
      </c>
      <c r="O407">
        <f>ABS(L407-DigDir!$C$34)</f>
        <v>4.8170815658951405</v>
      </c>
      <c r="P407">
        <f t="shared" si="6"/>
        <v>40.1</v>
      </c>
    </row>
    <row r="408" spans="10:16">
      <c r="J408" s="5"/>
      <c r="L408">
        <f>DigDir!M408</f>
        <v>-0.206153</v>
      </c>
      <c r="M408">
        <f>DigDir!N408</f>
        <v>40.200000000000003</v>
      </c>
      <c r="O408">
        <f>ABS(L408-DigDir!$C$34)</f>
        <v>4.8170815658951405</v>
      </c>
      <c r="P408">
        <f t="shared" si="6"/>
        <v>40.200000000000003</v>
      </c>
    </row>
    <row r="409" spans="10:16">
      <c r="J409" s="5"/>
      <c r="L409">
        <f>DigDir!M409</f>
        <v>-0.206153</v>
      </c>
      <c r="M409">
        <f>DigDir!N409</f>
        <v>40.299999999999997</v>
      </c>
      <c r="O409">
        <f>ABS(L409-DigDir!$C$34)</f>
        <v>4.8170815658951405</v>
      </c>
      <c r="P409">
        <f t="shared" si="6"/>
        <v>40.299999999999997</v>
      </c>
    </row>
    <row r="410" spans="10:16">
      <c r="J410" s="5"/>
      <c r="L410">
        <f>DigDir!M410</f>
        <v>-0.206153</v>
      </c>
      <c r="M410">
        <f>DigDir!N410</f>
        <v>40.4</v>
      </c>
      <c r="O410">
        <f>ABS(L410-DigDir!$C$34)</f>
        <v>4.8170815658951405</v>
      </c>
      <c r="P410">
        <f t="shared" si="6"/>
        <v>40.4</v>
      </c>
    </row>
    <row r="411" spans="10:16">
      <c r="J411" s="5"/>
      <c r="L411">
        <f>DigDir!M411</f>
        <v>-0.206153</v>
      </c>
      <c r="M411">
        <f>DigDir!N411</f>
        <v>40.5</v>
      </c>
      <c r="O411">
        <f>ABS(L411-DigDir!$C$34)</f>
        <v>4.8170815658951405</v>
      </c>
      <c r="P411">
        <f t="shared" si="6"/>
        <v>40.5</v>
      </c>
    </row>
    <row r="412" spans="10:16">
      <c r="J412" s="5"/>
      <c r="L412">
        <f>DigDir!M412</f>
        <v>-0.206153</v>
      </c>
      <c r="M412">
        <f>DigDir!N412</f>
        <v>40.6</v>
      </c>
      <c r="O412">
        <f>ABS(L412-DigDir!$C$34)</f>
        <v>4.8170815658951405</v>
      </c>
      <c r="P412">
        <f t="shared" si="6"/>
        <v>40.6</v>
      </c>
    </row>
    <row r="413" spans="10:16">
      <c r="J413" s="5"/>
      <c r="L413">
        <f>DigDir!M413</f>
        <v>-0.206153</v>
      </c>
      <c r="M413">
        <f>DigDir!N413</f>
        <v>40.700000000000003</v>
      </c>
      <c r="O413">
        <f>ABS(L413-DigDir!$C$34)</f>
        <v>4.8170815658951405</v>
      </c>
      <c r="P413">
        <f t="shared" si="6"/>
        <v>40.700000000000003</v>
      </c>
    </row>
    <row r="414" spans="10:16">
      <c r="J414" s="5"/>
      <c r="L414">
        <f>DigDir!M414</f>
        <v>-0.206153</v>
      </c>
      <c r="M414">
        <f>DigDir!N414</f>
        <v>40.799999999999997</v>
      </c>
      <c r="O414">
        <f>ABS(L414-DigDir!$C$34)</f>
        <v>4.8170815658951405</v>
      </c>
      <c r="P414">
        <f t="shared" si="6"/>
        <v>40.799999999999997</v>
      </c>
    </row>
    <row r="415" spans="10:16">
      <c r="J415" s="5"/>
      <c r="L415">
        <f>DigDir!M415</f>
        <v>-0.206153</v>
      </c>
      <c r="M415">
        <f>DigDir!N415</f>
        <v>40.9</v>
      </c>
      <c r="O415">
        <f>ABS(L415-DigDir!$C$34)</f>
        <v>4.8170815658951405</v>
      </c>
      <c r="P415">
        <f t="shared" si="6"/>
        <v>40.9</v>
      </c>
    </row>
    <row r="416" spans="10:16">
      <c r="J416" s="5"/>
      <c r="L416">
        <f>DigDir!M416</f>
        <v>-0.206153</v>
      </c>
      <c r="M416">
        <f>DigDir!N416</f>
        <v>41</v>
      </c>
      <c r="O416">
        <f>ABS(L416-DigDir!$C$34)</f>
        <v>4.8170815658951405</v>
      </c>
      <c r="P416">
        <f t="shared" si="6"/>
        <v>41</v>
      </c>
    </row>
    <row r="417" spans="10:16">
      <c r="J417" s="5"/>
      <c r="L417">
        <f>DigDir!M417</f>
        <v>-0.206153</v>
      </c>
      <c r="M417">
        <f>DigDir!N417</f>
        <v>41.1</v>
      </c>
      <c r="O417">
        <f>ABS(L417-DigDir!$C$34)</f>
        <v>4.8170815658951405</v>
      </c>
      <c r="P417">
        <f t="shared" si="6"/>
        <v>41.1</v>
      </c>
    </row>
    <row r="418" spans="10:16">
      <c r="J418" s="5"/>
      <c r="L418">
        <f>DigDir!M418</f>
        <v>-0.206153</v>
      </c>
      <c r="M418">
        <f>DigDir!N418</f>
        <v>41.2</v>
      </c>
      <c r="O418">
        <f>ABS(L418-DigDir!$C$34)</f>
        <v>4.8170815658951405</v>
      </c>
      <c r="P418">
        <f t="shared" si="6"/>
        <v>41.2</v>
      </c>
    </row>
    <row r="419" spans="10:16">
      <c r="J419" s="5"/>
      <c r="L419">
        <f>DigDir!M419</f>
        <v>-0.206153</v>
      </c>
      <c r="M419">
        <f>DigDir!N419</f>
        <v>41.3</v>
      </c>
      <c r="O419">
        <f>ABS(L419-DigDir!$C$34)</f>
        <v>4.8170815658951405</v>
      </c>
      <c r="P419">
        <f t="shared" si="6"/>
        <v>41.3</v>
      </c>
    </row>
    <row r="420" spans="10:16">
      <c r="J420" s="5"/>
      <c r="L420">
        <f>DigDir!M420</f>
        <v>-0.206153</v>
      </c>
      <c r="M420">
        <f>DigDir!N420</f>
        <v>41.4</v>
      </c>
      <c r="O420">
        <f>ABS(L420-DigDir!$C$34)</f>
        <v>4.8170815658951405</v>
      </c>
      <c r="P420">
        <f t="shared" si="6"/>
        <v>41.4</v>
      </c>
    </row>
    <row r="421" spans="10:16">
      <c r="J421" s="5"/>
      <c r="L421">
        <f>DigDir!M421</f>
        <v>-0.206153</v>
      </c>
      <c r="M421">
        <f>DigDir!N421</f>
        <v>41.5</v>
      </c>
      <c r="O421">
        <f>ABS(L421-DigDir!$C$34)</f>
        <v>4.8170815658951405</v>
      </c>
      <c r="P421">
        <f t="shared" si="6"/>
        <v>41.5</v>
      </c>
    </row>
    <row r="422" spans="10:16">
      <c r="J422" s="5"/>
      <c r="L422">
        <f>DigDir!M422</f>
        <v>-0.206153</v>
      </c>
      <c r="M422">
        <f>DigDir!N422</f>
        <v>41.6</v>
      </c>
      <c r="O422">
        <f>ABS(L422-DigDir!$C$34)</f>
        <v>4.8170815658951405</v>
      </c>
      <c r="P422">
        <f t="shared" si="6"/>
        <v>41.6</v>
      </c>
    </row>
    <row r="423" spans="10:16">
      <c r="J423" s="5"/>
      <c r="L423">
        <f>DigDir!M423</f>
        <v>-0.206153</v>
      </c>
      <c r="M423">
        <f>DigDir!N423</f>
        <v>41.7</v>
      </c>
      <c r="O423">
        <f>ABS(L423-DigDir!$C$34)</f>
        <v>4.8170815658951405</v>
      </c>
      <c r="P423">
        <f t="shared" si="6"/>
        <v>41.7</v>
      </c>
    </row>
    <row r="424" spans="10:16">
      <c r="J424" s="5"/>
      <c r="L424">
        <f>DigDir!M424</f>
        <v>-0.206153</v>
      </c>
      <c r="M424">
        <f>DigDir!N424</f>
        <v>41.8</v>
      </c>
      <c r="O424">
        <f>ABS(L424-DigDir!$C$34)</f>
        <v>4.8170815658951405</v>
      </c>
      <c r="P424">
        <f t="shared" si="6"/>
        <v>41.8</v>
      </c>
    </row>
    <row r="425" spans="10:16">
      <c r="J425" s="5"/>
      <c r="L425">
        <f>DigDir!M425</f>
        <v>-0.206153</v>
      </c>
      <c r="M425">
        <f>DigDir!N425</f>
        <v>41.9</v>
      </c>
      <c r="O425">
        <f>ABS(L425-DigDir!$C$34)</f>
        <v>4.8170815658951405</v>
      </c>
      <c r="P425">
        <f t="shared" si="6"/>
        <v>41.9</v>
      </c>
    </row>
    <row r="426" spans="10:16">
      <c r="J426" s="5"/>
      <c r="L426">
        <f>DigDir!M426</f>
        <v>-0.206153</v>
      </c>
      <c r="M426">
        <f>DigDir!N426</f>
        <v>42</v>
      </c>
      <c r="O426">
        <f>ABS(L426-DigDir!$C$34)</f>
        <v>4.8170815658951405</v>
      </c>
      <c r="P426">
        <f t="shared" si="6"/>
        <v>42</v>
      </c>
    </row>
    <row r="427" spans="10:16">
      <c r="J427" s="5"/>
      <c r="L427">
        <f>DigDir!M427</f>
        <v>-0.206153</v>
      </c>
      <c r="M427">
        <f>DigDir!N427</f>
        <v>42.1</v>
      </c>
      <c r="O427">
        <f>ABS(L427-DigDir!$C$34)</f>
        <v>4.8170815658951405</v>
      </c>
      <c r="P427">
        <f t="shared" si="6"/>
        <v>42.1</v>
      </c>
    </row>
    <row r="428" spans="10:16">
      <c r="J428" s="5"/>
      <c r="L428">
        <f>DigDir!M428</f>
        <v>-0.206153</v>
      </c>
      <c r="M428">
        <f>DigDir!N428</f>
        <v>42.2</v>
      </c>
      <c r="O428">
        <f>ABS(L428-DigDir!$C$34)</f>
        <v>4.8170815658951405</v>
      </c>
      <c r="P428">
        <f t="shared" si="6"/>
        <v>42.2</v>
      </c>
    </row>
    <row r="429" spans="10:16">
      <c r="J429" s="5"/>
      <c r="L429">
        <f>DigDir!M429</f>
        <v>-0.206153</v>
      </c>
      <c r="M429">
        <f>DigDir!N429</f>
        <v>42.3</v>
      </c>
      <c r="O429">
        <f>ABS(L429-DigDir!$C$34)</f>
        <v>4.8170815658951405</v>
      </c>
      <c r="P429">
        <f t="shared" si="6"/>
        <v>42.3</v>
      </c>
    </row>
    <row r="430" spans="10:16">
      <c r="J430" s="5"/>
      <c r="L430">
        <f>DigDir!M430</f>
        <v>-0.206153</v>
      </c>
      <c r="M430">
        <f>DigDir!N430</f>
        <v>42.4</v>
      </c>
      <c r="O430">
        <f>ABS(L430-DigDir!$C$34)</f>
        <v>4.8170815658951405</v>
      </c>
      <c r="P430">
        <f t="shared" si="6"/>
        <v>42.4</v>
      </c>
    </row>
    <row r="431" spans="10:16">
      <c r="J431" s="5"/>
      <c r="L431">
        <f>DigDir!M431</f>
        <v>-0.206153</v>
      </c>
      <c r="M431">
        <f>DigDir!N431</f>
        <v>42.5</v>
      </c>
      <c r="O431">
        <f>ABS(L431-DigDir!$C$34)</f>
        <v>4.8170815658951405</v>
      </c>
      <c r="P431">
        <f t="shared" si="6"/>
        <v>42.5</v>
      </c>
    </row>
    <row r="432" spans="10:16">
      <c r="J432" s="5"/>
      <c r="L432">
        <f>DigDir!M432</f>
        <v>-0.206153</v>
      </c>
      <c r="M432">
        <f>DigDir!N432</f>
        <v>42.6</v>
      </c>
      <c r="O432">
        <f>ABS(L432-DigDir!$C$34)</f>
        <v>4.8170815658951405</v>
      </c>
      <c r="P432">
        <f t="shared" si="6"/>
        <v>42.6</v>
      </c>
    </row>
    <row r="433" spans="10:16">
      <c r="J433" s="5"/>
      <c r="L433">
        <f>DigDir!M433</f>
        <v>-0.206153</v>
      </c>
      <c r="M433">
        <f>DigDir!N433</f>
        <v>42.7</v>
      </c>
      <c r="O433">
        <f>ABS(L433-DigDir!$C$34)</f>
        <v>4.8170815658951405</v>
      </c>
      <c r="P433">
        <f t="shared" si="6"/>
        <v>42.7</v>
      </c>
    </row>
    <row r="434" spans="10:16">
      <c r="J434" s="5"/>
      <c r="L434">
        <f>DigDir!M434</f>
        <v>-0.206153</v>
      </c>
      <c r="M434">
        <f>DigDir!N434</f>
        <v>42.8</v>
      </c>
      <c r="O434">
        <f>ABS(L434-DigDir!$C$34)</f>
        <v>4.8170815658951405</v>
      </c>
      <c r="P434">
        <f t="shared" si="6"/>
        <v>42.8</v>
      </c>
    </row>
    <row r="435" spans="10:16">
      <c r="J435" s="5"/>
      <c r="L435">
        <f>DigDir!M435</f>
        <v>-0.206153</v>
      </c>
      <c r="M435">
        <f>DigDir!N435</f>
        <v>42.9</v>
      </c>
      <c r="O435">
        <f>ABS(L435-DigDir!$C$34)</f>
        <v>4.8170815658951405</v>
      </c>
      <c r="P435">
        <f t="shared" si="6"/>
        <v>42.9</v>
      </c>
    </row>
    <row r="436" spans="10:16">
      <c r="J436" s="5"/>
      <c r="L436">
        <f>DigDir!M436</f>
        <v>-0.206153</v>
      </c>
      <c r="M436">
        <f>DigDir!N436</f>
        <v>43</v>
      </c>
      <c r="O436">
        <f>ABS(L436-DigDir!$C$34)</f>
        <v>4.8170815658951405</v>
      </c>
      <c r="P436">
        <f t="shared" si="6"/>
        <v>43</v>
      </c>
    </row>
    <row r="437" spans="10:16">
      <c r="J437" s="5"/>
      <c r="L437">
        <f>DigDir!M437</f>
        <v>-0.206153</v>
      </c>
      <c r="M437">
        <f>DigDir!N437</f>
        <v>43.1</v>
      </c>
      <c r="O437">
        <f>ABS(L437-DigDir!$C$34)</f>
        <v>4.8170815658951405</v>
      </c>
      <c r="P437">
        <f t="shared" si="6"/>
        <v>43.1</v>
      </c>
    </row>
    <row r="438" spans="10:16">
      <c r="J438" s="5"/>
      <c r="L438">
        <f>DigDir!M438</f>
        <v>-0.206153</v>
      </c>
      <c r="M438">
        <f>DigDir!N438</f>
        <v>43.2</v>
      </c>
      <c r="O438">
        <f>ABS(L438-DigDir!$C$34)</f>
        <v>4.8170815658951405</v>
      </c>
      <c r="P438">
        <f t="shared" si="6"/>
        <v>43.2</v>
      </c>
    </row>
    <row r="439" spans="10:16">
      <c r="J439" s="5"/>
      <c r="L439">
        <f>DigDir!M439</f>
        <v>-0.206153</v>
      </c>
      <c r="M439">
        <f>DigDir!N439</f>
        <v>43.3</v>
      </c>
      <c r="O439">
        <f>ABS(L439-DigDir!$C$34)</f>
        <v>4.8170815658951405</v>
      </c>
      <c r="P439">
        <f t="shared" si="6"/>
        <v>43.3</v>
      </c>
    </row>
    <row r="440" spans="10:16">
      <c r="J440" s="5"/>
      <c r="L440">
        <f>DigDir!M440</f>
        <v>-0.18754586000000001</v>
      </c>
      <c r="M440">
        <f>DigDir!N440</f>
        <v>43.4</v>
      </c>
      <c r="O440">
        <f>ABS(L440-DigDir!$C$34)</f>
        <v>4.8356887058951399</v>
      </c>
      <c r="P440">
        <f t="shared" si="6"/>
        <v>43.4</v>
      </c>
    </row>
    <row r="441" spans="10:16">
      <c r="J441" s="5"/>
      <c r="L441">
        <f>DigDir!M441</f>
        <v>-0.16799164999999999</v>
      </c>
      <c r="M441">
        <f>DigDir!N441</f>
        <v>43.5</v>
      </c>
      <c r="O441">
        <f>ABS(L441-DigDir!$C$34)</f>
        <v>4.8552429158951398</v>
      </c>
      <c r="P441">
        <f t="shared" si="6"/>
        <v>43.5</v>
      </c>
    </row>
    <row r="442" spans="10:16">
      <c r="J442" s="5"/>
      <c r="L442">
        <f>DigDir!M442</f>
        <v>-0.15044299999999999</v>
      </c>
      <c r="M442">
        <f>DigDir!N442</f>
        <v>43.6</v>
      </c>
      <c r="O442">
        <f>ABS(L442-DigDir!$C$34)</f>
        <v>4.87279156589514</v>
      </c>
      <c r="P442">
        <f t="shared" si="6"/>
        <v>43.6</v>
      </c>
    </row>
    <row r="443" spans="10:16">
      <c r="J443" s="5"/>
      <c r="L443">
        <f>DigDir!M443</f>
        <v>-0.15044299999999999</v>
      </c>
      <c r="M443">
        <f>DigDir!N443</f>
        <v>43.7</v>
      </c>
      <c r="O443">
        <f>ABS(L443-DigDir!$C$34)</f>
        <v>4.87279156589514</v>
      </c>
      <c r="P443">
        <f t="shared" si="6"/>
        <v>43.7</v>
      </c>
    </row>
    <row r="444" spans="10:16">
      <c r="J444" s="5"/>
      <c r="L444">
        <f>DigDir!M444</f>
        <v>-0.15044299999999999</v>
      </c>
      <c r="M444">
        <f>DigDir!N444</f>
        <v>43.8</v>
      </c>
      <c r="O444">
        <f>ABS(L444-DigDir!$C$34)</f>
        <v>4.87279156589514</v>
      </c>
      <c r="P444">
        <f t="shared" si="6"/>
        <v>43.8</v>
      </c>
    </row>
    <row r="445" spans="10:16">
      <c r="J445" s="5"/>
      <c r="L445">
        <f>DigDir!M445</f>
        <v>-0.15044299999999999</v>
      </c>
      <c r="M445">
        <f>DigDir!N445</f>
        <v>43.9</v>
      </c>
      <c r="O445">
        <f>ABS(L445-DigDir!$C$34)</f>
        <v>4.87279156589514</v>
      </c>
      <c r="P445">
        <f t="shared" si="6"/>
        <v>43.9</v>
      </c>
    </row>
    <row r="446" spans="10:16">
      <c r="J446" s="5"/>
      <c r="L446">
        <f>DigDir!M446</f>
        <v>-0.15044299999999999</v>
      </c>
      <c r="M446">
        <f>DigDir!N446</f>
        <v>44</v>
      </c>
      <c r="O446">
        <f>ABS(L446-DigDir!$C$34)</f>
        <v>4.87279156589514</v>
      </c>
      <c r="P446">
        <f t="shared" si="6"/>
        <v>44</v>
      </c>
    </row>
    <row r="447" spans="10:16">
      <c r="J447" s="5"/>
      <c r="L447">
        <f>DigDir!M447</f>
        <v>-0.15044299999999999</v>
      </c>
      <c r="M447">
        <f>DigDir!N447</f>
        <v>44.1</v>
      </c>
      <c r="O447">
        <f>ABS(L447-DigDir!$C$34)</f>
        <v>4.87279156589514</v>
      </c>
      <c r="P447">
        <f t="shared" si="6"/>
        <v>44.1</v>
      </c>
    </row>
    <row r="448" spans="10:16">
      <c r="J448" s="5"/>
      <c r="L448">
        <f>DigDir!M448</f>
        <v>-0.15044299999999999</v>
      </c>
      <c r="M448">
        <f>DigDir!N448</f>
        <v>44.2</v>
      </c>
      <c r="O448">
        <f>ABS(L448-DigDir!$C$34)</f>
        <v>4.87279156589514</v>
      </c>
      <c r="P448">
        <f t="shared" si="6"/>
        <v>44.2</v>
      </c>
    </row>
    <row r="449" spans="10:16">
      <c r="J449" s="5"/>
      <c r="L449">
        <f>DigDir!M449</f>
        <v>-0.15044299999999999</v>
      </c>
      <c r="M449">
        <f>DigDir!N449</f>
        <v>44.3</v>
      </c>
      <c r="O449">
        <f>ABS(L449-DigDir!$C$34)</f>
        <v>4.87279156589514</v>
      </c>
      <c r="P449">
        <f t="shared" si="6"/>
        <v>44.3</v>
      </c>
    </row>
    <row r="450" spans="10:16">
      <c r="J450" s="5"/>
      <c r="L450">
        <f>DigDir!M450</f>
        <v>-0.15044299999999999</v>
      </c>
      <c r="M450">
        <f>DigDir!N450</f>
        <v>44.4</v>
      </c>
      <c r="O450">
        <f>ABS(L450-DigDir!$C$34)</f>
        <v>4.87279156589514</v>
      </c>
      <c r="P450">
        <f t="shared" si="6"/>
        <v>44.4</v>
      </c>
    </row>
    <row r="451" spans="10:16">
      <c r="J451" s="5"/>
      <c r="L451">
        <f>DigDir!M451</f>
        <v>-0.15044299999999999</v>
      </c>
      <c r="M451">
        <f>DigDir!N451</f>
        <v>44.5</v>
      </c>
      <c r="O451">
        <f>ABS(L451-DigDir!$C$34)</f>
        <v>4.87279156589514</v>
      </c>
      <c r="P451">
        <f t="shared" si="6"/>
        <v>44.5</v>
      </c>
    </row>
    <row r="452" spans="10:16">
      <c r="J452" s="5"/>
      <c r="L452">
        <f>DigDir!M452</f>
        <v>-0.15044299999999999</v>
      </c>
      <c r="M452">
        <f>DigDir!N452</f>
        <v>44.6</v>
      </c>
      <c r="O452">
        <f>ABS(L452-DigDir!$C$34)</f>
        <v>4.87279156589514</v>
      </c>
      <c r="P452">
        <f t="shared" si="6"/>
        <v>44.6</v>
      </c>
    </row>
    <row r="453" spans="10:16">
      <c r="J453" s="5"/>
      <c r="L453">
        <f>DigDir!M453</f>
        <v>-0.15044299999999999</v>
      </c>
      <c r="M453">
        <f>DigDir!N453</f>
        <v>44.7</v>
      </c>
      <c r="O453">
        <f>ABS(L453-DigDir!$C$34)</f>
        <v>4.87279156589514</v>
      </c>
      <c r="P453">
        <f t="shared" si="6"/>
        <v>44.7</v>
      </c>
    </row>
    <row r="454" spans="10:16">
      <c r="J454" s="5"/>
      <c r="L454">
        <f>DigDir!M454</f>
        <v>-0.15044299999999999</v>
      </c>
      <c r="M454">
        <f>DigDir!N454</f>
        <v>44.8</v>
      </c>
      <c r="O454">
        <f>ABS(L454-DigDir!$C$34)</f>
        <v>4.87279156589514</v>
      </c>
      <c r="P454">
        <f t="shared" si="6"/>
        <v>44.8</v>
      </c>
    </row>
    <row r="455" spans="10:16">
      <c r="J455" s="5"/>
      <c r="L455">
        <f>DigDir!M455</f>
        <v>-0.15044299999999999</v>
      </c>
      <c r="M455">
        <f>DigDir!N455</f>
        <v>44.9</v>
      </c>
      <c r="O455">
        <f>ABS(L455-DigDir!$C$34)</f>
        <v>4.87279156589514</v>
      </c>
      <c r="P455">
        <f t="shared" ref="P455:P518" si="7">M455</f>
        <v>44.9</v>
      </c>
    </row>
    <row r="456" spans="10:16">
      <c r="J456" s="5"/>
      <c r="L456">
        <f>DigDir!M456</f>
        <v>-0.15044299999999999</v>
      </c>
      <c r="M456">
        <f>DigDir!N456</f>
        <v>45</v>
      </c>
      <c r="O456">
        <f>ABS(L456-DigDir!$C$34)</f>
        <v>4.87279156589514</v>
      </c>
      <c r="P456">
        <f t="shared" si="7"/>
        <v>45</v>
      </c>
    </row>
    <row r="457" spans="10:16">
      <c r="J457" s="5"/>
      <c r="L457">
        <f>DigDir!M457</f>
        <v>-0.15044299999999999</v>
      </c>
      <c r="M457">
        <f>DigDir!N457</f>
        <v>45.1</v>
      </c>
      <c r="O457">
        <f>ABS(L457-DigDir!$C$34)</f>
        <v>4.87279156589514</v>
      </c>
      <c r="P457">
        <f t="shared" si="7"/>
        <v>45.1</v>
      </c>
    </row>
    <row r="458" spans="10:16">
      <c r="J458" s="5"/>
      <c r="L458">
        <f>DigDir!M458</f>
        <v>-0.15044299999999999</v>
      </c>
      <c r="M458">
        <f>DigDir!N458</f>
        <v>45.2</v>
      </c>
      <c r="O458">
        <f>ABS(L458-DigDir!$C$34)</f>
        <v>4.87279156589514</v>
      </c>
      <c r="P458">
        <f t="shared" si="7"/>
        <v>45.2</v>
      </c>
    </row>
    <row r="459" spans="10:16">
      <c r="J459" s="5"/>
      <c r="L459">
        <f>DigDir!M459</f>
        <v>-0.15044299999999999</v>
      </c>
      <c r="M459">
        <f>DigDir!N459</f>
        <v>45.3</v>
      </c>
      <c r="O459">
        <f>ABS(L459-DigDir!$C$34)</f>
        <v>4.87279156589514</v>
      </c>
      <c r="P459">
        <f t="shared" si="7"/>
        <v>45.3</v>
      </c>
    </row>
    <row r="460" spans="10:16">
      <c r="J460" s="5"/>
      <c r="L460">
        <f>DigDir!M460</f>
        <v>-0.15044299999999999</v>
      </c>
      <c r="M460">
        <f>DigDir!N460</f>
        <v>45.4</v>
      </c>
      <c r="O460">
        <f>ABS(L460-DigDir!$C$34)</f>
        <v>4.87279156589514</v>
      </c>
      <c r="P460">
        <f t="shared" si="7"/>
        <v>45.4</v>
      </c>
    </row>
    <row r="461" spans="10:16">
      <c r="J461" s="5"/>
      <c r="L461">
        <f>DigDir!M461</f>
        <v>-0.15044299999999999</v>
      </c>
      <c r="M461">
        <f>DigDir!N461</f>
        <v>45.5</v>
      </c>
      <c r="O461">
        <f>ABS(L461-DigDir!$C$34)</f>
        <v>4.87279156589514</v>
      </c>
      <c r="P461">
        <f t="shared" si="7"/>
        <v>45.5</v>
      </c>
    </row>
    <row r="462" spans="10:16">
      <c r="J462" s="5"/>
      <c r="L462">
        <f>DigDir!M462</f>
        <v>-0.15044299999999999</v>
      </c>
      <c r="M462">
        <f>DigDir!N462</f>
        <v>45.6</v>
      </c>
      <c r="O462">
        <f>ABS(L462-DigDir!$C$34)</f>
        <v>4.87279156589514</v>
      </c>
      <c r="P462">
        <f t="shared" si="7"/>
        <v>45.6</v>
      </c>
    </row>
    <row r="463" spans="10:16">
      <c r="J463" s="5"/>
      <c r="L463">
        <f>DigDir!M463</f>
        <v>-0.15044299999999999</v>
      </c>
      <c r="M463">
        <f>DigDir!N463</f>
        <v>45.7</v>
      </c>
      <c r="O463">
        <f>ABS(L463-DigDir!$C$34)</f>
        <v>4.87279156589514</v>
      </c>
      <c r="P463">
        <f t="shared" si="7"/>
        <v>45.7</v>
      </c>
    </row>
    <row r="464" spans="10:16">
      <c r="J464" s="5"/>
      <c r="L464">
        <f>DigDir!M464</f>
        <v>-0.15044299999999999</v>
      </c>
      <c r="M464">
        <f>DigDir!N464</f>
        <v>45.8</v>
      </c>
      <c r="O464">
        <f>ABS(L464-DigDir!$C$34)</f>
        <v>4.87279156589514</v>
      </c>
      <c r="P464">
        <f t="shared" si="7"/>
        <v>45.8</v>
      </c>
    </row>
    <row r="465" spans="10:16">
      <c r="J465" s="5"/>
      <c r="L465">
        <f>DigDir!M465</f>
        <v>-0.14437050099999901</v>
      </c>
      <c r="M465">
        <f>DigDir!N465</f>
        <v>45.9</v>
      </c>
      <c r="O465">
        <f>ABS(L465-DigDir!$C$34)</f>
        <v>4.8788640648951409</v>
      </c>
      <c r="P465">
        <f t="shared" si="7"/>
        <v>45.9</v>
      </c>
    </row>
    <row r="466" spans="10:16">
      <c r="J466" s="5"/>
      <c r="L466">
        <f>DigDir!M466</f>
        <v>-0.12481594</v>
      </c>
      <c r="M466">
        <f>DigDir!N466</f>
        <v>46</v>
      </c>
      <c r="O466">
        <f>ABS(L466-DigDir!$C$34)</f>
        <v>4.8984186258951397</v>
      </c>
      <c r="P466">
        <f t="shared" si="7"/>
        <v>46</v>
      </c>
    </row>
    <row r="467" spans="10:16">
      <c r="J467" s="5"/>
      <c r="L467">
        <f>DigDir!M467</f>
        <v>-0.105261379</v>
      </c>
      <c r="M467">
        <f>DigDir!N467</f>
        <v>46.1</v>
      </c>
      <c r="O467">
        <f>ABS(L467-DigDir!$C$34)</f>
        <v>4.9179731868951402</v>
      </c>
      <c r="P467">
        <f t="shared" si="7"/>
        <v>46.1</v>
      </c>
    </row>
    <row r="468" spans="10:16">
      <c r="J468" s="5"/>
      <c r="L468">
        <f>DigDir!M468</f>
        <v>-9.4731999999999997E-2</v>
      </c>
      <c r="M468">
        <f>DigDir!N468</f>
        <v>46.2</v>
      </c>
      <c r="O468">
        <f>ABS(L468-DigDir!$C$34)</f>
        <v>4.9285025658951405</v>
      </c>
      <c r="P468">
        <f t="shared" si="7"/>
        <v>46.2</v>
      </c>
    </row>
    <row r="469" spans="10:16">
      <c r="J469" s="5"/>
      <c r="L469">
        <f>DigDir!M469</f>
        <v>-9.4731999999999997E-2</v>
      </c>
      <c r="M469">
        <f>DigDir!N469</f>
        <v>46.3</v>
      </c>
      <c r="O469">
        <f>ABS(L469-DigDir!$C$34)</f>
        <v>4.9285025658951405</v>
      </c>
      <c r="P469">
        <f t="shared" si="7"/>
        <v>46.3</v>
      </c>
    </row>
    <row r="470" spans="10:16">
      <c r="J470" s="5"/>
      <c r="L470">
        <f>DigDir!M470</f>
        <v>-9.4731999999999997E-2</v>
      </c>
      <c r="M470">
        <f>DigDir!N470</f>
        <v>46.4</v>
      </c>
      <c r="O470">
        <f>ABS(L470-DigDir!$C$34)</f>
        <v>4.9285025658951405</v>
      </c>
      <c r="P470">
        <f t="shared" si="7"/>
        <v>46.4</v>
      </c>
    </row>
    <row r="471" spans="10:16">
      <c r="J471" s="5"/>
      <c r="L471">
        <f>DigDir!M471</f>
        <v>-9.4731999999999997E-2</v>
      </c>
      <c r="M471">
        <f>DigDir!N471</f>
        <v>46.5</v>
      </c>
      <c r="O471">
        <f>ABS(L471-DigDir!$C$34)</f>
        <v>4.9285025658951405</v>
      </c>
      <c r="P471">
        <f t="shared" si="7"/>
        <v>46.5</v>
      </c>
    </row>
    <row r="472" spans="10:16">
      <c r="J472" s="5"/>
      <c r="L472">
        <f>DigDir!M472</f>
        <v>-9.4731999999999997E-2</v>
      </c>
      <c r="M472">
        <f>DigDir!N472</f>
        <v>46.6</v>
      </c>
      <c r="O472">
        <f>ABS(L472-DigDir!$C$34)</f>
        <v>4.9285025658951405</v>
      </c>
      <c r="P472">
        <f t="shared" si="7"/>
        <v>46.6</v>
      </c>
    </row>
    <row r="473" spans="10:16">
      <c r="J473" s="5"/>
      <c r="L473">
        <f>DigDir!M473</f>
        <v>-9.4731999999999997E-2</v>
      </c>
      <c r="M473">
        <f>DigDir!N473</f>
        <v>46.7</v>
      </c>
      <c r="O473">
        <f>ABS(L473-DigDir!$C$34)</f>
        <v>4.9285025658951405</v>
      </c>
      <c r="P473">
        <f t="shared" si="7"/>
        <v>46.7</v>
      </c>
    </row>
    <row r="474" spans="10:16">
      <c r="J474" s="5"/>
      <c r="L474">
        <f>DigDir!M474</f>
        <v>-9.4731999999999997E-2</v>
      </c>
      <c r="M474">
        <f>DigDir!N474</f>
        <v>46.8</v>
      </c>
      <c r="O474">
        <f>ABS(L474-DigDir!$C$34)</f>
        <v>4.9285025658951405</v>
      </c>
      <c r="P474">
        <f t="shared" si="7"/>
        <v>46.8</v>
      </c>
    </row>
    <row r="475" spans="10:16">
      <c r="J475" s="5"/>
      <c r="L475">
        <f>DigDir!M475</f>
        <v>-9.4731999999999997E-2</v>
      </c>
      <c r="M475">
        <f>DigDir!N475</f>
        <v>46.9</v>
      </c>
      <c r="O475">
        <f>ABS(L475-DigDir!$C$34)</f>
        <v>4.9285025658951405</v>
      </c>
      <c r="P475">
        <f t="shared" si="7"/>
        <v>46.9</v>
      </c>
    </row>
    <row r="476" spans="10:16">
      <c r="J476" s="5"/>
      <c r="L476">
        <f>DigDir!M476</f>
        <v>-9.4731999999999997E-2</v>
      </c>
      <c r="M476">
        <f>DigDir!N476</f>
        <v>47</v>
      </c>
      <c r="O476">
        <f>ABS(L476-DigDir!$C$34)</f>
        <v>4.9285025658951405</v>
      </c>
      <c r="P476">
        <f t="shared" si="7"/>
        <v>47</v>
      </c>
    </row>
    <row r="477" spans="10:16">
      <c r="J477" s="5"/>
      <c r="L477">
        <f>DigDir!M477</f>
        <v>-9.4731999999999997E-2</v>
      </c>
      <c r="M477">
        <f>DigDir!N477</f>
        <v>47.1</v>
      </c>
      <c r="O477">
        <f>ABS(L477-DigDir!$C$34)</f>
        <v>4.9285025658951405</v>
      </c>
      <c r="P477">
        <f t="shared" si="7"/>
        <v>47.1</v>
      </c>
    </row>
    <row r="478" spans="10:16">
      <c r="J478" s="5"/>
      <c r="L478">
        <f>DigDir!M478</f>
        <v>-9.4731999999999997E-2</v>
      </c>
      <c r="M478">
        <f>DigDir!N478</f>
        <v>47.2</v>
      </c>
      <c r="O478">
        <f>ABS(L478-DigDir!$C$34)</f>
        <v>4.9285025658951405</v>
      </c>
      <c r="P478">
        <f t="shared" si="7"/>
        <v>47.2</v>
      </c>
    </row>
    <row r="479" spans="10:16">
      <c r="J479" s="5"/>
      <c r="L479">
        <f>DigDir!M479</f>
        <v>-9.4731999999999997E-2</v>
      </c>
      <c r="M479">
        <f>DigDir!N479</f>
        <v>47.3</v>
      </c>
      <c r="O479">
        <f>ABS(L479-DigDir!$C$34)</f>
        <v>4.9285025658951405</v>
      </c>
      <c r="P479">
        <f t="shared" si="7"/>
        <v>47.3</v>
      </c>
    </row>
    <row r="480" spans="10:16">
      <c r="J480" s="5"/>
      <c r="L480">
        <f>DigDir!M480</f>
        <v>-9.4731999999999997E-2</v>
      </c>
      <c r="M480">
        <f>DigDir!N480</f>
        <v>47.4</v>
      </c>
      <c r="O480">
        <f>ABS(L480-DigDir!$C$34)</f>
        <v>4.9285025658951405</v>
      </c>
      <c r="P480">
        <f t="shared" si="7"/>
        <v>47.4</v>
      </c>
    </row>
    <row r="481" spans="10:16">
      <c r="J481" s="5"/>
      <c r="L481">
        <f>DigDir!M481</f>
        <v>-9.4731999999999997E-2</v>
      </c>
      <c r="M481">
        <f>DigDir!N481</f>
        <v>47.5</v>
      </c>
      <c r="O481">
        <f>ABS(L481-DigDir!$C$34)</f>
        <v>4.9285025658951405</v>
      </c>
      <c r="P481">
        <f t="shared" si="7"/>
        <v>47.5</v>
      </c>
    </row>
    <row r="482" spans="10:16">
      <c r="J482" s="5"/>
      <c r="L482">
        <f>DigDir!M482</f>
        <v>-9.4731999999999997E-2</v>
      </c>
      <c r="M482">
        <f>DigDir!N482</f>
        <v>47.6</v>
      </c>
      <c r="O482">
        <f>ABS(L482-DigDir!$C$34)</f>
        <v>4.9285025658951405</v>
      </c>
      <c r="P482">
        <f t="shared" si="7"/>
        <v>47.6</v>
      </c>
    </row>
    <row r="483" spans="10:16">
      <c r="J483" s="5"/>
      <c r="L483">
        <f>DigDir!M483</f>
        <v>-9.4731999999999997E-2</v>
      </c>
      <c r="M483">
        <f>DigDir!N483</f>
        <v>47.7</v>
      </c>
      <c r="O483">
        <f>ABS(L483-DigDir!$C$34)</f>
        <v>4.9285025658951405</v>
      </c>
      <c r="P483">
        <f t="shared" si="7"/>
        <v>47.7</v>
      </c>
    </row>
    <row r="484" spans="10:16">
      <c r="J484" s="5"/>
      <c r="L484">
        <f>DigDir!M484</f>
        <v>-9.4731999999999997E-2</v>
      </c>
      <c r="M484">
        <f>DigDir!N484</f>
        <v>47.8</v>
      </c>
      <c r="O484">
        <f>ABS(L484-DigDir!$C$34)</f>
        <v>4.9285025658951405</v>
      </c>
      <c r="P484">
        <f t="shared" si="7"/>
        <v>47.8</v>
      </c>
    </row>
    <row r="485" spans="10:16">
      <c r="J485" s="5"/>
      <c r="L485">
        <f>DigDir!M485</f>
        <v>-9.4731999999999997E-2</v>
      </c>
      <c r="M485">
        <f>DigDir!N485</f>
        <v>47.9</v>
      </c>
      <c r="O485">
        <f>ABS(L485-DigDir!$C$34)</f>
        <v>4.9285025658951405</v>
      </c>
      <c r="P485">
        <f t="shared" si="7"/>
        <v>47.9</v>
      </c>
    </row>
    <row r="486" spans="10:16">
      <c r="J486" s="5"/>
      <c r="L486">
        <f>DigDir!M486</f>
        <v>-9.4731999999999997E-2</v>
      </c>
      <c r="M486">
        <f>DigDir!N486</f>
        <v>48</v>
      </c>
      <c r="O486">
        <f>ABS(L486-DigDir!$C$34)</f>
        <v>4.9285025658951405</v>
      </c>
      <c r="P486">
        <f t="shared" si="7"/>
        <v>48</v>
      </c>
    </row>
    <row r="487" spans="10:16">
      <c r="J487" s="5"/>
      <c r="L487">
        <f>DigDir!M487</f>
        <v>-9.4731999999999997E-2</v>
      </c>
      <c r="M487">
        <f>DigDir!N487</f>
        <v>48.1</v>
      </c>
      <c r="O487">
        <f>ABS(L487-DigDir!$C$34)</f>
        <v>4.9285025658951405</v>
      </c>
      <c r="P487">
        <f t="shared" si="7"/>
        <v>48.1</v>
      </c>
    </row>
    <row r="488" spans="10:16">
      <c r="J488" s="5"/>
      <c r="L488">
        <f>DigDir!M488</f>
        <v>-9.4731999999999997E-2</v>
      </c>
      <c r="M488">
        <f>DigDir!N488</f>
        <v>48.2</v>
      </c>
      <c r="O488">
        <f>ABS(L488-DigDir!$C$34)</f>
        <v>4.9285025658951405</v>
      </c>
      <c r="P488">
        <f t="shared" si="7"/>
        <v>48.2</v>
      </c>
    </row>
    <row r="489" spans="10:16">
      <c r="J489" s="5"/>
      <c r="L489">
        <f>DigDir!M489</f>
        <v>-9.4731999999999997E-2</v>
      </c>
      <c r="M489">
        <f>DigDir!N489</f>
        <v>48.3</v>
      </c>
      <c r="O489">
        <f>ABS(L489-DigDir!$C$34)</f>
        <v>4.9285025658951405</v>
      </c>
      <c r="P489">
        <f t="shared" si="7"/>
        <v>48.3</v>
      </c>
    </row>
    <row r="490" spans="10:16">
      <c r="J490" s="5"/>
      <c r="L490">
        <f>DigDir!M490</f>
        <v>-9.4731999999999997E-2</v>
      </c>
      <c r="M490">
        <f>DigDir!N490</f>
        <v>48.4</v>
      </c>
      <c r="O490">
        <f>ABS(L490-DigDir!$C$34)</f>
        <v>4.9285025658951405</v>
      </c>
      <c r="P490">
        <f t="shared" si="7"/>
        <v>48.4</v>
      </c>
    </row>
    <row r="491" spans="10:16">
      <c r="J491" s="5"/>
      <c r="L491">
        <f>DigDir!M491</f>
        <v>-9.4731999999999997E-2</v>
      </c>
      <c r="M491">
        <f>DigDir!N491</f>
        <v>48.5</v>
      </c>
      <c r="O491">
        <f>ABS(L491-DigDir!$C$34)</f>
        <v>4.9285025658951405</v>
      </c>
      <c r="P491">
        <f t="shared" si="7"/>
        <v>48.5</v>
      </c>
    </row>
    <row r="492" spans="10:16">
      <c r="J492" s="5"/>
      <c r="L492">
        <f>DigDir!M492</f>
        <v>-9.4731999999999997E-2</v>
      </c>
      <c r="M492">
        <f>DigDir!N492</f>
        <v>48.6</v>
      </c>
      <c r="O492">
        <f>ABS(L492-DigDir!$C$34)</f>
        <v>4.9285025658951405</v>
      </c>
      <c r="P492">
        <f t="shared" si="7"/>
        <v>48.6</v>
      </c>
    </row>
    <row r="493" spans="10:16">
      <c r="J493" s="5"/>
      <c r="L493">
        <f>DigDir!M493</f>
        <v>-9.4731999999999997E-2</v>
      </c>
      <c r="M493">
        <f>DigDir!N493</f>
        <v>48.7</v>
      </c>
      <c r="O493">
        <f>ABS(L493-DigDir!$C$34)</f>
        <v>4.9285025658951405</v>
      </c>
      <c r="P493">
        <f t="shared" si="7"/>
        <v>48.7</v>
      </c>
    </row>
    <row r="494" spans="10:16">
      <c r="J494" s="5"/>
      <c r="L494">
        <f>DigDir!M494</f>
        <v>-9.4731999999999997E-2</v>
      </c>
      <c r="M494">
        <f>DigDir!N494</f>
        <v>48.8</v>
      </c>
      <c r="O494">
        <f>ABS(L494-DigDir!$C$34)</f>
        <v>4.9285025658951405</v>
      </c>
      <c r="P494">
        <f t="shared" si="7"/>
        <v>48.8</v>
      </c>
    </row>
    <row r="495" spans="10:16">
      <c r="J495" s="5"/>
      <c r="L495">
        <f>DigDir!M495</f>
        <v>-9.4731999999999997E-2</v>
      </c>
      <c r="M495">
        <f>DigDir!N495</f>
        <v>48.9</v>
      </c>
      <c r="O495">
        <f>ABS(L495-DigDir!$C$34)</f>
        <v>4.9285025658951405</v>
      </c>
      <c r="P495">
        <f t="shared" si="7"/>
        <v>48.9</v>
      </c>
    </row>
    <row r="496" spans="10:16">
      <c r="J496" s="5"/>
      <c r="L496">
        <f>DigDir!M496</f>
        <v>-9.4731999999999997E-2</v>
      </c>
      <c r="M496">
        <f>DigDir!N496</f>
        <v>49</v>
      </c>
      <c r="O496">
        <f>ABS(L496-DigDir!$C$34)</f>
        <v>4.9285025658951405</v>
      </c>
      <c r="P496">
        <f t="shared" si="7"/>
        <v>49</v>
      </c>
    </row>
    <row r="497" spans="10:16">
      <c r="J497" s="5"/>
      <c r="L497">
        <f>DigDir!M497</f>
        <v>-9.4731999999999997E-2</v>
      </c>
      <c r="M497">
        <f>DigDir!N497</f>
        <v>49.1</v>
      </c>
      <c r="O497">
        <f>ABS(L497-DigDir!$C$34)</f>
        <v>4.9285025658951405</v>
      </c>
      <c r="P497">
        <f t="shared" si="7"/>
        <v>49.1</v>
      </c>
    </row>
    <row r="498" spans="10:16">
      <c r="J498" s="5"/>
      <c r="L498">
        <f>DigDir!M498</f>
        <v>-9.4731999999999997E-2</v>
      </c>
      <c r="M498">
        <f>DigDir!N498</f>
        <v>49.2</v>
      </c>
      <c r="O498">
        <f>ABS(L498-DigDir!$C$34)</f>
        <v>4.9285025658951405</v>
      </c>
      <c r="P498">
        <f t="shared" si="7"/>
        <v>49.2</v>
      </c>
    </row>
    <row r="499" spans="10:16">
      <c r="J499" s="5"/>
      <c r="L499">
        <f>DigDir!M499</f>
        <v>-9.4731999999999997E-2</v>
      </c>
      <c r="M499">
        <f>DigDir!N499</f>
        <v>49.3</v>
      </c>
      <c r="O499">
        <f>ABS(L499-DigDir!$C$34)</f>
        <v>4.9285025658951405</v>
      </c>
      <c r="P499">
        <f t="shared" si="7"/>
        <v>49.3</v>
      </c>
    </row>
    <row r="500" spans="10:16">
      <c r="J500" s="5"/>
      <c r="L500">
        <f>DigDir!M500</f>
        <v>-9.4731999999999997E-2</v>
      </c>
      <c r="M500">
        <f>DigDir!N500</f>
        <v>49.4</v>
      </c>
      <c r="O500">
        <f>ABS(L500-DigDir!$C$34)</f>
        <v>4.9285025658951405</v>
      </c>
      <c r="P500">
        <f t="shared" si="7"/>
        <v>49.4</v>
      </c>
    </row>
    <row r="501" spans="10:16">
      <c r="J501" s="5"/>
      <c r="L501">
        <f>DigDir!M501</f>
        <v>-9.4731999999999997E-2</v>
      </c>
      <c r="M501">
        <f>DigDir!N501</f>
        <v>49.5</v>
      </c>
      <c r="O501">
        <f>ABS(L501-DigDir!$C$34)</f>
        <v>4.9285025658951405</v>
      </c>
      <c r="P501">
        <f t="shared" si="7"/>
        <v>49.5</v>
      </c>
    </row>
    <row r="502" spans="10:16">
      <c r="J502" s="5"/>
      <c r="L502">
        <f>DigDir!M502</f>
        <v>-9.4731999999999997E-2</v>
      </c>
      <c r="M502">
        <f>DigDir!N502</f>
        <v>49.6</v>
      </c>
      <c r="O502">
        <f>ABS(L502-DigDir!$C$34)</f>
        <v>4.9285025658951405</v>
      </c>
      <c r="P502">
        <f t="shared" si="7"/>
        <v>49.6</v>
      </c>
    </row>
    <row r="503" spans="10:16">
      <c r="J503" s="5"/>
      <c r="L503">
        <f>DigDir!M503</f>
        <v>-9.4731999999999997E-2</v>
      </c>
      <c r="M503">
        <f>DigDir!N503</f>
        <v>49.7</v>
      </c>
      <c r="O503">
        <f>ABS(L503-DigDir!$C$34)</f>
        <v>4.9285025658951405</v>
      </c>
      <c r="P503">
        <f t="shared" si="7"/>
        <v>49.7</v>
      </c>
    </row>
    <row r="504" spans="10:16">
      <c r="J504" s="5"/>
      <c r="L504">
        <f>DigDir!M504</f>
        <v>-9.4731999999999997E-2</v>
      </c>
      <c r="M504">
        <f>DigDir!N504</f>
        <v>49.8</v>
      </c>
      <c r="O504">
        <f>ABS(L504-DigDir!$C$34)</f>
        <v>4.9285025658951405</v>
      </c>
      <c r="P504">
        <f t="shared" si="7"/>
        <v>49.8</v>
      </c>
    </row>
    <row r="505" spans="10:16">
      <c r="J505" s="5"/>
      <c r="L505">
        <f>DigDir!M505</f>
        <v>-9.4731999999999997E-2</v>
      </c>
      <c r="M505">
        <f>DigDir!N505</f>
        <v>49.9</v>
      </c>
      <c r="O505">
        <f>ABS(L505-DigDir!$C$34)</f>
        <v>4.9285025658951405</v>
      </c>
      <c r="P505">
        <f t="shared" si="7"/>
        <v>49.9</v>
      </c>
    </row>
    <row r="506" spans="10:16">
      <c r="J506" s="5"/>
      <c r="L506">
        <f>DigDir!M506</f>
        <v>-9.4731999999999997E-2</v>
      </c>
      <c r="M506">
        <f>DigDir!N506</f>
        <v>50</v>
      </c>
      <c r="O506">
        <f>ABS(L506-DigDir!$C$34)</f>
        <v>4.9285025658951405</v>
      </c>
      <c r="P506">
        <f t="shared" si="7"/>
        <v>50</v>
      </c>
    </row>
    <row r="507" spans="10:16">
      <c r="J507" s="5"/>
      <c r="L507">
        <f>DigDir!M507</f>
        <v>-9.4731999999999997E-2</v>
      </c>
      <c r="M507">
        <f>DigDir!N507</f>
        <v>50.1</v>
      </c>
      <c r="O507">
        <f>ABS(L507-DigDir!$C$34)</f>
        <v>4.9285025658951405</v>
      </c>
      <c r="P507">
        <f t="shared" si="7"/>
        <v>50.1</v>
      </c>
    </row>
    <row r="508" spans="10:16">
      <c r="J508" s="5"/>
      <c r="L508">
        <f>DigDir!M508</f>
        <v>-9.4731999999999997E-2</v>
      </c>
      <c r="M508">
        <f>DigDir!N508</f>
        <v>50.2</v>
      </c>
      <c r="O508">
        <f>ABS(L508-DigDir!$C$34)</f>
        <v>4.9285025658951405</v>
      </c>
      <c r="P508">
        <f t="shared" si="7"/>
        <v>50.2</v>
      </c>
    </row>
    <row r="509" spans="10:16">
      <c r="J509" s="5"/>
      <c r="L509">
        <f>DigDir!M509</f>
        <v>-9.4731999999999997E-2</v>
      </c>
      <c r="M509">
        <f>DigDir!N509</f>
        <v>50.3</v>
      </c>
      <c r="O509">
        <f>ABS(L509-DigDir!$C$34)</f>
        <v>4.9285025658951405</v>
      </c>
      <c r="P509">
        <f t="shared" si="7"/>
        <v>50.3</v>
      </c>
    </row>
    <row r="510" spans="10:16">
      <c r="J510" s="5"/>
      <c r="L510">
        <f>DigDir!M510</f>
        <v>-9.4731999999999997E-2</v>
      </c>
      <c r="M510">
        <f>DigDir!N510</f>
        <v>50.4</v>
      </c>
      <c r="O510">
        <f>ABS(L510-DigDir!$C$34)</f>
        <v>4.9285025658951405</v>
      </c>
      <c r="P510">
        <f t="shared" si="7"/>
        <v>50.4</v>
      </c>
    </row>
    <row r="511" spans="10:16">
      <c r="J511" s="5"/>
      <c r="L511">
        <f>DigDir!M511</f>
        <v>-9.4731999999999997E-2</v>
      </c>
      <c r="M511">
        <f>DigDir!N511</f>
        <v>50.5</v>
      </c>
      <c r="O511">
        <f>ABS(L511-DigDir!$C$34)</f>
        <v>4.9285025658951405</v>
      </c>
      <c r="P511">
        <f t="shared" si="7"/>
        <v>50.5</v>
      </c>
    </row>
    <row r="512" spans="10:16">
      <c r="J512" s="5"/>
      <c r="L512">
        <f>DigDir!M512</f>
        <v>-9.4731999999999997E-2</v>
      </c>
      <c r="M512">
        <f>DigDir!N512</f>
        <v>50.6</v>
      </c>
      <c r="O512">
        <f>ABS(L512-DigDir!$C$34)</f>
        <v>4.9285025658951405</v>
      </c>
      <c r="P512">
        <f t="shared" si="7"/>
        <v>50.6</v>
      </c>
    </row>
    <row r="513" spans="10:16">
      <c r="J513" s="5"/>
      <c r="L513">
        <f>DigDir!M513</f>
        <v>-9.4731999999999997E-2</v>
      </c>
      <c r="M513">
        <f>DigDir!N513</f>
        <v>50.7</v>
      </c>
      <c r="O513">
        <f>ABS(L513-DigDir!$C$34)</f>
        <v>4.9285025658951405</v>
      </c>
      <c r="P513">
        <f t="shared" si="7"/>
        <v>50.7</v>
      </c>
    </row>
    <row r="514" spans="10:16">
      <c r="J514" s="5"/>
      <c r="L514">
        <f>DigDir!M514</f>
        <v>-9.4731999999999997E-2</v>
      </c>
      <c r="M514">
        <f>DigDir!N514</f>
        <v>50.8</v>
      </c>
      <c r="O514">
        <f>ABS(L514-DigDir!$C$34)</f>
        <v>4.9285025658951405</v>
      </c>
      <c r="P514">
        <f t="shared" si="7"/>
        <v>50.8</v>
      </c>
    </row>
    <row r="515" spans="10:16">
      <c r="J515" s="5"/>
      <c r="L515">
        <f>DigDir!M515</f>
        <v>-9.4731999999999997E-2</v>
      </c>
      <c r="M515">
        <f>DigDir!N515</f>
        <v>50.9</v>
      </c>
      <c r="O515">
        <f>ABS(L515-DigDir!$C$34)</f>
        <v>4.9285025658951405</v>
      </c>
      <c r="P515">
        <f t="shared" si="7"/>
        <v>50.9</v>
      </c>
    </row>
    <row r="516" spans="10:16">
      <c r="J516" s="5"/>
      <c r="L516">
        <f>DigDir!M516</f>
        <v>-9.4731999999999997E-2</v>
      </c>
      <c r="M516">
        <f>DigDir!N516</f>
        <v>51</v>
      </c>
      <c r="O516">
        <f>ABS(L516-DigDir!$C$34)</f>
        <v>4.9285025658951405</v>
      </c>
      <c r="P516">
        <f t="shared" si="7"/>
        <v>51</v>
      </c>
    </row>
    <row r="517" spans="10:16">
      <c r="J517" s="5"/>
      <c r="L517">
        <f>DigDir!M517</f>
        <v>-9.4731999999999997E-2</v>
      </c>
      <c r="M517">
        <f>DigDir!N517</f>
        <v>51.1</v>
      </c>
      <c r="O517">
        <f>ABS(L517-DigDir!$C$34)</f>
        <v>4.9285025658951405</v>
      </c>
      <c r="P517">
        <f t="shared" si="7"/>
        <v>51.1</v>
      </c>
    </row>
    <row r="518" spans="10:16">
      <c r="J518" s="5"/>
      <c r="L518">
        <f>DigDir!M518</f>
        <v>-9.4731999999999997E-2</v>
      </c>
      <c r="M518">
        <f>DigDir!N518</f>
        <v>51.2</v>
      </c>
      <c r="O518">
        <f>ABS(L518-DigDir!$C$34)</f>
        <v>4.9285025658951405</v>
      </c>
      <c r="P518">
        <f t="shared" si="7"/>
        <v>51.2</v>
      </c>
    </row>
    <row r="519" spans="10:16">
      <c r="J519" s="5"/>
      <c r="L519">
        <f>DigDir!M519</f>
        <v>-9.4731999999999997E-2</v>
      </c>
      <c r="M519">
        <f>DigDir!N519</f>
        <v>51.3</v>
      </c>
      <c r="O519">
        <f>ABS(L519-DigDir!$C$34)</f>
        <v>4.9285025658951405</v>
      </c>
      <c r="P519">
        <f t="shared" ref="P519:P582" si="8">M519</f>
        <v>51.3</v>
      </c>
    </row>
    <row r="520" spans="10:16">
      <c r="J520" s="5"/>
      <c r="L520">
        <f>DigDir!M520</f>
        <v>-9.4731999999999997E-2</v>
      </c>
      <c r="M520">
        <f>DigDir!N520</f>
        <v>51.4</v>
      </c>
      <c r="O520">
        <f>ABS(L520-DigDir!$C$34)</f>
        <v>4.9285025658951405</v>
      </c>
      <c r="P520">
        <f t="shared" si="8"/>
        <v>51.4</v>
      </c>
    </row>
    <row r="521" spans="10:16">
      <c r="J521" s="5"/>
      <c r="L521">
        <f>DigDir!M521</f>
        <v>-9.4731999999999997E-2</v>
      </c>
      <c r="M521">
        <f>DigDir!N521</f>
        <v>51.5</v>
      </c>
      <c r="O521">
        <f>ABS(L521-DigDir!$C$34)</f>
        <v>4.9285025658951405</v>
      </c>
      <c r="P521">
        <f t="shared" si="8"/>
        <v>51.5</v>
      </c>
    </row>
    <row r="522" spans="10:16">
      <c r="J522" s="5"/>
      <c r="L522">
        <f>DigDir!M522</f>
        <v>-9.4731999999999997E-2</v>
      </c>
      <c r="M522">
        <f>DigDir!N522</f>
        <v>51.6</v>
      </c>
      <c r="O522">
        <f>ABS(L522-DigDir!$C$34)</f>
        <v>4.9285025658951405</v>
      </c>
      <c r="P522">
        <f t="shared" si="8"/>
        <v>51.6</v>
      </c>
    </row>
    <row r="523" spans="10:16">
      <c r="J523" s="5"/>
      <c r="L523">
        <f>DigDir!M523</f>
        <v>-9.4731999999999997E-2</v>
      </c>
      <c r="M523">
        <f>DigDir!N523</f>
        <v>51.7</v>
      </c>
      <c r="O523">
        <f>ABS(L523-DigDir!$C$34)</f>
        <v>4.9285025658951405</v>
      </c>
      <c r="P523">
        <f t="shared" si="8"/>
        <v>51.7</v>
      </c>
    </row>
    <row r="524" spans="10:16">
      <c r="J524" s="5"/>
      <c r="L524">
        <f>DigDir!M524</f>
        <v>-9.4731999999999997E-2</v>
      </c>
      <c r="M524">
        <f>DigDir!N524</f>
        <v>51.8</v>
      </c>
      <c r="O524">
        <f>ABS(L524-DigDir!$C$34)</f>
        <v>4.9285025658951405</v>
      </c>
      <c r="P524">
        <f t="shared" si="8"/>
        <v>51.8</v>
      </c>
    </row>
    <row r="525" spans="10:16">
      <c r="J525" s="5"/>
      <c r="L525">
        <f>DigDir!M525</f>
        <v>-9.4731999999999997E-2</v>
      </c>
      <c r="M525">
        <f>DigDir!N525</f>
        <v>51.9</v>
      </c>
      <c r="O525">
        <f>ABS(L525-DigDir!$C$34)</f>
        <v>4.9285025658951405</v>
      </c>
      <c r="P525">
        <f t="shared" si="8"/>
        <v>51.9</v>
      </c>
    </row>
    <row r="526" spans="10:16">
      <c r="J526" s="5"/>
      <c r="L526">
        <f>DigDir!M526</f>
        <v>-9.4731999999999997E-2</v>
      </c>
      <c r="M526">
        <f>DigDir!N526</f>
        <v>52</v>
      </c>
      <c r="O526">
        <f>ABS(L526-DigDir!$C$34)</f>
        <v>4.9285025658951405</v>
      </c>
      <c r="P526">
        <f t="shared" si="8"/>
        <v>52</v>
      </c>
    </row>
    <row r="527" spans="10:16">
      <c r="J527" s="5"/>
      <c r="L527">
        <f>DigDir!M527</f>
        <v>-9.4731999999999997E-2</v>
      </c>
      <c r="M527">
        <f>DigDir!N527</f>
        <v>52.1</v>
      </c>
      <c r="O527">
        <f>ABS(L527-DigDir!$C$34)</f>
        <v>4.9285025658951405</v>
      </c>
      <c r="P527">
        <f t="shared" si="8"/>
        <v>52.1</v>
      </c>
    </row>
    <row r="528" spans="10:16">
      <c r="J528" s="5"/>
      <c r="L528">
        <f>DigDir!M528</f>
        <v>-9.4731999999999997E-2</v>
      </c>
      <c r="M528">
        <f>DigDir!N528</f>
        <v>52.2</v>
      </c>
      <c r="O528">
        <f>ABS(L528-DigDir!$C$34)</f>
        <v>4.9285025658951405</v>
      </c>
      <c r="P528">
        <f t="shared" si="8"/>
        <v>52.2</v>
      </c>
    </row>
    <row r="529" spans="10:16">
      <c r="J529" s="5"/>
      <c r="L529">
        <f>DigDir!M529</f>
        <v>-9.4731999999999997E-2</v>
      </c>
      <c r="M529">
        <f>DigDir!N529</f>
        <v>52.3</v>
      </c>
      <c r="O529">
        <f>ABS(L529-DigDir!$C$34)</f>
        <v>4.9285025658951405</v>
      </c>
      <c r="P529">
        <f t="shared" si="8"/>
        <v>52.3</v>
      </c>
    </row>
    <row r="530" spans="10:16">
      <c r="J530" s="5"/>
      <c r="L530">
        <f>DigDir!M530</f>
        <v>-9.4731999999999997E-2</v>
      </c>
      <c r="M530">
        <f>DigDir!N530</f>
        <v>52.4</v>
      </c>
      <c r="O530">
        <f>ABS(L530-DigDir!$C$34)</f>
        <v>4.9285025658951405</v>
      </c>
      <c r="P530">
        <f t="shared" si="8"/>
        <v>52.4</v>
      </c>
    </row>
    <row r="531" spans="10:16">
      <c r="J531" s="5"/>
      <c r="L531">
        <f>DigDir!M531</f>
        <v>-9.4731999999999997E-2</v>
      </c>
      <c r="M531">
        <f>DigDir!N531</f>
        <v>52.5</v>
      </c>
      <c r="O531">
        <f>ABS(L531-DigDir!$C$34)</f>
        <v>4.9285025658951405</v>
      </c>
      <c r="P531">
        <f t="shared" si="8"/>
        <v>52.5</v>
      </c>
    </row>
    <row r="532" spans="10:16">
      <c r="J532" s="5"/>
      <c r="L532">
        <f>DigDir!M532</f>
        <v>-9.4731999999999997E-2</v>
      </c>
      <c r="M532">
        <f>DigDir!N532</f>
        <v>52.6</v>
      </c>
      <c r="O532">
        <f>ABS(L532-DigDir!$C$34)</f>
        <v>4.9285025658951405</v>
      </c>
      <c r="P532">
        <f t="shared" si="8"/>
        <v>52.6</v>
      </c>
    </row>
    <row r="533" spans="10:16">
      <c r="J533" s="5"/>
      <c r="L533">
        <f>DigDir!M533</f>
        <v>-9.4731999999999997E-2</v>
      </c>
      <c r="M533">
        <f>DigDir!N533</f>
        <v>52.7</v>
      </c>
      <c r="O533">
        <f>ABS(L533-DigDir!$C$34)</f>
        <v>4.9285025658951405</v>
      </c>
      <c r="P533">
        <f t="shared" si="8"/>
        <v>52.7</v>
      </c>
    </row>
    <row r="534" spans="10:16">
      <c r="J534" s="5"/>
      <c r="L534">
        <f>DigDir!M534</f>
        <v>-9.4731999999999997E-2</v>
      </c>
      <c r="M534">
        <f>DigDir!N534</f>
        <v>52.8</v>
      </c>
      <c r="O534">
        <f>ABS(L534-DigDir!$C$34)</f>
        <v>4.9285025658951405</v>
      </c>
      <c r="P534">
        <f t="shared" si="8"/>
        <v>52.8</v>
      </c>
    </row>
    <row r="535" spans="10:16">
      <c r="J535" s="5"/>
      <c r="L535">
        <f>DigDir!M535</f>
        <v>-9.4731999999999997E-2</v>
      </c>
      <c r="M535">
        <f>DigDir!N535</f>
        <v>52.9</v>
      </c>
      <c r="O535">
        <f>ABS(L535-DigDir!$C$34)</f>
        <v>4.9285025658951405</v>
      </c>
      <c r="P535">
        <f t="shared" si="8"/>
        <v>52.9</v>
      </c>
    </row>
    <row r="536" spans="10:16">
      <c r="J536" s="5"/>
      <c r="L536">
        <f>DigDir!M536</f>
        <v>-9.4731999999999997E-2</v>
      </c>
      <c r="M536">
        <f>DigDir!N536</f>
        <v>53</v>
      </c>
      <c r="O536">
        <f>ABS(L536-DigDir!$C$34)</f>
        <v>4.9285025658951405</v>
      </c>
      <c r="P536">
        <f t="shared" si="8"/>
        <v>53</v>
      </c>
    </row>
    <row r="537" spans="10:16">
      <c r="J537" s="5"/>
      <c r="L537">
        <f>DigDir!M537</f>
        <v>-9.4731999999999997E-2</v>
      </c>
      <c r="M537">
        <f>DigDir!N537</f>
        <v>53.1</v>
      </c>
      <c r="O537">
        <f>ABS(L537-DigDir!$C$34)</f>
        <v>4.9285025658951405</v>
      </c>
      <c r="P537">
        <f t="shared" si="8"/>
        <v>53.1</v>
      </c>
    </row>
    <row r="538" spans="10:16">
      <c r="J538" s="5"/>
      <c r="L538">
        <f>DigDir!M538</f>
        <v>-9.4731999999999997E-2</v>
      </c>
      <c r="M538">
        <f>DigDir!N538</f>
        <v>53.2</v>
      </c>
      <c r="O538">
        <f>ABS(L538-DigDir!$C$34)</f>
        <v>4.9285025658951405</v>
      </c>
      <c r="P538">
        <f t="shared" si="8"/>
        <v>53.2</v>
      </c>
    </row>
    <row r="539" spans="10:16">
      <c r="J539" s="5"/>
      <c r="L539">
        <f>DigDir!M539</f>
        <v>-9.4731999999999997E-2</v>
      </c>
      <c r="M539">
        <f>DigDir!N539</f>
        <v>53.3</v>
      </c>
      <c r="O539">
        <f>ABS(L539-DigDir!$C$34)</f>
        <v>4.9285025658951405</v>
      </c>
      <c r="P539">
        <f t="shared" si="8"/>
        <v>53.3</v>
      </c>
    </row>
    <row r="540" spans="10:16">
      <c r="J540" s="5"/>
      <c r="L540">
        <f>DigDir!M540</f>
        <v>-9.4731999999999997E-2</v>
      </c>
      <c r="M540">
        <f>DigDir!N540</f>
        <v>53.4</v>
      </c>
      <c r="O540">
        <f>ABS(L540-DigDir!$C$34)</f>
        <v>4.9285025658951405</v>
      </c>
      <c r="P540">
        <f t="shared" si="8"/>
        <v>53.4</v>
      </c>
    </row>
    <row r="541" spans="10:16">
      <c r="J541" s="5"/>
      <c r="L541">
        <f>DigDir!M541</f>
        <v>-9.4731999999999997E-2</v>
      </c>
      <c r="M541">
        <f>DigDir!N541</f>
        <v>53.5</v>
      </c>
      <c r="O541">
        <f>ABS(L541-DigDir!$C$34)</f>
        <v>4.9285025658951405</v>
      </c>
      <c r="P541">
        <f t="shared" si="8"/>
        <v>53.5</v>
      </c>
    </row>
    <row r="542" spans="10:16">
      <c r="J542" s="5"/>
      <c r="L542">
        <f>DigDir!M542</f>
        <v>-9.4731999999999997E-2</v>
      </c>
      <c r="M542">
        <f>DigDir!N542</f>
        <v>53.6</v>
      </c>
      <c r="O542">
        <f>ABS(L542-DigDir!$C$34)</f>
        <v>4.9285025658951405</v>
      </c>
      <c r="P542">
        <f t="shared" si="8"/>
        <v>53.6</v>
      </c>
    </row>
    <row r="543" spans="10:16">
      <c r="J543" s="5"/>
      <c r="L543">
        <f>DigDir!M543</f>
        <v>-9.4731999999999997E-2</v>
      </c>
      <c r="M543">
        <f>DigDir!N543</f>
        <v>53.7</v>
      </c>
      <c r="O543">
        <f>ABS(L543-DigDir!$C$34)</f>
        <v>4.9285025658951405</v>
      </c>
      <c r="P543">
        <f t="shared" si="8"/>
        <v>53.7</v>
      </c>
    </row>
    <row r="544" spans="10:16">
      <c r="J544" s="5"/>
      <c r="L544">
        <f>DigDir!M544</f>
        <v>-9.4731999999999997E-2</v>
      </c>
      <c r="M544">
        <f>DigDir!N544</f>
        <v>53.8</v>
      </c>
      <c r="O544">
        <f>ABS(L544-DigDir!$C$34)</f>
        <v>4.9285025658951405</v>
      </c>
      <c r="P544">
        <f t="shared" si="8"/>
        <v>53.8</v>
      </c>
    </row>
    <row r="545" spans="10:16">
      <c r="J545" s="5"/>
      <c r="L545">
        <f>DigDir!M545</f>
        <v>-8.4202620999998798E-2</v>
      </c>
      <c r="M545">
        <f>DigDir!N545</f>
        <v>53.9</v>
      </c>
      <c r="O545">
        <f>ABS(L545-DigDir!$C$34)</f>
        <v>4.9390319448951416</v>
      </c>
      <c r="P545">
        <f t="shared" si="8"/>
        <v>53.9</v>
      </c>
    </row>
    <row r="546" spans="10:16">
      <c r="J546" s="5"/>
      <c r="L546">
        <f>DigDir!M546</f>
        <v>-6.4648059999998897E-2</v>
      </c>
      <c r="M546">
        <f>DigDir!N546</f>
        <v>54</v>
      </c>
      <c r="O546">
        <f>ABS(L546-DigDir!$C$34)</f>
        <v>4.9585865058951413</v>
      </c>
      <c r="P546">
        <f t="shared" si="8"/>
        <v>54</v>
      </c>
    </row>
    <row r="547" spans="10:16">
      <c r="J547" s="5"/>
      <c r="L547">
        <f>DigDir!M547</f>
        <v>-4.5093498999998899E-2</v>
      </c>
      <c r="M547">
        <f>DigDir!N547</f>
        <v>54.1</v>
      </c>
      <c r="O547">
        <f>ABS(L547-DigDir!$C$34)</f>
        <v>4.9781410668951409</v>
      </c>
      <c r="P547">
        <f t="shared" si="8"/>
        <v>54.1</v>
      </c>
    </row>
    <row r="548" spans="10:16">
      <c r="J548" s="5"/>
      <c r="L548">
        <f>DigDir!M548</f>
        <v>-3.9021E-2</v>
      </c>
      <c r="M548">
        <f>DigDir!N548</f>
        <v>54.2</v>
      </c>
      <c r="O548">
        <f>ABS(L548-DigDir!$C$34)</f>
        <v>4.9842135658951401</v>
      </c>
      <c r="P548">
        <f t="shared" si="8"/>
        <v>54.2</v>
      </c>
    </row>
    <row r="549" spans="10:16">
      <c r="J549" s="5"/>
      <c r="L549">
        <f>DigDir!M549</f>
        <v>-3.9021E-2</v>
      </c>
      <c r="M549">
        <f>DigDir!N549</f>
        <v>54.3</v>
      </c>
      <c r="O549">
        <f>ABS(L549-DigDir!$C$34)</f>
        <v>4.9842135658951401</v>
      </c>
      <c r="P549">
        <f t="shared" si="8"/>
        <v>54.3</v>
      </c>
    </row>
    <row r="550" spans="10:16">
      <c r="J550" s="5"/>
      <c r="L550">
        <f>DigDir!M550</f>
        <v>-3.9021E-2</v>
      </c>
      <c r="M550">
        <f>DigDir!N550</f>
        <v>54.4</v>
      </c>
      <c r="O550">
        <f>ABS(L550-DigDir!$C$34)</f>
        <v>4.9842135658951401</v>
      </c>
      <c r="P550">
        <f t="shared" si="8"/>
        <v>54.4</v>
      </c>
    </row>
    <row r="551" spans="10:16">
      <c r="J551" s="5"/>
      <c r="L551">
        <f>DigDir!M551</f>
        <v>-3.9021E-2</v>
      </c>
      <c r="M551">
        <f>DigDir!N551</f>
        <v>54.5</v>
      </c>
      <c r="O551">
        <f>ABS(L551-DigDir!$C$34)</f>
        <v>4.9842135658951401</v>
      </c>
      <c r="P551">
        <f t="shared" si="8"/>
        <v>54.5</v>
      </c>
    </row>
    <row r="552" spans="10:16">
      <c r="J552" s="5"/>
      <c r="L552">
        <f>DigDir!M552</f>
        <v>-3.9021E-2</v>
      </c>
      <c r="M552">
        <f>DigDir!N552</f>
        <v>54.6</v>
      </c>
      <c r="O552">
        <f>ABS(L552-DigDir!$C$34)</f>
        <v>4.9842135658951401</v>
      </c>
      <c r="P552">
        <f t="shared" si="8"/>
        <v>54.6</v>
      </c>
    </row>
    <row r="553" spans="10:16">
      <c r="J553" s="5"/>
      <c r="L553">
        <f>DigDir!M553</f>
        <v>-3.9021E-2</v>
      </c>
      <c r="M553">
        <f>DigDir!N553</f>
        <v>54.7</v>
      </c>
      <c r="O553">
        <f>ABS(L553-DigDir!$C$34)</f>
        <v>4.9842135658951401</v>
      </c>
      <c r="P553">
        <f t="shared" si="8"/>
        <v>54.7</v>
      </c>
    </row>
    <row r="554" spans="10:16">
      <c r="J554" s="5"/>
      <c r="L554">
        <f>DigDir!M554</f>
        <v>-3.9021E-2</v>
      </c>
      <c r="M554">
        <f>DigDir!N554</f>
        <v>54.8</v>
      </c>
      <c r="O554">
        <f>ABS(L554-DigDir!$C$34)</f>
        <v>4.9842135658951401</v>
      </c>
      <c r="P554">
        <f t="shared" si="8"/>
        <v>54.8</v>
      </c>
    </row>
    <row r="555" spans="10:16">
      <c r="J555" s="5"/>
      <c r="L555">
        <f>DigDir!M555</f>
        <v>-3.9021E-2</v>
      </c>
      <c r="M555">
        <f>DigDir!N555</f>
        <v>54.9</v>
      </c>
      <c r="O555">
        <f>ABS(L555-DigDir!$C$34)</f>
        <v>4.9842135658951401</v>
      </c>
      <c r="P555">
        <f t="shared" si="8"/>
        <v>54.9</v>
      </c>
    </row>
    <row r="556" spans="10:16">
      <c r="J556" s="5"/>
      <c r="L556">
        <f>DigDir!M556</f>
        <v>-3.62354999999994E-2</v>
      </c>
      <c r="M556">
        <f>DigDir!N556</f>
        <v>55</v>
      </c>
      <c r="O556">
        <f>ABS(L556-DigDir!$C$34)</f>
        <v>4.9869990658951409</v>
      </c>
      <c r="P556">
        <f t="shared" si="8"/>
        <v>55</v>
      </c>
    </row>
    <row r="557" spans="10:16">
      <c r="J557" s="5"/>
      <c r="L557">
        <f>DigDir!M557</f>
        <v>-1.6681289999999401E-2</v>
      </c>
      <c r="M557">
        <f>DigDir!N557</f>
        <v>55.1</v>
      </c>
      <c r="O557">
        <f>ABS(L557-DigDir!$C$34)</f>
        <v>5.0065532758951408</v>
      </c>
      <c r="P557">
        <f t="shared" si="8"/>
        <v>55.1</v>
      </c>
    </row>
    <row r="558" spans="10:16">
      <c r="J558" s="5"/>
      <c r="L558">
        <f>DigDir!M558</f>
        <v>2.8729200000005301E-3</v>
      </c>
      <c r="M558">
        <f>DigDir!N558</f>
        <v>55.2</v>
      </c>
      <c r="O558">
        <f>ABS(L558-DigDir!$C$34)</f>
        <v>5.0261074858951407</v>
      </c>
      <c r="P558">
        <f t="shared" si="8"/>
        <v>55.2</v>
      </c>
    </row>
    <row r="559" spans="10:16">
      <c r="J559" s="5"/>
      <c r="L559">
        <f>DigDir!M559</f>
        <v>1.6688999999999999E-2</v>
      </c>
      <c r="M559">
        <f>DigDir!N559</f>
        <v>55.3</v>
      </c>
      <c r="O559">
        <f>ABS(L559-DigDir!$C$34)</f>
        <v>5.0399235658951405</v>
      </c>
      <c r="P559">
        <f t="shared" si="8"/>
        <v>55.3</v>
      </c>
    </row>
    <row r="560" spans="10:16">
      <c r="J560" s="5"/>
      <c r="L560">
        <f>DigDir!M560</f>
        <v>1.6688999999999999E-2</v>
      </c>
      <c r="M560">
        <f>DigDir!N560</f>
        <v>55.4</v>
      </c>
      <c r="O560">
        <f>ABS(L560-DigDir!$C$34)</f>
        <v>5.0399235658951405</v>
      </c>
      <c r="P560">
        <f t="shared" si="8"/>
        <v>55.4</v>
      </c>
    </row>
    <row r="561" spans="10:16">
      <c r="J561" s="5"/>
      <c r="L561">
        <f>DigDir!M561</f>
        <v>1.6688999999999999E-2</v>
      </c>
      <c r="M561">
        <f>DigDir!N561</f>
        <v>55.5</v>
      </c>
      <c r="O561">
        <f>ABS(L561-DigDir!$C$34)</f>
        <v>5.0399235658951405</v>
      </c>
      <c r="P561">
        <f t="shared" si="8"/>
        <v>55.5</v>
      </c>
    </row>
    <row r="562" spans="10:16">
      <c r="J562" s="5"/>
      <c r="L562">
        <f>DigDir!M562</f>
        <v>1.6688999999999999E-2</v>
      </c>
      <c r="M562">
        <f>DigDir!N562</f>
        <v>55.6</v>
      </c>
      <c r="O562">
        <f>ABS(L562-DigDir!$C$34)</f>
        <v>5.0399235658951405</v>
      </c>
      <c r="P562">
        <f t="shared" si="8"/>
        <v>55.6</v>
      </c>
    </row>
    <row r="563" spans="10:16">
      <c r="J563" s="5"/>
      <c r="L563">
        <f>DigDir!M563</f>
        <v>1.6688999999999999E-2</v>
      </c>
      <c r="M563">
        <f>DigDir!N563</f>
        <v>55.7</v>
      </c>
      <c r="O563">
        <f>ABS(L563-DigDir!$C$34)</f>
        <v>5.0399235658951405</v>
      </c>
      <c r="P563">
        <f t="shared" si="8"/>
        <v>55.7</v>
      </c>
    </row>
    <row r="564" spans="10:16">
      <c r="J564" s="5"/>
      <c r="L564">
        <f>DigDir!M564</f>
        <v>1.6688999999999999E-2</v>
      </c>
      <c r="M564">
        <f>DigDir!N564</f>
        <v>55.8</v>
      </c>
      <c r="O564">
        <f>ABS(L564-DigDir!$C$34)</f>
        <v>5.0399235658951405</v>
      </c>
      <c r="P564">
        <f t="shared" si="8"/>
        <v>55.8</v>
      </c>
    </row>
    <row r="565" spans="10:16">
      <c r="J565" s="5"/>
      <c r="L565">
        <f>DigDir!M565</f>
        <v>2.83323900000018E-2</v>
      </c>
      <c r="M565">
        <f>DigDir!N565</f>
        <v>55.9</v>
      </c>
      <c r="O565">
        <f>ABS(L565-DigDir!$C$34)</f>
        <v>5.0515669558951419</v>
      </c>
      <c r="P565">
        <f t="shared" si="8"/>
        <v>55.9</v>
      </c>
    </row>
    <row r="566" spans="10:16">
      <c r="J566" s="5"/>
      <c r="L566">
        <f>DigDir!M566</f>
        <v>4.7886600000001701E-2</v>
      </c>
      <c r="M566">
        <f>DigDir!N566</f>
        <v>56</v>
      </c>
      <c r="O566">
        <f>ABS(L566-DigDir!$C$34)</f>
        <v>5.0711211658951418</v>
      </c>
      <c r="P566">
        <f t="shared" si="8"/>
        <v>56</v>
      </c>
    </row>
    <row r="567" spans="10:16">
      <c r="J567" s="5"/>
      <c r="L567">
        <f>DigDir!M567</f>
        <v>6.7440810000001697E-2</v>
      </c>
      <c r="M567">
        <f>DigDir!N567</f>
        <v>56.1</v>
      </c>
      <c r="O567">
        <f>ABS(L567-DigDir!$C$34)</f>
        <v>5.0906753758951417</v>
      </c>
      <c r="P567">
        <f t="shared" si="8"/>
        <v>56.1</v>
      </c>
    </row>
    <row r="568" spans="10:16">
      <c r="J568" s="5"/>
      <c r="L568">
        <f>DigDir!M568</f>
        <v>7.2399000000000005E-2</v>
      </c>
      <c r="M568">
        <f>DigDir!N568</f>
        <v>56.2</v>
      </c>
      <c r="O568">
        <f>ABS(L568-DigDir!$C$34)</f>
        <v>5.0956335658951399</v>
      </c>
      <c r="P568">
        <f t="shared" si="8"/>
        <v>56.2</v>
      </c>
    </row>
    <row r="569" spans="10:16">
      <c r="J569" s="5"/>
      <c r="L569">
        <f>DigDir!M569</f>
        <v>7.2399000000000005E-2</v>
      </c>
      <c r="M569">
        <f>DigDir!N569</f>
        <v>56.3</v>
      </c>
      <c r="O569">
        <f>ABS(L569-DigDir!$C$34)</f>
        <v>5.0956335658951399</v>
      </c>
      <c r="P569">
        <f t="shared" si="8"/>
        <v>56.3</v>
      </c>
    </row>
    <row r="570" spans="10:16">
      <c r="J570" s="5"/>
      <c r="L570">
        <f>DigDir!M570</f>
        <v>7.2399000000000005E-2</v>
      </c>
      <c r="M570">
        <f>DigDir!N570</f>
        <v>56.4</v>
      </c>
      <c r="O570">
        <f>ABS(L570-DigDir!$C$34)</f>
        <v>5.0956335658951399</v>
      </c>
      <c r="P570">
        <f t="shared" si="8"/>
        <v>56.4</v>
      </c>
    </row>
    <row r="571" spans="10:16">
      <c r="J571" s="5"/>
      <c r="L571">
        <f>DigDir!M571</f>
        <v>7.2399000000000005E-2</v>
      </c>
      <c r="M571">
        <f>DigDir!N571</f>
        <v>56.5</v>
      </c>
      <c r="O571">
        <f>ABS(L571-DigDir!$C$34)</f>
        <v>5.0956335658951399</v>
      </c>
      <c r="P571">
        <f t="shared" si="8"/>
        <v>56.5</v>
      </c>
    </row>
    <row r="572" spans="10:16">
      <c r="J572" s="5"/>
      <c r="L572">
        <f>DigDir!M572</f>
        <v>7.2399000000000005E-2</v>
      </c>
      <c r="M572">
        <f>DigDir!N572</f>
        <v>56.6</v>
      </c>
      <c r="O572">
        <f>ABS(L572-DigDir!$C$34)</f>
        <v>5.0956335658951399</v>
      </c>
      <c r="P572">
        <f t="shared" si="8"/>
        <v>56.6</v>
      </c>
    </row>
    <row r="573" spans="10:16">
      <c r="J573" s="5"/>
      <c r="L573">
        <f>DigDir!M573</f>
        <v>7.2399000000000005E-2</v>
      </c>
      <c r="M573">
        <f>DigDir!N573</f>
        <v>56.7</v>
      </c>
      <c r="O573">
        <f>ABS(L573-DigDir!$C$34)</f>
        <v>5.0956335658951399</v>
      </c>
      <c r="P573">
        <f t="shared" si="8"/>
        <v>56.7</v>
      </c>
    </row>
    <row r="574" spans="10:16">
      <c r="J574" s="5"/>
      <c r="L574">
        <f>DigDir!M574</f>
        <v>7.2399000000000005E-2</v>
      </c>
      <c r="M574">
        <f>DigDir!N574</f>
        <v>56.8</v>
      </c>
      <c r="O574">
        <f>ABS(L574-DigDir!$C$34)</f>
        <v>5.0956335658951399</v>
      </c>
      <c r="P574">
        <f t="shared" si="8"/>
        <v>56.8</v>
      </c>
    </row>
    <row r="575" spans="10:16">
      <c r="J575" s="5"/>
      <c r="L575">
        <f>DigDir!M575</f>
        <v>7.2399000000000005E-2</v>
      </c>
      <c r="M575">
        <f>DigDir!N575</f>
        <v>56.9</v>
      </c>
      <c r="O575">
        <f>ABS(L575-DigDir!$C$34)</f>
        <v>5.0956335658951399</v>
      </c>
      <c r="P575">
        <f t="shared" si="8"/>
        <v>56.9</v>
      </c>
    </row>
    <row r="576" spans="10:16">
      <c r="J576" s="5"/>
      <c r="L576">
        <f>DigDir!M576</f>
        <v>7.2399000000000005E-2</v>
      </c>
      <c r="M576">
        <f>DigDir!N576</f>
        <v>57</v>
      </c>
      <c r="O576">
        <f>ABS(L576-DigDir!$C$34)</f>
        <v>5.0956335658951399</v>
      </c>
      <c r="P576">
        <f t="shared" si="8"/>
        <v>57</v>
      </c>
    </row>
    <row r="577" spans="10:16">
      <c r="J577" s="5"/>
      <c r="L577">
        <f>DigDir!M577</f>
        <v>7.2399000000000005E-2</v>
      </c>
      <c r="M577">
        <f>DigDir!N577</f>
        <v>57.1</v>
      </c>
      <c r="O577">
        <f>ABS(L577-DigDir!$C$34)</f>
        <v>5.0956335658951399</v>
      </c>
      <c r="P577">
        <f t="shared" si="8"/>
        <v>57.1</v>
      </c>
    </row>
    <row r="578" spans="10:16">
      <c r="J578" s="5"/>
      <c r="L578">
        <f>DigDir!M578</f>
        <v>7.2399000000000005E-2</v>
      </c>
      <c r="M578">
        <f>DigDir!N578</f>
        <v>57.2</v>
      </c>
      <c r="O578">
        <f>ABS(L578-DigDir!$C$34)</f>
        <v>5.0956335658951399</v>
      </c>
      <c r="P578">
        <f t="shared" si="8"/>
        <v>57.2</v>
      </c>
    </row>
    <row r="579" spans="10:16">
      <c r="J579" s="5"/>
      <c r="L579">
        <f>DigDir!M579</f>
        <v>7.2399000000000005E-2</v>
      </c>
      <c r="M579">
        <f>DigDir!N579</f>
        <v>57.3</v>
      </c>
      <c r="O579">
        <f>ABS(L579-DigDir!$C$34)</f>
        <v>5.0956335658951399</v>
      </c>
      <c r="P579">
        <f t="shared" si="8"/>
        <v>57.3</v>
      </c>
    </row>
    <row r="580" spans="10:16">
      <c r="J580" s="5"/>
      <c r="L580">
        <f>DigDir!M580</f>
        <v>7.2399000000000005E-2</v>
      </c>
      <c r="M580">
        <f>DigDir!N580</f>
        <v>57.4</v>
      </c>
      <c r="O580">
        <f>ABS(L580-DigDir!$C$34)</f>
        <v>5.0956335658951399</v>
      </c>
      <c r="P580">
        <f t="shared" si="8"/>
        <v>57.4</v>
      </c>
    </row>
    <row r="581" spans="10:16">
      <c r="J581" s="5"/>
      <c r="L581">
        <f>DigDir!M581</f>
        <v>7.2399000000000005E-2</v>
      </c>
      <c r="M581">
        <f>DigDir!N581</f>
        <v>57.5</v>
      </c>
      <c r="O581">
        <f>ABS(L581-DigDir!$C$34)</f>
        <v>5.0956335658951399</v>
      </c>
      <c r="P581">
        <f t="shared" si="8"/>
        <v>57.5</v>
      </c>
    </row>
    <row r="582" spans="10:16">
      <c r="J582" s="5"/>
      <c r="L582">
        <f>DigDir!M582</f>
        <v>7.2399000000000005E-2</v>
      </c>
      <c r="M582">
        <f>DigDir!N582</f>
        <v>57.6</v>
      </c>
      <c r="O582">
        <f>ABS(L582-DigDir!$C$34)</f>
        <v>5.0956335658951399</v>
      </c>
      <c r="P582">
        <f t="shared" si="8"/>
        <v>57.6</v>
      </c>
    </row>
    <row r="583" spans="10:16">
      <c r="J583" s="5"/>
      <c r="L583">
        <f>DigDir!M583</f>
        <v>7.2399000000000005E-2</v>
      </c>
      <c r="M583">
        <f>DigDir!N583</f>
        <v>57.7</v>
      </c>
      <c r="O583">
        <f>ABS(L583-DigDir!$C$34)</f>
        <v>5.0956335658951399</v>
      </c>
      <c r="P583">
        <f t="shared" ref="P583:P646" si="9">M583</f>
        <v>57.7</v>
      </c>
    </row>
    <row r="584" spans="10:16">
      <c r="J584" s="5"/>
      <c r="L584">
        <f>DigDir!M584</f>
        <v>7.2399000000000005E-2</v>
      </c>
      <c r="M584">
        <f>DigDir!N584</f>
        <v>57.8</v>
      </c>
      <c r="O584">
        <f>ABS(L584-DigDir!$C$34)</f>
        <v>5.0956335658951399</v>
      </c>
      <c r="P584">
        <f t="shared" si="9"/>
        <v>57.8</v>
      </c>
    </row>
    <row r="585" spans="10:16">
      <c r="J585" s="5"/>
      <c r="L585">
        <f>DigDir!M585</f>
        <v>7.2399000000000005E-2</v>
      </c>
      <c r="M585">
        <f>DigDir!N585</f>
        <v>57.9</v>
      </c>
      <c r="O585">
        <f>ABS(L585-DigDir!$C$34)</f>
        <v>5.0956335658951399</v>
      </c>
      <c r="P585">
        <f t="shared" si="9"/>
        <v>57.9</v>
      </c>
    </row>
    <row r="586" spans="10:16">
      <c r="J586" s="5"/>
      <c r="L586">
        <f>DigDir!M586</f>
        <v>7.2399000000000005E-2</v>
      </c>
      <c r="M586">
        <f>DigDir!N586</f>
        <v>58</v>
      </c>
      <c r="O586">
        <f>ABS(L586-DigDir!$C$34)</f>
        <v>5.0956335658951399</v>
      </c>
      <c r="P586">
        <f t="shared" si="9"/>
        <v>58</v>
      </c>
    </row>
    <row r="587" spans="10:16">
      <c r="J587" s="5"/>
      <c r="L587">
        <f>DigDir!M587</f>
        <v>7.2399000000000005E-2</v>
      </c>
      <c r="M587">
        <f>DigDir!N587</f>
        <v>58.1</v>
      </c>
      <c r="O587">
        <f>ABS(L587-DigDir!$C$34)</f>
        <v>5.0956335658951399</v>
      </c>
      <c r="P587">
        <f t="shared" si="9"/>
        <v>58.1</v>
      </c>
    </row>
    <row r="588" spans="10:16">
      <c r="J588" s="5"/>
      <c r="L588">
        <f>DigDir!M588</f>
        <v>7.2399000000000005E-2</v>
      </c>
      <c r="M588">
        <f>DigDir!N588</f>
        <v>58.2</v>
      </c>
      <c r="O588">
        <f>ABS(L588-DigDir!$C$34)</f>
        <v>5.0956335658951399</v>
      </c>
      <c r="P588">
        <f t="shared" si="9"/>
        <v>58.2</v>
      </c>
    </row>
    <row r="589" spans="10:16">
      <c r="J589" s="5"/>
      <c r="L589">
        <f>DigDir!M589</f>
        <v>7.2399000000000005E-2</v>
      </c>
      <c r="M589">
        <f>DigDir!N589</f>
        <v>58.3</v>
      </c>
      <c r="O589">
        <f>ABS(L589-DigDir!$C$34)</f>
        <v>5.0956335658951399</v>
      </c>
      <c r="P589">
        <f t="shared" si="9"/>
        <v>58.3</v>
      </c>
    </row>
    <row r="590" spans="10:16">
      <c r="J590" s="5"/>
      <c r="L590">
        <f>DigDir!M590</f>
        <v>7.2399000000000005E-2</v>
      </c>
      <c r="M590">
        <f>DigDir!N590</f>
        <v>58.4</v>
      </c>
      <c r="O590">
        <f>ABS(L590-DigDir!$C$34)</f>
        <v>5.0956335658951399</v>
      </c>
      <c r="P590">
        <f t="shared" si="9"/>
        <v>58.4</v>
      </c>
    </row>
    <row r="591" spans="10:16">
      <c r="J591" s="5"/>
      <c r="L591">
        <f>DigDir!M591</f>
        <v>7.2399000000000005E-2</v>
      </c>
      <c r="M591">
        <f>DigDir!N591</f>
        <v>58.5</v>
      </c>
      <c r="O591">
        <f>ABS(L591-DigDir!$C$34)</f>
        <v>5.0956335658951399</v>
      </c>
      <c r="P591">
        <f t="shared" si="9"/>
        <v>58.5</v>
      </c>
    </row>
    <row r="592" spans="10:16">
      <c r="J592" s="5"/>
      <c r="L592">
        <f>DigDir!M592</f>
        <v>7.2399000000000005E-2</v>
      </c>
      <c r="M592">
        <f>DigDir!N592</f>
        <v>58.6</v>
      </c>
      <c r="O592">
        <f>ABS(L592-DigDir!$C$34)</f>
        <v>5.0956335658951399</v>
      </c>
      <c r="P592">
        <f t="shared" si="9"/>
        <v>58.6</v>
      </c>
    </row>
    <row r="593" spans="10:16">
      <c r="J593" s="5"/>
      <c r="L593">
        <f>DigDir!M593</f>
        <v>7.2399000000000005E-2</v>
      </c>
      <c r="M593">
        <f>DigDir!N593</f>
        <v>58.7</v>
      </c>
      <c r="O593">
        <f>ABS(L593-DigDir!$C$34)</f>
        <v>5.0956335658951399</v>
      </c>
      <c r="P593">
        <f t="shared" si="9"/>
        <v>58.7</v>
      </c>
    </row>
    <row r="594" spans="10:16">
      <c r="J594" s="5"/>
      <c r="L594">
        <f>DigDir!M594</f>
        <v>7.2399000000000005E-2</v>
      </c>
      <c r="M594">
        <f>DigDir!N594</f>
        <v>58.8</v>
      </c>
      <c r="O594">
        <f>ABS(L594-DigDir!$C$34)</f>
        <v>5.0956335658951399</v>
      </c>
      <c r="P594">
        <f t="shared" si="9"/>
        <v>58.8</v>
      </c>
    </row>
    <row r="595" spans="10:16">
      <c r="J595" s="5"/>
      <c r="L595">
        <f>DigDir!M595</f>
        <v>7.2399000000000005E-2</v>
      </c>
      <c r="M595">
        <f>DigDir!N595</f>
        <v>58.9</v>
      </c>
      <c r="O595">
        <f>ABS(L595-DigDir!$C$34)</f>
        <v>5.0956335658951399</v>
      </c>
      <c r="P595">
        <f t="shared" si="9"/>
        <v>58.9</v>
      </c>
    </row>
    <row r="596" spans="10:16">
      <c r="J596" s="5"/>
      <c r="L596">
        <f>DigDir!M596</f>
        <v>7.2399000000000005E-2</v>
      </c>
      <c r="M596">
        <f>DigDir!N596</f>
        <v>59</v>
      </c>
      <c r="O596">
        <f>ABS(L596-DigDir!$C$34)</f>
        <v>5.0956335658951399</v>
      </c>
      <c r="P596">
        <f t="shared" si="9"/>
        <v>59</v>
      </c>
    </row>
    <row r="597" spans="10:16">
      <c r="J597" s="5"/>
      <c r="L597">
        <f>DigDir!M597</f>
        <v>7.2399000000000005E-2</v>
      </c>
      <c r="M597">
        <f>DigDir!N597</f>
        <v>59.1</v>
      </c>
      <c r="O597">
        <f>ABS(L597-DigDir!$C$34)</f>
        <v>5.0956335658951399</v>
      </c>
      <c r="P597">
        <f t="shared" si="9"/>
        <v>59.1</v>
      </c>
    </row>
    <row r="598" spans="10:16">
      <c r="J598" s="5"/>
      <c r="L598">
        <f>DigDir!M598</f>
        <v>7.2399000000000005E-2</v>
      </c>
      <c r="M598">
        <f>DigDir!N598</f>
        <v>59.2</v>
      </c>
      <c r="O598">
        <f>ABS(L598-DigDir!$C$34)</f>
        <v>5.0956335658951399</v>
      </c>
      <c r="P598">
        <f t="shared" si="9"/>
        <v>59.2</v>
      </c>
    </row>
    <row r="599" spans="10:16">
      <c r="J599" s="5"/>
      <c r="L599">
        <f>DigDir!M599</f>
        <v>7.2399000000000005E-2</v>
      </c>
      <c r="M599">
        <f>DigDir!N599</f>
        <v>59.3</v>
      </c>
      <c r="O599">
        <f>ABS(L599-DigDir!$C$34)</f>
        <v>5.0956335658951399</v>
      </c>
      <c r="P599">
        <f t="shared" si="9"/>
        <v>59.3</v>
      </c>
    </row>
    <row r="600" spans="10:16">
      <c r="J600" s="5"/>
      <c r="L600">
        <f>DigDir!M600</f>
        <v>7.2399000000000005E-2</v>
      </c>
      <c r="M600">
        <f>DigDir!N600</f>
        <v>59.4</v>
      </c>
      <c r="O600">
        <f>ABS(L600-DigDir!$C$34)</f>
        <v>5.0956335658951399</v>
      </c>
      <c r="P600">
        <f t="shared" si="9"/>
        <v>59.4</v>
      </c>
    </row>
    <row r="601" spans="10:16">
      <c r="J601" s="5"/>
      <c r="L601">
        <f>DigDir!M601</f>
        <v>7.2399000000000005E-2</v>
      </c>
      <c r="M601">
        <f>DigDir!N601</f>
        <v>59.5</v>
      </c>
      <c r="O601">
        <f>ABS(L601-DigDir!$C$34)</f>
        <v>5.0956335658951399</v>
      </c>
      <c r="P601">
        <f t="shared" si="9"/>
        <v>59.5</v>
      </c>
    </row>
    <row r="602" spans="10:16">
      <c r="J602" s="5"/>
      <c r="L602">
        <f>DigDir!M602</f>
        <v>7.2399000000000005E-2</v>
      </c>
      <c r="M602">
        <f>DigDir!N602</f>
        <v>59.6</v>
      </c>
      <c r="O602">
        <f>ABS(L602-DigDir!$C$34)</f>
        <v>5.0956335658951399</v>
      </c>
      <c r="P602">
        <f t="shared" si="9"/>
        <v>59.6</v>
      </c>
    </row>
    <row r="603" spans="10:16">
      <c r="J603" s="5"/>
      <c r="L603">
        <f>DigDir!M603</f>
        <v>7.2399000000000005E-2</v>
      </c>
      <c r="M603">
        <f>DigDir!N603</f>
        <v>59.7</v>
      </c>
      <c r="O603">
        <f>ABS(L603-DigDir!$C$34)</f>
        <v>5.0956335658951399</v>
      </c>
      <c r="P603">
        <f t="shared" si="9"/>
        <v>59.7</v>
      </c>
    </row>
    <row r="604" spans="10:16">
      <c r="J604" s="5"/>
      <c r="L604">
        <f>DigDir!M604</f>
        <v>7.2399000000000005E-2</v>
      </c>
      <c r="M604">
        <f>DigDir!N604</f>
        <v>59.8</v>
      </c>
      <c r="O604">
        <f>ABS(L604-DigDir!$C$34)</f>
        <v>5.0956335658951399</v>
      </c>
      <c r="P604">
        <f t="shared" si="9"/>
        <v>59.8</v>
      </c>
    </row>
    <row r="605" spans="10:16">
      <c r="J605" s="5"/>
      <c r="L605">
        <f>DigDir!M605</f>
        <v>7.2399000000000005E-2</v>
      </c>
      <c r="M605">
        <f>DigDir!N605</f>
        <v>59.9</v>
      </c>
      <c r="O605">
        <f>ABS(L605-DigDir!$C$34)</f>
        <v>5.0956335658951399</v>
      </c>
      <c r="P605">
        <f t="shared" si="9"/>
        <v>59.9</v>
      </c>
    </row>
    <row r="606" spans="10:16">
      <c r="J606" s="5"/>
      <c r="L606">
        <f>DigDir!M606</f>
        <v>7.2399000000000005E-2</v>
      </c>
      <c r="M606">
        <f>DigDir!N606</f>
        <v>60</v>
      </c>
      <c r="O606">
        <f>ABS(L606-DigDir!$C$34)</f>
        <v>5.0956335658951399</v>
      </c>
      <c r="P606">
        <f t="shared" si="9"/>
        <v>60</v>
      </c>
    </row>
    <row r="607" spans="10:16">
      <c r="J607" s="5"/>
      <c r="L607">
        <f>DigDir!M607</f>
        <v>7.2399000000000005E-2</v>
      </c>
      <c r="M607">
        <f>DigDir!N607</f>
        <v>60.1</v>
      </c>
      <c r="O607">
        <f>ABS(L607-DigDir!$C$34)</f>
        <v>5.0956335658951399</v>
      </c>
      <c r="P607">
        <f t="shared" si="9"/>
        <v>60.1</v>
      </c>
    </row>
    <row r="608" spans="10:16">
      <c r="J608" s="5"/>
      <c r="L608">
        <f>DigDir!M608</f>
        <v>7.2399000000000005E-2</v>
      </c>
      <c r="M608">
        <f>DigDir!N608</f>
        <v>60.2</v>
      </c>
      <c r="O608">
        <f>ABS(L608-DigDir!$C$34)</f>
        <v>5.0956335658951399</v>
      </c>
      <c r="P608">
        <f t="shared" si="9"/>
        <v>60.2</v>
      </c>
    </row>
    <row r="609" spans="10:16">
      <c r="J609" s="5"/>
      <c r="L609">
        <f>DigDir!M609</f>
        <v>7.2399000000000005E-2</v>
      </c>
      <c r="M609">
        <f>DigDir!N609</f>
        <v>60.3</v>
      </c>
      <c r="O609">
        <f>ABS(L609-DigDir!$C$34)</f>
        <v>5.0956335658951399</v>
      </c>
      <c r="P609">
        <f t="shared" si="9"/>
        <v>60.3</v>
      </c>
    </row>
    <row r="610" spans="10:16">
      <c r="J610" s="5"/>
      <c r="L610">
        <f>DigDir!M610</f>
        <v>7.2399000000000005E-2</v>
      </c>
      <c r="M610">
        <f>DigDir!N610</f>
        <v>60.4</v>
      </c>
      <c r="O610">
        <f>ABS(L610-DigDir!$C$34)</f>
        <v>5.0956335658951399</v>
      </c>
      <c r="P610">
        <f t="shared" si="9"/>
        <v>60.4</v>
      </c>
    </row>
    <row r="611" spans="10:16">
      <c r="J611" s="5"/>
      <c r="L611">
        <f>DigDir!M611</f>
        <v>7.2399000000000005E-2</v>
      </c>
      <c r="M611">
        <f>DigDir!N611</f>
        <v>60.5</v>
      </c>
      <c r="O611">
        <f>ABS(L611-DigDir!$C$34)</f>
        <v>5.0956335658951399</v>
      </c>
      <c r="P611">
        <f t="shared" si="9"/>
        <v>60.5</v>
      </c>
    </row>
    <row r="612" spans="10:16">
      <c r="J612" s="5"/>
      <c r="L612">
        <f>DigDir!M612</f>
        <v>7.2399000000000005E-2</v>
      </c>
      <c r="M612">
        <f>DigDir!N612</f>
        <v>60.6</v>
      </c>
      <c r="O612">
        <f>ABS(L612-DigDir!$C$34)</f>
        <v>5.0956335658951399</v>
      </c>
      <c r="P612">
        <f t="shared" si="9"/>
        <v>60.6</v>
      </c>
    </row>
    <row r="613" spans="10:16">
      <c r="J613" s="5"/>
      <c r="L613">
        <f>DigDir!M613</f>
        <v>7.2399000000000005E-2</v>
      </c>
      <c r="M613">
        <f>DigDir!N613</f>
        <v>60.7</v>
      </c>
      <c r="O613">
        <f>ABS(L613-DigDir!$C$34)</f>
        <v>5.0956335658951399</v>
      </c>
      <c r="P613">
        <f t="shared" si="9"/>
        <v>60.7</v>
      </c>
    </row>
    <row r="614" spans="10:16">
      <c r="J614" s="5"/>
      <c r="L614">
        <f>DigDir!M614</f>
        <v>7.2399000000000005E-2</v>
      </c>
      <c r="M614">
        <f>DigDir!N614</f>
        <v>60.8</v>
      </c>
      <c r="O614">
        <f>ABS(L614-DigDir!$C$34)</f>
        <v>5.0956335658951399</v>
      </c>
      <c r="P614">
        <f t="shared" si="9"/>
        <v>60.8</v>
      </c>
    </row>
    <row r="615" spans="10:16">
      <c r="J615" s="5"/>
      <c r="L615">
        <f>DigDir!M615</f>
        <v>7.2399000000000005E-2</v>
      </c>
      <c r="M615">
        <f>DigDir!N615</f>
        <v>60.9</v>
      </c>
      <c r="O615">
        <f>ABS(L615-DigDir!$C$34)</f>
        <v>5.0956335658951399</v>
      </c>
      <c r="P615">
        <f t="shared" si="9"/>
        <v>60.9</v>
      </c>
    </row>
    <row r="616" spans="10:16">
      <c r="J616" s="5"/>
      <c r="L616">
        <f>DigDir!M616</f>
        <v>7.2399000000000005E-2</v>
      </c>
      <c r="M616">
        <f>DigDir!N616</f>
        <v>61</v>
      </c>
      <c r="O616">
        <f>ABS(L616-DigDir!$C$34)</f>
        <v>5.0956335658951399</v>
      </c>
      <c r="P616">
        <f t="shared" si="9"/>
        <v>61</v>
      </c>
    </row>
    <row r="617" spans="10:16">
      <c r="J617" s="5"/>
      <c r="L617">
        <f>DigDir!M617</f>
        <v>7.2399000000000005E-2</v>
      </c>
      <c r="M617">
        <f>DigDir!N617</f>
        <v>61.1</v>
      </c>
      <c r="O617">
        <f>ABS(L617-DigDir!$C$34)</f>
        <v>5.0956335658951399</v>
      </c>
      <c r="P617">
        <f t="shared" si="9"/>
        <v>61.1</v>
      </c>
    </row>
    <row r="618" spans="10:16">
      <c r="J618" s="5"/>
      <c r="L618">
        <f>DigDir!M618</f>
        <v>7.2399000000000005E-2</v>
      </c>
      <c r="M618">
        <f>DigDir!N618</f>
        <v>61.2</v>
      </c>
      <c r="O618">
        <f>ABS(L618-DigDir!$C$34)</f>
        <v>5.0956335658951399</v>
      </c>
      <c r="P618">
        <f t="shared" si="9"/>
        <v>61.2</v>
      </c>
    </row>
    <row r="619" spans="10:16">
      <c r="J619" s="5"/>
      <c r="L619">
        <f>DigDir!M619</f>
        <v>7.2399000000000005E-2</v>
      </c>
      <c r="M619">
        <f>DigDir!N619</f>
        <v>61.3</v>
      </c>
      <c r="O619">
        <f>ABS(L619-DigDir!$C$34)</f>
        <v>5.0956335658951399</v>
      </c>
      <c r="P619">
        <f t="shared" si="9"/>
        <v>61.3</v>
      </c>
    </row>
    <row r="620" spans="10:16">
      <c r="J620" s="5"/>
      <c r="L620">
        <f>DigDir!M620</f>
        <v>7.2399000000000005E-2</v>
      </c>
      <c r="M620">
        <f>DigDir!N620</f>
        <v>61.4</v>
      </c>
      <c r="O620">
        <f>ABS(L620-DigDir!$C$34)</f>
        <v>5.0956335658951399</v>
      </c>
      <c r="P620">
        <f t="shared" si="9"/>
        <v>61.4</v>
      </c>
    </row>
    <row r="621" spans="10:16">
      <c r="J621" s="5"/>
      <c r="L621">
        <f>DigDir!M621</f>
        <v>7.2399000000000005E-2</v>
      </c>
      <c r="M621">
        <f>DigDir!N621</f>
        <v>61.5</v>
      </c>
      <c r="O621">
        <f>ABS(L621-DigDir!$C$34)</f>
        <v>5.0956335658951399</v>
      </c>
      <c r="P621">
        <f t="shared" si="9"/>
        <v>61.5</v>
      </c>
    </row>
    <row r="622" spans="10:16">
      <c r="J622" s="5"/>
      <c r="L622">
        <f>DigDir!M622</f>
        <v>7.2399000000000005E-2</v>
      </c>
      <c r="M622">
        <f>DigDir!N622</f>
        <v>61.6</v>
      </c>
      <c r="O622">
        <f>ABS(L622-DigDir!$C$34)</f>
        <v>5.0956335658951399</v>
      </c>
      <c r="P622">
        <f t="shared" si="9"/>
        <v>61.6</v>
      </c>
    </row>
    <row r="623" spans="10:16">
      <c r="J623" s="5"/>
      <c r="L623">
        <f>DigDir!M623</f>
        <v>7.2399000000000005E-2</v>
      </c>
      <c r="M623">
        <f>DigDir!N623</f>
        <v>61.7</v>
      </c>
      <c r="O623">
        <f>ABS(L623-DigDir!$C$34)</f>
        <v>5.0956335658951399</v>
      </c>
      <c r="P623">
        <f t="shared" si="9"/>
        <v>61.7</v>
      </c>
    </row>
    <row r="624" spans="10:16">
      <c r="J624" s="5"/>
      <c r="L624">
        <f>DigDir!M624</f>
        <v>7.2399000000000005E-2</v>
      </c>
      <c r="M624">
        <f>DigDir!N624</f>
        <v>61.8</v>
      </c>
      <c r="O624">
        <f>ABS(L624-DigDir!$C$34)</f>
        <v>5.0956335658951399</v>
      </c>
      <c r="P624">
        <f t="shared" si="9"/>
        <v>61.8</v>
      </c>
    </row>
    <row r="625" spans="10:16">
      <c r="J625" s="5"/>
      <c r="L625">
        <f>DigDir!M625</f>
        <v>7.2399000000000005E-2</v>
      </c>
      <c r="M625">
        <f>DigDir!N625</f>
        <v>61.9</v>
      </c>
      <c r="O625">
        <f>ABS(L625-DigDir!$C$34)</f>
        <v>5.0956335658951399</v>
      </c>
      <c r="P625">
        <f t="shared" si="9"/>
        <v>61.9</v>
      </c>
    </row>
    <row r="626" spans="10:16">
      <c r="J626" s="5"/>
      <c r="L626">
        <f>DigDir!M626</f>
        <v>7.2399000000000005E-2</v>
      </c>
      <c r="M626">
        <f>DigDir!N626</f>
        <v>62</v>
      </c>
      <c r="O626">
        <f>ABS(L626-DigDir!$C$34)</f>
        <v>5.0956335658951399</v>
      </c>
      <c r="P626">
        <f t="shared" si="9"/>
        <v>62</v>
      </c>
    </row>
    <row r="627" spans="10:16">
      <c r="J627" s="5"/>
      <c r="L627">
        <f>DigDir!M627</f>
        <v>7.2399000000000005E-2</v>
      </c>
      <c r="M627">
        <f>DigDir!N627</f>
        <v>62.1</v>
      </c>
      <c r="O627">
        <f>ABS(L627-DigDir!$C$34)</f>
        <v>5.0956335658951399</v>
      </c>
      <c r="P627">
        <f t="shared" si="9"/>
        <v>62.1</v>
      </c>
    </row>
    <row r="628" spans="10:16">
      <c r="J628" s="5"/>
      <c r="L628">
        <f>DigDir!M628</f>
        <v>7.2399000000000005E-2</v>
      </c>
      <c r="M628">
        <f>DigDir!N628</f>
        <v>62.2</v>
      </c>
      <c r="O628">
        <f>ABS(L628-DigDir!$C$34)</f>
        <v>5.0956335658951399</v>
      </c>
      <c r="P628">
        <f t="shared" si="9"/>
        <v>62.2</v>
      </c>
    </row>
    <row r="629" spans="10:16">
      <c r="J629" s="5"/>
      <c r="L629">
        <f>DigDir!M629</f>
        <v>7.2399000000000005E-2</v>
      </c>
      <c r="M629">
        <f>DigDir!N629</f>
        <v>62.3</v>
      </c>
      <c r="O629">
        <f>ABS(L629-DigDir!$C$34)</f>
        <v>5.0956335658951399</v>
      </c>
      <c r="P629">
        <f t="shared" si="9"/>
        <v>62.3</v>
      </c>
    </row>
    <row r="630" spans="10:16">
      <c r="J630" s="5"/>
      <c r="L630">
        <f>DigDir!M630</f>
        <v>7.2399000000000005E-2</v>
      </c>
      <c r="M630">
        <f>DigDir!N630</f>
        <v>62.4</v>
      </c>
      <c r="O630">
        <f>ABS(L630-DigDir!$C$34)</f>
        <v>5.0956335658951399</v>
      </c>
      <c r="P630">
        <f t="shared" si="9"/>
        <v>62.4</v>
      </c>
    </row>
    <row r="631" spans="10:16">
      <c r="J631" s="5"/>
      <c r="L631">
        <f>DigDir!M631</f>
        <v>7.2399000000000005E-2</v>
      </c>
      <c r="M631">
        <f>DigDir!N631</f>
        <v>62.5</v>
      </c>
      <c r="O631">
        <f>ABS(L631-DigDir!$C$34)</f>
        <v>5.0956335658951399</v>
      </c>
      <c r="P631">
        <f t="shared" si="9"/>
        <v>62.5</v>
      </c>
    </row>
    <row r="632" spans="10:16">
      <c r="J632" s="5"/>
      <c r="L632">
        <f>DigDir!M632</f>
        <v>7.2399000000000005E-2</v>
      </c>
      <c r="M632">
        <f>DigDir!N632</f>
        <v>62.6</v>
      </c>
      <c r="O632">
        <f>ABS(L632-DigDir!$C$34)</f>
        <v>5.0956335658951399</v>
      </c>
      <c r="P632">
        <f t="shared" si="9"/>
        <v>62.6</v>
      </c>
    </row>
    <row r="633" spans="10:16">
      <c r="J633" s="5"/>
      <c r="L633">
        <f>DigDir!M633</f>
        <v>7.2399000000000005E-2</v>
      </c>
      <c r="M633">
        <f>DigDir!N633</f>
        <v>62.7</v>
      </c>
      <c r="O633">
        <f>ABS(L633-DigDir!$C$34)</f>
        <v>5.0956335658951399</v>
      </c>
      <c r="P633">
        <f t="shared" si="9"/>
        <v>62.7</v>
      </c>
    </row>
    <row r="634" spans="10:16">
      <c r="J634" s="5"/>
      <c r="L634">
        <f>DigDir!M634</f>
        <v>7.2399000000000005E-2</v>
      </c>
      <c r="M634">
        <f>DigDir!N634</f>
        <v>62.8</v>
      </c>
      <c r="O634">
        <f>ABS(L634-DigDir!$C$34)</f>
        <v>5.0956335658951399</v>
      </c>
      <c r="P634">
        <f t="shared" si="9"/>
        <v>62.8</v>
      </c>
    </row>
    <row r="635" spans="10:16">
      <c r="J635" s="5"/>
      <c r="L635">
        <f>DigDir!M635</f>
        <v>7.2399000000000005E-2</v>
      </c>
      <c r="M635">
        <f>DigDir!N635</f>
        <v>62.9</v>
      </c>
      <c r="O635">
        <f>ABS(L635-DigDir!$C$34)</f>
        <v>5.0956335658951399</v>
      </c>
      <c r="P635">
        <f t="shared" si="9"/>
        <v>62.9</v>
      </c>
    </row>
    <row r="636" spans="10:16">
      <c r="J636" s="5"/>
      <c r="L636">
        <f>DigDir!M636</f>
        <v>7.2399000000000005E-2</v>
      </c>
      <c r="M636">
        <f>DigDir!N636</f>
        <v>63</v>
      </c>
      <c r="O636">
        <f>ABS(L636-DigDir!$C$34)</f>
        <v>5.0956335658951399</v>
      </c>
      <c r="P636">
        <f t="shared" si="9"/>
        <v>63</v>
      </c>
    </row>
    <row r="637" spans="10:16">
      <c r="J637" s="5"/>
      <c r="L637">
        <f>DigDir!M637</f>
        <v>7.2399000000000005E-2</v>
      </c>
      <c r="M637">
        <f>DigDir!N637</f>
        <v>63.1</v>
      </c>
      <c r="O637">
        <f>ABS(L637-DigDir!$C$34)</f>
        <v>5.0956335658951399</v>
      </c>
      <c r="P637">
        <f t="shared" si="9"/>
        <v>63.1</v>
      </c>
    </row>
    <row r="638" spans="10:16">
      <c r="J638" s="5"/>
      <c r="L638">
        <f>DigDir!M638</f>
        <v>7.2399000000000005E-2</v>
      </c>
      <c r="M638">
        <f>DigDir!N638</f>
        <v>63.2</v>
      </c>
      <c r="O638">
        <f>ABS(L638-DigDir!$C$34)</f>
        <v>5.0956335658951399</v>
      </c>
      <c r="P638">
        <f t="shared" si="9"/>
        <v>63.2</v>
      </c>
    </row>
    <row r="639" spans="10:16">
      <c r="J639" s="5"/>
      <c r="L639">
        <f>DigDir!M639</f>
        <v>7.2399000000000005E-2</v>
      </c>
      <c r="M639">
        <f>DigDir!N639</f>
        <v>63.3</v>
      </c>
      <c r="O639">
        <f>ABS(L639-DigDir!$C$34)</f>
        <v>5.0956335658951399</v>
      </c>
      <c r="P639">
        <f t="shared" si="9"/>
        <v>63.3</v>
      </c>
    </row>
    <row r="640" spans="10:16">
      <c r="J640" s="5"/>
      <c r="L640">
        <f>DigDir!M640</f>
        <v>7.2399000000000005E-2</v>
      </c>
      <c r="M640">
        <f>DigDir!N640</f>
        <v>63.4</v>
      </c>
      <c r="O640">
        <f>ABS(L640-DigDir!$C$34)</f>
        <v>5.0956335658951399</v>
      </c>
      <c r="P640">
        <f t="shared" si="9"/>
        <v>63.4</v>
      </c>
    </row>
    <row r="641" spans="10:16">
      <c r="J641" s="5"/>
      <c r="L641">
        <f>DigDir!M641</f>
        <v>7.2399000000000005E-2</v>
      </c>
      <c r="M641">
        <f>DigDir!N641</f>
        <v>63.5</v>
      </c>
      <c r="O641">
        <f>ABS(L641-DigDir!$C$34)</f>
        <v>5.0956335658951399</v>
      </c>
      <c r="P641">
        <f t="shared" si="9"/>
        <v>63.5</v>
      </c>
    </row>
    <row r="642" spans="10:16">
      <c r="J642" s="5"/>
      <c r="L642">
        <f>DigDir!M642</f>
        <v>7.2399000000000005E-2</v>
      </c>
      <c r="M642">
        <f>DigDir!N642</f>
        <v>63.6</v>
      </c>
      <c r="O642">
        <f>ABS(L642-DigDir!$C$34)</f>
        <v>5.0956335658951399</v>
      </c>
      <c r="P642">
        <f t="shared" si="9"/>
        <v>63.6</v>
      </c>
    </row>
    <row r="643" spans="10:16">
      <c r="J643" s="5"/>
      <c r="L643">
        <f>DigDir!M643</f>
        <v>7.2399000000000005E-2</v>
      </c>
      <c r="M643">
        <f>DigDir!N643</f>
        <v>63.7</v>
      </c>
      <c r="O643">
        <f>ABS(L643-DigDir!$C$34)</f>
        <v>5.0956335658951399</v>
      </c>
      <c r="P643">
        <f t="shared" si="9"/>
        <v>63.7</v>
      </c>
    </row>
    <row r="644" spans="10:16">
      <c r="J644" s="5"/>
      <c r="L644">
        <f>DigDir!M644</f>
        <v>7.2399000000000005E-2</v>
      </c>
      <c r="M644">
        <f>DigDir!N644</f>
        <v>63.8</v>
      </c>
      <c r="O644">
        <f>ABS(L644-DigDir!$C$34)</f>
        <v>5.0956335658951399</v>
      </c>
      <c r="P644">
        <f t="shared" si="9"/>
        <v>63.8</v>
      </c>
    </row>
    <row r="645" spans="10:16">
      <c r="J645" s="5"/>
      <c r="L645">
        <f>DigDir!M645</f>
        <v>7.2399000000000005E-2</v>
      </c>
      <c r="M645">
        <f>DigDir!N645</f>
        <v>63.9</v>
      </c>
      <c r="O645">
        <f>ABS(L645-DigDir!$C$34)</f>
        <v>5.0956335658951399</v>
      </c>
      <c r="P645">
        <f t="shared" si="9"/>
        <v>63.9</v>
      </c>
    </row>
    <row r="646" spans="10:16">
      <c r="J646" s="5"/>
      <c r="L646">
        <f>DigDir!M646</f>
        <v>7.2399000000000005E-2</v>
      </c>
      <c r="M646">
        <f>DigDir!N646</f>
        <v>64</v>
      </c>
      <c r="O646">
        <f>ABS(L646-DigDir!$C$34)</f>
        <v>5.0956335658951399</v>
      </c>
      <c r="P646">
        <f t="shared" si="9"/>
        <v>64</v>
      </c>
    </row>
    <row r="647" spans="10:16">
      <c r="J647" s="5"/>
      <c r="L647">
        <f>DigDir!M647</f>
        <v>7.2399000000000005E-2</v>
      </c>
      <c r="M647">
        <f>DigDir!N647</f>
        <v>64.099999999999994</v>
      </c>
      <c r="O647">
        <f>ABS(L647-DigDir!$C$34)</f>
        <v>5.0956335658951399</v>
      </c>
      <c r="P647">
        <f t="shared" ref="P647:P710" si="10">M647</f>
        <v>64.099999999999994</v>
      </c>
    </row>
    <row r="648" spans="10:16">
      <c r="J648" s="5"/>
      <c r="L648">
        <f>DigDir!M648</f>
        <v>7.2399000000000005E-2</v>
      </c>
      <c r="M648">
        <f>DigDir!N648</f>
        <v>64.2</v>
      </c>
      <c r="O648">
        <f>ABS(L648-DigDir!$C$34)</f>
        <v>5.0956335658951399</v>
      </c>
      <c r="P648">
        <f t="shared" si="10"/>
        <v>64.2</v>
      </c>
    </row>
    <row r="649" spans="10:16">
      <c r="J649" s="5"/>
      <c r="L649">
        <f>DigDir!M649</f>
        <v>7.2399000000000005E-2</v>
      </c>
      <c r="M649">
        <f>DigDir!N649</f>
        <v>64.3</v>
      </c>
      <c r="O649">
        <f>ABS(L649-DigDir!$C$34)</f>
        <v>5.0956335658951399</v>
      </c>
      <c r="P649">
        <f t="shared" si="10"/>
        <v>64.3</v>
      </c>
    </row>
    <row r="650" spans="10:16">
      <c r="J650" s="5"/>
      <c r="L650">
        <f>DigDir!M650</f>
        <v>7.2399000000000005E-2</v>
      </c>
      <c r="M650">
        <f>DigDir!N650</f>
        <v>64.400000000000006</v>
      </c>
      <c r="O650">
        <f>ABS(L650-DigDir!$C$34)</f>
        <v>5.0956335658951399</v>
      </c>
      <c r="P650">
        <f t="shared" si="10"/>
        <v>64.400000000000006</v>
      </c>
    </row>
    <row r="651" spans="10:16">
      <c r="J651" s="5"/>
      <c r="L651">
        <f>DigDir!M651</f>
        <v>7.2399000000000005E-2</v>
      </c>
      <c r="M651">
        <f>DigDir!N651</f>
        <v>64.5</v>
      </c>
      <c r="O651">
        <f>ABS(L651-DigDir!$C$34)</f>
        <v>5.0956335658951399</v>
      </c>
      <c r="P651">
        <f t="shared" si="10"/>
        <v>64.5</v>
      </c>
    </row>
    <row r="652" spans="10:16">
      <c r="J652" s="5"/>
      <c r="L652">
        <f>DigDir!M652</f>
        <v>7.2399000000000005E-2</v>
      </c>
      <c r="M652">
        <f>DigDir!N652</f>
        <v>64.599999999999994</v>
      </c>
      <c r="O652">
        <f>ABS(L652-DigDir!$C$34)</f>
        <v>5.0956335658951399</v>
      </c>
      <c r="P652">
        <f t="shared" si="10"/>
        <v>64.599999999999994</v>
      </c>
    </row>
    <row r="653" spans="10:16">
      <c r="J653" s="5"/>
      <c r="L653">
        <f>DigDir!M653</f>
        <v>7.2399000000000005E-2</v>
      </c>
      <c r="M653">
        <f>DigDir!N653</f>
        <v>64.7</v>
      </c>
      <c r="O653">
        <f>ABS(L653-DigDir!$C$34)</f>
        <v>5.0956335658951399</v>
      </c>
      <c r="P653">
        <f t="shared" si="10"/>
        <v>64.7</v>
      </c>
    </row>
    <row r="654" spans="10:16">
      <c r="J654" s="5"/>
      <c r="L654">
        <f>DigDir!M654</f>
        <v>7.2399000000000005E-2</v>
      </c>
      <c r="M654">
        <f>DigDir!N654</f>
        <v>64.8</v>
      </c>
      <c r="O654">
        <f>ABS(L654-DigDir!$C$34)</f>
        <v>5.0956335658951399</v>
      </c>
      <c r="P654">
        <f t="shared" si="10"/>
        <v>64.8</v>
      </c>
    </row>
    <row r="655" spans="10:16">
      <c r="J655" s="5"/>
      <c r="L655">
        <f>DigDir!M655</f>
        <v>7.2399000000000005E-2</v>
      </c>
      <c r="M655">
        <f>DigDir!N655</f>
        <v>64.900000000000006</v>
      </c>
      <c r="O655">
        <f>ABS(L655-DigDir!$C$34)</f>
        <v>5.0956335658951399</v>
      </c>
      <c r="P655">
        <f t="shared" si="10"/>
        <v>64.900000000000006</v>
      </c>
    </row>
    <row r="656" spans="10:16">
      <c r="J656" s="5"/>
      <c r="L656">
        <f>DigDir!M656</f>
        <v>7.2399000000000005E-2</v>
      </c>
      <c r="M656">
        <f>DigDir!N656</f>
        <v>65</v>
      </c>
      <c r="O656">
        <f>ABS(L656-DigDir!$C$34)</f>
        <v>5.0956335658951399</v>
      </c>
      <c r="P656">
        <f t="shared" si="10"/>
        <v>65</v>
      </c>
    </row>
    <row r="657" spans="10:16">
      <c r="J657" s="5"/>
      <c r="L657">
        <f>DigDir!M657</f>
        <v>7.2399000000000005E-2</v>
      </c>
      <c r="M657">
        <f>DigDir!N657</f>
        <v>65.099999999999994</v>
      </c>
      <c r="O657">
        <f>ABS(L657-DigDir!$C$34)</f>
        <v>5.0956335658951399</v>
      </c>
      <c r="P657">
        <f t="shared" si="10"/>
        <v>65.099999999999994</v>
      </c>
    </row>
    <row r="658" spans="10:16">
      <c r="J658" s="5"/>
      <c r="L658">
        <f>DigDir!M658</f>
        <v>7.2399000000000005E-2</v>
      </c>
      <c r="M658">
        <f>DigDir!N658</f>
        <v>65.2</v>
      </c>
      <c r="O658">
        <f>ABS(L658-DigDir!$C$34)</f>
        <v>5.0956335658951399</v>
      </c>
      <c r="P658">
        <f t="shared" si="10"/>
        <v>65.2</v>
      </c>
    </row>
    <row r="659" spans="10:16">
      <c r="J659" s="5"/>
      <c r="L659">
        <f>DigDir!M659</f>
        <v>7.2399000000000005E-2</v>
      </c>
      <c r="M659">
        <f>DigDir!N659</f>
        <v>65.3</v>
      </c>
      <c r="O659">
        <f>ABS(L659-DigDir!$C$34)</f>
        <v>5.0956335658951399</v>
      </c>
      <c r="P659">
        <f t="shared" si="10"/>
        <v>65.3</v>
      </c>
    </row>
    <row r="660" spans="10:16">
      <c r="J660" s="5"/>
      <c r="L660">
        <f>DigDir!M660</f>
        <v>7.2399000000000005E-2</v>
      </c>
      <c r="M660">
        <f>DigDir!N660</f>
        <v>65.400000000000006</v>
      </c>
      <c r="O660">
        <f>ABS(L660-DigDir!$C$34)</f>
        <v>5.0956335658951399</v>
      </c>
      <c r="P660">
        <f t="shared" si="10"/>
        <v>65.400000000000006</v>
      </c>
    </row>
    <row r="661" spans="10:16">
      <c r="J661" s="5"/>
      <c r="L661">
        <f>DigDir!M661</f>
        <v>7.2399000000000005E-2</v>
      </c>
      <c r="M661">
        <f>DigDir!N661</f>
        <v>65.5</v>
      </c>
      <c r="O661">
        <f>ABS(L661-DigDir!$C$34)</f>
        <v>5.0956335658951399</v>
      </c>
      <c r="P661">
        <f t="shared" si="10"/>
        <v>65.5</v>
      </c>
    </row>
    <row r="662" spans="10:16">
      <c r="J662" s="5"/>
      <c r="L662">
        <f>DigDir!M662</f>
        <v>7.2399000000000005E-2</v>
      </c>
      <c r="M662">
        <f>DigDir!N662</f>
        <v>65.599999999999994</v>
      </c>
      <c r="O662">
        <f>ABS(L662-DigDir!$C$34)</f>
        <v>5.0956335658951399</v>
      </c>
      <c r="P662">
        <f t="shared" si="10"/>
        <v>65.599999999999994</v>
      </c>
    </row>
    <row r="663" spans="10:16">
      <c r="J663" s="5"/>
      <c r="L663">
        <f>DigDir!M663</f>
        <v>7.2399000000000005E-2</v>
      </c>
      <c r="M663">
        <f>DigDir!N663</f>
        <v>65.7</v>
      </c>
      <c r="O663">
        <f>ABS(L663-DigDir!$C$34)</f>
        <v>5.0956335658951399</v>
      </c>
      <c r="P663">
        <f t="shared" si="10"/>
        <v>65.7</v>
      </c>
    </row>
    <row r="664" spans="10:16">
      <c r="J664" s="5"/>
      <c r="L664">
        <f>DigDir!M664</f>
        <v>7.2399000000000005E-2</v>
      </c>
      <c r="M664">
        <f>DigDir!N664</f>
        <v>65.8</v>
      </c>
      <c r="O664">
        <f>ABS(L664-DigDir!$C$34)</f>
        <v>5.0956335658951399</v>
      </c>
      <c r="P664">
        <f t="shared" si="10"/>
        <v>65.8</v>
      </c>
    </row>
    <row r="665" spans="10:16">
      <c r="J665" s="5"/>
      <c r="L665">
        <f>DigDir!M665</f>
        <v>7.2399000000000005E-2</v>
      </c>
      <c r="M665">
        <f>DigDir!N665</f>
        <v>65.900000000000006</v>
      </c>
      <c r="O665">
        <f>ABS(L665-DigDir!$C$34)</f>
        <v>5.0956335658951399</v>
      </c>
      <c r="P665">
        <f t="shared" si="10"/>
        <v>65.900000000000006</v>
      </c>
    </row>
    <row r="666" spans="10:16">
      <c r="J666" s="5"/>
      <c r="L666">
        <f>DigDir!M666</f>
        <v>7.2399000000000005E-2</v>
      </c>
      <c r="M666">
        <f>DigDir!N666</f>
        <v>66</v>
      </c>
      <c r="O666">
        <f>ABS(L666-DigDir!$C$34)</f>
        <v>5.0956335658951399</v>
      </c>
      <c r="P666">
        <f t="shared" si="10"/>
        <v>66</v>
      </c>
    </row>
    <row r="667" spans="10:16">
      <c r="J667" s="5"/>
      <c r="L667">
        <f>DigDir!M667</f>
        <v>7.2399000000000005E-2</v>
      </c>
      <c r="M667">
        <f>DigDir!N667</f>
        <v>66.099999999999994</v>
      </c>
      <c r="O667">
        <f>ABS(L667-DigDir!$C$34)</f>
        <v>5.0956335658951399</v>
      </c>
      <c r="P667">
        <f t="shared" si="10"/>
        <v>66.099999999999994</v>
      </c>
    </row>
    <row r="668" spans="10:16">
      <c r="J668" s="5"/>
      <c r="L668">
        <f>DigDir!M668</f>
        <v>7.2399000000000005E-2</v>
      </c>
      <c r="M668">
        <f>DigDir!N668</f>
        <v>66.2</v>
      </c>
      <c r="O668">
        <f>ABS(L668-DigDir!$C$34)</f>
        <v>5.0956335658951399</v>
      </c>
      <c r="P668">
        <f t="shared" si="10"/>
        <v>66.2</v>
      </c>
    </row>
    <row r="669" spans="10:16">
      <c r="J669" s="5"/>
      <c r="L669">
        <f>DigDir!M669</f>
        <v>7.2399000000000005E-2</v>
      </c>
      <c r="M669">
        <f>DigDir!N669</f>
        <v>66.3</v>
      </c>
      <c r="O669">
        <f>ABS(L669-DigDir!$C$34)</f>
        <v>5.0956335658951399</v>
      </c>
      <c r="P669">
        <f t="shared" si="10"/>
        <v>66.3</v>
      </c>
    </row>
    <row r="670" spans="10:16">
      <c r="J670" s="5"/>
      <c r="L670">
        <f>DigDir!M670</f>
        <v>7.5964440000001202E-2</v>
      </c>
      <c r="M670">
        <f>DigDir!N670</f>
        <v>66.400000000000006</v>
      </c>
      <c r="O670">
        <f>ABS(L670-DigDir!$C$34)</f>
        <v>5.0991990058951409</v>
      </c>
      <c r="P670">
        <f t="shared" si="10"/>
        <v>66.400000000000006</v>
      </c>
    </row>
    <row r="671" spans="10:16">
      <c r="J671" s="5"/>
      <c r="L671">
        <f>DigDir!M671</f>
        <v>9.5518650000001107E-2</v>
      </c>
      <c r="M671">
        <f>DigDir!N671</f>
        <v>66.5</v>
      </c>
      <c r="O671">
        <f>ABS(L671-DigDir!$C$34)</f>
        <v>5.1187532158951408</v>
      </c>
      <c r="P671">
        <f t="shared" si="10"/>
        <v>66.5</v>
      </c>
    </row>
    <row r="672" spans="10:16">
      <c r="J672" s="5"/>
      <c r="L672">
        <f>DigDir!M672</f>
        <v>0.115072860000001</v>
      </c>
      <c r="M672">
        <f>DigDir!N672</f>
        <v>66.599999999999994</v>
      </c>
      <c r="O672">
        <f>ABS(L672-DigDir!$C$34)</f>
        <v>5.1383074258951407</v>
      </c>
      <c r="P672">
        <f t="shared" si="10"/>
        <v>66.599999999999994</v>
      </c>
    </row>
    <row r="673" spans="10:16">
      <c r="J673" s="5"/>
      <c r="L673">
        <f>DigDir!M673</f>
        <v>0.13462718700000101</v>
      </c>
      <c r="M673">
        <f>DigDir!N673</f>
        <v>66.7</v>
      </c>
      <c r="O673">
        <f>ABS(L673-DigDir!$C$34)</f>
        <v>5.1578617528951414</v>
      </c>
      <c r="P673">
        <f t="shared" si="10"/>
        <v>66.7</v>
      </c>
    </row>
    <row r="674" spans="10:16">
      <c r="J674" s="5"/>
      <c r="L674">
        <f>DigDir!M674</f>
        <v>0.15418174800000101</v>
      </c>
      <c r="M674">
        <f>DigDir!N674</f>
        <v>66.8</v>
      </c>
      <c r="O674">
        <f>ABS(L674-DigDir!$C$34)</f>
        <v>5.177416313895141</v>
      </c>
      <c r="P674">
        <f t="shared" si="10"/>
        <v>66.8</v>
      </c>
    </row>
    <row r="675" spans="10:16">
      <c r="J675" s="5"/>
      <c r="L675">
        <f>DigDir!M675</f>
        <v>0.173736309000001</v>
      </c>
      <c r="M675">
        <f>DigDir!N675</f>
        <v>66.900000000000006</v>
      </c>
      <c r="O675">
        <f>ABS(L675-DigDir!$C$34)</f>
        <v>5.1969708748951406</v>
      </c>
      <c r="P675">
        <f t="shared" si="10"/>
        <v>66.900000000000006</v>
      </c>
    </row>
    <row r="676" spans="10:16">
      <c r="J676" s="5"/>
      <c r="L676">
        <f>DigDir!M676</f>
        <v>0.18382000000000001</v>
      </c>
      <c r="M676">
        <f>DigDir!N676</f>
        <v>67</v>
      </c>
      <c r="O676">
        <f>ABS(L676-DigDir!$C$34)</f>
        <v>5.2070545658951399</v>
      </c>
      <c r="P676">
        <f t="shared" si="10"/>
        <v>67</v>
      </c>
    </row>
    <row r="677" spans="10:16">
      <c r="J677" s="5"/>
      <c r="L677">
        <f>DigDir!M677</f>
        <v>0.18382000000000001</v>
      </c>
      <c r="M677">
        <f>DigDir!N677</f>
        <v>67.099999999999994</v>
      </c>
      <c r="O677">
        <f>ABS(L677-DigDir!$C$34)</f>
        <v>5.2070545658951399</v>
      </c>
      <c r="P677">
        <f t="shared" si="10"/>
        <v>67.099999999999994</v>
      </c>
    </row>
    <row r="678" spans="10:16">
      <c r="J678" s="5"/>
      <c r="L678">
        <f>DigDir!M678</f>
        <v>0.18382000000000001</v>
      </c>
      <c r="M678">
        <f>DigDir!N678</f>
        <v>67.2</v>
      </c>
      <c r="O678">
        <f>ABS(L678-DigDir!$C$34)</f>
        <v>5.2070545658951399</v>
      </c>
      <c r="P678">
        <f t="shared" si="10"/>
        <v>67.2</v>
      </c>
    </row>
    <row r="679" spans="10:16">
      <c r="J679" s="5"/>
      <c r="L679">
        <f>DigDir!M679</f>
        <v>0.19624355300000099</v>
      </c>
      <c r="M679">
        <f>DigDir!N679</f>
        <v>67.3</v>
      </c>
      <c r="O679">
        <f>ABS(L679-DigDir!$C$34)</f>
        <v>5.2194781188951413</v>
      </c>
      <c r="P679">
        <f t="shared" si="10"/>
        <v>67.3</v>
      </c>
    </row>
    <row r="680" spans="10:16">
      <c r="J680" s="5"/>
      <c r="L680">
        <f>DigDir!M680</f>
        <v>0.21579811400000101</v>
      </c>
      <c r="M680">
        <f>DigDir!N680</f>
        <v>67.400000000000006</v>
      </c>
      <c r="O680">
        <f>ABS(L680-DigDir!$C$34)</f>
        <v>5.239032679895141</v>
      </c>
      <c r="P680">
        <f t="shared" si="10"/>
        <v>67.400000000000006</v>
      </c>
    </row>
    <row r="681" spans="10:16">
      <c r="J681" s="5"/>
      <c r="L681">
        <f>DigDir!M681</f>
        <v>0.23535267500000101</v>
      </c>
      <c r="M681">
        <f>DigDir!N681</f>
        <v>67.5</v>
      </c>
      <c r="O681">
        <f>ABS(L681-DigDir!$C$34)</f>
        <v>5.2585872408951406</v>
      </c>
      <c r="P681">
        <f t="shared" si="10"/>
        <v>67.5</v>
      </c>
    </row>
    <row r="682" spans="10:16">
      <c r="J682" s="5"/>
      <c r="L682">
        <f>DigDir!M682</f>
        <v>0.25490696000000101</v>
      </c>
      <c r="M682">
        <f>DigDir!N682</f>
        <v>67.599999999999994</v>
      </c>
      <c r="O682">
        <f>ABS(L682-DigDir!$C$34)</f>
        <v>5.2781415258951414</v>
      </c>
      <c r="P682">
        <f t="shared" si="10"/>
        <v>67.599999999999994</v>
      </c>
    </row>
    <row r="683" spans="10:16">
      <c r="J683" s="5"/>
      <c r="L683">
        <f>DigDir!M683</f>
        <v>0.27446117000000098</v>
      </c>
      <c r="M683">
        <f>DigDir!N683</f>
        <v>67.7</v>
      </c>
      <c r="O683">
        <f>ABS(L683-DigDir!$C$34)</f>
        <v>5.2976957358951413</v>
      </c>
      <c r="P683">
        <f t="shared" si="10"/>
        <v>67.7</v>
      </c>
    </row>
    <row r="684" spans="10:16">
      <c r="J684" s="5"/>
      <c r="L684">
        <f>DigDir!M684</f>
        <v>0.29401537999999999</v>
      </c>
      <c r="M684">
        <f>DigDir!N684</f>
        <v>67.8</v>
      </c>
      <c r="O684">
        <f>ABS(L684-DigDir!$C$34)</f>
        <v>5.3172499458951403</v>
      </c>
      <c r="P684">
        <f t="shared" si="10"/>
        <v>67.8</v>
      </c>
    </row>
    <row r="685" spans="10:16">
      <c r="J685" s="5"/>
      <c r="L685">
        <f>DigDir!M685</f>
        <v>0.31356991899999997</v>
      </c>
      <c r="M685">
        <f>DigDir!N685</f>
        <v>67.900000000000006</v>
      </c>
      <c r="O685">
        <f>ABS(L685-DigDir!$C$34)</f>
        <v>5.3368044848951399</v>
      </c>
      <c r="P685">
        <f t="shared" si="10"/>
        <v>67.900000000000006</v>
      </c>
    </row>
    <row r="686" spans="10:16">
      <c r="J686" s="5"/>
      <c r="L686">
        <f>DigDir!M686</f>
        <v>0.33312448</v>
      </c>
      <c r="M686">
        <f>DigDir!N686</f>
        <v>68</v>
      </c>
      <c r="O686">
        <f>ABS(L686-DigDir!$C$34)</f>
        <v>5.3563590458951404</v>
      </c>
      <c r="P686">
        <f t="shared" si="10"/>
        <v>68</v>
      </c>
    </row>
    <row r="687" spans="10:16">
      <c r="J687" s="5"/>
      <c r="L687">
        <f>DigDir!M687</f>
        <v>0.35095199999999999</v>
      </c>
      <c r="M687">
        <f>DigDir!N687</f>
        <v>68.099999999999994</v>
      </c>
      <c r="O687">
        <f>ABS(L687-DigDir!$C$34)</f>
        <v>5.3741865658951404</v>
      </c>
      <c r="P687">
        <f t="shared" si="10"/>
        <v>68.099999999999994</v>
      </c>
    </row>
    <row r="688" spans="10:16">
      <c r="J688" s="5"/>
      <c r="L688">
        <f>DigDir!M688</f>
        <v>0.35095199999999999</v>
      </c>
      <c r="M688">
        <f>DigDir!N688</f>
        <v>68.2</v>
      </c>
      <c r="O688">
        <f>ABS(L688-DigDir!$C$34)</f>
        <v>5.3741865658951404</v>
      </c>
      <c r="P688">
        <f t="shared" si="10"/>
        <v>68.2</v>
      </c>
    </row>
    <row r="689" spans="10:16">
      <c r="J689" s="5"/>
      <c r="L689">
        <f>DigDir!M689</f>
        <v>0.35095199999999999</v>
      </c>
      <c r="M689">
        <f>DigDir!N689</f>
        <v>68.3</v>
      </c>
      <c r="O689">
        <f>ABS(L689-DigDir!$C$34)</f>
        <v>5.3741865658951404</v>
      </c>
      <c r="P689">
        <f t="shared" si="10"/>
        <v>68.3</v>
      </c>
    </row>
    <row r="690" spans="10:16">
      <c r="J690" s="5"/>
      <c r="L690">
        <f>DigDir!M690</f>
        <v>0.35563164000000203</v>
      </c>
      <c r="M690">
        <f>DigDir!N690</f>
        <v>68.400000000000006</v>
      </c>
      <c r="O690">
        <f>ABS(L690-DigDir!$C$34)</f>
        <v>5.3788662058951422</v>
      </c>
      <c r="P690">
        <f t="shared" si="10"/>
        <v>68.400000000000006</v>
      </c>
    </row>
    <row r="691" spans="10:16">
      <c r="J691" s="5"/>
      <c r="L691">
        <f>DigDir!M691</f>
        <v>0.37518585000000199</v>
      </c>
      <c r="M691">
        <f>DigDir!N691</f>
        <v>68.5</v>
      </c>
      <c r="O691">
        <f>ABS(L691-DigDir!$C$34)</f>
        <v>5.3984204158951421</v>
      </c>
      <c r="P691">
        <f t="shared" si="10"/>
        <v>68.5</v>
      </c>
    </row>
    <row r="692" spans="10:16">
      <c r="J692" s="5"/>
      <c r="L692">
        <f>DigDir!M692</f>
        <v>0.394740060000002</v>
      </c>
      <c r="M692">
        <f>DigDir!N692</f>
        <v>68.599999999999994</v>
      </c>
      <c r="O692">
        <f>ABS(L692-DigDir!$C$34)</f>
        <v>5.417974625895142</v>
      </c>
      <c r="P692">
        <f t="shared" si="10"/>
        <v>68.599999999999994</v>
      </c>
    </row>
    <row r="693" spans="10:16">
      <c r="J693" s="5"/>
      <c r="L693">
        <f>DigDir!M693</f>
        <v>0.40666200000000002</v>
      </c>
      <c r="M693">
        <f>DigDir!N693</f>
        <v>68.7</v>
      </c>
      <c r="O693">
        <f>ABS(L693-DigDir!$C$34)</f>
        <v>5.4298965658951399</v>
      </c>
      <c r="P693">
        <f t="shared" si="10"/>
        <v>68.7</v>
      </c>
    </row>
    <row r="694" spans="10:16">
      <c r="J694" s="5"/>
      <c r="L694">
        <f>DigDir!M694</f>
        <v>0.40666200000000002</v>
      </c>
      <c r="M694">
        <f>DigDir!N694</f>
        <v>68.8</v>
      </c>
      <c r="O694">
        <f>ABS(L694-DigDir!$C$34)</f>
        <v>5.4298965658951399</v>
      </c>
      <c r="P694">
        <f t="shared" si="10"/>
        <v>68.8</v>
      </c>
    </row>
    <row r="695" spans="10:16">
      <c r="J695" s="5"/>
      <c r="L695">
        <f>DigDir!M695</f>
        <v>0.40666200000000002</v>
      </c>
      <c r="M695">
        <f>DigDir!N695</f>
        <v>68.900000000000006</v>
      </c>
      <c r="O695">
        <f>ABS(L695-DigDir!$C$34)</f>
        <v>5.4298965658951399</v>
      </c>
      <c r="P695">
        <f t="shared" si="10"/>
        <v>68.900000000000006</v>
      </c>
    </row>
    <row r="696" spans="10:16">
      <c r="J696" s="5"/>
      <c r="L696">
        <f>DigDir!M696</f>
        <v>0.45158883000000599</v>
      </c>
      <c r="M696">
        <f>DigDir!N696</f>
        <v>69</v>
      </c>
      <c r="O696">
        <f>ABS(L696-DigDir!$C$34)</f>
        <v>5.4748233958951458</v>
      </c>
      <c r="P696">
        <f t="shared" si="10"/>
        <v>69</v>
      </c>
    </row>
    <row r="697" spans="10:16">
      <c r="J697" s="5"/>
      <c r="L697">
        <f>DigDir!M697</f>
        <v>0.53458523700000604</v>
      </c>
      <c r="M697">
        <f>DigDir!N697</f>
        <v>69.099999999999994</v>
      </c>
      <c r="O697">
        <f>ABS(L697-DigDir!$C$34)</f>
        <v>5.5578198028951462</v>
      </c>
      <c r="P697">
        <f t="shared" si="10"/>
        <v>69.099999999999994</v>
      </c>
    </row>
    <row r="698" spans="10:16">
      <c r="J698" s="5"/>
      <c r="L698">
        <f>DigDir!M698</f>
        <v>0.61758164400000604</v>
      </c>
      <c r="M698">
        <f>DigDir!N698</f>
        <v>69.2</v>
      </c>
      <c r="O698">
        <f>ABS(L698-DigDir!$C$34)</f>
        <v>5.6408162098951458</v>
      </c>
      <c r="P698">
        <f t="shared" si="10"/>
        <v>69.2</v>
      </c>
    </row>
    <row r="699" spans="10:16">
      <c r="J699" s="5"/>
      <c r="L699">
        <f>DigDir!M699</f>
        <v>0.65665653000000102</v>
      </c>
      <c r="M699">
        <f>DigDir!N699</f>
        <v>69.3</v>
      </c>
      <c r="O699">
        <f>ABS(L699-DigDir!$C$34)</f>
        <v>5.6798910958951412</v>
      </c>
      <c r="P699">
        <f t="shared" si="10"/>
        <v>69.3</v>
      </c>
    </row>
    <row r="700" spans="10:16">
      <c r="J700" s="5"/>
      <c r="L700">
        <f>DigDir!M700</f>
        <v>0.67621074000000103</v>
      </c>
      <c r="M700">
        <f>DigDir!N700</f>
        <v>69.400000000000006</v>
      </c>
      <c r="O700">
        <f>ABS(L700-DigDir!$C$34)</f>
        <v>5.6994453058951411</v>
      </c>
      <c r="P700">
        <f t="shared" si="10"/>
        <v>69.400000000000006</v>
      </c>
    </row>
    <row r="701" spans="10:16">
      <c r="J701" s="5"/>
      <c r="L701">
        <f>DigDir!M701</f>
        <v>0.69576495000000105</v>
      </c>
      <c r="M701">
        <f>DigDir!N701</f>
        <v>69.5</v>
      </c>
      <c r="O701">
        <f>ABS(L701-DigDir!$C$34)</f>
        <v>5.718999515895141</v>
      </c>
      <c r="P701">
        <f t="shared" si="10"/>
        <v>69.5</v>
      </c>
    </row>
    <row r="702" spans="10:16">
      <c r="J702" s="5"/>
      <c r="L702">
        <f>DigDir!M702</f>
        <v>0.69882900000000003</v>
      </c>
      <c r="M702">
        <f>DigDir!N702</f>
        <v>69.599999999999994</v>
      </c>
      <c r="O702">
        <f>ABS(L702-DigDir!$C$34)</f>
        <v>5.72206356589514</v>
      </c>
      <c r="P702">
        <f t="shared" si="10"/>
        <v>69.599999999999994</v>
      </c>
    </row>
    <row r="703" spans="10:16">
      <c r="J703" s="5"/>
      <c r="L703">
        <f>DigDir!M703</f>
        <v>0.69882900000000003</v>
      </c>
      <c r="M703">
        <f>DigDir!N703</f>
        <v>69.7</v>
      </c>
      <c r="O703">
        <f>ABS(L703-DigDir!$C$34)</f>
        <v>5.72206356589514</v>
      </c>
      <c r="P703">
        <f t="shared" si="10"/>
        <v>69.7</v>
      </c>
    </row>
    <row r="704" spans="10:16">
      <c r="J704" s="5"/>
      <c r="L704">
        <f>DigDir!M704</f>
        <v>0.69882900000000003</v>
      </c>
      <c r="M704">
        <f>DigDir!N704</f>
        <v>69.8</v>
      </c>
      <c r="O704">
        <f>ABS(L704-DigDir!$C$34)</f>
        <v>5.72206356589514</v>
      </c>
      <c r="P704">
        <f t="shared" si="10"/>
        <v>69.8</v>
      </c>
    </row>
    <row r="705" spans="10:16">
      <c r="J705" s="5"/>
      <c r="L705">
        <f>DigDir!M705</f>
        <v>0.69882900000000003</v>
      </c>
      <c r="M705">
        <f>DigDir!N705</f>
        <v>69.900000000000006</v>
      </c>
      <c r="O705">
        <f>ABS(L705-DigDir!$C$34)</f>
        <v>5.72206356589514</v>
      </c>
      <c r="P705">
        <f t="shared" si="10"/>
        <v>69.900000000000006</v>
      </c>
    </row>
    <row r="706" spans="10:16">
      <c r="J706" s="5"/>
      <c r="L706">
        <f>DigDir!M706</f>
        <v>0.69882900000000003</v>
      </c>
      <c r="M706">
        <f>DigDir!N706</f>
        <v>70</v>
      </c>
      <c r="O706">
        <f>ABS(L706-DigDir!$C$34)</f>
        <v>5.72206356589514</v>
      </c>
      <c r="P706">
        <f t="shared" si="10"/>
        <v>70</v>
      </c>
    </row>
    <row r="707" spans="10:16">
      <c r="J707" s="5"/>
      <c r="L707">
        <f>DigDir!M707</f>
        <v>0.69882900000000003</v>
      </c>
      <c r="M707">
        <f>DigDir!N707</f>
        <v>70.099999999999994</v>
      </c>
      <c r="O707">
        <f>ABS(L707-DigDir!$C$34)</f>
        <v>5.72206356589514</v>
      </c>
      <c r="P707">
        <f t="shared" si="10"/>
        <v>70.099999999999994</v>
      </c>
    </row>
    <row r="708" spans="10:16">
      <c r="J708" s="5"/>
      <c r="L708">
        <f>DigDir!M708</f>
        <v>0.69882900000000003</v>
      </c>
      <c r="M708">
        <f>DigDir!N708</f>
        <v>70.2</v>
      </c>
      <c r="O708">
        <f>ABS(L708-DigDir!$C$34)</f>
        <v>5.72206356589514</v>
      </c>
      <c r="P708">
        <f t="shared" si="10"/>
        <v>70.2</v>
      </c>
    </row>
    <row r="709" spans="10:16">
      <c r="J709" s="5"/>
      <c r="L709">
        <f>DigDir!M709</f>
        <v>0.69882900000000003</v>
      </c>
      <c r="M709">
        <f>DigDir!N709</f>
        <v>70.3</v>
      </c>
      <c r="O709">
        <f>ABS(L709-DigDir!$C$34)</f>
        <v>5.72206356589514</v>
      </c>
      <c r="P709">
        <f t="shared" si="10"/>
        <v>70.3</v>
      </c>
    </row>
    <row r="710" spans="10:16">
      <c r="J710" s="5"/>
      <c r="L710">
        <f>DigDir!M710</f>
        <v>0.69882900000000003</v>
      </c>
      <c r="M710">
        <f>DigDir!N710</f>
        <v>70.400000000000006</v>
      </c>
      <c r="O710">
        <f>ABS(L710-DigDir!$C$34)</f>
        <v>5.72206356589514</v>
      </c>
      <c r="P710">
        <f t="shared" si="10"/>
        <v>70.400000000000006</v>
      </c>
    </row>
    <row r="711" spans="10:16">
      <c r="J711" s="5"/>
      <c r="L711">
        <f>DigDir!M711</f>
        <v>0.69882900000000003</v>
      </c>
      <c r="M711">
        <f>DigDir!N711</f>
        <v>70.5</v>
      </c>
      <c r="O711">
        <f>ABS(L711-DigDir!$C$34)</f>
        <v>5.72206356589514</v>
      </c>
      <c r="P711">
        <f t="shared" ref="P711:P774" si="11">M711</f>
        <v>70.5</v>
      </c>
    </row>
    <row r="712" spans="10:16">
      <c r="J712" s="5"/>
      <c r="L712">
        <f>DigDir!M712</f>
        <v>0.69882900000000003</v>
      </c>
      <c r="M712">
        <f>DigDir!N712</f>
        <v>70.599999999999994</v>
      </c>
      <c r="O712">
        <f>ABS(L712-DigDir!$C$34)</f>
        <v>5.72206356589514</v>
      </c>
      <c r="P712">
        <f t="shared" si="11"/>
        <v>70.599999999999994</v>
      </c>
    </row>
    <row r="713" spans="10:16">
      <c r="J713" s="5"/>
      <c r="L713">
        <f>DigDir!M713</f>
        <v>0.69882900000000003</v>
      </c>
      <c r="M713">
        <f>DigDir!N713</f>
        <v>70.7</v>
      </c>
      <c r="O713">
        <f>ABS(L713-DigDir!$C$34)</f>
        <v>5.72206356589514</v>
      </c>
      <c r="P713">
        <f t="shared" si="11"/>
        <v>70.7</v>
      </c>
    </row>
    <row r="714" spans="10:16">
      <c r="J714" s="5"/>
      <c r="L714">
        <f>DigDir!M714</f>
        <v>0.69882900000000003</v>
      </c>
      <c r="M714">
        <f>DigDir!N714</f>
        <v>70.8</v>
      </c>
      <c r="O714">
        <f>ABS(L714-DigDir!$C$34)</f>
        <v>5.72206356589514</v>
      </c>
      <c r="P714">
        <f t="shared" si="11"/>
        <v>70.8</v>
      </c>
    </row>
    <row r="715" spans="10:16">
      <c r="J715" s="5"/>
      <c r="L715">
        <f>DigDir!M715</f>
        <v>0.69882900000000003</v>
      </c>
      <c r="M715">
        <f>DigDir!N715</f>
        <v>70.900000000000006</v>
      </c>
      <c r="O715">
        <f>ABS(L715-DigDir!$C$34)</f>
        <v>5.72206356589514</v>
      </c>
      <c r="P715">
        <f t="shared" si="11"/>
        <v>70.900000000000006</v>
      </c>
    </row>
    <row r="716" spans="10:16">
      <c r="J716" s="5"/>
      <c r="L716">
        <f>DigDir!M716</f>
        <v>0.69882900000000003</v>
      </c>
      <c r="M716">
        <f>DigDir!N716</f>
        <v>71</v>
      </c>
      <c r="O716">
        <f>ABS(L716-DigDir!$C$34)</f>
        <v>5.72206356589514</v>
      </c>
      <c r="P716">
        <f t="shared" si="11"/>
        <v>71</v>
      </c>
    </row>
    <row r="717" spans="10:16">
      <c r="J717" s="5"/>
      <c r="L717">
        <f>DigDir!M717</f>
        <v>0.69882900000000003</v>
      </c>
      <c r="M717">
        <f>DigDir!N717</f>
        <v>71.099999999999994</v>
      </c>
      <c r="O717">
        <f>ABS(L717-DigDir!$C$34)</f>
        <v>5.72206356589514</v>
      </c>
      <c r="P717">
        <f t="shared" si="11"/>
        <v>71.099999999999994</v>
      </c>
    </row>
    <row r="718" spans="10:16">
      <c r="J718" s="5"/>
      <c r="L718">
        <f>DigDir!M718</f>
        <v>0.69882900000000003</v>
      </c>
      <c r="M718">
        <f>DigDir!N718</f>
        <v>71.2</v>
      </c>
      <c r="O718">
        <f>ABS(L718-DigDir!$C$34)</f>
        <v>5.72206356589514</v>
      </c>
      <c r="P718">
        <f t="shared" si="11"/>
        <v>71.2</v>
      </c>
    </row>
    <row r="719" spans="10:16">
      <c r="J719" s="5"/>
      <c r="L719">
        <f>DigDir!M719</f>
        <v>0.69882900000000003</v>
      </c>
      <c r="M719">
        <f>DigDir!N719</f>
        <v>71.3</v>
      </c>
      <c r="O719">
        <f>ABS(L719-DigDir!$C$34)</f>
        <v>5.72206356589514</v>
      </c>
      <c r="P719">
        <f t="shared" si="11"/>
        <v>71.3</v>
      </c>
    </row>
    <row r="720" spans="10:16">
      <c r="J720" s="5"/>
      <c r="L720">
        <f>DigDir!M720</f>
        <v>0.69882900000000003</v>
      </c>
      <c r="M720">
        <f>DigDir!N720</f>
        <v>71.400000000000006</v>
      </c>
      <c r="O720">
        <f>ABS(L720-DigDir!$C$34)</f>
        <v>5.72206356589514</v>
      </c>
      <c r="P720">
        <f t="shared" si="11"/>
        <v>71.400000000000006</v>
      </c>
    </row>
    <row r="721" spans="10:16">
      <c r="J721" s="5"/>
      <c r="L721">
        <f>DigDir!M721</f>
        <v>0.69882900000000003</v>
      </c>
      <c r="M721">
        <f>DigDir!N721</f>
        <v>71.5</v>
      </c>
      <c r="O721">
        <f>ABS(L721-DigDir!$C$34)</f>
        <v>5.72206356589514</v>
      </c>
      <c r="P721">
        <f t="shared" si="11"/>
        <v>71.5</v>
      </c>
    </row>
    <row r="722" spans="10:16">
      <c r="J722" s="5"/>
      <c r="L722">
        <f>DigDir!M722</f>
        <v>0.69882900000000003</v>
      </c>
      <c r="M722">
        <f>DigDir!N722</f>
        <v>71.599999999999994</v>
      </c>
      <c r="O722">
        <f>ABS(L722-DigDir!$C$34)</f>
        <v>5.72206356589514</v>
      </c>
      <c r="P722">
        <f t="shared" si="11"/>
        <v>71.599999999999994</v>
      </c>
    </row>
    <row r="723" spans="10:16">
      <c r="J723" s="5"/>
      <c r="L723">
        <f>DigDir!M723</f>
        <v>0.69882900000000003</v>
      </c>
      <c r="M723">
        <f>DigDir!N723</f>
        <v>71.7</v>
      </c>
      <c r="O723">
        <f>ABS(L723-DigDir!$C$34)</f>
        <v>5.72206356589514</v>
      </c>
      <c r="P723">
        <f t="shared" si="11"/>
        <v>71.7</v>
      </c>
    </row>
    <row r="724" spans="10:16">
      <c r="J724" s="5"/>
      <c r="L724">
        <f>DigDir!M724</f>
        <v>0.69882900000000003</v>
      </c>
      <c r="M724">
        <f>DigDir!N724</f>
        <v>71.8</v>
      </c>
      <c r="O724">
        <f>ABS(L724-DigDir!$C$34)</f>
        <v>5.72206356589514</v>
      </c>
      <c r="P724">
        <f t="shared" si="11"/>
        <v>71.8</v>
      </c>
    </row>
    <row r="725" spans="10:16">
      <c r="J725" s="5"/>
      <c r="L725">
        <f>DigDir!M725</f>
        <v>0.69882900000000003</v>
      </c>
      <c r="M725">
        <f>DigDir!N725</f>
        <v>71.900000000000006</v>
      </c>
      <c r="O725">
        <f>ABS(L725-DigDir!$C$34)</f>
        <v>5.72206356589514</v>
      </c>
      <c r="P725">
        <f t="shared" si="11"/>
        <v>71.900000000000006</v>
      </c>
    </row>
    <row r="726" spans="10:16">
      <c r="J726" s="5"/>
      <c r="L726">
        <f>DigDir!M726</f>
        <v>0.69882900000000003</v>
      </c>
      <c r="M726">
        <f>DigDir!N726</f>
        <v>72</v>
      </c>
      <c r="O726">
        <f>ABS(L726-DigDir!$C$34)</f>
        <v>5.72206356589514</v>
      </c>
      <c r="P726">
        <f t="shared" si="11"/>
        <v>72</v>
      </c>
    </row>
    <row r="727" spans="10:16">
      <c r="J727" s="5"/>
      <c r="L727">
        <f>DigDir!M727</f>
        <v>0.69882900000000003</v>
      </c>
      <c r="M727">
        <f>DigDir!N727</f>
        <v>72.099999999999994</v>
      </c>
      <c r="O727">
        <f>ABS(L727-DigDir!$C$34)</f>
        <v>5.72206356589514</v>
      </c>
      <c r="P727">
        <f t="shared" si="11"/>
        <v>72.099999999999994</v>
      </c>
    </row>
    <row r="728" spans="10:16">
      <c r="J728" s="5"/>
      <c r="L728">
        <f>DigDir!M728</f>
        <v>0.69882900000000003</v>
      </c>
      <c r="M728">
        <f>DigDir!N728</f>
        <v>72.2</v>
      </c>
      <c r="O728">
        <f>ABS(L728-DigDir!$C$34)</f>
        <v>5.72206356589514</v>
      </c>
      <c r="P728">
        <f t="shared" si="11"/>
        <v>72.2</v>
      </c>
    </row>
    <row r="729" spans="10:16">
      <c r="J729" s="5"/>
      <c r="L729">
        <f>DigDir!M729</f>
        <v>0.69882900000000003</v>
      </c>
      <c r="M729">
        <f>DigDir!N729</f>
        <v>72.3</v>
      </c>
      <c r="O729">
        <f>ABS(L729-DigDir!$C$34)</f>
        <v>5.72206356589514</v>
      </c>
      <c r="P729">
        <f t="shared" si="11"/>
        <v>72.3</v>
      </c>
    </row>
    <row r="730" spans="10:16">
      <c r="J730" s="5"/>
      <c r="L730">
        <f>DigDir!M730</f>
        <v>0.69882900000000003</v>
      </c>
      <c r="M730">
        <f>DigDir!N730</f>
        <v>72.400000000000006</v>
      </c>
      <c r="O730">
        <f>ABS(L730-DigDir!$C$34)</f>
        <v>5.72206356589514</v>
      </c>
      <c r="P730">
        <f t="shared" si="11"/>
        <v>72.400000000000006</v>
      </c>
    </row>
    <row r="731" spans="10:16">
      <c r="J731" s="5"/>
      <c r="L731">
        <f>DigDir!M731</f>
        <v>0.69882900000000003</v>
      </c>
      <c r="M731">
        <f>DigDir!N731</f>
        <v>72.5</v>
      </c>
      <c r="O731">
        <f>ABS(L731-DigDir!$C$34)</f>
        <v>5.72206356589514</v>
      </c>
      <c r="P731">
        <f t="shared" si="11"/>
        <v>72.5</v>
      </c>
    </row>
    <row r="732" spans="10:16">
      <c r="J732" s="5"/>
      <c r="L732">
        <f>DigDir!M732</f>
        <v>0.69882900000000003</v>
      </c>
      <c r="M732">
        <f>DigDir!N732</f>
        <v>72.599999999999994</v>
      </c>
      <c r="O732">
        <f>ABS(L732-DigDir!$C$34)</f>
        <v>5.72206356589514</v>
      </c>
      <c r="P732">
        <f t="shared" si="11"/>
        <v>72.599999999999994</v>
      </c>
    </row>
    <row r="733" spans="10:16">
      <c r="J733" s="5"/>
      <c r="L733">
        <f>DigDir!M733</f>
        <v>0.69882900000000003</v>
      </c>
      <c r="M733">
        <f>DigDir!N733</f>
        <v>72.7</v>
      </c>
      <c r="O733">
        <f>ABS(L733-DigDir!$C$34)</f>
        <v>5.72206356589514</v>
      </c>
      <c r="P733">
        <f t="shared" si="11"/>
        <v>72.7</v>
      </c>
    </row>
    <row r="734" spans="10:16">
      <c r="J734" s="5"/>
      <c r="L734">
        <f>DigDir!M734</f>
        <v>0.69882900000000003</v>
      </c>
      <c r="M734">
        <f>DigDir!N734</f>
        <v>72.8</v>
      </c>
      <c r="O734">
        <f>ABS(L734-DigDir!$C$34)</f>
        <v>5.72206356589514</v>
      </c>
      <c r="P734">
        <f t="shared" si="11"/>
        <v>72.8</v>
      </c>
    </row>
    <row r="735" spans="10:16">
      <c r="J735" s="5"/>
      <c r="L735">
        <f>DigDir!M735</f>
        <v>0.69882900000000003</v>
      </c>
      <c r="M735">
        <f>DigDir!N735</f>
        <v>72.900000000000006</v>
      </c>
      <c r="O735">
        <f>ABS(L735-DigDir!$C$34)</f>
        <v>5.72206356589514</v>
      </c>
      <c r="P735">
        <f t="shared" si="11"/>
        <v>72.900000000000006</v>
      </c>
    </row>
    <row r="736" spans="10:16">
      <c r="J736" s="5"/>
      <c r="L736">
        <f>DigDir!M736</f>
        <v>0.69882900000000003</v>
      </c>
      <c r="M736">
        <f>DigDir!N736</f>
        <v>73</v>
      </c>
      <c r="O736">
        <f>ABS(L736-DigDir!$C$34)</f>
        <v>5.72206356589514</v>
      </c>
      <c r="P736">
        <f t="shared" si="11"/>
        <v>73</v>
      </c>
    </row>
    <row r="737" spans="10:16">
      <c r="J737" s="5"/>
      <c r="L737">
        <f>DigDir!M737</f>
        <v>0.69882900000000003</v>
      </c>
      <c r="M737">
        <f>DigDir!N737</f>
        <v>73.099999999999994</v>
      </c>
      <c r="O737">
        <f>ABS(L737-DigDir!$C$34)</f>
        <v>5.72206356589514</v>
      </c>
      <c r="P737">
        <f t="shared" si="11"/>
        <v>73.099999999999994</v>
      </c>
    </row>
    <row r="738" spans="10:16">
      <c r="J738" s="5"/>
      <c r="L738">
        <f>DigDir!M738</f>
        <v>0.69882900000000003</v>
      </c>
      <c r="M738">
        <f>DigDir!N738</f>
        <v>73.2</v>
      </c>
      <c r="O738">
        <f>ABS(L738-DigDir!$C$34)</f>
        <v>5.72206356589514</v>
      </c>
      <c r="P738">
        <f t="shared" si="11"/>
        <v>73.2</v>
      </c>
    </row>
    <row r="739" spans="10:16">
      <c r="J739" s="5"/>
      <c r="L739">
        <f>DigDir!M739</f>
        <v>0.69882900000000003</v>
      </c>
      <c r="M739">
        <f>DigDir!N739</f>
        <v>73.3</v>
      </c>
      <c r="O739">
        <f>ABS(L739-DigDir!$C$34)</f>
        <v>5.72206356589514</v>
      </c>
      <c r="P739">
        <f t="shared" si="11"/>
        <v>73.3</v>
      </c>
    </row>
    <row r="740" spans="10:16">
      <c r="J740" s="5"/>
      <c r="L740">
        <f>DigDir!M740</f>
        <v>0.69882900000000003</v>
      </c>
      <c r="M740">
        <f>DigDir!N740</f>
        <v>73.400000000000006</v>
      </c>
      <c r="O740">
        <f>ABS(L740-DigDir!$C$34)</f>
        <v>5.72206356589514</v>
      </c>
      <c r="P740">
        <f t="shared" si="11"/>
        <v>73.400000000000006</v>
      </c>
    </row>
    <row r="741" spans="10:16">
      <c r="J741" s="5"/>
      <c r="L741">
        <f>DigDir!M741</f>
        <v>0.69882900000000003</v>
      </c>
      <c r="M741">
        <f>DigDir!N741</f>
        <v>73.5</v>
      </c>
      <c r="O741">
        <f>ABS(L741-DigDir!$C$34)</f>
        <v>5.72206356589514</v>
      </c>
      <c r="P741">
        <f t="shared" si="11"/>
        <v>73.5</v>
      </c>
    </row>
    <row r="742" spans="10:16">
      <c r="J742" s="5"/>
      <c r="L742">
        <f>DigDir!M742</f>
        <v>0.69882900000000003</v>
      </c>
      <c r="M742">
        <f>DigDir!N742</f>
        <v>73.599999999999994</v>
      </c>
      <c r="O742">
        <f>ABS(L742-DigDir!$C$34)</f>
        <v>5.72206356589514</v>
      </c>
      <c r="P742">
        <f t="shared" si="11"/>
        <v>73.599999999999994</v>
      </c>
    </row>
    <row r="743" spans="10:16">
      <c r="J743" s="5"/>
      <c r="L743">
        <f>DigDir!M743</f>
        <v>0.69882900000000003</v>
      </c>
      <c r="M743">
        <f>DigDir!N743</f>
        <v>73.7</v>
      </c>
      <c r="O743">
        <f>ABS(L743-DigDir!$C$34)</f>
        <v>5.72206356589514</v>
      </c>
      <c r="P743">
        <f t="shared" si="11"/>
        <v>73.7</v>
      </c>
    </row>
    <row r="744" spans="10:16">
      <c r="J744" s="5"/>
      <c r="L744">
        <f>DigDir!M744</f>
        <v>0.69882900000000003</v>
      </c>
      <c r="M744">
        <f>DigDir!N744</f>
        <v>73.8</v>
      </c>
      <c r="O744">
        <f>ABS(L744-DigDir!$C$34)</f>
        <v>5.72206356589514</v>
      </c>
      <c r="P744">
        <f t="shared" si="11"/>
        <v>73.8</v>
      </c>
    </row>
    <row r="745" spans="10:16">
      <c r="J745" s="5"/>
      <c r="L745">
        <f>DigDir!M745</f>
        <v>0.69882900000000003</v>
      </c>
      <c r="M745">
        <f>DigDir!N745</f>
        <v>73.900000000000006</v>
      </c>
      <c r="O745">
        <f>ABS(L745-DigDir!$C$34)</f>
        <v>5.72206356589514</v>
      </c>
      <c r="P745">
        <f t="shared" si="11"/>
        <v>73.900000000000006</v>
      </c>
    </row>
    <row r="746" spans="10:16">
      <c r="J746" s="5"/>
      <c r="L746">
        <f>DigDir!M746</f>
        <v>0.69882900000000003</v>
      </c>
      <c r="M746">
        <f>DigDir!N746</f>
        <v>74</v>
      </c>
      <c r="O746">
        <f>ABS(L746-DigDir!$C$34)</f>
        <v>5.72206356589514</v>
      </c>
      <c r="P746">
        <f t="shared" si="11"/>
        <v>74</v>
      </c>
    </row>
    <row r="747" spans="10:16">
      <c r="J747" s="5"/>
      <c r="L747">
        <f>DigDir!M747</f>
        <v>0.69882900000000003</v>
      </c>
      <c r="M747">
        <f>DigDir!N747</f>
        <v>74.099999999999994</v>
      </c>
      <c r="O747">
        <f>ABS(L747-DigDir!$C$34)</f>
        <v>5.72206356589514</v>
      </c>
      <c r="P747">
        <f t="shared" si="11"/>
        <v>74.099999999999994</v>
      </c>
    </row>
    <row r="748" spans="10:16">
      <c r="J748" s="5"/>
      <c r="L748">
        <f>DigDir!M748</f>
        <v>0.69882900000000003</v>
      </c>
      <c r="M748">
        <f>DigDir!N748</f>
        <v>74.2</v>
      </c>
      <c r="O748">
        <f>ABS(L748-DigDir!$C$34)</f>
        <v>5.72206356589514</v>
      </c>
      <c r="P748">
        <f t="shared" si="11"/>
        <v>74.2</v>
      </c>
    </row>
    <row r="749" spans="10:16">
      <c r="J749" s="5"/>
      <c r="L749">
        <f>DigDir!M749</f>
        <v>0.69882900000000003</v>
      </c>
      <c r="M749">
        <f>DigDir!N749</f>
        <v>74.3</v>
      </c>
      <c r="O749">
        <f>ABS(L749-DigDir!$C$34)</f>
        <v>5.72206356589514</v>
      </c>
      <c r="P749">
        <f t="shared" si="11"/>
        <v>74.3</v>
      </c>
    </row>
    <row r="750" spans="10:16">
      <c r="J750" s="5"/>
      <c r="L750">
        <f>DigDir!M750</f>
        <v>0.69882900000000003</v>
      </c>
      <c r="M750">
        <f>DigDir!N750</f>
        <v>74.400000000000006</v>
      </c>
      <c r="O750">
        <f>ABS(L750-DigDir!$C$34)</f>
        <v>5.72206356589514</v>
      </c>
      <c r="P750">
        <f t="shared" si="11"/>
        <v>74.400000000000006</v>
      </c>
    </row>
    <row r="751" spans="10:16">
      <c r="J751" s="5"/>
      <c r="L751">
        <f>DigDir!M751</f>
        <v>0.69882900000000003</v>
      </c>
      <c r="M751">
        <f>DigDir!N751</f>
        <v>74.5</v>
      </c>
      <c r="O751">
        <f>ABS(L751-DigDir!$C$34)</f>
        <v>5.72206356589514</v>
      </c>
      <c r="P751">
        <f t="shared" si="11"/>
        <v>74.5</v>
      </c>
    </row>
    <row r="752" spans="10:16">
      <c r="J752" s="5"/>
      <c r="L752">
        <f>DigDir!M752</f>
        <v>0.69882900000000003</v>
      </c>
      <c r="M752">
        <f>DigDir!N752</f>
        <v>74.599999999999994</v>
      </c>
      <c r="O752">
        <f>ABS(L752-DigDir!$C$34)</f>
        <v>5.72206356589514</v>
      </c>
      <c r="P752">
        <f t="shared" si="11"/>
        <v>74.599999999999994</v>
      </c>
    </row>
    <row r="753" spans="10:16">
      <c r="J753" s="5"/>
      <c r="L753">
        <f>DigDir!M753</f>
        <v>0.69882900000000003</v>
      </c>
      <c r="M753">
        <f>DigDir!N753</f>
        <v>74.7</v>
      </c>
      <c r="O753">
        <f>ABS(L753-DigDir!$C$34)</f>
        <v>5.72206356589514</v>
      </c>
      <c r="P753">
        <f t="shared" si="11"/>
        <v>74.7</v>
      </c>
    </row>
    <row r="754" spans="10:16">
      <c r="J754" s="5"/>
      <c r="L754">
        <f>DigDir!M754</f>
        <v>0.69882900000000003</v>
      </c>
      <c r="M754">
        <f>DigDir!N754</f>
        <v>74.8</v>
      </c>
      <c r="O754">
        <f>ABS(L754-DigDir!$C$34)</f>
        <v>5.72206356589514</v>
      </c>
      <c r="P754">
        <f t="shared" si="11"/>
        <v>74.8</v>
      </c>
    </row>
    <row r="755" spans="10:16">
      <c r="J755" s="5"/>
      <c r="L755">
        <f>DigDir!M755</f>
        <v>0.69882900000000003</v>
      </c>
      <c r="M755">
        <f>DigDir!N755</f>
        <v>74.900000000000006</v>
      </c>
      <c r="O755">
        <f>ABS(L755-DigDir!$C$34)</f>
        <v>5.72206356589514</v>
      </c>
      <c r="P755">
        <f t="shared" si="11"/>
        <v>74.900000000000006</v>
      </c>
    </row>
    <row r="756" spans="10:16">
      <c r="J756" s="5"/>
      <c r="L756">
        <f>DigDir!M756</f>
        <v>0.69882900000000003</v>
      </c>
      <c r="M756">
        <f>DigDir!N756</f>
        <v>75</v>
      </c>
      <c r="O756">
        <f>ABS(L756-DigDir!$C$34)</f>
        <v>5.72206356589514</v>
      </c>
      <c r="P756">
        <f t="shared" si="11"/>
        <v>75</v>
      </c>
    </row>
    <row r="757" spans="10:16">
      <c r="J757" s="5"/>
      <c r="L757">
        <f>DigDir!M757</f>
        <v>0.69882900000000003</v>
      </c>
      <c r="M757">
        <f>DigDir!N757</f>
        <v>75.099999999999994</v>
      </c>
      <c r="O757">
        <f>ABS(L757-DigDir!$C$34)</f>
        <v>5.72206356589514</v>
      </c>
      <c r="P757">
        <f t="shared" si="11"/>
        <v>75.099999999999994</v>
      </c>
    </row>
    <row r="758" spans="10:16">
      <c r="J758" s="5"/>
      <c r="L758">
        <f>DigDir!M758</f>
        <v>0.69882900000000003</v>
      </c>
      <c r="M758">
        <f>DigDir!N758</f>
        <v>75.2</v>
      </c>
      <c r="O758">
        <f>ABS(L758-DigDir!$C$34)</f>
        <v>5.72206356589514</v>
      </c>
      <c r="P758">
        <f t="shared" si="11"/>
        <v>75.2</v>
      </c>
    </row>
    <row r="759" spans="10:16">
      <c r="J759" s="5"/>
      <c r="L759">
        <f>DigDir!M759</f>
        <v>0.69882900000000003</v>
      </c>
      <c r="M759">
        <f>DigDir!N759</f>
        <v>75.3</v>
      </c>
      <c r="O759">
        <f>ABS(L759-DigDir!$C$34)</f>
        <v>5.72206356589514</v>
      </c>
      <c r="P759">
        <f t="shared" si="11"/>
        <v>75.3</v>
      </c>
    </row>
    <row r="760" spans="10:16">
      <c r="J760" s="5"/>
      <c r="L760">
        <f>DigDir!M760</f>
        <v>0.69882900000000003</v>
      </c>
      <c r="M760">
        <f>DigDir!N760</f>
        <v>75.400000000000006</v>
      </c>
      <c r="O760">
        <f>ABS(L760-DigDir!$C$34)</f>
        <v>5.72206356589514</v>
      </c>
      <c r="P760">
        <f t="shared" si="11"/>
        <v>75.400000000000006</v>
      </c>
    </row>
    <row r="761" spans="10:16">
      <c r="J761" s="5"/>
      <c r="L761">
        <f>DigDir!M761</f>
        <v>0.69910755499999999</v>
      </c>
      <c r="M761">
        <f>DigDir!N761</f>
        <v>75.5</v>
      </c>
      <c r="O761">
        <f>ABS(L761-DigDir!$C$34)</f>
        <v>5.7223421208951404</v>
      </c>
      <c r="P761">
        <f t="shared" si="11"/>
        <v>75.5</v>
      </c>
    </row>
    <row r="762" spans="10:16">
      <c r="J762" s="5"/>
      <c r="L762">
        <f>DigDir!M762</f>
        <v>0.71866211599999996</v>
      </c>
      <c r="M762">
        <f>DigDir!N762</f>
        <v>75.599999999999994</v>
      </c>
      <c r="O762">
        <f>ABS(L762-DigDir!$C$34)</f>
        <v>5.74189668189514</v>
      </c>
      <c r="P762">
        <f t="shared" si="11"/>
        <v>75.599999999999994</v>
      </c>
    </row>
    <row r="763" spans="10:16">
      <c r="J763" s="5"/>
      <c r="L763">
        <f>DigDir!M763</f>
        <v>0.73821667700000004</v>
      </c>
      <c r="M763">
        <f>DigDir!N763</f>
        <v>75.7</v>
      </c>
      <c r="O763">
        <f>ABS(L763-DigDir!$C$34)</f>
        <v>5.7614512428951397</v>
      </c>
      <c r="P763">
        <f t="shared" si="11"/>
        <v>75.7</v>
      </c>
    </row>
    <row r="764" spans="10:16">
      <c r="J764" s="5"/>
      <c r="L764">
        <f>DigDir!M764</f>
        <v>0.75453999999999999</v>
      </c>
      <c r="M764">
        <f>DigDir!N764</f>
        <v>75.8</v>
      </c>
      <c r="O764">
        <f>ABS(L764-DigDir!$C$34)</f>
        <v>5.7777745658951396</v>
      </c>
      <c r="P764">
        <f t="shared" si="11"/>
        <v>75.8</v>
      </c>
    </row>
    <row r="765" spans="10:16">
      <c r="J765" s="5"/>
      <c r="L765">
        <f>DigDir!M765</f>
        <v>0.75453999999999999</v>
      </c>
      <c r="M765">
        <f>DigDir!N765</f>
        <v>75.900000000000006</v>
      </c>
      <c r="O765">
        <f>ABS(L765-DigDir!$C$34)</f>
        <v>5.7777745658951396</v>
      </c>
      <c r="P765">
        <f t="shared" si="11"/>
        <v>75.900000000000006</v>
      </c>
    </row>
    <row r="766" spans="10:16">
      <c r="J766" s="5"/>
      <c r="L766">
        <f>DigDir!M766</f>
        <v>0.75453999999999999</v>
      </c>
      <c r="M766">
        <f>DigDir!N766</f>
        <v>76</v>
      </c>
      <c r="O766">
        <f>ABS(L766-DigDir!$C$34)</f>
        <v>5.7777745658951396</v>
      </c>
      <c r="P766">
        <f t="shared" si="11"/>
        <v>76</v>
      </c>
    </row>
    <row r="767" spans="10:16">
      <c r="J767" s="5"/>
      <c r="L767">
        <f>DigDir!M767</f>
        <v>0.75453999999999999</v>
      </c>
      <c r="M767">
        <f>DigDir!N767</f>
        <v>76.099999999999994</v>
      </c>
      <c r="O767">
        <f>ABS(L767-DigDir!$C$34)</f>
        <v>5.7777745658951396</v>
      </c>
      <c r="P767">
        <f t="shared" si="11"/>
        <v>76.099999999999994</v>
      </c>
    </row>
    <row r="768" spans="10:16">
      <c r="J768" s="5"/>
      <c r="L768">
        <f>DigDir!M768</f>
        <v>0.75453999999999999</v>
      </c>
      <c r="M768">
        <f>DigDir!N768</f>
        <v>76.2</v>
      </c>
      <c r="O768">
        <f>ABS(L768-DigDir!$C$34)</f>
        <v>5.7777745658951396</v>
      </c>
      <c r="P768">
        <f t="shared" si="11"/>
        <v>76.2</v>
      </c>
    </row>
    <row r="769" spans="10:16">
      <c r="J769" s="5"/>
      <c r="L769">
        <f>DigDir!M769</f>
        <v>0.75453999999999999</v>
      </c>
      <c r="M769">
        <f>DigDir!N769</f>
        <v>76.3</v>
      </c>
      <c r="O769">
        <f>ABS(L769-DigDir!$C$34)</f>
        <v>5.7777745658951396</v>
      </c>
      <c r="P769">
        <f t="shared" si="11"/>
        <v>76.3</v>
      </c>
    </row>
    <row r="770" spans="10:16">
      <c r="J770" s="5"/>
      <c r="L770">
        <f>DigDir!M770</f>
        <v>0.75453999999999999</v>
      </c>
      <c r="M770">
        <f>DigDir!N770</f>
        <v>76.400000000000006</v>
      </c>
      <c r="O770">
        <f>ABS(L770-DigDir!$C$34)</f>
        <v>5.7777745658951396</v>
      </c>
      <c r="P770">
        <f t="shared" si="11"/>
        <v>76.400000000000006</v>
      </c>
    </row>
    <row r="771" spans="10:16">
      <c r="J771" s="5"/>
      <c r="L771">
        <f>DigDir!M771</f>
        <v>0.75453999999999999</v>
      </c>
      <c r="M771">
        <f>DigDir!N771</f>
        <v>76.5</v>
      </c>
      <c r="O771">
        <f>ABS(L771-DigDir!$C$34)</f>
        <v>5.7777745658951396</v>
      </c>
      <c r="P771">
        <f t="shared" si="11"/>
        <v>76.5</v>
      </c>
    </row>
    <row r="772" spans="10:16">
      <c r="J772" s="5"/>
      <c r="L772">
        <f>DigDir!M772</f>
        <v>0.75453999999999999</v>
      </c>
      <c r="M772">
        <f>DigDir!N772</f>
        <v>76.599999999999994</v>
      </c>
      <c r="O772">
        <f>ABS(L772-DigDir!$C$34)</f>
        <v>5.7777745658951396</v>
      </c>
      <c r="P772">
        <f t="shared" si="11"/>
        <v>76.599999999999994</v>
      </c>
    </row>
    <row r="773" spans="10:16">
      <c r="J773" s="5"/>
      <c r="L773">
        <f>DigDir!M773</f>
        <v>0.75453999999999999</v>
      </c>
      <c r="M773">
        <f>DigDir!N773</f>
        <v>76.7</v>
      </c>
      <c r="O773">
        <f>ABS(L773-DigDir!$C$34)</f>
        <v>5.7777745658951396</v>
      </c>
      <c r="P773">
        <f t="shared" si="11"/>
        <v>76.7</v>
      </c>
    </row>
    <row r="774" spans="10:16">
      <c r="J774" s="5"/>
      <c r="L774">
        <f>DigDir!M774</f>
        <v>0.75453999999999999</v>
      </c>
      <c r="M774">
        <f>DigDir!N774</f>
        <v>76.8</v>
      </c>
      <c r="O774">
        <f>ABS(L774-DigDir!$C$34)</f>
        <v>5.7777745658951396</v>
      </c>
      <c r="P774">
        <f t="shared" si="11"/>
        <v>76.8</v>
      </c>
    </row>
    <row r="775" spans="10:16">
      <c r="J775" s="5"/>
      <c r="L775">
        <f>DigDir!M775</f>
        <v>0.75453999999999999</v>
      </c>
      <c r="M775">
        <f>DigDir!N775</f>
        <v>76.900000000000006</v>
      </c>
      <c r="O775">
        <f>ABS(L775-DigDir!$C$34)</f>
        <v>5.7777745658951396</v>
      </c>
      <c r="P775">
        <f t="shared" ref="P775:P838" si="12">M775</f>
        <v>76.900000000000006</v>
      </c>
    </row>
    <row r="776" spans="10:16">
      <c r="J776" s="5"/>
      <c r="L776">
        <f>DigDir!M776</f>
        <v>0.75453999999999999</v>
      </c>
      <c r="M776">
        <f>DigDir!N776</f>
        <v>77</v>
      </c>
      <c r="O776">
        <f>ABS(L776-DigDir!$C$34)</f>
        <v>5.7777745658951396</v>
      </c>
      <c r="P776">
        <f t="shared" si="12"/>
        <v>77</v>
      </c>
    </row>
    <row r="777" spans="10:16">
      <c r="J777" s="5"/>
      <c r="L777">
        <f>DigDir!M777</f>
        <v>0.75453999999999999</v>
      </c>
      <c r="M777">
        <f>DigDir!N777</f>
        <v>77.099999999999994</v>
      </c>
      <c r="O777">
        <f>ABS(L777-DigDir!$C$34)</f>
        <v>5.7777745658951396</v>
      </c>
      <c r="P777">
        <f t="shared" si="12"/>
        <v>77.099999999999994</v>
      </c>
    </row>
    <row r="778" spans="10:16">
      <c r="J778" s="5"/>
      <c r="L778">
        <f>DigDir!M778</f>
        <v>0.75453999999999999</v>
      </c>
      <c r="M778">
        <f>DigDir!N778</f>
        <v>77.2</v>
      </c>
      <c r="O778">
        <f>ABS(L778-DigDir!$C$34)</f>
        <v>5.7777745658951396</v>
      </c>
      <c r="P778">
        <f t="shared" si="12"/>
        <v>77.2</v>
      </c>
    </row>
    <row r="779" spans="10:16">
      <c r="J779" s="5"/>
      <c r="L779">
        <f>DigDir!M779</f>
        <v>0.75453999999999999</v>
      </c>
      <c r="M779">
        <f>DigDir!N779</f>
        <v>77.3</v>
      </c>
      <c r="O779">
        <f>ABS(L779-DigDir!$C$34)</f>
        <v>5.7777745658951396</v>
      </c>
      <c r="P779">
        <f t="shared" si="12"/>
        <v>77.3</v>
      </c>
    </row>
    <row r="780" spans="10:16">
      <c r="J780" s="5"/>
      <c r="L780">
        <f>DigDir!M780</f>
        <v>0.75453999999999999</v>
      </c>
      <c r="M780">
        <f>DigDir!N780</f>
        <v>77.400000000000006</v>
      </c>
      <c r="O780">
        <f>ABS(L780-DigDir!$C$34)</f>
        <v>5.7777745658951396</v>
      </c>
      <c r="P780">
        <f t="shared" si="12"/>
        <v>77.400000000000006</v>
      </c>
    </row>
    <row r="781" spans="10:16">
      <c r="J781" s="5"/>
      <c r="L781">
        <f>DigDir!M781</f>
        <v>0.75453999999999999</v>
      </c>
      <c r="M781">
        <f>DigDir!N781</f>
        <v>77.5</v>
      </c>
      <c r="O781">
        <f>ABS(L781-DigDir!$C$34)</f>
        <v>5.7777745658951396</v>
      </c>
      <c r="P781">
        <f t="shared" si="12"/>
        <v>77.5</v>
      </c>
    </row>
    <row r="782" spans="10:16">
      <c r="J782" s="5"/>
      <c r="L782">
        <f>DigDir!M782</f>
        <v>0.75453999999999999</v>
      </c>
      <c r="M782">
        <f>DigDir!N782</f>
        <v>77.599999999999994</v>
      </c>
      <c r="O782">
        <f>ABS(L782-DigDir!$C$34)</f>
        <v>5.7777745658951396</v>
      </c>
      <c r="P782">
        <f t="shared" si="12"/>
        <v>77.599999999999994</v>
      </c>
    </row>
    <row r="783" spans="10:16">
      <c r="J783" s="5"/>
      <c r="L783">
        <f>DigDir!M783</f>
        <v>0.75453999999999999</v>
      </c>
      <c r="M783">
        <f>DigDir!N783</f>
        <v>77.7</v>
      </c>
      <c r="O783">
        <f>ABS(L783-DigDir!$C$34)</f>
        <v>5.7777745658951396</v>
      </c>
      <c r="P783">
        <f t="shared" si="12"/>
        <v>77.7</v>
      </c>
    </row>
    <row r="784" spans="10:16">
      <c r="J784" s="5"/>
      <c r="L784">
        <f>DigDir!M784</f>
        <v>0.75453999999999999</v>
      </c>
      <c r="M784">
        <f>DigDir!N784</f>
        <v>77.8</v>
      </c>
      <c r="O784">
        <f>ABS(L784-DigDir!$C$34)</f>
        <v>5.7777745658951396</v>
      </c>
      <c r="P784">
        <f t="shared" si="12"/>
        <v>77.8</v>
      </c>
    </row>
    <row r="785" spans="10:16">
      <c r="J785" s="5"/>
      <c r="L785">
        <f>DigDir!M785</f>
        <v>0.75453999999999999</v>
      </c>
      <c r="M785">
        <f>DigDir!N785</f>
        <v>77.900000000000006</v>
      </c>
      <c r="O785">
        <f>ABS(L785-DigDir!$C$34)</f>
        <v>5.7777745658951396</v>
      </c>
      <c r="P785">
        <f t="shared" si="12"/>
        <v>77.900000000000006</v>
      </c>
    </row>
    <row r="786" spans="10:16">
      <c r="J786" s="5"/>
      <c r="L786">
        <f>DigDir!M786</f>
        <v>0.75453999999999999</v>
      </c>
      <c r="M786">
        <f>DigDir!N786</f>
        <v>78</v>
      </c>
      <c r="O786">
        <f>ABS(L786-DigDir!$C$34)</f>
        <v>5.7777745658951396</v>
      </c>
      <c r="P786">
        <f t="shared" si="12"/>
        <v>78</v>
      </c>
    </row>
    <row r="787" spans="10:16">
      <c r="J787" s="5"/>
      <c r="L787">
        <f>DigDir!M787</f>
        <v>0.76183814100000202</v>
      </c>
      <c r="M787">
        <f>DigDir!N787</f>
        <v>78.099999999999994</v>
      </c>
      <c r="O787">
        <f>ABS(L787-DigDir!$C$34)</f>
        <v>5.785072706895142</v>
      </c>
      <c r="P787">
        <f t="shared" si="12"/>
        <v>78.099999999999994</v>
      </c>
    </row>
    <row r="788" spans="10:16">
      <c r="J788" s="5"/>
      <c r="L788">
        <f>DigDir!M788</f>
        <v>0.78139270200000199</v>
      </c>
      <c r="M788">
        <f>DigDir!N788</f>
        <v>78.2</v>
      </c>
      <c r="O788">
        <f>ABS(L788-DigDir!$C$34)</f>
        <v>5.8046272678951425</v>
      </c>
      <c r="P788">
        <f t="shared" si="12"/>
        <v>78.2</v>
      </c>
    </row>
    <row r="789" spans="10:16">
      <c r="J789" s="5"/>
      <c r="L789">
        <f>DigDir!M789</f>
        <v>0.80094726300000196</v>
      </c>
      <c r="M789">
        <f>DigDir!N789</f>
        <v>78.3</v>
      </c>
      <c r="O789">
        <f>ABS(L789-DigDir!$C$34)</f>
        <v>5.8241818288951421</v>
      </c>
      <c r="P789">
        <f t="shared" si="12"/>
        <v>78.3</v>
      </c>
    </row>
    <row r="790" spans="10:16">
      <c r="J790" s="5"/>
      <c r="L790">
        <f>DigDir!M790</f>
        <v>0.81025100000000005</v>
      </c>
      <c r="M790">
        <f>DigDir!N790</f>
        <v>78.400000000000006</v>
      </c>
      <c r="O790">
        <f>ABS(L790-DigDir!$C$34)</f>
        <v>5.8334855658951401</v>
      </c>
      <c r="P790">
        <f t="shared" si="12"/>
        <v>78.400000000000006</v>
      </c>
    </row>
    <row r="791" spans="10:16">
      <c r="J791" s="5"/>
      <c r="L791">
        <f>DigDir!M791</f>
        <v>0.81025100000000005</v>
      </c>
      <c r="M791">
        <f>DigDir!N791</f>
        <v>78.5</v>
      </c>
      <c r="O791">
        <f>ABS(L791-DigDir!$C$34)</f>
        <v>5.8334855658951401</v>
      </c>
      <c r="P791">
        <f t="shared" si="12"/>
        <v>78.5</v>
      </c>
    </row>
    <row r="792" spans="10:16">
      <c r="J792" s="5"/>
      <c r="L792">
        <f>DigDir!M792</f>
        <v>0.81025100000000005</v>
      </c>
      <c r="M792">
        <f>DigDir!N792</f>
        <v>78.599999999999994</v>
      </c>
      <c r="O792">
        <f>ABS(L792-DigDir!$C$34)</f>
        <v>5.8334855658951401</v>
      </c>
      <c r="P792">
        <f t="shared" si="12"/>
        <v>78.599999999999994</v>
      </c>
    </row>
    <row r="793" spans="10:16">
      <c r="J793" s="5"/>
      <c r="L793">
        <f>DigDir!M793</f>
        <v>0.81025100000000005</v>
      </c>
      <c r="M793">
        <f>DigDir!N793</f>
        <v>78.7</v>
      </c>
      <c r="O793">
        <f>ABS(L793-DigDir!$C$34)</f>
        <v>5.8334855658951401</v>
      </c>
      <c r="P793">
        <f t="shared" si="12"/>
        <v>78.7</v>
      </c>
    </row>
    <row r="794" spans="10:16">
      <c r="J794" s="5"/>
      <c r="L794">
        <f>DigDir!M794</f>
        <v>0.81025100000000005</v>
      </c>
      <c r="M794">
        <f>DigDir!N794</f>
        <v>78.8</v>
      </c>
      <c r="O794">
        <f>ABS(L794-DigDir!$C$34)</f>
        <v>5.8334855658951401</v>
      </c>
      <c r="P794">
        <f t="shared" si="12"/>
        <v>78.8</v>
      </c>
    </row>
    <row r="795" spans="10:16">
      <c r="J795" s="5"/>
      <c r="L795">
        <f>DigDir!M795</f>
        <v>0.81025100000000005</v>
      </c>
      <c r="M795">
        <f>DigDir!N795</f>
        <v>78.900000000000006</v>
      </c>
      <c r="O795">
        <f>ABS(L795-DigDir!$C$34)</f>
        <v>5.8334855658951401</v>
      </c>
      <c r="P795">
        <f t="shared" si="12"/>
        <v>78.900000000000006</v>
      </c>
    </row>
    <row r="796" spans="10:16">
      <c r="J796" s="5"/>
      <c r="L796">
        <f>DigDir!M796</f>
        <v>0.81025100000000005</v>
      </c>
      <c r="M796">
        <f>DigDir!N796</f>
        <v>79</v>
      </c>
      <c r="O796">
        <f>ABS(L796-DigDir!$C$34)</f>
        <v>5.8334855658951401</v>
      </c>
      <c r="P796">
        <f t="shared" si="12"/>
        <v>79</v>
      </c>
    </row>
    <row r="797" spans="10:16">
      <c r="J797" s="5"/>
      <c r="L797">
        <f>DigDir!M797</f>
        <v>0.81025100000000005</v>
      </c>
      <c r="M797">
        <f>DigDir!N797</f>
        <v>79.099999999999994</v>
      </c>
      <c r="O797">
        <f>ABS(L797-DigDir!$C$34)</f>
        <v>5.8334855658951401</v>
      </c>
      <c r="P797">
        <f t="shared" si="12"/>
        <v>79.099999999999994</v>
      </c>
    </row>
    <row r="798" spans="10:16">
      <c r="J798" s="5"/>
      <c r="L798">
        <f>DigDir!M798</f>
        <v>0.81025100000000005</v>
      </c>
      <c r="M798">
        <f>DigDir!N798</f>
        <v>79.2</v>
      </c>
      <c r="O798">
        <f>ABS(L798-DigDir!$C$34)</f>
        <v>5.8334855658951401</v>
      </c>
      <c r="P798">
        <f t="shared" si="12"/>
        <v>79.2</v>
      </c>
    </row>
    <row r="799" spans="10:16">
      <c r="J799" s="5"/>
      <c r="L799">
        <f>DigDir!M799</f>
        <v>0.81025100000000005</v>
      </c>
      <c r="M799">
        <f>DigDir!N799</f>
        <v>79.3</v>
      </c>
      <c r="O799">
        <f>ABS(L799-DigDir!$C$34)</f>
        <v>5.8334855658951401</v>
      </c>
      <c r="P799">
        <f t="shared" si="12"/>
        <v>79.3</v>
      </c>
    </row>
    <row r="800" spans="10:16">
      <c r="J800" s="5"/>
      <c r="L800">
        <f>DigDir!M800</f>
        <v>0.81025100000000005</v>
      </c>
      <c r="M800">
        <f>DigDir!N800</f>
        <v>79.400000000000006</v>
      </c>
      <c r="O800">
        <f>ABS(L800-DigDir!$C$34)</f>
        <v>5.8334855658951401</v>
      </c>
      <c r="P800">
        <f t="shared" si="12"/>
        <v>79.400000000000006</v>
      </c>
    </row>
    <row r="801" spans="10:16">
      <c r="J801" s="5"/>
      <c r="L801">
        <f>DigDir!M801</f>
        <v>0.81275795000000095</v>
      </c>
      <c r="M801">
        <f>DigDir!N801</f>
        <v>79.5</v>
      </c>
      <c r="O801">
        <f>ABS(L801-DigDir!$C$34)</f>
        <v>5.8359925158951409</v>
      </c>
      <c r="P801">
        <f t="shared" si="12"/>
        <v>79.5</v>
      </c>
    </row>
    <row r="802" spans="10:16">
      <c r="J802" s="5"/>
      <c r="L802">
        <f>DigDir!M802</f>
        <v>0.83231216000000097</v>
      </c>
      <c r="M802">
        <f>DigDir!N802</f>
        <v>79.599999999999994</v>
      </c>
      <c r="O802">
        <f>ABS(L802-DigDir!$C$34)</f>
        <v>5.8555467258951408</v>
      </c>
      <c r="P802">
        <f t="shared" si="12"/>
        <v>79.599999999999994</v>
      </c>
    </row>
    <row r="803" spans="10:16">
      <c r="J803" s="5"/>
      <c r="L803">
        <f>DigDir!M803</f>
        <v>0.85186637000000098</v>
      </c>
      <c r="M803">
        <f>DigDir!N803</f>
        <v>79.7</v>
      </c>
      <c r="O803">
        <f>ABS(L803-DigDir!$C$34)</f>
        <v>5.8751009358951407</v>
      </c>
      <c r="P803">
        <f t="shared" si="12"/>
        <v>79.7</v>
      </c>
    </row>
    <row r="804" spans="10:16">
      <c r="J804" s="5"/>
      <c r="L804">
        <f>DigDir!M804</f>
        <v>0.86596099999999998</v>
      </c>
      <c r="M804">
        <f>DigDir!N804</f>
        <v>79.8</v>
      </c>
      <c r="O804">
        <f>ABS(L804-DigDir!$C$34)</f>
        <v>5.8891955658951396</v>
      </c>
      <c r="P804">
        <f t="shared" si="12"/>
        <v>79.8</v>
      </c>
    </row>
    <row r="805" spans="10:16">
      <c r="J805" s="5"/>
      <c r="L805">
        <f>DigDir!M805</f>
        <v>0.86596099999999998</v>
      </c>
      <c r="M805">
        <f>DigDir!N805</f>
        <v>79.900000000000006</v>
      </c>
      <c r="O805">
        <f>ABS(L805-DigDir!$C$34)</f>
        <v>5.8891955658951396</v>
      </c>
      <c r="P805">
        <f t="shared" si="12"/>
        <v>79.900000000000006</v>
      </c>
    </row>
    <row r="806" spans="10:16">
      <c r="J806" s="5"/>
      <c r="L806">
        <f>DigDir!M806</f>
        <v>0.86596099999999998</v>
      </c>
      <c r="M806">
        <f>DigDir!N806</f>
        <v>80</v>
      </c>
      <c r="O806">
        <f>ABS(L806-DigDir!$C$34)</f>
        <v>5.8891955658951396</v>
      </c>
      <c r="P806">
        <f t="shared" si="12"/>
        <v>80</v>
      </c>
    </row>
    <row r="807" spans="10:16">
      <c r="J807" s="5"/>
      <c r="L807">
        <f>DigDir!M807</f>
        <v>0.86596099999999998</v>
      </c>
      <c r="M807">
        <f>DigDir!N807</f>
        <v>80.099999999999994</v>
      </c>
      <c r="O807">
        <f>ABS(L807-DigDir!$C$34)</f>
        <v>5.8891955658951396</v>
      </c>
      <c r="P807">
        <f t="shared" si="12"/>
        <v>80.099999999999994</v>
      </c>
    </row>
    <row r="808" spans="10:16">
      <c r="J808" s="5"/>
      <c r="L808">
        <f>DigDir!M808</f>
        <v>0.86596099999999998</v>
      </c>
      <c r="M808">
        <f>DigDir!N808</f>
        <v>80.2</v>
      </c>
      <c r="O808">
        <f>ABS(L808-DigDir!$C$34)</f>
        <v>5.8891955658951396</v>
      </c>
      <c r="P808">
        <f t="shared" si="12"/>
        <v>80.2</v>
      </c>
    </row>
    <row r="809" spans="10:16">
      <c r="J809" s="5"/>
      <c r="L809">
        <f>DigDir!M809</f>
        <v>0.86596099999999998</v>
      </c>
      <c r="M809">
        <f>DigDir!N809</f>
        <v>80.3</v>
      </c>
      <c r="O809">
        <f>ABS(L809-DigDir!$C$34)</f>
        <v>5.8891955658951396</v>
      </c>
      <c r="P809">
        <f t="shared" si="12"/>
        <v>80.3</v>
      </c>
    </row>
    <row r="810" spans="10:16">
      <c r="J810" s="5"/>
      <c r="L810">
        <f>DigDir!M810</f>
        <v>0.86596099999999998</v>
      </c>
      <c r="M810">
        <f>DigDir!N810</f>
        <v>80.400000000000006</v>
      </c>
      <c r="O810">
        <f>ABS(L810-DigDir!$C$34)</f>
        <v>5.8891955658951396</v>
      </c>
      <c r="P810">
        <f t="shared" si="12"/>
        <v>80.400000000000006</v>
      </c>
    </row>
    <row r="811" spans="10:16">
      <c r="J811" s="5"/>
      <c r="L811">
        <f>DigDir!M811</f>
        <v>0.86596099999999998</v>
      </c>
      <c r="M811">
        <f>DigDir!N811</f>
        <v>80.5</v>
      </c>
      <c r="O811">
        <f>ABS(L811-DigDir!$C$34)</f>
        <v>5.8891955658951396</v>
      </c>
      <c r="P811">
        <f t="shared" si="12"/>
        <v>80.5</v>
      </c>
    </row>
    <row r="812" spans="10:16">
      <c r="J812" s="5"/>
      <c r="L812">
        <f>DigDir!M812</f>
        <v>0.86596099999999998</v>
      </c>
      <c r="M812">
        <f>DigDir!N812</f>
        <v>80.599999999999994</v>
      </c>
      <c r="O812">
        <f>ABS(L812-DigDir!$C$34)</f>
        <v>5.8891955658951396</v>
      </c>
      <c r="P812">
        <f t="shared" si="12"/>
        <v>80.599999999999994</v>
      </c>
    </row>
    <row r="813" spans="10:16">
      <c r="J813" s="5"/>
      <c r="L813">
        <f>DigDir!M813</f>
        <v>0.86596099999999998</v>
      </c>
      <c r="M813">
        <f>DigDir!N813</f>
        <v>80.7</v>
      </c>
      <c r="O813">
        <f>ABS(L813-DigDir!$C$34)</f>
        <v>5.8891955658951396</v>
      </c>
      <c r="P813">
        <f t="shared" si="12"/>
        <v>80.7</v>
      </c>
    </row>
    <row r="814" spans="10:16">
      <c r="J814" s="5"/>
      <c r="L814">
        <f>DigDir!M814</f>
        <v>0.86596099999999998</v>
      </c>
      <c r="M814">
        <f>DigDir!N814</f>
        <v>80.8</v>
      </c>
      <c r="O814">
        <f>ABS(L814-DigDir!$C$34)</f>
        <v>5.8891955658951396</v>
      </c>
      <c r="P814">
        <f t="shared" si="12"/>
        <v>80.8</v>
      </c>
    </row>
    <row r="815" spans="10:16">
      <c r="J815" s="5"/>
      <c r="L815">
        <f>DigDir!M815</f>
        <v>0.86596099999999998</v>
      </c>
      <c r="M815">
        <f>DigDir!N815</f>
        <v>80.900000000000006</v>
      </c>
      <c r="O815">
        <f>ABS(L815-DigDir!$C$34)</f>
        <v>5.8891955658951396</v>
      </c>
      <c r="P815">
        <f t="shared" si="12"/>
        <v>80.900000000000006</v>
      </c>
    </row>
    <row r="816" spans="10:16">
      <c r="J816" s="5"/>
      <c r="L816">
        <f>DigDir!M816</f>
        <v>0.86596099999999998</v>
      </c>
      <c r="M816">
        <f>DigDir!N816</f>
        <v>81</v>
      </c>
      <c r="O816">
        <f>ABS(L816-DigDir!$C$34)</f>
        <v>5.8891955658951396</v>
      </c>
      <c r="P816">
        <f t="shared" si="12"/>
        <v>81</v>
      </c>
    </row>
    <row r="817" spans="10:16">
      <c r="J817" s="5"/>
      <c r="L817">
        <f>DigDir!M817</f>
        <v>0.86596099999999998</v>
      </c>
      <c r="M817">
        <f>DigDir!N817</f>
        <v>81.099999999999994</v>
      </c>
      <c r="O817">
        <f>ABS(L817-DigDir!$C$34)</f>
        <v>5.8891955658951396</v>
      </c>
      <c r="P817">
        <f t="shared" si="12"/>
        <v>81.099999999999994</v>
      </c>
    </row>
    <row r="818" spans="10:16">
      <c r="J818" s="5"/>
      <c r="L818">
        <f>DigDir!M818</f>
        <v>0.86596099999999998</v>
      </c>
      <c r="M818">
        <f>DigDir!N818</f>
        <v>81.2</v>
      </c>
      <c r="O818">
        <f>ABS(L818-DigDir!$C$34)</f>
        <v>5.8891955658951396</v>
      </c>
      <c r="P818">
        <f t="shared" si="12"/>
        <v>81.2</v>
      </c>
    </row>
    <row r="819" spans="10:16">
      <c r="J819" s="5"/>
      <c r="L819">
        <f>DigDir!M819</f>
        <v>0.86596099999999998</v>
      </c>
      <c r="M819">
        <f>DigDir!N819</f>
        <v>81.3</v>
      </c>
      <c r="O819">
        <f>ABS(L819-DigDir!$C$34)</f>
        <v>5.8891955658951396</v>
      </c>
      <c r="P819">
        <f t="shared" si="12"/>
        <v>81.3</v>
      </c>
    </row>
    <row r="820" spans="10:16">
      <c r="J820" s="5"/>
      <c r="L820">
        <f>DigDir!M820</f>
        <v>0.86596099999999998</v>
      </c>
      <c r="M820">
        <f>DigDir!N820</f>
        <v>81.400000000000006</v>
      </c>
      <c r="O820">
        <f>ABS(L820-DigDir!$C$34)</f>
        <v>5.8891955658951396</v>
      </c>
      <c r="P820">
        <f t="shared" si="12"/>
        <v>81.400000000000006</v>
      </c>
    </row>
    <row r="821" spans="10:16">
      <c r="J821" s="5"/>
      <c r="L821">
        <f>DigDir!M821</f>
        <v>0.86596099999999998</v>
      </c>
      <c r="M821">
        <f>DigDir!N821</f>
        <v>81.5</v>
      </c>
      <c r="O821">
        <f>ABS(L821-DigDir!$C$34)</f>
        <v>5.8891955658951396</v>
      </c>
      <c r="P821">
        <f t="shared" si="12"/>
        <v>81.5</v>
      </c>
    </row>
    <row r="822" spans="10:16">
      <c r="J822" s="5"/>
      <c r="L822">
        <f>DigDir!M822</f>
        <v>0.86596099999999998</v>
      </c>
      <c r="M822">
        <f>DigDir!N822</f>
        <v>81.599999999999994</v>
      </c>
      <c r="O822">
        <f>ABS(L822-DigDir!$C$34)</f>
        <v>5.8891955658951396</v>
      </c>
      <c r="P822">
        <f t="shared" si="12"/>
        <v>81.599999999999994</v>
      </c>
    </row>
    <row r="823" spans="10:16">
      <c r="J823" s="5"/>
      <c r="L823">
        <f>DigDir!M823</f>
        <v>0.86596099999999998</v>
      </c>
      <c r="M823">
        <f>DigDir!N823</f>
        <v>81.7</v>
      </c>
      <c r="O823">
        <f>ABS(L823-DigDir!$C$34)</f>
        <v>5.8891955658951396</v>
      </c>
      <c r="P823">
        <f t="shared" si="12"/>
        <v>81.7</v>
      </c>
    </row>
    <row r="824" spans="10:16">
      <c r="J824" s="5"/>
      <c r="L824">
        <f>DigDir!M824</f>
        <v>0.86596099999999998</v>
      </c>
      <c r="M824">
        <f>DigDir!N824</f>
        <v>81.8</v>
      </c>
      <c r="O824">
        <f>ABS(L824-DigDir!$C$34)</f>
        <v>5.8891955658951396</v>
      </c>
      <c r="P824">
        <f t="shared" si="12"/>
        <v>81.8</v>
      </c>
    </row>
    <row r="825" spans="10:16">
      <c r="J825" s="5"/>
      <c r="L825">
        <f>DigDir!M825</f>
        <v>0.86596099999999998</v>
      </c>
      <c r="M825">
        <f>DigDir!N825</f>
        <v>81.900000000000006</v>
      </c>
      <c r="O825">
        <f>ABS(L825-DigDir!$C$34)</f>
        <v>5.8891955658951396</v>
      </c>
      <c r="P825">
        <f t="shared" si="12"/>
        <v>81.900000000000006</v>
      </c>
    </row>
    <row r="826" spans="10:16">
      <c r="J826" s="5"/>
      <c r="L826">
        <f>DigDir!M826</f>
        <v>0.86596099999999998</v>
      </c>
      <c r="M826">
        <f>DigDir!N826</f>
        <v>82</v>
      </c>
      <c r="O826">
        <f>ABS(L826-DigDir!$C$34)</f>
        <v>5.8891955658951396</v>
      </c>
      <c r="P826">
        <f t="shared" si="12"/>
        <v>82</v>
      </c>
    </row>
    <row r="827" spans="10:16">
      <c r="J827" s="5"/>
      <c r="L827">
        <f>DigDir!M827</f>
        <v>0.86596099999999998</v>
      </c>
      <c r="M827">
        <f>DigDir!N827</f>
        <v>82.1</v>
      </c>
      <c r="O827">
        <f>ABS(L827-DigDir!$C$34)</f>
        <v>5.8891955658951396</v>
      </c>
      <c r="P827">
        <f t="shared" si="12"/>
        <v>82.1</v>
      </c>
    </row>
    <row r="828" spans="10:16">
      <c r="J828" s="5"/>
      <c r="L828">
        <f>DigDir!M828</f>
        <v>0.86596099999999998</v>
      </c>
      <c r="M828">
        <f>DigDir!N828</f>
        <v>82.2</v>
      </c>
      <c r="O828">
        <f>ABS(L828-DigDir!$C$34)</f>
        <v>5.8891955658951396</v>
      </c>
      <c r="P828">
        <f t="shared" si="12"/>
        <v>82.2</v>
      </c>
    </row>
    <row r="829" spans="10:16">
      <c r="J829" s="5"/>
      <c r="L829">
        <f>DigDir!M829</f>
        <v>0.86596099999999998</v>
      </c>
      <c r="M829">
        <f>DigDir!N829</f>
        <v>82.3</v>
      </c>
      <c r="O829">
        <f>ABS(L829-DigDir!$C$34)</f>
        <v>5.8891955658951396</v>
      </c>
      <c r="P829">
        <f t="shared" si="12"/>
        <v>82.3</v>
      </c>
    </row>
    <row r="830" spans="10:16">
      <c r="J830" s="5"/>
      <c r="L830">
        <f>DigDir!M830</f>
        <v>0.86596099999999998</v>
      </c>
      <c r="M830">
        <f>DigDir!N830</f>
        <v>82.4</v>
      </c>
      <c r="O830">
        <f>ABS(L830-DigDir!$C$34)</f>
        <v>5.8891955658951396</v>
      </c>
      <c r="P830">
        <f t="shared" si="12"/>
        <v>82.4</v>
      </c>
    </row>
    <row r="831" spans="10:16">
      <c r="J831" s="5"/>
      <c r="L831">
        <f>DigDir!M831</f>
        <v>0.86596099999999998</v>
      </c>
      <c r="M831">
        <f>DigDir!N831</f>
        <v>82.5</v>
      </c>
      <c r="O831">
        <f>ABS(L831-DigDir!$C$34)</f>
        <v>5.8891955658951396</v>
      </c>
      <c r="P831">
        <f t="shared" si="12"/>
        <v>82.5</v>
      </c>
    </row>
    <row r="832" spans="10:16">
      <c r="J832" s="5"/>
      <c r="L832">
        <f>DigDir!M832</f>
        <v>0.86596099999999998</v>
      </c>
      <c r="M832">
        <f>DigDir!N832</f>
        <v>82.6</v>
      </c>
      <c r="O832">
        <f>ABS(L832-DigDir!$C$34)</f>
        <v>5.8891955658951396</v>
      </c>
      <c r="P832">
        <f t="shared" si="12"/>
        <v>82.6</v>
      </c>
    </row>
    <row r="833" spans="10:16">
      <c r="J833" s="5"/>
      <c r="L833">
        <f>DigDir!M833</f>
        <v>0.86596099999999998</v>
      </c>
      <c r="M833">
        <f>DigDir!N833</f>
        <v>82.7</v>
      </c>
      <c r="O833">
        <f>ABS(L833-DigDir!$C$34)</f>
        <v>5.8891955658951396</v>
      </c>
      <c r="P833">
        <f t="shared" si="12"/>
        <v>82.7</v>
      </c>
    </row>
    <row r="834" spans="10:16">
      <c r="J834" s="5"/>
      <c r="L834">
        <f>DigDir!M834</f>
        <v>0.86596099999999998</v>
      </c>
      <c r="M834">
        <f>DigDir!N834</f>
        <v>82.8</v>
      </c>
      <c r="O834">
        <f>ABS(L834-DigDir!$C$34)</f>
        <v>5.8891955658951396</v>
      </c>
      <c r="P834">
        <f t="shared" si="12"/>
        <v>82.8</v>
      </c>
    </row>
    <row r="835" spans="10:16">
      <c r="J835" s="5"/>
      <c r="L835">
        <f>DigDir!M835</f>
        <v>0.86596099999999998</v>
      </c>
      <c r="M835">
        <f>DigDir!N835</f>
        <v>82.9</v>
      </c>
      <c r="O835">
        <f>ABS(L835-DigDir!$C$34)</f>
        <v>5.8891955658951396</v>
      </c>
      <c r="P835">
        <f t="shared" si="12"/>
        <v>82.9</v>
      </c>
    </row>
    <row r="836" spans="10:16">
      <c r="J836" s="5"/>
      <c r="L836">
        <f>DigDir!M836</f>
        <v>0.86596099999999998</v>
      </c>
      <c r="M836">
        <f>DigDir!N836</f>
        <v>83</v>
      </c>
      <c r="O836">
        <f>ABS(L836-DigDir!$C$34)</f>
        <v>5.8891955658951396</v>
      </c>
      <c r="P836">
        <f t="shared" si="12"/>
        <v>83</v>
      </c>
    </row>
    <row r="837" spans="10:16">
      <c r="J837" s="5"/>
      <c r="L837">
        <f>DigDir!M837</f>
        <v>0.86596099999999998</v>
      </c>
      <c r="M837">
        <f>DigDir!N837</f>
        <v>83.1</v>
      </c>
      <c r="O837">
        <f>ABS(L837-DigDir!$C$34)</f>
        <v>5.8891955658951396</v>
      </c>
      <c r="P837">
        <f t="shared" si="12"/>
        <v>83.1</v>
      </c>
    </row>
    <row r="838" spans="10:16">
      <c r="J838" s="5"/>
      <c r="L838">
        <f>DigDir!M838</f>
        <v>0.86596099999999998</v>
      </c>
      <c r="M838">
        <f>DigDir!N838</f>
        <v>83.2</v>
      </c>
      <c r="O838">
        <f>ABS(L838-DigDir!$C$34)</f>
        <v>5.8891955658951396</v>
      </c>
      <c r="P838">
        <f t="shared" si="12"/>
        <v>83.2</v>
      </c>
    </row>
    <row r="839" spans="10:16">
      <c r="J839" s="5"/>
      <c r="L839">
        <f>DigDir!M839</f>
        <v>0.86596099999999998</v>
      </c>
      <c r="M839">
        <f>DigDir!N839</f>
        <v>83.3</v>
      </c>
      <c r="O839">
        <f>ABS(L839-DigDir!$C$34)</f>
        <v>5.8891955658951396</v>
      </c>
      <c r="P839">
        <f t="shared" ref="P839:P902" si="13">M839</f>
        <v>83.3</v>
      </c>
    </row>
    <row r="840" spans="10:16">
      <c r="J840" s="5"/>
      <c r="L840">
        <f>DigDir!M840</f>
        <v>0.86596099999999998</v>
      </c>
      <c r="M840">
        <f>DigDir!N840</f>
        <v>83.4</v>
      </c>
      <c r="O840">
        <f>ABS(L840-DigDir!$C$34)</f>
        <v>5.8891955658951396</v>
      </c>
      <c r="P840">
        <f t="shared" si="13"/>
        <v>83.4</v>
      </c>
    </row>
    <row r="841" spans="10:16">
      <c r="J841" s="5"/>
      <c r="L841">
        <f>DigDir!M841</f>
        <v>0.87069643499999905</v>
      </c>
      <c r="M841">
        <f>DigDir!N841</f>
        <v>83.5</v>
      </c>
      <c r="O841">
        <f>ABS(L841-DigDir!$C$34)</f>
        <v>5.8939310008951393</v>
      </c>
      <c r="P841">
        <f t="shared" si="13"/>
        <v>83.5</v>
      </c>
    </row>
    <row r="842" spans="10:16">
      <c r="J842" s="5"/>
      <c r="L842">
        <f>DigDir!M842</f>
        <v>0.89025099599999902</v>
      </c>
      <c r="M842">
        <f>DigDir!N842</f>
        <v>83.6</v>
      </c>
      <c r="O842">
        <f>ABS(L842-DigDir!$C$34)</f>
        <v>5.913485561895139</v>
      </c>
      <c r="P842">
        <f t="shared" si="13"/>
        <v>83.6</v>
      </c>
    </row>
    <row r="843" spans="10:16">
      <c r="J843" s="5"/>
      <c r="L843">
        <f>DigDir!M843</f>
        <v>0.90980555699999899</v>
      </c>
      <c r="M843">
        <f>DigDir!N843</f>
        <v>83.7</v>
      </c>
      <c r="O843">
        <f>ABS(L843-DigDir!$C$34)</f>
        <v>5.9330401228951395</v>
      </c>
      <c r="P843">
        <f t="shared" si="13"/>
        <v>83.7</v>
      </c>
    </row>
    <row r="844" spans="10:16">
      <c r="J844" s="5"/>
      <c r="L844">
        <f>DigDir!M844</f>
        <v>0.93704795999999702</v>
      </c>
      <c r="M844">
        <f>DigDir!N844</f>
        <v>83.8</v>
      </c>
      <c r="O844">
        <f>ABS(L844-DigDir!$C$34)</f>
        <v>5.9602825258951366</v>
      </c>
      <c r="P844">
        <f t="shared" si="13"/>
        <v>83.8</v>
      </c>
    </row>
    <row r="845" spans="10:16">
      <c r="J845" s="5"/>
      <c r="L845">
        <f>DigDir!M845</f>
        <v>0.97615637999999705</v>
      </c>
      <c r="M845">
        <f>DigDir!N845</f>
        <v>83.9</v>
      </c>
      <c r="O845">
        <f>ABS(L845-DigDir!$C$34)</f>
        <v>5.9993909458951373</v>
      </c>
      <c r="P845">
        <f t="shared" si="13"/>
        <v>83.9</v>
      </c>
    </row>
    <row r="846" spans="10:16">
      <c r="J846" s="5"/>
      <c r="L846">
        <f>DigDir!M846</f>
        <v>1.0152648</v>
      </c>
      <c r="M846">
        <f>DigDir!N846</f>
        <v>84</v>
      </c>
      <c r="O846">
        <f>ABS(L846-DigDir!$C$34)</f>
        <v>6.0384993658951398</v>
      </c>
      <c r="P846">
        <f t="shared" si="13"/>
        <v>84</v>
      </c>
    </row>
    <row r="847" spans="10:16">
      <c r="J847" s="5"/>
      <c r="L847">
        <f>DigDir!M847</f>
        <v>1.0330919999999999</v>
      </c>
      <c r="M847">
        <f>DigDir!N847</f>
        <v>84.1</v>
      </c>
      <c r="O847">
        <f>ABS(L847-DigDir!$C$34)</f>
        <v>6.05632656589514</v>
      </c>
      <c r="P847">
        <f t="shared" si="13"/>
        <v>84.1</v>
      </c>
    </row>
    <row r="848" spans="10:16">
      <c r="J848" s="5"/>
      <c r="L848">
        <f>DigDir!M848</f>
        <v>1.0330919999999999</v>
      </c>
      <c r="M848">
        <f>DigDir!N848</f>
        <v>84.2</v>
      </c>
      <c r="O848">
        <f>ABS(L848-DigDir!$C$34)</f>
        <v>6.05632656589514</v>
      </c>
      <c r="P848">
        <f t="shared" si="13"/>
        <v>84.2</v>
      </c>
    </row>
    <row r="849" spans="10:16">
      <c r="J849" s="5"/>
      <c r="L849">
        <f>DigDir!M849</f>
        <v>1.0330919999999999</v>
      </c>
      <c r="M849">
        <f>DigDir!N849</f>
        <v>84.3</v>
      </c>
      <c r="O849">
        <f>ABS(L849-DigDir!$C$34)</f>
        <v>6.05632656589514</v>
      </c>
      <c r="P849">
        <f t="shared" si="13"/>
        <v>84.3</v>
      </c>
    </row>
    <row r="850" spans="10:16">
      <c r="J850" s="5"/>
      <c r="L850">
        <f>DigDir!M850</f>
        <v>1.0330919999999999</v>
      </c>
      <c r="M850">
        <f>DigDir!N850</f>
        <v>84.4</v>
      </c>
      <c r="O850">
        <f>ABS(L850-DigDir!$C$34)</f>
        <v>6.05632656589514</v>
      </c>
      <c r="P850">
        <f t="shared" si="13"/>
        <v>84.4</v>
      </c>
    </row>
    <row r="851" spans="10:16">
      <c r="J851" s="5"/>
      <c r="L851">
        <f>DigDir!M851</f>
        <v>1.0330919999999999</v>
      </c>
      <c r="M851">
        <f>DigDir!N851</f>
        <v>84.5</v>
      </c>
      <c r="O851">
        <f>ABS(L851-DigDir!$C$34)</f>
        <v>6.05632656589514</v>
      </c>
      <c r="P851">
        <f t="shared" si="13"/>
        <v>84.5</v>
      </c>
    </row>
    <row r="852" spans="10:16">
      <c r="J852" s="5"/>
      <c r="L852">
        <f>DigDir!M852</f>
        <v>1.0330919999999999</v>
      </c>
      <c r="M852">
        <f>DigDir!N852</f>
        <v>84.6</v>
      </c>
      <c r="O852">
        <f>ABS(L852-DigDir!$C$34)</f>
        <v>6.05632656589514</v>
      </c>
      <c r="P852">
        <f t="shared" si="13"/>
        <v>84.6</v>
      </c>
    </row>
    <row r="853" spans="10:16">
      <c r="J853" s="5"/>
      <c r="L853">
        <f>DigDir!M853</f>
        <v>1.0330919999999999</v>
      </c>
      <c r="M853">
        <f>DigDir!N853</f>
        <v>84.7</v>
      </c>
      <c r="O853">
        <f>ABS(L853-DigDir!$C$34)</f>
        <v>6.05632656589514</v>
      </c>
      <c r="P853">
        <f t="shared" si="13"/>
        <v>84.7</v>
      </c>
    </row>
    <row r="854" spans="10:16">
      <c r="J854" s="5"/>
      <c r="L854">
        <f>DigDir!M854</f>
        <v>1.0330919999999999</v>
      </c>
      <c r="M854">
        <f>DigDir!N854</f>
        <v>84.8</v>
      </c>
      <c r="O854">
        <f>ABS(L854-DigDir!$C$34)</f>
        <v>6.05632656589514</v>
      </c>
      <c r="P854">
        <f t="shared" si="13"/>
        <v>84.8</v>
      </c>
    </row>
    <row r="855" spans="10:16">
      <c r="J855" s="5"/>
      <c r="L855">
        <f>DigDir!M855</f>
        <v>1.0330919999999999</v>
      </c>
      <c r="M855">
        <f>DigDir!N855</f>
        <v>84.9</v>
      </c>
      <c r="O855">
        <f>ABS(L855-DigDir!$C$34)</f>
        <v>6.05632656589514</v>
      </c>
      <c r="P855">
        <f t="shared" si="13"/>
        <v>84.9</v>
      </c>
    </row>
    <row r="856" spans="10:16">
      <c r="J856" s="5"/>
      <c r="L856">
        <f>DigDir!M856</f>
        <v>1.0330919999999999</v>
      </c>
      <c r="M856">
        <f>DigDir!N856</f>
        <v>85</v>
      </c>
      <c r="O856">
        <f>ABS(L856-DigDir!$C$34)</f>
        <v>6.05632656589514</v>
      </c>
      <c r="P856">
        <f t="shared" si="13"/>
        <v>85</v>
      </c>
    </row>
    <row r="857" spans="10:16">
      <c r="J857" s="5"/>
      <c r="L857">
        <f>DigDir!M857</f>
        <v>1.0330919999999999</v>
      </c>
      <c r="M857">
        <f>DigDir!N857</f>
        <v>85.1</v>
      </c>
      <c r="O857">
        <f>ABS(L857-DigDir!$C$34)</f>
        <v>6.05632656589514</v>
      </c>
      <c r="P857">
        <f t="shared" si="13"/>
        <v>85.1</v>
      </c>
    </row>
    <row r="858" spans="10:16">
      <c r="J858" s="5"/>
      <c r="L858">
        <f>DigDir!M858</f>
        <v>1.0330919999999999</v>
      </c>
      <c r="M858">
        <f>DigDir!N858</f>
        <v>85.2</v>
      </c>
      <c r="O858">
        <f>ABS(L858-DigDir!$C$34)</f>
        <v>6.05632656589514</v>
      </c>
      <c r="P858">
        <f t="shared" si="13"/>
        <v>85.2</v>
      </c>
    </row>
    <row r="859" spans="10:16">
      <c r="J859" s="5"/>
      <c r="L859">
        <f>DigDir!M859</f>
        <v>1.0330919999999999</v>
      </c>
      <c r="M859">
        <f>DigDir!N859</f>
        <v>85.3</v>
      </c>
      <c r="O859">
        <f>ABS(L859-DigDir!$C$34)</f>
        <v>6.05632656589514</v>
      </c>
      <c r="P859">
        <f t="shared" si="13"/>
        <v>85.3</v>
      </c>
    </row>
    <row r="860" spans="10:16">
      <c r="J860" s="5"/>
      <c r="L860">
        <f>DigDir!M860</f>
        <v>1.0330919999999999</v>
      </c>
      <c r="M860">
        <f>DigDir!N860</f>
        <v>85.4</v>
      </c>
      <c r="O860">
        <f>ABS(L860-DigDir!$C$34)</f>
        <v>6.05632656589514</v>
      </c>
      <c r="P860">
        <f t="shared" si="13"/>
        <v>85.4</v>
      </c>
    </row>
    <row r="861" spans="10:16">
      <c r="J861" s="5"/>
      <c r="L861">
        <f>DigDir!M861</f>
        <v>1.0330919999999999</v>
      </c>
      <c r="M861">
        <f>DigDir!N861</f>
        <v>85.5</v>
      </c>
      <c r="O861">
        <f>ABS(L861-DigDir!$C$34)</f>
        <v>6.05632656589514</v>
      </c>
      <c r="P861">
        <f t="shared" si="13"/>
        <v>85.5</v>
      </c>
    </row>
    <row r="862" spans="10:16">
      <c r="J862" s="5"/>
      <c r="L862">
        <f>DigDir!M862</f>
        <v>1.0330919999999999</v>
      </c>
      <c r="M862">
        <f>DigDir!N862</f>
        <v>85.6</v>
      </c>
      <c r="O862">
        <f>ABS(L862-DigDir!$C$34)</f>
        <v>6.05632656589514</v>
      </c>
      <c r="P862">
        <f t="shared" si="13"/>
        <v>85.6</v>
      </c>
    </row>
    <row r="863" spans="10:16">
      <c r="J863" s="5"/>
      <c r="L863">
        <f>DigDir!M863</f>
        <v>1.0330919999999999</v>
      </c>
      <c r="M863">
        <f>DigDir!N863</f>
        <v>85.7</v>
      </c>
      <c r="O863">
        <f>ABS(L863-DigDir!$C$34)</f>
        <v>6.05632656589514</v>
      </c>
      <c r="P863">
        <f t="shared" si="13"/>
        <v>85.7</v>
      </c>
    </row>
    <row r="864" spans="10:16">
      <c r="J864" s="5"/>
      <c r="L864">
        <f>DigDir!M864</f>
        <v>1.0330919999999999</v>
      </c>
      <c r="M864">
        <f>DigDir!N864</f>
        <v>85.8</v>
      </c>
      <c r="O864">
        <f>ABS(L864-DigDir!$C$34)</f>
        <v>6.05632656589514</v>
      </c>
      <c r="P864">
        <f t="shared" si="13"/>
        <v>85.8</v>
      </c>
    </row>
    <row r="865" spans="10:16">
      <c r="J865" s="5"/>
      <c r="L865">
        <f>DigDir!M865</f>
        <v>1.0330919999999999</v>
      </c>
      <c r="M865">
        <f>DigDir!N865</f>
        <v>85.9</v>
      </c>
      <c r="O865">
        <f>ABS(L865-DigDir!$C$34)</f>
        <v>6.05632656589514</v>
      </c>
      <c r="P865">
        <f t="shared" si="13"/>
        <v>85.9</v>
      </c>
    </row>
    <row r="866" spans="10:16">
      <c r="J866" s="5"/>
      <c r="L866">
        <f>DigDir!M866</f>
        <v>1.0330919999999999</v>
      </c>
      <c r="M866">
        <f>DigDir!N866</f>
        <v>86</v>
      </c>
      <c r="O866">
        <f>ABS(L866-DigDir!$C$34)</f>
        <v>6.05632656589514</v>
      </c>
      <c r="P866">
        <f t="shared" si="13"/>
        <v>86</v>
      </c>
    </row>
    <row r="867" spans="10:16">
      <c r="J867" s="5"/>
      <c r="L867">
        <f>DigDir!M867</f>
        <v>1.0330919999999999</v>
      </c>
      <c r="M867">
        <f>DigDir!N867</f>
        <v>86.1</v>
      </c>
      <c r="O867">
        <f>ABS(L867-DigDir!$C$34)</f>
        <v>6.05632656589514</v>
      </c>
      <c r="P867">
        <f t="shared" si="13"/>
        <v>86.1</v>
      </c>
    </row>
    <row r="868" spans="10:16">
      <c r="J868" s="5"/>
      <c r="L868">
        <f>DigDir!M868</f>
        <v>1.0330919999999999</v>
      </c>
      <c r="M868">
        <f>DigDir!N868</f>
        <v>86.2</v>
      </c>
      <c r="O868">
        <f>ABS(L868-DigDir!$C$34)</f>
        <v>6.05632656589514</v>
      </c>
      <c r="P868">
        <f t="shared" si="13"/>
        <v>86.2</v>
      </c>
    </row>
    <row r="869" spans="10:16">
      <c r="J869" s="5"/>
      <c r="L869">
        <f>DigDir!M869</f>
        <v>1.0330919999999999</v>
      </c>
      <c r="M869">
        <f>DigDir!N869</f>
        <v>86.3</v>
      </c>
      <c r="O869">
        <f>ABS(L869-DigDir!$C$34)</f>
        <v>6.05632656589514</v>
      </c>
      <c r="P869">
        <f t="shared" si="13"/>
        <v>86.3</v>
      </c>
    </row>
    <row r="870" spans="10:16">
      <c r="J870" s="5"/>
      <c r="L870">
        <f>DigDir!M870</f>
        <v>1.0330919999999999</v>
      </c>
      <c r="M870">
        <f>DigDir!N870</f>
        <v>86.4</v>
      </c>
      <c r="O870">
        <f>ABS(L870-DigDir!$C$34)</f>
        <v>6.05632656589514</v>
      </c>
      <c r="P870">
        <f t="shared" si="13"/>
        <v>86.4</v>
      </c>
    </row>
    <row r="871" spans="10:16">
      <c r="J871" s="5"/>
      <c r="L871">
        <f>DigDir!M871</f>
        <v>1.0330919999999999</v>
      </c>
      <c r="M871">
        <f>DigDir!N871</f>
        <v>86.5</v>
      </c>
      <c r="O871">
        <f>ABS(L871-DigDir!$C$34)</f>
        <v>6.05632656589514</v>
      </c>
      <c r="P871">
        <f t="shared" si="13"/>
        <v>86.5</v>
      </c>
    </row>
    <row r="872" spans="10:16">
      <c r="J872" s="5"/>
      <c r="L872">
        <f>DigDir!M872</f>
        <v>1.0330919999999999</v>
      </c>
      <c r="M872">
        <f>DigDir!N872</f>
        <v>86.6</v>
      </c>
      <c r="O872">
        <f>ABS(L872-DigDir!$C$34)</f>
        <v>6.05632656589514</v>
      </c>
      <c r="P872">
        <f t="shared" si="13"/>
        <v>86.6</v>
      </c>
    </row>
    <row r="873" spans="10:16">
      <c r="J873" s="5"/>
      <c r="L873">
        <f>DigDir!M873</f>
        <v>1.0330919999999999</v>
      </c>
      <c r="M873">
        <f>DigDir!N873</f>
        <v>86.7</v>
      </c>
      <c r="O873">
        <f>ABS(L873-DigDir!$C$34)</f>
        <v>6.05632656589514</v>
      </c>
      <c r="P873">
        <f t="shared" si="13"/>
        <v>86.7</v>
      </c>
    </row>
    <row r="874" spans="10:16">
      <c r="J874" s="5"/>
      <c r="L874">
        <f>DigDir!M874</f>
        <v>1.0330919999999999</v>
      </c>
      <c r="M874">
        <f>DigDir!N874</f>
        <v>86.8</v>
      </c>
      <c r="O874">
        <f>ABS(L874-DigDir!$C$34)</f>
        <v>6.05632656589514</v>
      </c>
      <c r="P874">
        <f t="shared" si="13"/>
        <v>86.8</v>
      </c>
    </row>
    <row r="875" spans="10:16">
      <c r="J875" s="5"/>
      <c r="L875">
        <f>DigDir!M875</f>
        <v>1.0330919999999999</v>
      </c>
      <c r="M875">
        <f>DigDir!N875</f>
        <v>86.9</v>
      </c>
      <c r="O875">
        <f>ABS(L875-DigDir!$C$34)</f>
        <v>6.05632656589514</v>
      </c>
      <c r="P875">
        <f t="shared" si="13"/>
        <v>86.9</v>
      </c>
    </row>
    <row r="876" spans="10:16">
      <c r="J876" s="5"/>
      <c r="L876">
        <f>DigDir!M876</f>
        <v>1.0330919999999999</v>
      </c>
      <c r="M876">
        <f>DigDir!N876</f>
        <v>87</v>
      </c>
      <c r="O876">
        <f>ABS(L876-DigDir!$C$34)</f>
        <v>6.05632656589514</v>
      </c>
      <c r="P876">
        <f t="shared" si="13"/>
        <v>87</v>
      </c>
    </row>
    <row r="877" spans="10:16">
      <c r="J877" s="5"/>
      <c r="L877">
        <f>DigDir!M877</f>
        <v>1.0330919999999999</v>
      </c>
      <c r="M877">
        <f>DigDir!N877</f>
        <v>87.1</v>
      </c>
      <c r="O877">
        <f>ABS(L877-DigDir!$C$34)</f>
        <v>6.05632656589514</v>
      </c>
      <c r="P877">
        <f t="shared" si="13"/>
        <v>87.1</v>
      </c>
    </row>
    <row r="878" spans="10:16">
      <c r="J878" s="5"/>
      <c r="L878">
        <f>DigDir!M878</f>
        <v>1.0330919999999999</v>
      </c>
      <c r="M878">
        <f>DigDir!N878</f>
        <v>87.2</v>
      </c>
      <c r="O878">
        <f>ABS(L878-DigDir!$C$34)</f>
        <v>6.05632656589514</v>
      </c>
      <c r="P878">
        <f t="shared" si="13"/>
        <v>87.2</v>
      </c>
    </row>
    <row r="879" spans="10:16">
      <c r="J879" s="5"/>
      <c r="L879">
        <f>DigDir!M879</f>
        <v>1.0330919999999999</v>
      </c>
      <c r="M879">
        <f>DigDir!N879</f>
        <v>87.3</v>
      </c>
      <c r="O879">
        <f>ABS(L879-DigDir!$C$34)</f>
        <v>6.05632656589514</v>
      </c>
      <c r="P879">
        <f t="shared" si="13"/>
        <v>87.3</v>
      </c>
    </row>
    <row r="880" spans="10:16">
      <c r="J880" s="5"/>
      <c r="L880">
        <f>DigDir!M880</f>
        <v>1.0330919999999999</v>
      </c>
      <c r="M880">
        <f>DigDir!N880</f>
        <v>87.4</v>
      </c>
      <c r="O880">
        <f>ABS(L880-DigDir!$C$34)</f>
        <v>6.05632656589514</v>
      </c>
      <c r="P880">
        <f t="shared" si="13"/>
        <v>87.4</v>
      </c>
    </row>
    <row r="881" spans="10:16">
      <c r="J881" s="5"/>
      <c r="L881">
        <f>DigDir!M881</f>
        <v>1.0330919999999999</v>
      </c>
      <c r="M881">
        <f>DigDir!N881</f>
        <v>87.5</v>
      </c>
      <c r="O881">
        <f>ABS(L881-DigDir!$C$34)</f>
        <v>6.05632656589514</v>
      </c>
      <c r="P881">
        <f t="shared" si="13"/>
        <v>87.5</v>
      </c>
    </row>
    <row r="882" spans="10:16">
      <c r="J882" s="5"/>
      <c r="L882">
        <f>DigDir!M882</f>
        <v>1.0330919999999999</v>
      </c>
      <c r="M882">
        <f>DigDir!N882</f>
        <v>87.6</v>
      </c>
      <c r="O882">
        <f>ABS(L882-DigDir!$C$34)</f>
        <v>6.05632656589514</v>
      </c>
      <c r="P882">
        <f t="shared" si="13"/>
        <v>87.6</v>
      </c>
    </row>
    <row r="883" spans="10:16">
      <c r="J883" s="5"/>
      <c r="L883">
        <f>DigDir!M883</f>
        <v>1.0330919999999999</v>
      </c>
      <c r="M883">
        <f>DigDir!N883</f>
        <v>87.7</v>
      </c>
      <c r="O883">
        <f>ABS(L883-DigDir!$C$34)</f>
        <v>6.05632656589514</v>
      </c>
      <c r="P883">
        <f t="shared" si="13"/>
        <v>87.7</v>
      </c>
    </row>
    <row r="884" spans="10:16">
      <c r="J884" s="5"/>
      <c r="L884">
        <f>DigDir!M884</f>
        <v>1.0330919999999999</v>
      </c>
      <c r="M884">
        <f>DigDir!N884</f>
        <v>87.8</v>
      </c>
      <c r="O884">
        <f>ABS(L884-DigDir!$C$34)</f>
        <v>6.05632656589514</v>
      </c>
      <c r="P884">
        <f t="shared" si="13"/>
        <v>87.8</v>
      </c>
    </row>
    <row r="885" spans="10:16">
      <c r="J885" s="5"/>
      <c r="L885">
        <f>DigDir!M885</f>
        <v>1.0330919999999999</v>
      </c>
      <c r="M885">
        <f>DigDir!N885</f>
        <v>87.9</v>
      </c>
      <c r="O885">
        <f>ABS(L885-DigDir!$C$34)</f>
        <v>6.05632656589514</v>
      </c>
      <c r="P885">
        <f t="shared" si="13"/>
        <v>87.9</v>
      </c>
    </row>
    <row r="886" spans="10:16">
      <c r="J886" s="5"/>
      <c r="L886">
        <f>DigDir!M886</f>
        <v>1.0330919999999999</v>
      </c>
      <c r="M886">
        <f>DigDir!N886</f>
        <v>88</v>
      </c>
      <c r="O886">
        <f>ABS(L886-DigDir!$C$34)</f>
        <v>6.05632656589514</v>
      </c>
      <c r="P886">
        <f t="shared" si="13"/>
        <v>88</v>
      </c>
    </row>
    <row r="887" spans="10:16">
      <c r="J887" s="5"/>
      <c r="L887">
        <f>DigDir!M887</f>
        <v>1.0330919999999999</v>
      </c>
      <c r="M887">
        <f>DigDir!N887</f>
        <v>88.1</v>
      </c>
      <c r="O887">
        <f>ABS(L887-DigDir!$C$34)</f>
        <v>6.05632656589514</v>
      </c>
      <c r="P887">
        <f t="shared" si="13"/>
        <v>88.1</v>
      </c>
    </row>
    <row r="888" spans="10:16">
      <c r="J888" s="5"/>
      <c r="L888">
        <f>DigDir!M888</f>
        <v>1.0330919999999999</v>
      </c>
      <c r="M888">
        <f>DigDir!N888</f>
        <v>88.2</v>
      </c>
      <c r="O888">
        <f>ABS(L888-DigDir!$C$34)</f>
        <v>6.05632656589514</v>
      </c>
      <c r="P888">
        <f t="shared" si="13"/>
        <v>88.2</v>
      </c>
    </row>
    <row r="889" spans="10:16">
      <c r="J889" s="5"/>
      <c r="L889">
        <f>DigDir!M889</f>
        <v>1.0330919999999999</v>
      </c>
      <c r="M889">
        <f>DigDir!N889</f>
        <v>88.3</v>
      </c>
      <c r="O889">
        <f>ABS(L889-DigDir!$C$34)</f>
        <v>6.05632656589514</v>
      </c>
      <c r="P889">
        <f t="shared" si="13"/>
        <v>88.3</v>
      </c>
    </row>
    <row r="890" spans="10:16">
      <c r="J890" s="5"/>
      <c r="L890">
        <f>DigDir!M890</f>
        <v>1.0330919999999999</v>
      </c>
      <c r="M890">
        <f>DigDir!N890</f>
        <v>88.4</v>
      </c>
      <c r="O890">
        <f>ABS(L890-DigDir!$C$34)</f>
        <v>6.05632656589514</v>
      </c>
      <c r="P890">
        <f t="shared" si="13"/>
        <v>88.4</v>
      </c>
    </row>
    <row r="891" spans="10:16">
      <c r="J891" s="5"/>
      <c r="L891">
        <f>DigDir!M891</f>
        <v>1.0330919999999999</v>
      </c>
      <c r="M891">
        <f>DigDir!N891</f>
        <v>88.5</v>
      </c>
      <c r="O891">
        <f>ABS(L891-DigDir!$C$34)</f>
        <v>6.05632656589514</v>
      </c>
      <c r="P891">
        <f t="shared" si="13"/>
        <v>88.5</v>
      </c>
    </row>
    <row r="892" spans="10:16">
      <c r="J892" s="5"/>
      <c r="L892">
        <f>DigDir!M892</f>
        <v>1.0330919999999999</v>
      </c>
      <c r="M892">
        <f>DigDir!N892</f>
        <v>88.6</v>
      </c>
      <c r="O892">
        <f>ABS(L892-DigDir!$C$34)</f>
        <v>6.05632656589514</v>
      </c>
      <c r="P892">
        <f t="shared" si="13"/>
        <v>88.6</v>
      </c>
    </row>
    <row r="893" spans="10:16">
      <c r="J893" s="5"/>
      <c r="L893">
        <f>DigDir!M893</f>
        <v>1.0330919999999999</v>
      </c>
      <c r="M893">
        <f>DigDir!N893</f>
        <v>88.7</v>
      </c>
      <c r="O893">
        <f>ABS(L893-DigDir!$C$34)</f>
        <v>6.05632656589514</v>
      </c>
      <c r="P893">
        <f t="shared" si="13"/>
        <v>88.7</v>
      </c>
    </row>
    <row r="894" spans="10:16">
      <c r="J894" s="5"/>
      <c r="L894">
        <f>DigDir!M894</f>
        <v>1.0330919999999999</v>
      </c>
      <c r="M894">
        <f>DigDir!N894</f>
        <v>88.8</v>
      </c>
      <c r="O894">
        <f>ABS(L894-DigDir!$C$34)</f>
        <v>6.05632656589514</v>
      </c>
      <c r="P894">
        <f t="shared" si="13"/>
        <v>88.8</v>
      </c>
    </row>
    <row r="895" spans="10:16">
      <c r="J895" s="5"/>
      <c r="L895">
        <f>DigDir!M895</f>
        <v>1.0352647290000001</v>
      </c>
      <c r="M895">
        <f>DigDir!N895</f>
        <v>88.9</v>
      </c>
      <c r="O895">
        <f>ABS(L895-DigDir!$C$34)</f>
        <v>6.0584992948951406</v>
      </c>
      <c r="P895">
        <f t="shared" si="13"/>
        <v>88.9</v>
      </c>
    </row>
    <row r="896" spans="10:16">
      <c r="J896" s="5"/>
      <c r="L896">
        <f>DigDir!M896</f>
        <v>1.05481929</v>
      </c>
      <c r="M896">
        <f>DigDir!N896</f>
        <v>89</v>
      </c>
      <c r="O896">
        <f>ABS(L896-DigDir!$C$34)</f>
        <v>6.0780538558951402</v>
      </c>
      <c r="P896">
        <f t="shared" si="13"/>
        <v>89</v>
      </c>
    </row>
    <row r="897" spans="10:16">
      <c r="J897" s="5"/>
      <c r="L897">
        <f>DigDir!M897</f>
        <v>1.074373851</v>
      </c>
      <c r="M897">
        <f>DigDir!N897</f>
        <v>89.1</v>
      </c>
      <c r="O897">
        <f>ABS(L897-DigDir!$C$34)</f>
        <v>6.0976084168951399</v>
      </c>
      <c r="P897">
        <f t="shared" si="13"/>
        <v>89.1</v>
      </c>
    </row>
    <row r="898" spans="10:16">
      <c r="J898" s="5"/>
      <c r="L898">
        <f>DigDir!M898</f>
        <v>1.0939283200000001</v>
      </c>
      <c r="M898">
        <f>DigDir!N898</f>
        <v>89.2</v>
      </c>
      <c r="O898">
        <f>ABS(L898-DigDir!$C$34)</f>
        <v>6.1171628858951399</v>
      </c>
      <c r="P898">
        <f t="shared" si="13"/>
        <v>89.2</v>
      </c>
    </row>
    <row r="899" spans="10:16">
      <c r="J899" s="5"/>
      <c r="L899">
        <f>DigDir!M899</f>
        <v>1.11348253</v>
      </c>
      <c r="M899">
        <f>DigDir!N899</f>
        <v>89.3</v>
      </c>
      <c r="O899">
        <f>ABS(L899-DigDir!$C$34)</f>
        <v>6.1367170958951398</v>
      </c>
      <c r="P899">
        <f t="shared" si="13"/>
        <v>89.3</v>
      </c>
    </row>
    <row r="900" spans="10:16">
      <c r="J900" s="5"/>
      <c r="L900">
        <f>DigDir!M900</f>
        <v>1.1330367400000001</v>
      </c>
      <c r="M900">
        <f>DigDir!N900</f>
        <v>89.4</v>
      </c>
      <c r="O900">
        <f>ABS(L900-DigDir!$C$34)</f>
        <v>6.1562713058951406</v>
      </c>
      <c r="P900">
        <f t="shared" si="13"/>
        <v>89.4</v>
      </c>
    </row>
    <row r="901" spans="10:16">
      <c r="J901" s="5"/>
      <c r="L901">
        <f>DigDir!M901</f>
        <v>1.152591095</v>
      </c>
      <c r="M901">
        <f>DigDir!N901</f>
        <v>89.5</v>
      </c>
      <c r="O901">
        <f>ABS(L901-DigDir!$C$34)</f>
        <v>6.1758256608951401</v>
      </c>
      <c r="P901">
        <f t="shared" si="13"/>
        <v>89.5</v>
      </c>
    </row>
    <row r="902" spans="10:16">
      <c r="J902" s="5"/>
      <c r="L902">
        <f>DigDir!M902</f>
        <v>1.1721456560000001</v>
      </c>
      <c r="M902">
        <f>DigDir!N902</f>
        <v>89.6</v>
      </c>
      <c r="O902">
        <f>ABS(L902-DigDir!$C$34)</f>
        <v>6.1953802218951406</v>
      </c>
      <c r="P902">
        <f t="shared" si="13"/>
        <v>89.6</v>
      </c>
    </row>
    <row r="903" spans="10:16">
      <c r="J903" s="5"/>
      <c r="L903">
        <f>DigDir!M903</f>
        <v>1.191700217</v>
      </c>
      <c r="M903">
        <f>DigDir!N903</f>
        <v>89.7</v>
      </c>
      <c r="O903">
        <f>ABS(L903-DigDir!$C$34)</f>
        <v>6.2149347828951402</v>
      </c>
      <c r="P903">
        <f t="shared" ref="P903:P966" si="14">M903</f>
        <v>89.7</v>
      </c>
    </row>
    <row r="904" spans="10:16">
      <c r="J904" s="5"/>
      <c r="L904">
        <f>DigDir!M904</f>
        <v>1.2222853579999999</v>
      </c>
      <c r="M904">
        <f>DigDir!N904</f>
        <v>89.8</v>
      </c>
      <c r="O904">
        <f>ABS(L904-DigDir!$C$34)</f>
        <v>6.2455199238951398</v>
      </c>
      <c r="P904">
        <f t="shared" si="14"/>
        <v>89.8</v>
      </c>
    </row>
    <row r="905" spans="10:16">
      <c r="J905" s="5"/>
      <c r="L905">
        <f>DigDir!M905</f>
        <v>1.2613941289999999</v>
      </c>
      <c r="M905">
        <f>DigDir!N905</f>
        <v>89.9</v>
      </c>
      <c r="O905">
        <f>ABS(L905-DigDir!$C$34)</f>
        <v>6.2846286948951402</v>
      </c>
      <c r="P905">
        <f t="shared" si="14"/>
        <v>89.9</v>
      </c>
    </row>
    <row r="906" spans="10:16">
      <c r="J906" s="5"/>
      <c r="L906">
        <f>DigDir!M906</f>
        <v>1.3005028999999999</v>
      </c>
      <c r="M906">
        <f>DigDir!N906</f>
        <v>90</v>
      </c>
      <c r="O906">
        <f>ABS(L906-DigDir!$C$34)</f>
        <v>6.3237374658951397</v>
      </c>
      <c r="P906">
        <f t="shared" si="14"/>
        <v>90</v>
      </c>
    </row>
    <row r="907" spans="10:16">
      <c r="J907" s="5"/>
      <c r="L907">
        <f>DigDir!M907</f>
        <v>1.325628461</v>
      </c>
      <c r="M907">
        <f>DigDir!N907</f>
        <v>90.1</v>
      </c>
      <c r="O907">
        <f>ABS(L907-DigDir!$C$34)</f>
        <v>6.34886302689514</v>
      </c>
      <c r="P907">
        <f t="shared" si="14"/>
        <v>90.1</v>
      </c>
    </row>
    <row r="908" spans="10:16">
      <c r="J908" s="5"/>
      <c r="L908">
        <f>DigDir!M908</f>
        <v>1.3451830220000001</v>
      </c>
      <c r="M908">
        <f>DigDir!N908</f>
        <v>90.2</v>
      </c>
      <c r="O908">
        <f>ABS(L908-DigDir!$C$34)</f>
        <v>6.3684175878951397</v>
      </c>
      <c r="P908">
        <f t="shared" si="14"/>
        <v>90.2</v>
      </c>
    </row>
    <row r="909" spans="10:16">
      <c r="J909" s="5"/>
      <c r="L909">
        <f>DigDir!M909</f>
        <v>1.3647375829999999</v>
      </c>
      <c r="M909">
        <f>DigDir!N909</f>
        <v>90.3</v>
      </c>
      <c r="O909">
        <f>ABS(L909-DigDir!$C$34)</f>
        <v>6.3879721488951402</v>
      </c>
      <c r="P909">
        <f t="shared" si="14"/>
        <v>90.3</v>
      </c>
    </row>
    <row r="910" spans="10:16">
      <c r="J910" s="5"/>
      <c r="L910">
        <f>DigDir!M910</f>
        <v>1.4561747680000099</v>
      </c>
      <c r="M910">
        <f>DigDir!N910</f>
        <v>90.4</v>
      </c>
      <c r="O910">
        <f>ABS(L910-DigDir!$C$34)</f>
        <v>6.4794093338951502</v>
      </c>
      <c r="P910">
        <f t="shared" si="14"/>
        <v>90.4</v>
      </c>
    </row>
    <row r="911" spans="10:16">
      <c r="J911" s="5"/>
      <c r="L911">
        <f>DigDir!M911</f>
        <v>1.55872538500001</v>
      </c>
      <c r="M911">
        <f>DigDir!N911</f>
        <v>90.5</v>
      </c>
      <c r="O911">
        <f>ABS(L911-DigDir!$C$34)</f>
        <v>6.5819599508951505</v>
      </c>
      <c r="P911">
        <f t="shared" si="14"/>
        <v>90.5</v>
      </c>
    </row>
    <row r="912" spans="10:16">
      <c r="J912" s="5"/>
      <c r="L912">
        <f>DigDir!M912</f>
        <v>1.6595230000000001</v>
      </c>
      <c r="M912">
        <f>DigDir!N912</f>
        <v>90.6</v>
      </c>
      <c r="O912">
        <f>ABS(L912-DigDir!$C$34)</f>
        <v>6.6827575658951401</v>
      </c>
      <c r="P912">
        <f t="shared" si="14"/>
        <v>90.6</v>
      </c>
    </row>
    <row r="913" spans="10:16">
      <c r="J913" s="5"/>
      <c r="L913">
        <f>DigDir!M913</f>
        <v>1.6595230000000001</v>
      </c>
      <c r="M913">
        <f>DigDir!N913</f>
        <v>90.7</v>
      </c>
      <c r="O913">
        <f>ABS(L913-DigDir!$C$34)</f>
        <v>6.6827575658951401</v>
      </c>
      <c r="P913">
        <f t="shared" si="14"/>
        <v>90.7</v>
      </c>
    </row>
    <row r="914" spans="10:16">
      <c r="J914" s="5"/>
      <c r="L914">
        <f>DigDir!M914</f>
        <v>1.6595230000000001</v>
      </c>
      <c r="M914">
        <f>DigDir!N914</f>
        <v>90.8</v>
      </c>
      <c r="O914">
        <f>ABS(L914-DigDir!$C$34)</f>
        <v>6.6827575658951401</v>
      </c>
      <c r="P914">
        <f t="shared" si="14"/>
        <v>90.8</v>
      </c>
    </row>
    <row r="915" spans="10:16">
      <c r="J915" s="5"/>
      <c r="L915">
        <f>DigDir!M915</f>
        <v>1.6595230000000001</v>
      </c>
      <c r="M915">
        <f>DigDir!N915</f>
        <v>90.9</v>
      </c>
      <c r="O915">
        <f>ABS(L915-DigDir!$C$34)</f>
        <v>6.6827575658951401</v>
      </c>
      <c r="P915">
        <f t="shared" si="14"/>
        <v>90.9</v>
      </c>
    </row>
    <row r="916" spans="10:16">
      <c r="J916" s="5"/>
      <c r="L916">
        <f>DigDir!M916</f>
        <v>1.6595230000000001</v>
      </c>
      <c r="M916">
        <f>DigDir!N916</f>
        <v>91</v>
      </c>
      <c r="O916">
        <f>ABS(L916-DigDir!$C$34)</f>
        <v>6.6827575658951401</v>
      </c>
      <c r="P916">
        <f t="shared" si="14"/>
        <v>91</v>
      </c>
    </row>
    <row r="917" spans="10:16">
      <c r="J917" s="5"/>
      <c r="L917">
        <f>DigDir!M917</f>
        <v>1.6595230000000001</v>
      </c>
      <c r="M917">
        <f>DigDir!N917</f>
        <v>91.1</v>
      </c>
      <c r="O917">
        <f>ABS(L917-DigDir!$C$34)</f>
        <v>6.6827575658951401</v>
      </c>
      <c r="P917">
        <f t="shared" si="14"/>
        <v>91.1</v>
      </c>
    </row>
    <row r="918" spans="10:16">
      <c r="J918" s="5"/>
      <c r="L918">
        <f>DigDir!M918</f>
        <v>1.6595230000000001</v>
      </c>
      <c r="M918">
        <f>DigDir!N918</f>
        <v>91.2</v>
      </c>
      <c r="O918">
        <f>ABS(L918-DigDir!$C$34)</f>
        <v>6.6827575658951401</v>
      </c>
      <c r="P918">
        <f t="shared" si="14"/>
        <v>91.2</v>
      </c>
    </row>
    <row r="919" spans="10:16">
      <c r="J919" s="5"/>
      <c r="L919">
        <f>DigDir!M919</f>
        <v>1.6595230000000001</v>
      </c>
      <c r="M919">
        <f>DigDir!N919</f>
        <v>91.3</v>
      </c>
      <c r="O919">
        <f>ABS(L919-DigDir!$C$34)</f>
        <v>6.6827575658951401</v>
      </c>
      <c r="P919">
        <f t="shared" si="14"/>
        <v>91.3</v>
      </c>
    </row>
    <row r="920" spans="10:16">
      <c r="J920" s="5"/>
      <c r="L920">
        <f>DigDir!M920</f>
        <v>1.6595230000000001</v>
      </c>
      <c r="M920">
        <f>DigDir!N920</f>
        <v>91.4</v>
      </c>
      <c r="O920">
        <f>ABS(L920-DigDir!$C$34)</f>
        <v>6.6827575658951401</v>
      </c>
      <c r="P920">
        <f t="shared" si="14"/>
        <v>91.4</v>
      </c>
    </row>
    <row r="921" spans="10:16">
      <c r="J921" s="5"/>
      <c r="L921">
        <f>DigDir!M921</f>
        <v>1.6595230000000001</v>
      </c>
      <c r="M921">
        <f>DigDir!N921</f>
        <v>91.5</v>
      </c>
      <c r="O921">
        <f>ABS(L921-DigDir!$C$34)</f>
        <v>6.6827575658951401</v>
      </c>
      <c r="P921">
        <f t="shared" si="14"/>
        <v>91.5</v>
      </c>
    </row>
    <row r="922" spans="10:16">
      <c r="J922" s="5"/>
      <c r="L922">
        <f>DigDir!M922</f>
        <v>1.6595230000000001</v>
      </c>
      <c r="M922">
        <f>DigDir!N922</f>
        <v>91.6</v>
      </c>
      <c r="O922">
        <f>ABS(L922-DigDir!$C$34)</f>
        <v>6.6827575658951401</v>
      </c>
      <c r="P922">
        <f t="shared" si="14"/>
        <v>91.6</v>
      </c>
    </row>
    <row r="923" spans="10:16">
      <c r="J923" s="5"/>
      <c r="L923">
        <f>DigDir!M923</f>
        <v>1.6595230000000001</v>
      </c>
      <c r="M923">
        <f>DigDir!N923</f>
        <v>91.7</v>
      </c>
      <c r="O923">
        <f>ABS(L923-DigDir!$C$34)</f>
        <v>6.6827575658951401</v>
      </c>
      <c r="P923">
        <f t="shared" si="14"/>
        <v>91.7</v>
      </c>
    </row>
    <row r="924" spans="10:16">
      <c r="J924" s="5"/>
      <c r="L924">
        <f>DigDir!M924</f>
        <v>1.6595230000000001</v>
      </c>
      <c r="M924">
        <f>DigDir!N924</f>
        <v>91.8</v>
      </c>
      <c r="O924">
        <f>ABS(L924-DigDir!$C$34)</f>
        <v>6.6827575658951401</v>
      </c>
      <c r="P924">
        <f t="shared" si="14"/>
        <v>91.8</v>
      </c>
    </row>
    <row r="925" spans="10:16">
      <c r="J925" s="5"/>
      <c r="L925">
        <f>DigDir!M925</f>
        <v>1.6595230000000001</v>
      </c>
      <c r="M925">
        <f>DigDir!N925</f>
        <v>91.9</v>
      </c>
      <c r="O925">
        <f>ABS(L925-DigDir!$C$34)</f>
        <v>6.6827575658951401</v>
      </c>
      <c r="P925">
        <f t="shared" si="14"/>
        <v>91.9</v>
      </c>
    </row>
    <row r="926" spans="10:16">
      <c r="J926" s="5"/>
      <c r="L926">
        <f>DigDir!M926</f>
        <v>1.6595230000000001</v>
      </c>
      <c r="M926">
        <f>DigDir!N926</f>
        <v>92</v>
      </c>
      <c r="O926">
        <f>ABS(L926-DigDir!$C$34)</f>
        <v>6.6827575658951401</v>
      </c>
      <c r="P926">
        <f t="shared" si="14"/>
        <v>92</v>
      </c>
    </row>
    <row r="927" spans="10:16">
      <c r="J927" s="5"/>
      <c r="L927">
        <f>DigDir!M927</f>
        <v>1.6595230000000001</v>
      </c>
      <c r="M927">
        <f>DigDir!N927</f>
        <v>92.1</v>
      </c>
      <c r="O927">
        <f>ABS(L927-DigDir!$C$34)</f>
        <v>6.6827575658951401</v>
      </c>
      <c r="P927">
        <f t="shared" si="14"/>
        <v>92.1</v>
      </c>
    </row>
    <row r="928" spans="10:16">
      <c r="J928" s="5"/>
      <c r="L928">
        <f>DigDir!M928</f>
        <v>1.6595230000000001</v>
      </c>
      <c r="M928">
        <f>DigDir!N928</f>
        <v>92.2</v>
      </c>
      <c r="O928">
        <f>ABS(L928-DigDir!$C$34)</f>
        <v>6.6827575658951401</v>
      </c>
      <c r="P928">
        <f t="shared" si="14"/>
        <v>92.2</v>
      </c>
    </row>
    <row r="929" spans="10:16">
      <c r="J929" s="5"/>
      <c r="L929">
        <f>DigDir!M929</f>
        <v>1.6595230000000001</v>
      </c>
      <c r="M929">
        <f>DigDir!N929</f>
        <v>92.3</v>
      </c>
      <c r="O929">
        <f>ABS(L929-DigDir!$C$34)</f>
        <v>6.6827575658951401</v>
      </c>
      <c r="P929">
        <f t="shared" si="14"/>
        <v>92.3</v>
      </c>
    </row>
    <row r="930" spans="10:16">
      <c r="J930" s="5"/>
      <c r="L930">
        <f>DigDir!M930</f>
        <v>1.6595230000000001</v>
      </c>
      <c r="M930">
        <f>DigDir!N930</f>
        <v>92.4</v>
      </c>
      <c r="O930">
        <f>ABS(L930-DigDir!$C$34)</f>
        <v>6.6827575658951401</v>
      </c>
      <c r="P930">
        <f t="shared" si="14"/>
        <v>92.4</v>
      </c>
    </row>
    <row r="931" spans="10:16">
      <c r="J931" s="5"/>
      <c r="L931">
        <f>DigDir!M931</f>
        <v>1.6595230000000001</v>
      </c>
      <c r="M931">
        <f>DigDir!N931</f>
        <v>92.5</v>
      </c>
      <c r="O931">
        <f>ABS(L931-DigDir!$C$34)</f>
        <v>6.6827575658951401</v>
      </c>
      <c r="P931">
        <f t="shared" si="14"/>
        <v>92.5</v>
      </c>
    </row>
    <row r="932" spans="10:16">
      <c r="J932" s="5"/>
      <c r="L932">
        <f>DigDir!M932</f>
        <v>1.6595230000000001</v>
      </c>
      <c r="M932">
        <f>DigDir!N932</f>
        <v>92.6</v>
      </c>
      <c r="O932">
        <f>ABS(L932-DigDir!$C$34)</f>
        <v>6.6827575658951401</v>
      </c>
      <c r="P932">
        <f t="shared" si="14"/>
        <v>92.6</v>
      </c>
    </row>
    <row r="933" spans="10:16">
      <c r="J933" s="5"/>
      <c r="L933">
        <f>DigDir!M933</f>
        <v>1.6595230000000001</v>
      </c>
      <c r="M933">
        <f>DigDir!N933</f>
        <v>92.7</v>
      </c>
      <c r="O933">
        <f>ABS(L933-DigDir!$C$34)</f>
        <v>6.6827575658951401</v>
      </c>
      <c r="P933">
        <f t="shared" si="14"/>
        <v>92.7</v>
      </c>
    </row>
    <row r="934" spans="10:16">
      <c r="J934" s="5"/>
      <c r="L934">
        <f>DigDir!M934</f>
        <v>1.6595230000000001</v>
      </c>
      <c r="M934">
        <f>DigDir!N934</f>
        <v>92.8</v>
      </c>
      <c r="O934">
        <f>ABS(L934-DigDir!$C$34)</f>
        <v>6.6827575658951401</v>
      </c>
      <c r="P934">
        <f t="shared" si="14"/>
        <v>92.8</v>
      </c>
    </row>
    <row r="935" spans="10:16">
      <c r="J935" s="5"/>
      <c r="L935">
        <f>DigDir!M935</f>
        <v>1.6595230000000001</v>
      </c>
      <c r="M935">
        <f>DigDir!N935</f>
        <v>92.9</v>
      </c>
      <c r="O935">
        <f>ABS(L935-DigDir!$C$34)</f>
        <v>6.6827575658951401</v>
      </c>
      <c r="P935">
        <f t="shared" si="14"/>
        <v>92.9</v>
      </c>
    </row>
    <row r="936" spans="10:16">
      <c r="J936" s="5"/>
      <c r="L936">
        <f>DigDir!M936</f>
        <v>1.6595230000000001</v>
      </c>
      <c r="M936">
        <f>DigDir!N936</f>
        <v>93</v>
      </c>
      <c r="O936">
        <f>ABS(L936-DigDir!$C$34)</f>
        <v>6.6827575658951401</v>
      </c>
      <c r="P936">
        <f t="shared" si="14"/>
        <v>93</v>
      </c>
    </row>
    <row r="937" spans="10:16">
      <c r="J937" s="5"/>
      <c r="L937">
        <f>DigDir!M937</f>
        <v>1.6595230000000001</v>
      </c>
      <c r="M937">
        <f>DigDir!N937</f>
        <v>93.1</v>
      </c>
      <c r="O937">
        <f>ABS(L937-DigDir!$C$34)</f>
        <v>6.6827575658951401</v>
      </c>
      <c r="P937">
        <f t="shared" si="14"/>
        <v>93.1</v>
      </c>
    </row>
    <row r="938" spans="10:16">
      <c r="J938" s="5"/>
      <c r="L938">
        <f>DigDir!M938</f>
        <v>1.6595230000000001</v>
      </c>
      <c r="M938">
        <f>DigDir!N938</f>
        <v>93.2</v>
      </c>
      <c r="O938">
        <f>ABS(L938-DigDir!$C$34)</f>
        <v>6.6827575658951401</v>
      </c>
      <c r="P938">
        <f t="shared" si="14"/>
        <v>93.2</v>
      </c>
    </row>
    <row r="939" spans="10:16">
      <c r="J939" s="5"/>
      <c r="L939">
        <f>DigDir!M939</f>
        <v>1.6595230000000001</v>
      </c>
      <c r="M939">
        <f>DigDir!N939</f>
        <v>93.3</v>
      </c>
      <c r="O939">
        <f>ABS(L939-DigDir!$C$34)</f>
        <v>6.6827575658951401</v>
      </c>
      <c r="P939">
        <f t="shared" si="14"/>
        <v>93.3</v>
      </c>
    </row>
    <row r="940" spans="10:16">
      <c r="J940" s="5"/>
      <c r="L940">
        <f>DigDir!M940</f>
        <v>1.6595230000000001</v>
      </c>
      <c r="M940">
        <f>DigDir!N940</f>
        <v>93.4</v>
      </c>
      <c r="O940">
        <f>ABS(L940-DigDir!$C$34)</f>
        <v>6.6827575658951401</v>
      </c>
      <c r="P940">
        <f t="shared" si="14"/>
        <v>93.4</v>
      </c>
    </row>
    <row r="941" spans="10:16">
      <c r="J941" s="5"/>
      <c r="L941">
        <f>DigDir!M941</f>
        <v>1.6595230000000001</v>
      </c>
      <c r="M941">
        <f>DigDir!N941</f>
        <v>93.5</v>
      </c>
      <c r="O941">
        <f>ABS(L941-DigDir!$C$34)</f>
        <v>6.6827575658951401</v>
      </c>
      <c r="P941">
        <f t="shared" si="14"/>
        <v>93.5</v>
      </c>
    </row>
    <row r="942" spans="10:16">
      <c r="J942" s="5"/>
      <c r="L942">
        <f>DigDir!M942</f>
        <v>1.6595230000000001</v>
      </c>
      <c r="M942">
        <f>DigDir!N942</f>
        <v>93.6</v>
      </c>
      <c r="O942">
        <f>ABS(L942-DigDir!$C$34)</f>
        <v>6.6827575658951401</v>
      </c>
      <c r="P942">
        <f t="shared" si="14"/>
        <v>93.6</v>
      </c>
    </row>
    <row r="943" spans="10:16">
      <c r="J943" s="5"/>
      <c r="L943">
        <f>DigDir!M943</f>
        <v>1.6595230000000001</v>
      </c>
      <c r="M943">
        <f>DigDir!N943</f>
        <v>93.7</v>
      </c>
      <c r="O943">
        <f>ABS(L943-DigDir!$C$34)</f>
        <v>6.6827575658951401</v>
      </c>
      <c r="P943">
        <f t="shared" si="14"/>
        <v>93.7</v>
      </c>
    </row>
    <row r="944" spans="10:16">
      <c r="J944" s="5"/>
      <c r="L944">
        <f>DigDir!M944</f>
        <v>1.6595230000000001</v>
      </c>
      <c r="M944">
        <f>DigDir!N944</f>
        <v>93.8</v>
      </c>
      <c r="O944">
        <f>ABS(L944-DigDir!$C$34)</f>
        <v>6.6827575658951401</v>
      </c>
      <c r="P944">
        <f t="shared" si="14"/>
        <v>93.8</v>
      </c>
    </row>
    <row r="945" spans="10:16">
      <c r="J945" s="5"/>
      <c r="L945">
        <f>DigDir!M945</f>
        <v>1.6595230000000001</v>
      </c>
      <c r="M945">
        <f>DigDir!N945</f>
        <v>93.9</v>
      </c>
      <c r="O945">
        <f>ABS(L945-DigDir!$C$34)</f>
        <v>6.6827575658951401</v>
      </c>
      <c r="P945">
        <f t="shared" si="14"/>
        <v>93.9</v>
      </c>
    </row>
    <row r="946" spans="10:16">
      <c r="J946" s="5"/>
      <c r="L946">
        <f>DigDir!M946</f>
        <v>1.6595230000000001</v>
      </c>
      <c r="M946">
        <f>DigDir!N946</f>
        <v>94</v>
      </c>
      <c r="O946">
        <f>ABS(L946-DigDir!$C$34)</f>
        <v>6.6827575658951401</v>
      </c>
      <c r="P946">
        <f t="shared" si="14"/>
        <v>94</v>
      </c>
    </row>
    <row r="947" spans="10:16">
      <c r="J947" s="5"/>
      <c r="L947">
        <f>DigDir!M947</f>
        <v>1.6595230000000001</v>
      </c>
      <c r="M947">
        <f>DigDir!N947</f>
        <v>94.1</v>
      </c>
      <c r="O947">
        <f>ABS(L947-DigDir!$C$34)</f>
        <v>6.6827575658951401</v>
      </c>
      <c r="P947">
        <f t="shared" si="14"/>
        <v>94.1</v>
      </c>
    </row>
    <row r="948" spans="10:16">
      <c r="J948" s="5"/>
      <c r="L948">
        <f>DigDir!M948</f>
        <v>1.6595230000000001</v>
      </c>
      <c r="M948">
        <f>DigDir!N948</f>
        <v>94.2</v>
      </c>
      <c r="O948">
        <f>ABS(L948-DigDir!$C$34)</f>
        <v>6.6827575658951401</v>
      </c>
      <c r="P948">
        <f t="shared" si="14"/>
        <v>94.2</v>
      </c>
    </row>
    <row r="949" spans="10:16">
      <c r="J949" s="5"/>
      <c r="L949">
        <f>DigDir!M949</f>
        <v>1.6595230000000001</v>
      </c>
      <c r="M949">
        <f>DigDir!N949</f>
        <v>94.3</v>
      </c>
      <c r="O949">
        <f>ABS(L949-DigDir!$C$34)</f>
        <v>6.6827575658951401</v>
      </c>
      <c r="P949">
        <f t="shared" si="14"/>
        <v>94.3</v>
      </c>
    </row>
    <row r="950" spans="10:16">
      <c r="J950" s="5"/>
      <c r="L950">
        <f>DigDir!M950</f>
        <v>1.6595230000000001</v>
      </c>
      <c r="M950">
        <f>DigDir!N950</f>
        <v>94.4</v>
      </c>
      <c r="O950">
        <f>ABS(L950-DigDir!$C$34)</f>
        <v>6.6827575658951401</v>
      </c>
      <c r="P950">
        <f t="shared" si="14"/>
        <v>94.4</v>
      </c>
    </row>
    <row r="951" spans="10:16">
      <c r="J951" s="5"/>
      <c r="L951">
        <f>DigDir!M951</f>
        <v>1.6595230000000001</v>
      </c>
      <c r="M951">
        <f>DigDir!N951</f>
        <v>94.5</v>
      </c>
      <c r="O951">
        <f>ABS(L951-DigDir!$C$34)</f>
        <v>6.6827575658951401</v>
      </c>
      <c r="P951">
        <f t="shared" si="14"/>
        <v>94.5</v>
      </c>
    </row>
    <row r="952" spans="10:16">
      <c r="J952" s="5"/>
      <c r="L952">
        <f>DigDir!M952</f>
        <v>1.6595230000000001</v>
      </c>
      <c r="M952">
        <f>DigDir!N952</f>
        <v>94.6</v>
      </c>
      <c r="O952">
        <f>ABS(L952-DigDir!$C$34)</f>
        <v>6.6827575658951401</v>
      </c>
      <c r="P952">
        <f t="shared" si="14"/>
        <v>94.6</v>
      </c>
    </row>
    <row r="953" spans="10:16">
      <c r="J953" s="5"/>
      <c r="L953">
        <f>DigDir!M953</f>
        <v>1.6595230000000001</v>
      </c>
      <c r="M953">
        <f>DigDir!N953</f>
        <v>94.7</v>
      </c>
      <c r="O953">
        <f>ABS(L953-DigDir!$C$34)</f>
        <v>6.6827575658951401</v>
      </c>
      <c r="P953">
        <f t="shared" si="14"/>
        <v>94.7</v>
      </c>
    </row>
    <row r="954" spans="10:16">
      <c r="J954" s="5"/>
      <c r="L954">
        <f>DigDir!M954</f>
        <v>1.6595230000000001</v>
      </c>
      <c r="M954">
        <f>DigDir!N954</f>
        <v>94.8</v>
      </c>
      <c r="O954">
        <f>ABS(L954-DigDir!$C$34)</f>
        <v>6.6827575658951401</v>
      </c>
      <c r="P954">
        <f t="shared" si="14"/>
        <v>94.8</v>
      </c>
    </row>
    <row r="955" spans="10:16">
      <c r="J955" s="5"/>
      <c r="L955">
        <f>DigDir!M955</f>
        <v>1.66503829</v>
      </c>
      <c r="M955">
        <f>DigDir!N955</f>
        <v>94.9</v>
      </c>
      <c r="O955">
        <f>ABS(L955-DigDir!$C$34)</f>
        <v>6.6882728558951401</v>
      </c>
      <c r="P955">
        <f t="shared" si="14"/>
        <v>94.9</v>
      </c>
    </row>
    <row r="956" spans="10:16">
      <c r="J956" s="5"/>
      <c r="L956">
        <f>DigDir!M956</f>
        <v>1.6845924999999999</v>
      </c>
      <c r="M956">
        <f>DigDir!N956</f>
        <v>95</v>
      </c>
      <c r="O956">
        <f>ABS(L956-DigDir!$C$34)</f>
        <v>6.70782706589514</v>
      </c>
      <c r="P956">
        <f t="shared" si="14"/>
        <v>95</v>
      </c>
    </row>
    <row r="957" spans="10:16">
      <c r="J957" s="5"/>
      <c r="L957">
        <f>DigDir!M957</f>
        <v>1.7041467100000001</v>
      </c>
      <c r="M957">
        <f>DigDir!N957</f>
        <v>95.1</v>
      </c>
      <c r="O957">
        <f>ABS(L957-DigDir!$C$34)</f>
        <v>6.7273812758951399</v>
      </c>
      <c r="P957">
        <f t="shared" si="14"/>
        <v>95.1</v>
      </c>
    </row>
    <row r="958" spans="10:16">
      <c r="J958" s="5"/>
      <c r="L958">
        <f>DigDir!M958</f>
        <v>1.715233</v>
      </c>
      <c r="M958">
        <f>DigDir!N958</f>
        <v>95.2</v>
      </c>
      <c r="O958">
        <f>ABS(L958-DigDir!$C$34)</f>
        <v>6.7384675658951405</v>
      </c>
      <c r="P958">
        <f t="shared" si="14"/>
        <v>95.2</v>
      </c>
    </row>
    <row r="959" spans="10:16">
      <c r="J959" s="5"/>
      <c r="L959">
        <f>DigDir!M959</f>
        <v>1.715233</v>
      </c>
      <c r="M959">
        <f>DigDir!N959</f>
        <v>95.3</v>
      </c>
      <c r="O959">
        <f>ABS(L959-DigDir!$C$34)</f>
        <v>6.7384675658951405</v>
      </c>
      <c r="P959">
        <f t="shared" si="14"/>
        <v>95.3</v>
      </c>
    </row>
    <row r="960" spans="10:16">
      <c r="J960" s="5"/>
      <c r="L960">
        <f>DigDir!M960</f>
        <v>1.715233</v>
      </c>
      <c r="M960">
        <f>DigDir!N960</f>
        <v>95.4</v>
      </c>
      <c r="O960">
        <f>ABS(L960-DigDir!$C$34)</f>
        <v>6.7384675658951405</v>
      </c>
      <c r="P960">
        <f t="shared" si="14"/>
        <v>95.4</v>
      </c>
    </row>
    <row r="961" spans="10:16">
      <c r="J961" s="5"/>
      <c r="L961">
        <f>DigDir!M961</f>
        <v>1.715233</v>
      </c>
      <c r="M961">
        <f>DigDir!N961</f>
        <v>95.5</v>
      </c>
      <c r="O961">
        <f>ABS(L961-DigDir!$C$34)</f>
        <v>6.7384675658951405</v>
      </c>
      <c r="P961">
        <f t="shared" si="14"/>
        <v>95.5</v>
      </c>
    </row>
    <row r="962" spans="10:16">
      <c r="J962" s="5"/>
      <c r="L962">
        <f>DigDir!M962</f>
        <v>1.715233</v>
      </c>
      <c r="M962">
        <f>DigDir!N962</f>
        <v>95.6</v>
      </c>
      <c r="O962">
        <f>ABS(L962-DigDir!$C$34)</f>
        <v>6.7384675658951405</v>
      </c>
      <c r="P962">
        <f t="shared" si="14"/>
        <v>95.6</v>
      </c>
    </row>
    <row r="963" spans="10:16">
      <c r="J963" s="5"/>
      <c r="L963">
        <f>DigDir!M963</f>
        <v>1.715233</v>
      </c>
      <c r="M963">
        <f>DigDir!N963</f>
        <v>95.7</v>
      </c>
      <c r="O963">
        <f>ABS(L963-DigDir!$C$34)</f>
        <v>6.7384675658951405</v>
      </c>
      <c r="P963">
        <f t="shared" si="14"/>
        <v>95.7</v>
      </c>
    </row>
    <row r="964" spans="10:16">
      <c r="J964" s="5"/>
      <c r="L964">
        <f>DigDir!M964</f>
        <v>1.715233</v>
      </c>
      <c r="M964">
        <f>DigDir!N964</f>
        <v>95.8</v>
      </c>
      <c r="O964">
        <f>ABS(L964-DigDir!$C$34)</f>
        <v>6.7384675658951405</v>
      </c>
      <c r="P964">
        <f t="shared" si="14"/>
        <v>95.8</v>
      </c>
    </row>
    <row r="965" spans="10:16">
      <c r="J965" s="5"/>
      <c r="L965">
        <f>DigDir!M965</f>
        <v>1.715233</v>
      </c>
      <c r="M965">
        <f>DigDir!N965</f>
        <v>95.9</v>
      </c>
      <c r="O965">
        <f>ABS(L965-DigDir!$C$34)</f>
        <v>6.7384675658951405</v>
      </c>
      <c r="P965">
        <f t="shared" si="14"/>
        <v>95.9</v>
      </c>
    </row>
    <row r="966" spans="10:16">
      <c r="J966" s="5"/>
      <c r="L966">
        <f>DigDir!M966</f>
        <v>1.715233</v>
      </c>
      <c r="M966">
        <f>DigDir!N966</f>
        <v>96</v>
      </c>
      <c r="O966">
        <f>ABS(L966-DigDir!$C$34)</f>
        <v>6.7384675658951405</v>
      </c>
      <c r="P966">
        <f t="shared" si="14"/>
        <v>96</v>
      </c>
    </row>
    <row r="967" spans="10:16">
      <c r="J967" s="5"/>
      <c r="L967">
        <f>DigDir!M967</f>
        <v>1.749884931</v>
      </c>
      <c r="M967">
        <f>DigDir!N967</f>
        <v>96.1</v>
      </c>
      <c r="O967">
        <f>ABS(L967-DigDir!$C$34)</f>
        <v>6.7731194968951396</v>
      </c>
      <c r="P967">
        <f t="shared" ref="P967:P1006" si="15">M967</f>
        <v>96.1</v>
      </c>
    </row>
    <row r="968" spans="10:16">
      <c r="J968" s="5"/>
      <c r="L968">
        <f>DigDir!M968</f>
        <v>1.788993702</v>
      </c>
      <c r="M968">
        <f>DigDir!N968</f>
        <v>96.2</v>
      </c>
      <c r="O968">
        <f>ABS(L968-DigDir!$C$34)</f>
        <v>6.81222826789514</v>
      </c>
      <c r="P968">
        <f t="shared" si="15"/>
        <v>96.2</v>
      </c>
    </row>
    <row r="969" spans="10:16">
      <c r="J969" s="5"/>
      <c r="L969">
        <f>DigDir!M969</f>
        <v>1.8273782430000001</v>
      </c>
      <c r="M969">
        <f>DigDir!N969</f>
        <v>96.3</v>
      </c>
      <c r="O969">
        <f>ABS(L969-DigDir!$C$34)</f>
        <v>6.8506128088951401</v>
      </c>
      <c r="P969">
        <f t="shared" si="15"/>
        <v>96.3</v>
      </c>
    </row>
    <row r="970" spans="10:16">
      <c r="J970" s="5"/>
      <c r="L970">
        <f>DigDir!M970</f>
        <v>1.8469328039999999</v>
      </c>
      <c r="M970">
        <f>DigDir!N970</f>
        <v>96.4</v>
      </c>
      <c r="O970">
        <f>ABS(L970-DigDir!$C$34)</f>
        <v>6.8701673698951398</v>
      </c>
      <c r="P970">
        <f t="shared" si="15"/>
        <v>96.4</v>
      </c>
    </row>
    <row r="971" spans="10:16">
      <c r="J971" s="5"/>
      <c r="L971">
        <f>DigDir!M971</f>
        <v>1.866487365</v>
      </c>
      <c r="M971">
        <f>DigDir!N971</f>
        <v>96.5</v>
      </c>
      <c r="O971">
        <f>ABS(L971-DigDir!$C$34)</f>
        <v>6.8897219308951403</v>
      </c>
      <c r="P971">
        <f t="shared" si="15"/>
        <v>96.5</v>
      </c>
    </row>
    <row r="972" spans="10:16">
      <c r="J972" s="5"/>
      <c r="L972">
        <f>DigDir!M972</f>
        <v>1.8860419260000001</v>
      </c>
      <c r="M972">
        <f>DigDir!N972</f>
        <v>96.6</v>
      </c>
      <c r="O972">
        <f>ABS(L972-DigDir!$C$34)</f>
        <v>6.9092764918951399</v>
      </c>
      <c r="P972">
        <f t="shared" si="15"/>
        <v>96.6</v>
      </c>
    </row>
    <row r="973" spans="10:16">
      <c r="J973" s="5"/>
      <c r="L973">
        <f>DigDir!M973</f>
        <v>1.905596487</v>
      </c>
      <c r="M973">
        <f>DigDir!N973</f>
        <v>96.7</v>
      </c>
      <c r="O973">
        <f>ABS(L973-DigDir!$C$34)</f>
        <v>6.9288310528951396</v>
      </c>
      <c r="P973">
        <f t="shared" si="15"/>
        <v>96.7</v>
      </c>
    </row>
    <row r="974" spans="10:16">
      <c r="J974" s="5"/>
      <c r="L974">
        <f>DigDir!M974</f>
        <v>1.925151048</v>
      </c>
      <c r="M974">
        <f>DigDir!N974</f>
        <v>96.8</v>
      </c>
      <c r="O974">
        <f>ABS(L974-DigDir!$C$34)</f>
        <v>6.9483856138951401</v>
      </c>
      <c r="P974">
        <f t="shared" si="15"/>
        <v>96.8</v>
      </c>
    </row>
    <row r="975" spans="10:16">
      <c r="J975" s="5"/>
      <c r="L975">
        <f>DigDir!M975</f>
        <v>1.944705371</v>
      </c>
      <c r="M975">
        <f>DigDir!N975</f>
        <v>96.9</v>
      </c>
      <c r="O975">
        <f>ABS(L975-DigDir!$C$34)</f>
        <v>6.9679399368951405</v>
      </c>
      <c r="P975">
        <f t="shared" si="15"/>
        <v>96.9</v>
      </c>
    </row>
    <row r="976" spans="10:16">
      <c r="J976" s="5"/>
      <c r="L976">
        <f>DigDir!M976</f>
        <v>1.9642592299999999</v>
      </c>
      <c r="M976">
        <f>DigDir!N976</f>
        <v>97</v>
      </c>
      <c r="O976">
        <f>ABS(L976-DigDir!$C$34)</f>
        <v>6.9874937958951397</v>
      </c>
      <c r="P976">
        <f t="shared" si="15"/>
        <v>97</v>
      </c>
    </row>
    <row r="977" spans="10:16">
      <c r="J977" s="5"/>
      <c r="L977">
        <f>DigDir!M977</f>
        <v>1.9838130890000001</v>
      </c>
      <c r="M977">
        <f>DigDir!N977</f>
        <v>97.1</v>
      </c>
      <c r="O977">
        <f>ABS(L977-DigDir!$C$34)</f>
        <v>7.0070476548951399</v>
      </c>
      <c r="P977">
        <f t="shared" si="15"/>
        <v>97.1</v>
      </c>
    </row>
    <row r="978" spans="10:16">
      <c r="J978" s="5"/>
      <c r="L978">
        <f>DigDir!M978</f>
        <v>1.9937849999999999</v>
      </c>
      <c r="M978">
        <f>DigDir!N978</f>
        <v>97.2</v>
      </c>
      <c r="O978">
        <f>ABS(L978-DigDir!$C$34)</f>
        <v>7.01701956589514</v>
      </c>
      <c r="P978">
        <f t="shared" si="15"/>
        <v>97.2</v>
      </c>
    </row>
    <row r="979" spans="10:16">
      <c r="J979" s="5"/>
      <c r="L979">
        <f>DigDir!M979</f>
        <v>1.9937849999999999</v>
      </c>
      <c r="M979">
        <f>DigDir!N979</f>
        <v>97.3</v>
      </c>
      <c r="O979">
        <f>ABS(L979-DigDir!$C$34)</f>
        <v>7.01701956589514</v>
      </c>
      <c r="P979">
        <f t="shared" si="15"/>
        <v>97.3</v>
      </c>
    </row>
    <row r="980" spans="10:16">
      <c r="J980" s="5"/>
      <c r="L980">
        <f>DigDir!M980</f>
        <v>1.9937849999999999</v>
      </c>
      <c r="M980">
        <f>DigDir!N980</f>
        <v>97.4</v>
      </c>
      <c r="O980">
        <f>ABS(L980-DigDir!$C$34)</f>
        <v>7.01701956589514</v>
      </c>
      <c r="P980">
        <f t="shared" si="15"/>
        <v>97.4</v>
      </c>
    </row>
    <row r="981" spans="10:16">
      <c r="J981" s="5"/>
      <c r="L981">
        <f>DigDir!M981</f>
        <v>1.9937849999999999</v>
      </c>
      <c r="M981">
        <f>DigDir!N981</f>
        <v>97.5</v>
      </c>
      <c r="O981">
        <f>ABS(L981-DigDir!$C$34)</f>
        <v>7.01701956589514</v>
      </c>
      <c r="P981">
        <f t="shared" si="15"/>
        <v>97.5</v>
      </c>
    </row>
    <row r="982" spans="10:16">
      <c r="J982" s="5"/>
      <c r="L982">
        <f>DigDir!M982</f>
        <v>1.9937849999999999</v>
      </c>
      <c r="M982">
        <f>DigDir!N982</f>
        <v>97.6</v>
      </c>
      <c r="O982">
        <f>ABS(L982-DigDir!$C$34)</f>
        <v>7.01701956589514</v>
      </c>
      <c r="P982">
        <f t="shared" si="15"/>
        <v>97.6</v>
      </c>
    </row>
    <row r="983" spans="10:16">
      <c r="J983" s="5"/>
      <c r="L983">
        <f>DigDir!M983</f>
        <v>1.9937849999999999</v>
      </c>
      <c r="M983">
        <f>DigDir!N983</f>
        <v>97.7</v>
      </c>
      <c r="O983">
        <f>ABS(L983-DigDir!$C$34)</f>
        <v>7.01701956589514</v>
      </c>
      <c r="P983">
        <f t="shared" si="15"/>
        <v>97.7</v>
      </c>
    </row>
    <row r="984" spans="10:16">
      <c r="J984" s="5"/>
      <c r="L984">
        <f>DigDir!M984</f>
        <v>1.9937849999999999</v>
      </c>
      <c r="M984">
        <f>DigDir!N984</f>
        <v>97.8</v>
      </c>
      <c r="O984">
        <f>ABS(L984-DigDir!$C$34)</f>
        <v>7.01701956589514</v>
      </c>
      <c r="P984">
        <f t="shared" si="15"/>
        <v>97.8</v>
      </c>
    </row>
    <row r="985" spans="10:16">
      <c r="J985" s="5"/>
      <c r="L985">
        <f>DigDir!M985</f>
        <v>1.9937849999999999</v>
      </c>
      <c r="M985">
        <f>DigDir!N985</f>
        <v>97.9</v>
      </c>
      <c r="O985">
        <f>ABS(L985-DigDir!$C$34)</f>
        <v>7.01701956589514</v>
      </c>
      <c r="P985">
        <f t="shared" si="15"/>
        <v>97.9</v>
      </c>
    </row>
    <row r="986" spans="10:16">
      <c r="J986" s="5"/>
      <c r="L986">
        <f>DigDir!M986</f>
        <v>1.9937849999999999</v>
      </c>
      <c r="M986">
        <f>DigDir!N986</f>
        <v>98</v>
      </c>
      <c r="O986">
        <f>ABS(L986-DigDir!$C$34)</f>
        <v>7.01701956589514</v>
      </c>
      <c r="P986">
        <f t="shared" si="15"/>
        <v>98</v>
      </c>
    </row>
    <row r="987" spans="10:16">
      <c r="J987" s="5"/>
      <c r="L987">
        <f>DigDir!M987</f>
        <v>1.9937849999999999</v>
      </c>
      <c r="M987">
        <f>DigDir!N987</f>
        <v>98.1</v>
      </c>
      <c r="O987">
        <f>ABS(L987-DigDir!$C$34)</f>
        <v>7.01701956589514</v>
      </c>
      <c r="P987">
        <f t="shared" si="15"/>
        <v>98.1</v>
      </c>
    </row>
    <row r="988" spans="10:16">
      <c r="J988" s="5"/>
      <c r="L988">
        <f>DigDir!M988</f>
        <v>1.9937849999999999</v>
      </c>
      <c r="M988">
        <f>DigDir!N988</f>
        <v>98.2</v>
      </c>
      <c r="O988">
        <f>ABS(L988-DigDir!$C$34)</f>
        <v>7.01701956589514</v>
      </c>
      <c r="P988">
        <f t="shared" si="15"/>
        <v>98.2</v>
      </c>
    </row>
    <row r="989" spans="10:16">
      <c r="J989" s="5"/>
      <c r="L989">
        <f>DigDir!M989</f>
        <v>1.9937849999999999</v>
      </c>
      <c r="M989">
        <f>DigDir!N989</f>
        <v>98.3</v>
      </c>
      <c r="O989">
        <f>ABS(L989-DigDir!$C$34)</f>
        <v>7.01701956589514</v>
      </c>
      <c r="P989">
        <f t="shared" si="15"/>
        <v>98.3</v>
      </c>
    </row>
    <row r="990" spans="10:16">
      <c r="J990" s="5"/>
      <c r="L990">
        <f>DigDir!M990</f>
        <v>1.9937849999999999</v>
      </c>
      <c r="M990">
        <f>DigDir!N990</f>
        <v>98.4</v>
      </c>
      <c r="O990">
        <f>ABS(L990-DigDir!$C$34)</f>
        <v>7.01701956589514</v>
      </c>
      <c r="P990">
        <f t="shared" si="15"/>
        <v>98.4</v>
      </c>
    </row>
    <row r="991" spans="10:16">
      <c r="J991" s="5"/>
      <c r="L991">
        <f>DigDir!M991</f>
        <v>1.9937849999999999</v>
      </c>
      <c r="M991">
        <f>DigDir!N991</f>
        <v>98.5</v>
      </c>
      <c r="O991">
        <f>ABS(L991-DigDir!$C$34)</f>
        <v>7.01701956589514</v>
      </c>
      <c r="P991">
        <f t="shared" si="15"/>
        <v>98.5</v>
      </c>
    </row>
    <row r="992" spans="10:16">
      <c r="J992" s="5"/>
      <c r="L992">
        <f>DigDir!M992</f>
        <v>2.0476580660000101</v>
      </c>
      <c r="M992">
        <f>DigDir!N992</f>
        <v>98.6</v>
      </c>
      <c r="O992">
        <f>ABS(L992-DigDir!$C$34)</f>
        <v>7.0708926318951502</v>
      </c>
      <c r="P992">
        <f t="shared" si="15"/>
        <v>98.6</v>
      </c>
    </row>
    <row r="993" spans="10:16">
      <c r="J993" s="5"/>
      <c r="L993">
        <f>DigDir!M993</f>
        <v>2.2675353470000101</v>
      </c>
      <c r="M993">
        <f>DigDir!N993</f>
        <v>98.7</v>
      </c>
      <c r="O993">
        <f>ABS(L993-DigDir!$C$34)</f>
        <v>7.2907699128951506</v>
      </c>
      <c r="P993">
        <f t="shared" si="15"/>
        <v>98.7</v>
      </c>
    </row>
    <row r="994" spans="10:16">
      <c r="J994" s="5"/>
      <c r="L994">
        <f>DigDir!M994</f>
        <v>2.4874126280000102</v>
      </c>
      <c r="M994">
        <f>DigDir!N994</f>
        <v>98.8</v>
      </c>
      <c r="O994">
        <f>ABS(L994-DigDir!$C$34)</f>
        <v>7.5106471938951502</v>
      </c>
      <c r="P994">
        <f t="shared" si="15"/>
        <v>98.8</v>
      </c>
    </row>
    <row r="995" spans="10:16">
      <c r="J995" s="5"/>
      <c r="L995">
        <f>DigDir!M995</f>
        <v>2.6202160000000001</v>
      </c>
      <c r="M995">
        <f>DigDir!N995</f>
        <v>98.9</v>
      </c>
      <c r="O995">
        <f>ABS(L995-DigDir!$C$34)</f>
        <v>7.6434505658951402</v>
      </c>
      <c r="P995">
        <f t="shared" si="15"/>
        <v>98.9</v>
      </c>
    </row>
    <row r="996" spans="10:16">
      <c r="J996" s="5"/>
      <c r="L996">
        <f>DigDir!M996</f>
        <v>2.6202160000000001</v>
      </c>
      <c r="M996">
        <f>DigDir!N996</f>
        <v>99</v>
      </c>
      <c r="O996">
        <f>ABS(L996-DigDir!$C$34)</f>
        <v>7.6434505658951402</v>
      </c>
      <c r="P996">
        <f t="shared" si="15"/>
        <v>99</v>
      </c>
    </row>
    <row r="997" spans="10:16">
      <c r="J997" s="5"/>
      <c r="L997">
        <f>DigDir!M997</f>
        <v>2.6202160000000001</v>
      </c>
      <c r="M997">
        <f>DigDir!N997</f>
        <v>99.1</v>
      </c>
      <c r="O997">
        <f>ABS(L997-DigDir!$C$34)</f>
        <v>7.6434505658951402</v>
      </c>
      <c r="P997">
        <f t="shared" si="15"/>
        <v>99.1</v>
      </c>
    </row>
    <row r="998" spans="10:16">
      <c r="J998" s="5"/>
      <c r="L998">
        <f>DigDir!M998</f>
        <v>2.6202160000000001</v>
      </c>
      <c r="M998">
        <f>DigDir!N998</f>
        <v>99.2</v>
      </c>
      <c r="O998">
        <f>ABS(L998-DigDir!$C$34)</f>
        <v>7.6434505658951402</v>
      </c>
      <c r="P998">
        <f t="shared" si="15"/>
        <v>99.2</v>
      </c>
    </row>
    <row r="999" spans="10:16">
      <c r="J999" s="5"/>
      <c r="L999">
        <f>DigDir!M999</f>
        <v>2.6202160000000001</v>
      </c>
      <c r="M999">
        <f>DigDir!N999</f>
        <v>99.3</v>
      </c>
      <c r="O999">
        <f>ABS(L999-DigDir!$C$34)</f>
        <v>7.6434505658951402</v>
      </c>
      <c r="P999">
        <f t="shared" si="15"/>
        <v>99.3</v>
      </c>
    </row>
    <row r="1000" spans="10:16">
      <c r="J1000" s="5"/>
      <c r="L1000">
        <f>DigDir!M1000</f>
        <v>2.6202160000000001</v>
      </c>
      <c r="M1000">
        <f>DigDir!N1000</f>
        <v>99.4</v>
      </c>
      <c r="O1000">
        <f>ABS(L1000-DigDir!$C$34)</f>
        <v>7.6434505658951402</v>
      </c>
      <c r="P1000">
        <f t="shared" si="15"/>
        <v>99.4</v>
      </c>
    </row>
    <row r="1001" spans="10:16">
      <c r="J1001" s="5"/>
      <c r="L1001">
        <f>DigDir!M1001</f>
        <v>2.6202160000000001</v>
      </c>
      <c r="M1001">
        <f>DigDir!N1001</f>
        <v>99.5</v>
      </c>
      <c r="O1001">
        <f>ABS(L1001-DigDir!$C$34)</f>
        <v>7.6434505658951402</v>
      </c>
      <c r="P1001">
        <f t="shared" si="15"/>
        <v>99.5</v>
      </c>
    </row>
    <row r="1002" spans="10:16">
      <c r="J1002" s="5"/>
      <c r="L1002">
        <f>DigDir!M1002</f>
        <v>2.6202160000000001</v>
      </c>
      <c r="M1002">
        <f>DigDir!N1002</f>
        <v>99.6</v>
      </c>
      <c r="O1002">
        <f>ABS(L1002-DigDir!$C$34)</f>
        <v>7.6434505658951402</v>
      </c>
      <c r="P1002">
        <f t="shared" si="15"/>
        <v>99.6</v>
      </c>
    </row>
    <row r="1003" spans="10:16">
      <c r="J1003" s="5"/>
      <c r="L1003">
        <f>DigDir!M1003</f>
        <v>2.6202160000000001</v>
      </c>
      <c r="M1003">
        <f>DigDir!N1003</f>
        <v>99.7</v>
      </c>
      <c r="O1003">
        <f>ABS(L1003-DigDir!$C$34)</f>
        <v>7.6434505658951402</v>
      </c>
      <c r="P1003">
        <f t="shared" si="15"/>
        <v>99.7</v>
      </c>
    </row>
    <row r="1004" spans="10:16">
      <c r="J1004" s="5"/>
      <c r="L1004">
        <f>DigDir!M1004</f>
        <v>2.6368175800000002</v>
      </c>
      <c r="M1004">
        <f>DigDir!N1004</f>
        <v>99.8</v>
      </c>
      <c r="O1004">
        <f>ABS(L1004-DigDir!$C$34)</f>
        <v>7.6600521458951398</v>
      </c>
      <c r="P1004">
        <f t="shared" si="15"/>
        <v>99.8</v>
      </c>
    </row>
    <row r="1005" spans="10:16">
      <c r="J1005" s="5"/>
      <c r="L1005">
        <f>DigDir!M1005</f>
        <v>2.6563717900000001</v>
      </c>
      <c r="M1005">
        <f>DigDir!N1005</f>
        <v>99.9</v>
      </c>
      <c r="O1005">
        <f>ABS(L1005-DigDir!$C$34)</f>
        <v>7.6796063558951406</v>
      </c>
      <c r="P1005">
        <f t="shared" si="15"/>
        <v>99.9</v>
      </c>
    </row>
    <row r="1006" spans="10:16">
      <c r="J1006" s="5"/>
      <c r="L1006">
        <f>DigDir!M1006</f>
        <v>2.675926</v>
      </c>
      <c r="M1006">
        <f>DigDir!N1006</f>
        <v>100</v>
      </c>
      <c r="O1006">
        <f>ABS(L1006-DigDir!$C$34)</f>
        <v>7.6991605658951396</v>
      </c>
      <c r="P1006">
        <f t="shared" si="15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8"/>
  <sheetViews>
    <sheetView topLeftCell="A9" workbookViewId="0">
      <selection activeCell="D46" sqref="D46"/>
    </sheetView>
  </sheetViews>
  <sheetFormatPr baseColWidth="10" defaultRowHeight="15.5"/>
  <cols>
    <col min="1" max="1" width="10.6640625" customWidth="1"/>
  </cols>
  <sheetData>
    <row r="1" spans="1:16">
      <c r="A1" s="2" t="s">
        <v>4</v>
      </c>
      <c r="J1" s="5"/>
      <c r="L1" s="2" t="s">
        <v>13</v>
      </c>
    </row>
    <row r="2" spans="1:16">
      <c r="A2" s="2"/>
      <c r="J2" s="5"/>
      <c r="L2" s="2"/>
    </row>
    <row r="3" spans="1:16">
      <c r="A3" s="23" t="s">
        <v>18</v>
      </c>
      <c r="G3" s="21">
        <f>SQRT(DigInv!J6)</f>
        <v>0</v>
      </c>
      <c r="J3" s="5"/>
    </row>
    <row r="4" spans="1:16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16">
      <c r="J5" s="5"/>
      <c r="L5">
        <f>DigInv!M6</f>
        <v>-2.747706</v>
      </c>
      <c r="M5">
        <f>DigInv!N6</f>
        <v>0</v>
      </c>
      <c r="O5">
        <f>ABS(L5-DigInv!$C$34)</f>
        <v>1.6573730312312565</v>
      </c>
      <c r="P5">
        <f>M5</f>
        <v>0</v>
      </c>
    </row>
    <row r="6" spans="1:16">
      <c r="A6" s="2" t="s">
        <v>28</v>
      </c>
      <c r="J6" s="5"/>
      <c r="L6">
        <f>DigInv!M7</f>
        <v>-2.3647200719999999</v>
      </c>
      <c r="M6">
        <f>DigInv!N7</f>
        <v>0.1</v>
      </c>
      <c r="O6">
        <f>ABS(L6-DigInv!$C$34)</f>
        <v>2.0403589592312565</v>
      </c>
      <c r="P6">
        <f t="shared" ref="P6:P70" si="0">M6</f>
        <v>0.1</v>
      </c>
    </row>
    <row r="7" spans="1:16">
      <c r="J7" s="5"/>
      <c r="L7">
        <f>DigInv!M8</f>
        <v>-1.981734144</v>
      </c>
      <c r="M7">
        <f>DigInv!N8</f>
        <v>0.2</v>
      </c>
      <c r="O7">
        <f>ABS(L7-DigInv!$C$34)</f>
        <v>2.4233448872312566</v>
      </c>
      <c r="P7">
        <f t="shared" si="0"/>
        <v>0.2</v>
      </c>
    </row>
    <row r="8" spans="1:16">
      <c r="A8" t="s">
        <v>16</v>
      </c>
      <c r="B8">
        <f>DigInv!C27</f>
        <v>4.7129470693248834</v>
      </c>
      <c r="J8" s="5"/>
    </row>
    <row r="9" spans="1:16">
      <c r="J9" s="5"/>
      <c r="L9">
        <f>DigInv!M9</f>
        <v>-1.6565685130000001</v>
      </c>
      <c r="M9">
        <f>DigInv!N9</f>
        <v>0.3</v>
      </c>
      <c r="O9">
        <f>ABS(L9-DigInv!$C$34)</f>
        <v>2.7485105182312566</v>
      </c>
      <c r="P9">
        <f t="shared" si="0"/>
        <v>0.3</v>
      </c>
    </row>
    <row r="10" spans="1:16">
      <c r="B10" t="str">
        <f>RAVLT_Learning!J10</f>
        <v>Residual variance</v>
      </c>
      <c r="C10" t="str">
        <f>RAVLT_Learning!I10</f>
        <v>Predicted test score</v>
      </c>
      <c r="J10" s="5"/>
      <c r="L10">
        <f>DigInv!M10</f>
        <v>-1.6565056840000001</v>
      </c>
      <c r="M10">
        <f>DigInv!N10</f>
        <v>0.4</v>
      </c>
      <c r="O10">
        <f>ABS(L10-DigInv!$C$34)</f>
        <v>2.7485733472312566</v>
      </c>
      <c r="P10">
        <f t="shared" si="0"/>
        <v>0.4</v>
      </c>
    </row>
    <row r="11" spans="1:16">
      <c r="B11">
        <f>DigInv!J11</f>
        <v>0</v>
      </c>
      <c r="C11">
        <f>DigInv!I11</f>
        <v>0</v>
      </c>
      <c r="J11" s="5"/>
      <c r="L11">
        <f>DigInv!M11</f>
        <v>-1.6564428550000001</v>
      </c>
      <c r="M11">
        <f>DigInv!N11</f>
        <v>0.5</v>
      </c>
      <c r="O11">
        <f>ABS(L11-DigInv!$C$34)</f>
        <v>2.7486361762312566</v>
      </c>
      <c r="P11">
        <f t="shared" si="0"/>
        <v>0.5</v>
      </c>
    </row>
    <row r="12" spans="1:16">
      <c r="B12">
        <f>DigInv!J12</f>
        <v>0</v>
      </c>
      <c r="C12">
        <f>DigInv!I12</f>
        <v>0</v>
      </c>
      <c r="J12" s="5"/>
      <c r="L12">
        <f>DigInv!M12</f>
        <v>-1.656397304</v>
      </c>
      <c r="M12">
        <f>DigInv!N12</f>
        <v>0.6</v>
      </c>
      <c r="O12">
        <f>ABS(L12-DigInv!$C$34)</f>
        <v>2.7486817272312565</v>
      </c>
      <c r="P12">
        <f t="shared" si="0"/>
        <v>0.6</v>
      </c>
    </row>
    <row r="13" spans="1:16">
      <c r="B13">
        <f>DigInv!J13</f>
        <v>0</v>
      </c>
      <c r="C13">
        <f>DigInv!I13</f>
        <v>0</v>
      </c>
      <c r="J13" s="5"/>
      <c r="L13">
        <f>DigInv!M13</f>
        <v>-1.656391688</v>
      </c>
      <c r="M13">
        <f>DigInv!N13</f>
        <v>0.7</v>
      </c>
      <c r="O13">
        <f>ABS(L13-DigInv!$C$34)</f>
        <v>2.7486873432312562</v>
      </c>
      <c r="P13">
        <f t="shared" si="0"/>
        <v>0.7</v>
      </c>
    </row>
    <row r="14" spans="1:16">
      <c r="B14">
        <f>DigInv!J14</f>
        <v>0</v>
      </c>
      <c r="C14">
        <f>DigInv!I14</f>
        <v>0</v>
      </c>
      <c r="J14" s="5"/>
      <c r="L14">
        <f>DigInv!M14</f>
        <v>-1.6563860720000001</v>
      </c>
      <c r="M14">
        <f>DigInv!N14</f>
        <v>0.8</v>
      </c>
      <c r="O14">
        <f>ABS(L14-DigInv!$C$34)</f>
        <v>2.7486929592312563</v>
      </c>
      <c r="P14">
        <f t="shared" si="0"/>
        <v>0.8</v>
      </c>
    </row>
    <row r="15" spans="1:16">
      <c r="B15">
        <f>DigInv!J15</f>
        <v>0</v>
      </c>
      <c r="C15">
        <f>DigInv!I15</f>
        <v>0</v>
      </c>
      <c r="J15" s="5"/>
      <c r="L15">
        <f>DigInv!M15</f>
        <v>-1.656342296</v>
      </c>
      <c r="M15">
        <f>DigInv!N15</f>
        <v>0.9</v>
      </c>
      <c r="O15">
        <f>ABS(L15-DigInv!$C$34)</f>
        <v>2.7487367352312564</v>
      </c>
      <c r="P15">
        <f t="shared" si="0"/>
        <v>0.9</v>
      </c>
    </row>
    <row r="16" spans="1:16">
      <c r="B16">
        <f>DigInv!J16</f>
        <v>0</v>
      </c>
      <c r="C16">
        <f>DigInv!I16</f>
        <v>0</v>
      </c>
      <c r="J16" s="5"/>
      <c r="L16">
        <f>DigInv!M16</f>
        <v>-1.65625244</v>
      </c>
      <c r="M16">
        <f>DigInv!N16</f>
        <v>1</v>
      </c>
      <c r="O16">
        <f>ABS(L16-DigInv!$C$34)</f>
        <v>2.7488265912312562</v>
      </c>
      <c r="P16">
        <f t="shared" si="0"/>
        <v>1</v>
      </c>
    </row>
    <row r="17" spans="1:16">
      <c r="B17">
        <f>DigInv!J17</f>
        <v>0</v>
      </c>
      <c r="C17">
        <f>DigInv!I17</f>
        <v>0</v>
      </c>
      <c r="J17" s="5"/>
      <c r="L17">
        <f>DigInv!M17</f>
        <v>-1.656162584</v>
      </c>
      <c r="M17">
        <f>DigInv!N17</f>
        <v>1.1000000000000001</v>
      </c>
      <c r="O17">
        <f>ABS(L17-DigInv!$C$34)</f>
        <v>2.7489164472312564</v>
      </c>
      <c r="P17">
        <f t="shared" si="0"/>
        <v>1.1000000000000001</v>
      </c>
    </row>
    <row r="18" spans="1:16">
      <c r="B18">
        <f>DigInv!J18</f>
        <v>0</v>
      </c>
      <c r="C18">
        <f>DigInv!I18</f>
        <v>0</v>
      </c>
      <c r="J18" s="5"/>
      <c r="L18">
        <f>DigInv!M18</f>
        <v>-1.655995772</v>
      </c>
      <c r="M18">
        <f>DigInv!N18</f>
        <v>1.2</v>
      </c>
      <c r="O18">
        <f>ABS(L18-DigInv!$C$34)</f>
        <v>2.7490832592312566</v>
      </c>
      <c r="P18">
        <f t="shared" si="0"/>
        <v>1.2</v>
      </c>
    </row>
    <row r="19" spans="1:16">
      <c r="B19">
        <f>DigInv!J19</f>
        <v>0</v>
      </c>
      <c r="C19">
        <f>DigInv!I19</f>
        <v>0</v>
      </c>
      <c r="J19" s="5"/>
      <c r="L19">
        <f>DigInv!M19</f>
        <v>-1.6557785030000001</v>
      </c>
      <c r="M19">
        <f>DigInv!N19</f>
        <v>1.3</v>
      </c>
      <c r="O19">
        <f>ABS(L19-DigInv!$C$34)</f>
        <v>2.7493005282312564</v>
      </c>
      <c r="P19">
        <f t="shared" si="0"/>
        <v>1.3</v>
      </c>
    </row>
    <row r="20" spans="1:16">
      <c r="B20">
        <f>DigInv!J20</f>
        <v>0</v>
      </c>
      <c r="C20">
        <f>DigInv!I20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DigInv!M20</f>
        <v>-1.6555612340000001</v>
      </c>
      <c r="M20">
        <f>DigInv!N20</f>
        <v>1.4</v>
      </c>
      <c r="O20">
        <f>ABS(L20-DigInv!$C$34)</f>
        <v>2.7495177972312561</v>
      </c>
      <c r="P20">
        <f t="shared" si="0"/>
        <v>1.4</v>
      </c>
    </row>
    <row r="21" spans="1:16">
      <c r="B21">
        <f>DigInv!J21</f>
        <v>0</v>
      </c>
      <c r="C21">
        <f>DigInv!I21</f>
        <v>0</v>
      </c>
      <c r="E21" t="s">
        <v>38</v>
      </c>
      <c r="G21" s="21">
        <f>SQRT(G20)</f>
        <v>0</v>
      </c>
      <c r="J21" s="5"/>
      <c r="L21">
        <f>DigInv!M21</f>
        <v>-1.655508</v>
      </c>
      <c r="M21">
        <f>DigInv!N21</f>
        <v>1.5</v>
      </c>
      <c r="O21">
        <f>ABS(L21-DigInv!$C$34)</f>
        <v>2.7495710312312562</v>
      </c>
      <c r="P21">
        <f t="shared" si="0"/>
        <v>1.5</v>
      </c>
    </row>
    <row r="22" spans="1:16">
      <c r="B22">
        <f>DigInv!J22</f>
        <v>0</v>
      </c>
      <c r="C22">
        <f>DigInv!I22</f>
        <v>0</v>
      </c>
      <c r="J22" s="5"/>
      <c r="L22">
        <f>DigInv!M22</f>
        <v>-1.655508</v>
      </c>
      <c r="M22">
        <f>DigInv!N22</f>
        <v>1.6</v>
      </c>
      <c r="O22">
        <f>ABS(L22-DigInv!$C$34)</f>
        <v>2.7495710312312562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DigInv!M23</f>
        <v>-1.655508</v>
      </c>
      <c r="M23">
        <f>DigInv!N23</f>
        <v>1.7</v>
      </c>
      <c r="O23">
        <f>ABS(L23-DigInv!$C$34)</f>
        <v>2.7495710312312562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DigInv!M24</f>
        <v>-1.65534264</v>
      </c>
      <c r="M24">
        <f>DigInv!N24</f>
        <v>1.8</v>
      </c>
      <c r="O24">
        <f>ABS(L24-DigInv!$C$34)</f>
        <v>2.7497363912312567</v>
      </c>
      <c r="P24">
        <f t="shared" si="0"/>
        <v>1.8</v>
      </c>
    </row>
    <row r="25" spans="1:16">
      <c r="A25" s="2" t="s">
        <v>27</v>
      </c>
      <c r="J25" s="5"/>
      <c r="L25">
        <f>DigInv!M25</f>
        <v>-1.6551601199999999</v>
      </c>
      <c r="M25">
        <f>DigInv!N25</f>
        <v>1.9</v>
      </c>
      <c r="O25">
        <f>ABS(L25-DigInv!$C$34)</f>
        <v>2.7499189112312568</v>
      </c>
      <c r="P25">
        <f t="shared" si="0"/>
        <v>1.9</v>
      </c>
    </row>
    <row r="26" spans="1:16">
      <c r="H26" s="1"/>
      <c r="J26" s="5"/>
      <c r="L26">
        <f>DigInv!M26</f>
        <v>-1.6549871199999999</v>
      </c>
      <c r="M26">
        <f>DigInv!N26</f>
        <v>2</v>
      </c>
      <c r="O26">
        <f>ABS(L26-DigInv!$C$34)</f>
        <v>2.7500919112312565</v>
      </c>
      <c r="P26">
        <f t="shared" si="0"/>
        <v>2</v>
      </c>
    </row>
    <row r="27" spans="1:16">
      <c r="A27" t="str">
        <f>RAVLT_Learning!I26</f>
        <v/>
      </c>
      <c r="B27" t="str">
        <f>DigInv!J26</f>
        <v>Estimate</v>
      </c>
      <c r="C27" t="s">
        <v>29</v>
      </c>
      <c r="D27" t="s">
        <v>30</v>
      </c>
      <c r="J27" s="5"/>
      <c r="L27">
        <f>DigInv!M27</f>
        <v>-1.6549716759999999</v>
      </c>
      <c r="M27">
        <f>DigInv!N27</f>
        <v>2.1</v>
      </c>
      <c r="O27">
        <f>ABS(L27-DigInv!$C$34)</f>
        <v>2.7501073552312567</v>
      </c>
      <c r="P27">
        <f t="shared" si="0"/>
        <v>2.1</v>
      </c>
    </row>
    <row r="28" spans="1:16">
      <c r="A28" t="str">
        <f>DigInv!I27</f>
        <v>(Intercept)</v>
      </c>
      <c r="B28">
        <f>DigInv!J27</f>
        <v>-232.209890592047</v>
      </c>
      <c r="C28">
        <v>1</v>
      </c>
      <c r="D28">
        <f>B28*C28</f>
        <v>-232.209890592047</v>
      </c>
      <c r="J28" s="5"/>
      <c r="L28">
        <f>DigInv!M28</f>
        <v>-1.654956232</v>
      </c>
      <c r="M28">
        <f>DigInv!N28</f>
        <v>2.2000000000000002</v>
      </c>
      <c r="O28">
        <f>ABS(L28-DigInv!$C$34)</f>
        <v>2.7501227992312565</v>
      </c>
      <c r="P28">
        <f t="shared" si="0"/>
        <v>2.2000000000000002</v>
      </c>
    </row>
    <row r="29" spans="1:16">
      <c r="A29" t="str">
        <f>DigInv!I28</f>
        <v>Pred.Y</v>
      </c>
      <c r="B29">
        <f>DigInv!J28</f>
        <v>162.496336178196</v>
      </c>
      <c r="C29">
        <f>B8</f>
        <v>4.7129470693248834</v>
      </c>
      <c r="D29">
        <f t="shared" ref="D29:D33" si="1">B29*C29</f>
        <v>765.83663136705991</v>
      </c>
      <c r="J29" s="5"/>
      <c r="L29">
        <f>DigInv!M29</f>
        <v>-1.65488122</v>
      </c>
      <c r="M29">
        <f>DigInv!N29</f>
        <v>2.2999999999999998</v>
      </c>
      <c r="O29">
        <f>ABS(L29-DigInv!$C$34)</f>
        <v>2.7501978112312564</v>
      </c>
      <c r="P29">
        <f t="shared" si="0"/>
        <v>2.2999999999999998</v>
      </c>
    </row>
    <row r="30" spans="1:16">
      <c r="A30" t="str">
        <f>DigInv!I29</f>
        <v>Pred.Y.2</v>
      </c>
      <c r="B30">
        <f>DigInv!J29</f>
        <v>-37.908258818828102</v>
      </c>
      <c r="C30">
        <f>B8^2</f>
        <v>22.211870078258006</v>
      </c>
      <c r="D30">
        <f t="shared" si="1"/>
        <v>-842.01331977678808</v>
      </c>
      <c r="J30" s="5"/>
      <c r="L30">
        <f>DigInv!M30</f>
        <v>-1.6545793600000001</v>
      </c>
      <c r="M30">
        <f>DigInv!N30</f>
        <v>2.4</v>
      </c>
      <c r="O30">
        <f>ABS(L30-DigInv!$C$34)</f>
        <v>2.7504996712312564</v>
      </c>
      <c r="P30">
        <f t="shared" si="0"/>
        <v>2.4</v>
      </c>
    </row>
    <row r="31" spans="1:16">
      <c r="A31" t="str">
        <f>DigInv!I30</f>
        <v>Pred.Y.3</v>
      </c>
      <c r="B31">
        <f>DigInv!J30</f>
        <v>2.9568330493425901</v>
      </c>
      <c r="C31">
        <f>B8^3</f>
        <v>104.68336798955113</v>
      </c>
      <c r="D31">
        <f t="shared" si="1"/>
        <v>309.53124218799695</v>
      </c>
      <c r="J31" s="5"/>
      <c r="L31">
        <f>DigInv!M31</f>
        <v>-1.6542775000000001</v>
      </c>
      <c r="M31">
        <f>DigInv!N31</f>
        <v>2.5</v>
      </c>
      <c r="O31">
        <f>ABS(L31-DigInv!$C$34)</f>
        <v>2.7508015312312564</v>
      </c>
      <c r="P31">
        <f t="shared" si="0"/>
        <v>2.5</v>
      </c>
    </row>
    <row r="32" spans="1:16">
      <c r="A32">
        <f>DigInv!I31</f>
        <v>0</v>
      </c>
      <c r="B32">
        <f>DigInv!J31</f>
        <v>0</v>
      </c>
      <c r="C32">
        <f>B8^4</f>
        <v>493.36717237341333</v>
      </c>
      <c r="D32">
        <f t="shared" si="1"/>
        <v>0</v>
      </c>
      <c r="J32" s="5"/>
      <c r="L32">
        <f>DigInv!M32</f>
        <v>-1.6540840000000001</v>
      </c>
      <c r="M32">
        <f>DigInv!N32</f>
        <v>2.6</v>
      </c>
      <c r="O32">
        <f>ABS(L32-DigInv!$C$34)</f>
        <v>2.7509950312312563</v>
      </c>
      <c r="P32">
        <f t="shared" si="0"/>
        <v>2.6</v>
      </c>
    </row>
    <row r="33" spans="1:16">
      <c r="A33">
        <f>DigInv!I32</f>
        <v>0</v>
      </c>
      <c r="B33">
        <f>DigInv!J32</f>
        <v>0</v>
      </c>
      <c r="C33">
        <f>B8^5</f>
        <v>2325.2133691383829</v>
      </c>
      <c r="D33">
        <f t="shared" si="1"/>
        <v>0</v>
      </c>
      <c r="J33" s="5"/>
      <c r="L33">
        <f>DigInv!M33</f>
        <v>-1.6540840000000001</v>
      </c>
      <c r="M33">
        <f>DigInv!N33</f>
        <v>2.7</v>
      </c>
      <c r="O33">
        <f>ABS(L33-DigInv!$C$34)</f>
        <v>2.7509950312312563</v>
      </c>
      <c r="P33">
        <f t="shared" si="0"/>
        <v>2.7</v>
      </c>
    </row>
    <row r="34" spans="1:16">
      <c r="G34" s="21">
        <f>SQRT(D35)</f>
        <v>1.0698893336330393</v>
      </c>
      <c r="J34" s="5"/>
      <c r="L34">
        <f>DigInv!M34</f>
        <v>-1.6540840000000001</v>
      </c>
      <c r="M34">
        <f>DigInv!N34</f>
        <v>2.8</v>
      </c>
      <c r="O34">
        <f>ABS(L34-DigInv!$C$34)</f>
        <v>2.7509950312312563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1.1446631862217487</v>
      </c>
      <c r="E35" s="18"/>
      <c r="F35" s="18"/>
      <c r="G35" s="18"/>
      <c r="H35" s="18"/>
      <c r="I35" s="18"/>
      <c r="J35" s="19"/>
      <c r="L35">
        <f>DigInv!M35</f>
        <v>-1.6539098329999999</v>
      </c>
      <c r="M35">
        <f>DigInv!N35</f>
        <v>2.9</v>
      </c>
      <c r="O35">
        <f>ABS(L35-DigInv!$C$34)</f>
        <v>2.7511691982312563</v>
      </c>
      <c r="P35">
        <f t="shared" si="0"/>
        <v>2.9</v>
      </c>
    </row>
    <row r="36" spans="1:16">
      <c r="J36" s="5"/>
      <c r="L36">
        <f>DigInv!M36</f>
        <v>-1.65356831</v>
      </c>
      <c r="M36">
        <f>DigInv!N36</f>
        <v>3</v>
      </c>
      <c r="O36">
        <f>ABS(L36-DigInv!$C$34)</f>
        <v>2.7515107212312566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DigInv!M37</f>
        <v>-1.6532267869999999</v>
      </c>
      <c r="M37">
        <f>DigInv!N37</f>
        <v>3.1</v>
      </c>
      <c r="O37">
        <f>ABS(L37-DigInv!$C$34)</f>
        <v>2.7518522442312565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0</v>
      </c>
      <c r="E38" s="24"/>
      <c r="F38" s="24"/>
      <c r="G38" s="2" t="s">
        <v>21</v>
      </c>
      <c r="H38" s="2"/>
      <c r="I38" s="2">
        <f>IF(D41=1, G3+G21+G34, )</f>
        <v>1.0698893336330393</v>
      </c>
      <c r="J38" s="5"/>
      <c r="L38">
        <f>DigInv!M38</f>
        <v>-1.6528731999999999</v>
      </c>
      <c r="M38">
        <f>DigInv!N38</f>
        <v>3.2</v>
      </c>
      <c r="O38">
        <f>ABS(L38-DigInv!$C$34)</f>
        <v>2.7522058312312563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DigInv!M39</f>
        <v>-1.652513425</v>
      </c>
      <c r="M39">
        <f>DigInv!N39</f>
        <v>3.3</v>
      </c>
      <c r="O39">
        <f>ABS(L39-DigInv!$C$34)</f>
        <v>2.7525656062312565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1</v>
      </c>
      <c r="E40" s="24"/>
      <c r="F40" s="24"/>
      <c r="J40" s="5"/>
      <c r="L40">
        <f>DigInv!M40</f>
        <v>-1.65215365</v>
      </c>
      <c r="M40">
        <f>DigInv!N40</f>
        <v>3.4</v>
      </c>
      <c r="O40">
        <f>ABS(L40-DigInv!$C$34)</f>
        <v>2.7529253812312566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DigInv!M41</f>
        <v>-1.651664485</v>
      </c>
      <c r="M41">
        <f>DigInv!N41</f>
        <v>3.5</v>
      </c>
      <c r="O41">
        <f>ABS(L41-DigInv!$C$34)</f>
        <v>2.7534145462312565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DigInv!M42</f>
        <v>-1.651145356</v>
      </c>
      <c r="M42">
        <f>DigInv!N42</f>
        <v>3.6</v>
      </c>
      <c r="O42">
        <f>ABS(L42-DigInv!$C$34)</f>
        <v>2.7539336752312567</v>
      </c>
      <c r="P42">
        <f t="shared" si="0"/>
        <v>3.6</v>
      </c>
    </row>
    <row r="43" spans="1:16">
      <c r="A43" s="22"/>
      <c r="J43" s="5"/>
      <c r="L43">
        <f>DigInv!M43</f>
        <v>-1.6506262270000001</v>
      </c>
      <c r="M43">
        <f>DigInv!N43</f>
        <v>3.7</v>
      </c>
      <c r="O43">
        <f>ABS(L43-DigInv!$C$34)</f>
        <v>2.7544528042312564</v>
      </c>
      <c r="P43">
        <f t="shared" si="0"/>
        <v>3.7</v>
      </c>
    </row>
    <row r="44" spans="1:16">
      <c r="J44" s="5"/>
      <c r="L44">
        <f>DigInv!M44</f>
        <v>-1.6494676020000001</v>
      </c>
      <c r="M44">
        <f>DigInv!N44</f>
        <v>3.8</v>
      </c>
      <c r="O44">
        <f>ABS(L44-DigInv!$C$34)</f>
        <v>2.7556114292312563</v>
      </c>
      <c r="P44">
        <f t="shared" si="0"/>
        <v>3.8</v>
      </c>
    </row>
    <row r="45" spans="1:16">
      <c r="J45" s="5"/>
      <c r="L45">
        <f>DigInv!M45</f>
        <v>-1.6482843810000001</v>
      </c>
      <c r="M45">
        <f>DigInv!N45</f>
        <v>3.9</v>
      </c>
      <c r="O45">
        <f>ABS(L45-DigInv!$C$34)</f>
        <v>2.7567946502312566</v>
      </c>
      <c r="P45">
        <f t="shared" si="0"/>
        <v>3.9</v>
      </c>
    </row>
    <row r="46" spans="1:16">
      <c r="J46" s="5"/>
      <c r="L46">
        <f>DigInv!M46</f>
        <v>-1.64703936</v>
      </c>
      <c r="M46">
        <f>DigInv!N46</f>
        <v>4</v>
      </c>
      <c r="O46">
        <f>ABS(L46-DigInv!$C$34)</f>
        <v>2.7580396712312565</v>
      </c>
      <c r="P46">
        <f t="shared" si="0"/>
        <v>4</v>
      </c>
    </row>
    <row r="47" spans="1:16">
      <c r="J47" s="5"/>
      <c r="L47">
        <f>DigInv!M47</f>
        <v>-1.6453138439999999</v>
      </c>
      <c r="M47">
        <f>DigInv!N47</f>
        <v>4.0999999999999996</v>
      </c>
      <c r="O47">
        <f>ABS(L47-DigInv!$C$34)</f>
        <v>2.7597651872312565</v>
      </c>
      <c r="P47">
        <f t="shared" si="0"/>
        <v>4.0999999999999996</v>
      </c>
    </row>
    <row r="48" spans="1:16">
      <c r="J48" s="5"/>
      <c r="L48">
        <f>DigInv!M48</f>
        <v>-1.6435883280000001</v>
      </c>
      <c r="M48">
        <f>DigInv!N48</f>
        <v>4.2</v>
      </c>
      <c r="O48">
        <f>ABS(L48-DigInv!$C$34)</f>
        <v>2.7614907032312566</v>
      </c>
      <c r="P48">
        <f t="shared" si="0"/>
        <v>4.2</v>
      </c>
    </row>
    <row r="49" spans="10:16">
      <c r="J49" s="5"/>
      <c r="L49">
        <f>DigInv!M49</f>
        <v>-1.64232</v>
      </c>
      <c r="M49">
        <f>DigInv!N49</f>
        <v>4.3</v>
      </c>
      <c r="O49">
        <f>ABS(L49-DigInv!$C$34)</f>
        <v>2.7627590312312567</v>
      </c>
      <c r="P49">
        <f t="shared" si="0"/>
        <v>4.3</v>
      </c>
    </row>
    <row r="50" spans="10:16">
      <c r="J50" s="5"/>
      <c r="L50">
        <f>DigInv!M50</f>
        <v>-1.64232</v>
      </c>
      <c r="M50">
        <f>DigInv!N50</f>
        <v>4.4000000000000004</v>
      </c>
      <c r="O50">
        <f>ABS(L50-DigInv!$C$34)</f>
        <v>2.7627590312312567</v>
      </c>
      <c r="P50">
        <f t="shared" si="0"/>
        <v>4.4000000000000004</v>
      </c>
    </row>
    <row r="51" spans="10:16">
      <c r="J51" s="5"/>
      <c r="L51">
        <f>DigInv!M51</f>
        <v>-1.64232</v>
      </c>
      <c r="M51">
        <f>DigInv!N51</f>
        <v>4.5</v>
      </c>
      <c r="O51">
        <f>ABS(L51-DigInv!$C$34)</f>
        <v>2.7627590312312567</v>
      </c>
      <c r="P51">
        <f t="shared" si="0"/>
        <v>4.5</v>
      </c>
    </row>
    <row r="52" spans="10:16">
      <c r="J52" s="5"/>
      <c r="L52">
        <f>DigInv!M52</f>
        <v>-1.64232</v>
      </c>
      <c r="M52">
        <f>DigInv!N52</f>
        <v>4.5999999999999996</v>
      </c>
      <c r="O52">
        <f>ABS(L52-DigInv!$C$34)</f>
        <v>2.7627590312312567</v>
      </c>
      <c r="P52">
        <f t="shared" si="0"/>
        <v>4.5999999999999996</v>
      </c>
    </row>
    <row r="53" spans="10:16">
      <c r="J53" s="5"/>
      <c r="L53">
        <f>DigInv!M53</f>
        <v>-1.64232</v>
      </c>
      <c r="M53">
        <f>DigInv!N53</f>
        <v>4.7</v>
      </c>
      <c r="O53">
        <f>ABS(L53-DigInv!$C$34)</f>
        <v>2.7627590312312567</v>
      </c>
      <c r="P53">
        <f t="shared" si="0"/>
        <v>4.7</v>
      </c>
    </row>
    <row r="54" spans="10:16">
      <c r="J54" s="5"/>
      <c r="L54">
        <f>DigInv!M54</f>
        <v>-1.64232</v>
      </c>
      <c r="M54">
        <f>DigInv!N54</f>
        <v>4.8</v>
      </c>
      <c r="O54">
        <f>ABS(L54-DigInv!$C$34)</f>
        <v>2.7627590312312567</v>
      </c>
      <c r="P54">
        <f t="shared" si="0"/>
        <v>4.8</v>
      </c>
    </row>
    <row r="55" spans="10:16">
      <c r="J55" s="5"/>
      <c r="L55">
        <f>DigInv!M55</f>
        <v>-1.6413757449999999</v>
      </c>
      <c r="M55">
        <f>DigInv!N55</f>
        <v>4.9000000000000004</v>
      </c>
      <c r="O55">
        <f>ABS(L55-DigInv!$C$34)</f>
        <v>2.7637032862312565</v>
      </c>
      <c r="P55">
        <f t="shared" si="0"/>
        <v>4.9000000000000004</v>
      </c>
    </row>
    <row r="56" spans="10:16">
      <c r="J56" s="5"/>
      <c r="L56">
        <f>DigInv!M56</f>
        <v>-1.63971025</v>
      </c>
      <c r="M56">
        <f>DigInv!N56</f>
        <v>5</v>
      </c>
      <c r="O56">
        <f>ABS(L56-DigInv!$C$34)</f>
        <v>2.7653687812312562</v>
      </c>
      <c r="P56">
        <f t="shared" si="0"/>
        <v>5</v>
      </c>
    </row>
    <row r="57" spans="10:16">
      <c r="J57" s="5"/>
      <c r="L57">
        <f>DigInv!M57</f>
        <v>-1.6380447549999999</v>
      </c>
      <c r="M57">
        <f>DigInv!N57</f>
        <v>5.0999999999999996</v>
      </c>
      <c r="O57">
        <f>ABS(L57-DigInv!$C$34)</f>
        <v>2.7670342762312563</v>
      </c>
      <c r="P57">
        <f t="shared" si="0"/>
        <v>5.0999999999999996</v>
      </c>
    </row>
    <row r="58" spans="10:16">
      <c r="J58" s="5"/>
      <c r="L58">
        <f>DigInv!M58</f>
        <v>-1.6349930079999999</v>
      </c>
      <c r="M58">
        <f>DigInv!N58</f>
        <v>5.2</v>
      </c>
      <c r="O58">
        <f>ABS(L58-DigInv!$C$34)</f>
        <v>2.7700860232312565</v>
      </c>
      <c r="P58">
        <f t="shared" si="0"/>
        <v>5.2</v>
      </c>
    </row>
    <row r="59" spans="10:16">
      <c r="J59" s="5"/>
      <c r="L59">
        <f>DigInv!M59</f>
        <v>-1.631396662</v>
      </c>
      <c r="M59">
        <f>DigInv!N59</f>
        <v>5.3</v>
      </c>
      <c r="O59">
        <f>ABS(L59-DigInv!$C$34)</f>
        <v>2.7736823692312562</v>
      </c>
      <c r="P59">
        <f t="shared" si="0"/>
        <v>5.3</v>
      </c>
    </row>
    <row r="60" spans="10:16">
      <c r="J60" s="5"/>
      <c r="L60">
        <f>DigInv!M60</f>
        <v>-1.6278003160000001</v>
      </c>
      <c r="M60">
        <f>DigInv!N60</f>
        <v>5.4</v>
      </c>
      <c r="O60">
        <f>ABS(L60-DigInv!$C$34)</f>
        <v>2.7772787152312564</v>
      </c>
      <c r="P60">
        <f t="shared" si="0"/>
        <v>5.4</v>
      </c>
    </row>
    <row r="61" spans="10:16">
      <c r="J61" s="5"/>
      <c r="L61">
        <f>DigInv!M61</f>
        <v>-1.62717467</v>
      </c>
      <c r="M61">
        <f>DigInv!N61</f>
        <v>5.5</v>
      </c>
      <c r="O61">
        <f>ABS(L61-DigInv!$C$34)</f>
        <v>2.7779043612312564</v>
      </c>
      <c r="P61">
        <f t="shared" si="0"/>
        <v>5.5</v>
      </c>
    </row>
    <row r="62" spans="10:16">
      <c r="J62" s="5"/>
      <c r="L62">
        <f>DigInv!M62</f>
        <v>-1.626997064</v>
      </c>
      <c r="M62">
        <f>DigInv!N62</f>
        <v>5.6</v>
      </c>
      <c r="O62">
        <f>ABS(L62-DigInv!$C$34)</f>
        <v>2.7780819672312562</v>
      </c>
      <c r="P62">
        <f t="shared" si="0"/>
        <v>5.6</v>
      </c>
    </row>
    <row r="63" spans="10:16">
      <c r="J63" s="5"/>
      <c r="L63">
        <f>DigInv!M63</f>
        <v>-1.6267901</v>
      </c>
      <c r="M63">
        <f>DigInv!N63</f>
        <v>5.7</v>
      </c>
      <c r="O63">
        <f>ABS(L63-DigInv!$C$34)</f>
        <v>2.7782889312312564</v>
      </c>
      <c r="P63">
        <f t="shared" si="0"/>
        <v>5.7</v>
      </c>
    </row>
    <row r="64" spans="10:16">
      <c r="J64" s="5"/>
      <c r="L64">
        <f>DigInv!M64</f>
        <v>-1.6251404</v>
      </c>
      <c r="M64">
        <f>DigInv!N64</f>
        <v>5.8</v>
      </c>
      <c r="O64">
        <f>ABS(L64-DigInv!$C$34)</f>
        <v>2.7799386312312562</v>
      </c>
      <c r="P64">
        <f t="shared" si="0"/>
        <v>5.8</v>
      </c>
    </row>
    <row r="65" spans="10:16">
      <c r="J65" s="5"/>
      <c r="L65">
        <f>DigInv!M65</f>
        <v>-1.6234907000000001</v>
      </c>
      <c r="M65">
        <f>DigInv!N65</f>
        <v>5.9</v>
      </c>
      <c r="O65">
        <f>ABS(L65-DigInv!$C$34)</f>
        <v>2.7815883312312564</v>
      </c>
      <c r="P65">
        <f t="shared" si="0"/>
        <v>5.9</v>
      </c>
    </row>
    <row r="66" spans="10:16">
      <c r="J66" s="5"/>
      <c r="L66">
        <f>DigInv!M66</f>
        <v>-1.6220648600000001</v>
      </c>
      <c r="M66">
        <f>DigInv!N66</f>
        <v>6</v>
      </c>
      <c r="O66">
        <f>ABS(L66-DigInv!$C$34)</f>
        <v>2.7830141712312564</v>
      </c>
      <c r="P66">
        <f t="shared" si="0"/>
        <v>6</v>
      </c>
    </row>
    <row r="67" spans="10:16">
      <c r="J67" s="5"/>
      <c r="L67">
        <f>DigInv!M67</f>
        <v>-1.621724741</v>
      </c>
      <c r="M67">
        <f>DigInv!N67</f>
        <v>6.1</v>
      </c>
      <c r="O67">
        <f>ABS(L67-DigInv!$C$34)</f>
        <v>2.7833542902312565</v>
      </c>
      <c r="P67">
        <f t="shared" si="0"/>
        <v>6.1</v>
      </c>
    </row>
    <row r="68" spans="10:16">
      <c r="J68" s="5"/>
      <c r="L68">
        <f>DigInv!M68</f>
        <v>-1.6213846220000001</v>
      </c>
      <c r="M68">
        <f>DigInv!N68</f>
        <v>6.2</v>
      </c>
      <c r="O68">
        <f>ABS(L68-DigInv!$C$34)</f>
        <v>2.7836944092312566</v>
      </c>
      <c r="P68">
        <f t="shared" si="0"/>
        <v>6.2</v>
      </c>
    </row>
    <row r="69" spans="10:16">
      <c r="J69" s="5"/>
      <c r="L69">
        <f>DigInv!M69</f>
        <v>-1.621112868</v>
      </c>
      <c r="M69">
        <f>DigInv!N69</f>
        <v>6.3</v>
      </c>
      <c r="O69">
        <f>ABS(L69-DigInv!$C$34)</f>
        <v>2.7839661632312565</v>
      </c>
      <c r="P69">
        <f t="shared" si="0"/>
        <v>6.3</v>
      </c>
    </row>
    <row r="70" spans="10:16">
      <c r="J70" s="5"/>
      <c r="L70">
        <f>DigInv!M70</f>
        <v>-1.6209851040000001</v>
      </c>
      <c r="M70">
        <f>DigInv!N70</f>
        <v>6.4</v>
      </c>
      <c r="O70">
        <f>ABS(L70-DigInv!$C$34)</f>
        <v>2.7840939272312566</v>
      </c>
      <c r="P70">
        <f t="shared" si="0"/>
        <v>6.4</v>
      </c>
    </row>
    <row r="71" spans="10:16">
      <c r="J71" s="5"/>
      <c r="L71">
        <f>DigInv!M71</f>
        <v>-1.6208573399999999</v>
      </c>
      <c r="M71">
        <f>DigInv!N71</f>
        <v>6.5</v>
      </c>
      <c r="O71">
        <f>ABS(L71-DigInv!$C$34)</f>
        <v>2.7842216912312567</v>
      </c>
      <c r="P71">
        <f t="shared" ref="P71:P134" si="2">M71</f>
        <v>6.5</v>
      </c>
    </row>
    <row r="72" spans="10:16">
      <c r="J72" s="5"/>
      <c r="L72">
        <f>DigInv!M72</f>
        <v>-1.62079</v>
      </c>
      <c r="M72">
        <f>DigInv!N72</f>
        <v>6.6</v>
      </c>
      <c r="O72">
        <f>ABS(L72-DigInv!$C$34)</f>
        <v>2.7842890312312565</v>
      </c>
      <c r="P72">
        <f t="shared" si="2"/>
        <v>6.6</v>
      </c>
    </row>
    <row r="73" spans="10:16">
      <c r="J73" s="5"/>
      <c r="L73">
        <f>DigInv!M73</f>
        <v>-1.62079</v>
      </c>
      <c r="M73">
        <f>DigInv!N73</f>
        <v>6.7</v>
      </c>
      <c r="O73">
        <f>ABS(L73-DigInv!$C$34)</f>
        <v>2.7842890312312565</v>
      </c>
      <c r="P73">
        <f t="shared" si="2"/>
        <v>6.7</v>
      </c>
    </row>
    <row r="74" spans="10:16">
      <c r="J74" s="5"/>
      <c r="L74">
        <f>DigInv!M74</f>
        <v>-1.62079</v>
      </c>
      <c r="M74">
        <f>DigInv!N74</f>
        <v>6.8</v>
      </c>
      <c r="O74">
        <f>ABS(L74-DigInv!$C$34)</f>
        <v>2.7842890312312565</v>
      </c>
      <c r="P74">
        <f t="shared" si="2"/>
        <v>6.8</v>
      </c>
    </row>
    <row r="75" spans="10:16">
      <c r="J75" s="5"/>
      <c r="L75">
        <f>DigInv!M75</f>
        <v>-1.620709846</v>
      </c>
      <c r="M75">
        <f>DigInv!N75</f>
        <v>6.9</v>
      </c>
      <c r="O75">
        <f>ABS(L75-DigInv!$C$34)</f>
        <v>2.7843691852312564</v>
      </c>
      <c r="P75">
        <f t="shared" si="2"/>
        <v>6.9</v>
      </c>
    </row>
    <row r="76" spans="10:16">
      <c r="J76" s="5"/>
      <c r="L76">
        <f>DigInv!M76</f>
        <v>-1.62058138</v>
      </c>
      <c r="M76">
        <f>DigInv!N76</f>
        <v>7</v>
      </c>
      <c r="O76">
        <f>ABS(L76-DigInv!$C$34)</f>
        <v>2.7844976512312565</v>
      </c>
      <c r="P76">
        <f t="shared" si="2"/>
        <v>7</v>
      </c>
    </row>
    <row r="77" spans="10:16">
      <c r="J77" s="5"/>
      <c r="L77">
        <f>DigInv!M77</f>
        <v>-1.6204529139999999</v>
      </c>
      <c r="M77">
        <f>DigInv!N77</f>
        <v>7.1</v>
      </c>
      <c r="O77">
        <f>ABS(L77-DigInv!$C$34)</f>
        <v>2.7846261172312565</v>
      </c>
      <c r="P77">
        <f t="shared" si="2"/>
        <v>7.1</v>
      </c>
    </row>
    <row r="78" spans="10:16">
      <c r="J78" s="5"/>
      <c r="L78">
        <f>DigInv!M78</f>
        <v>-1.6187098559999999</v>
      </c>
      <c r="M78">
        <f>DigInv!N78</f>
        <v>7.2</v>
      </c>
      <c r="O78">
        <f>ABS(L78-DigInv!$C$34)</f>
        <v>2.7863691752312567</v>
      </c>
      <c r="P78">
        <f t="shared" si="2"/>
        <v>7.2</v>
      </c>
    </row>
    <row r="79" spans="10:16">
      <c r="J79" s="5"/>
      <c r="L79">
        <f>DigInv!M79</f>
        <v>-1.6164978539999999</v>
      </c>
      <c r="M79">
        <f>DigInv!N79</f>
        <v>7.3</v>
      </c>
      <c r="O79">
        <f>ABS(L79-DigInv!$C$34)</f>
        <v>2.7885811772312565</v>
      </c>
      <c r="P79">
        <f t="shared" si="2"/>
        <v>7.3</v>
      </c>
    </row>
    <row r="80" spans="10:16">
      <c r="J80" s="5"/>
      <c r="L80">
        <f>DigInv!M80</f>
        <v>-1.6142858520000001</v>
      </c>
      <c r="M80">
        <f>DigInv!N80</f>
        <v>7.4</v>
      </c>
      <c r="O80">
        <f>ABS(L80-DigInv!$C$34)</f>
        <v>2.7907931792312564</v>
      </c>
      <c r="P80">
        <f t="shared" si="2"/>
        <v>7.4</v>
      </c>
    </row>
    <row r="81" spans="10:16">
      <c r="J81" s="5"/>
      <c r="L81">
        <f>DigInv!M81</f>
        <v>-1.6098072999999999</v>
      </c>
      <c r="M81">
        <f>DigInv!N81</f>
        <v>7.5</v>
      </c>
      <c r="O81">
        <f>ABS(L81-DigInv!$C$34)</f>
        <v>2.7952717312312565</v>
      </c>
      <c r="P81">
        <f t="shared" si="2"/>
        <v>7.5</v>
      </c>
    </row>
    <row r="82" spans="10:16">
      <c r="J82" s="5"/>
      <c r="L82">
        <f>DigInv!M82</f>
        <v>-1.6051474240000001</v>
      </c>
      <c r="M82">
        <f>DigInv!N82</f>
        <v>7.6</v>
      </c>
      <c r="O82">
        <f>ABS(L82-DigInv!$C$34)</f>
        <v>2.7999316072312563</v>
      </c>
      <c r="P82">
        <f t="shared" si="2"/>
        <v>7.6</v>
      </c>
    </row>
    <row r="83" spans="10:16">
      <c r="J83" s="5"/>
      <c r="L83">
        <f>DigInv!M83</f>
        <v>-1.6008303399999999</v>
      </c>
      <c r="M83">
        <f>DigInv!N83</f>
        <v>7.7</v>
      </c>
      <c r="O83">
        <f>ABS(L83-DigInv!$C$34)</f>
        <v>2.8042486912312565</v>
      </c>
      <c r="P83">
        <f t="shared" si="2"/>
        <v>7.7</v>
      </c>
    </row>
    <row r="84" spans="10:16">
      <c r="J84" s="5"/>
      <c r="L84">
        <f>DigInv!M84</f>
        <v>-1.6006267599999999</v>
      </c>
      <c r="M84">
        <f>DigInv!N84</f>
        <v>7.8</v>
      </c>
      <c r="O84">
        <f>ABS(L84-DigInv!$C$34)</f>
        <v>2.8044522712312565</v>
      </c>
      <c r="P84">
        <f t="shared" si="2"/>
        <v>7.8</v>
      </c>
    </row>
    <row r="85" spans="10:16">
      <c r="J85" s="5"/>
      <c r="L85">
        <f>DigInv!M85</f>
        <v>-1.6004231799999999</v>
      </c>
      <c r="M85">
        <f>DigInv!N85</f>
        <v>7.9</v>
      </c>
      <c r="O85">
        <f>ABS(L85-DigInv!$C$34)</f>
        <v>2.8046558512312565</v>
      </c>
      <c r="P85">
        <f t="shared" si="2"/>
        <v>7.9</v>
      </c>
    </row>
    <row r="86" spans="10:16">
      <c r="J86" s="5"/>
      <c r="L86">
        <f>DigInv!M86</f>
        <v>-1.60024704</v>
      </c>
      <c r="M86">
        <f>DigInv!N86</f>
        <v>8</v>
      </c>
      <c r="O86">
        <f>ABS(L86-DigInv!$C$34)</f>
        <v>2.8048319912312563</v>
      </c>
      <c r="P86">
        <f t="shared" si="2"/>
        <v>8</v>
      </c>
    </row>
    <row r="87" spans="10:16">
      <c r="J87" s="5"/>
      <c r="L87">
        <f>DigInv!M87</f>
        <v>-1.600163853</v>
      </c>
      <c r="M87">
        <f>DigInv!N87</f>
        <v>8.1</v>
      </c>
      <c r="O87">
        <f>ABS(L87-DigInv!$C$34)</f>
        <v>2.8049151782312567</v>
      </c>
      <c r="P87">
        <f t="shared" si="2"/>
        <v>8.1</v>
      </c>
    </row>
    <row r="88" spans="10:16">
      <c r="J88" s="5"/>
      <c r="L88">
        <f>DigInv!M88</f>
        <v>-1.600080666</v>
      </c>
      <c r="M88">
        <f>DigInv!N88</f>
        <v>8.1999999999999993</v>
      </c>
      <c r="O88">
        <f>ABS(L88-DigInv!$C$34)</f>
        <v>2.8049983652312562</v>
      </c>
      <c r="P88">
        <f t="shared" si="2"/>
        <v>8.1999999999999993</v>
      </c>
    </row>
    <row r="89" spans="10:16">
      <c r="J89" s="5"/>
      <c r="L89">
        <f>DigInv!M89</f>
        <v>-1.5980322709999999</v>
      </c>
      <c r="M89">
        <f>DigInv!N89</f>
        <v>8.3000000000000007</v>
      </c>
      <c r="O89">
        <f>ABS(L89-DigInv!$C$34)</f>
        <v>2.8070467602312563</v>
      </c>
      <c r="P89">
        <f t="shared" si="2"/>
        <v>8.3000000000000007</v>
      </c>
    </row>
    <row r="90" spans="10:16">
      <c r="J90" s="5"/>
      <c r="L90">
        <f>DigInv!M90</f>
        <v>-1.592762708</v>
      </c>
      <c r="M90">
        <f>DigInv!N90</f>
        <v>8.4</v>
      </c>
      <c r="O90">
        <f>ABS(L90-DigInv!$C$34)</f>
        <v>2.8123163232312565</v>
      </c>
      <c r="P90">
        <f t="shared" si="2"/>
        <v>8.4</v>
      </c>
    </row>
    <row r="91" spans="10:16">
      <c r="J91" s="5"/>
      <c r="L91">
        <f>DigInv!M91</f>
        <v>-1.587493145</v>
      </c>
      <c r="M91">
        <f>DigInv!N91</f>
        <v>8.5</v>
      </c>
      <c r="O91">
        <f>ABS(L91-DigInv!$C$34)</f>
        <v>2.8175858862312566</v>
      </c>
      <c r="P91">
        <f t="shared" si="2"/>
        <v>8.5</v>
      </c>
    </row>
    <row r="92" spans="10:16">
      <c r="J92" s="5"/>
      <c r="L92">
        <f>DigInv!M92</f>
        <v>-1.58460866</v>
      </c>
      <c r="M92">
        <f>DigInv!N92</f>
        <v>8.6</v>
      </c>
      <c r="O92">
        <f>ABS(L92-DigInv!$C$34)</f>
        <v>2.8204703712312567</v>
      </c>
      <c r="P92">
        <f t="shared" si="2"/>
        <v>8.6</v>
      </c>
    </row>
    <row r="93" spans="10:16">
      <c r="J93" s="5"/>
      <c r="L93">
        <f>DigInv!M93</f>
        <v>-1.5838399700000001</v>
      </c>
      <c r="M93">
        <f>DigInv!N93</f>
        <v>8.6999999999999993</v>
      </c>
      <c r="O93">
        <f>ABS(L93-DigInv!$C$34)</f>
        <v>2.8212390612312563</v>
      </c>
      <c r="P93">
        <f t="shared" si="2"/>
        <v>8.6999999999999993</v>
      </c>
    </row>
    <row r="94" spans="10:16">
      <c r="J94" s="5"/>
      <c r="L94">
        <f>DigInv!M94</f>
        <v>-1.58307128</v>
      </c>
      <c r="M94">
        <f>DigInv!N94</f>
        <v>8.8000000000000007</v>
      </c>
      <c r="O94">
        <f>ABS(L94-DigInv!$C$34)</f>
        <v>2.8220077512312565</v>
      </c>
      <c r="P94">
        <f t="shared" si="2"/>
        <v>8.8000000000000007</v>
      </c>
    </row>
    <row r="95" spans="10:16">
      <c r="J95" s="5"/>
      <c r="L95">
        <f>DigInv!M95</f>
        <v>-1.5815308589999999</v>
      </c>
      <c r="M95">
        <f>DigInv!N95</f>
        <v>8.9</v>
      </c>
      <c r="O95">
        <f>ABS(L95-DigInv!$C$34)</f>
        <v>2.8235481722312565</v>
      </c>
      <c r="P95">
        <f t="shared" si="2"/>
        <v>8.9</v>
      </c>
    </row>
    <row r="96" spans="10:16">
      <c r="J96" s="5"/>
      <c r="L96">
        <f>DigInv!M96</f>
        <v>-1.5796287899999999</v>
      </c>
      <c r="M96">
        <f>DigInv!N96</f>
        <v>9</v>
      </c>
      <c r="O96">
        <f>ABS(L96-DigInv!$C$34)</f>
        <v>2.8254502412312563</v>
      </c>
      <c r="P96">
        <f t="shared" si="2"/>
        <v>9</v>
      </c>
    </row>
    <row r="97" spans="10:16">
      <c r="J97" s="5"/>
      <c r="L97">
        <f>DigInv!M97</f>
        <v>-1.5777267210000001</v>
      </c>
      <c r="M97">
        <f>DigInv!N97</f>
        <v>9.1</v>
      </c>
      <c r="O97">
        <f>ABS(L97-DigInv!$C$34)</f>
        <v>2.8273523102312561</v>
      </c>
      <c r="P97">
        <f t="shared" si="2"/>
        <v>9.1</v>
      </c>
    </row>
    <row r="98" spans="10:16">
      <c r="J98" s="5"/>
      <c r="L98">
        <f>DigInv!M98</f>
        <v>-1.5771281399999999</v>
      </c>
      <c r="M98">
        <f>DigInv!N98</f>
        <v>9.1999999999999993</v>
      </c>
      <c r="O98">
        <f>ABS(L98-DigInv!$C$34)</f>
        <v>2.8279508912312563</v>
      </c>
      <c r="P98">
        <f t="shared" si="2"/>
        <v>9.1999999999999993</v>
      </c>
    </row>
    <row r="99" spans="10:16">
      <c r="J99" s="5"/>
      <c r="L99">
        <f>DigInv!M99</f>
        <v>-1.5767929350000001</v>
      </c>
      <c r="M99">
        <f>DigInv!N99</f>
        <v>9.3000000000000007</v>
      </c>
      <c r="O99">
        <f>ABS(L99-DigInv!$C$34)</f>
        <v>2.8282860962312562</v>
      </c>
      <c r="P99">
        <f t="shared" si="2"/>
        <v>9.3000000000000007</v>
      </c>
    </row>
    <row r="100" spans="10:16">
      <c r="J100" s="5"/>
      <c r="L100">
        <f>DigInv!M100</f>
        <v>-1.57645773</v>
      </c>
      <c r="M100">
        <f>DigInv!N100</f>
        <v>9.4</v>
      </c>
      <c r="O100">
        <f>ABS(L100-DigInv!$C$34)</f>
        <v>2.8286213012312564</v>
      </c>
      <c r="P100">
        <f t="shared" si="2"/>
        <v>9.4</v>
      </c>
    </row>
    <row r="101" spans="10:16">
      <c r="J101" s="5"/>
      <c r="L101">
        <f>DigInv!M101</f>
        <v>-1.575551205</v>
      </c>
      <c r="M101">
        <f>DigInv!N101</f>
        <v>9.5</v>
      </c>
      <c r="O101">
        <f>ABS(L101-DigInv!$C$34)</f>
        <v>2.8295278262312564</v>
      </c>
      <c r="P101">
        <f t="shared" si="2"/>
        <v>9.5</v>
      </c>
    </row>
    <row r="102" spans="10:16">
      <c r="J102" s="5"/>
      <c r="L102">
        <f>DigInv!M102</f>
        <v>-1.5746347439999999</v>
      </c>
      <c r="M102">
        <f>DigInv!N102</f>
        <v>9.6</v>
      </c>
      <c r="O102">
        <f>ABS(L102-DigInv!$C$34)</f>
        <v>2.8304442872312565</v>
      </c>
      <c r="P102">
        <f t="shared" si="2"/>
        <v>9.6</v>
      </c>
    </row>
    <row r="103" spans="10:16">
      <c r="J103" s="5"/>
      <c r="L103">
        <f>DigInv!M103</f>
        <v>-1.572810102</v>
      </c>
      <c r="M103">
        <f>DigInv!N103</f>
        <v>9.6999999999999993</v>
      </c>
      <c r="O103">
        <f>ABS(L103-DigInv!$C$34)</f>
        <v>2.8322689292312564</v>
      </c>
      <c r="P103">
        <f t="shared" si="2"/>
        <v>9.6999999999999993</v>
      </c>
    </row>
    <row r="104" spans="10:16">
      <c r="J104" s="5"/>
      <c r="L104">
        <f>DigInv!M104</f>
        <v>-1.5651112679999999</v>
      </c>
      <c r="M104">
        <f>DigInv!N104</f>
        <v>9.8000000000000007</v>
      </c>
      <c r="O104">
        <f>ABS(L104-DigInv!$C$34)</f>
        <v>2.8399677632312565</v>
      </c>
      <c r="P104">
        <f t="shared" si="2"/>
        <v>9.8000000000000007</v>
      </c>
    </row>
    <row r="105" spans="10:16">
      <c r="J105" s="5"/>
      <c r="L105">
        <f>DigInv!M105</f>
        <v>-1.557412434</v>
      </c>
      <c r="M105">
        <f>DigInv!N105</f>
        <v>9.9</v>
      </c>
      <c r="O105">
        <f>ABS(L105-DigInv!$C$34)</f>
        <v>2.8476665972312567</v>
      </c>
      <c r="P105">
        <f t="shared" si="2"/>
        <v>9.9</v>
      </c>
    </row>
    <row r="106" spans="10:16">
      <c r="J106" s="5"/>
      <c r="L106">
        <f>DigInv!M106</f>
        <v>-1.5510957999999999</v>
      </c>
      <c r="M106">
        <f>DigInv!N106</f>
        <v>10</v>
      </c>
      <c r="O106">
        <f>ABS(L106-DigInv!$C$34)</f>
        <v>2.8539832312312567</v>
      </c>
      <c r="P106">
        <f t="shared" si="2"/>
        <v>10</v>
      </c>
    </row>
    <row r="107" spans="10:16">
      <c r="J107" s="5"/>
      <c r="L107">
        <f>DigInv!M107</f>
        <v>-1.548248488</v>
      </c>
      <c r="M107">
        <f>DigInv!N107</f>
        <v>10.1</v>
      </c>
      <c r="O107">
        <f>ABS(L107-DigInv!$C$34)</f>
        <v>2.8568305432312564</v>
      </c>
      <c r="P107">
        <f t="shared" si="2"/>
        <v>10.1</v>
      </c>
    </row>
    <row r="108" spans="10:16">
      <c r="J108" s="5"/>
      <c r="L108">
        <f>DigInv!M108</f>
        <v>-1.5454011759999999</v>
      </c>
      <c r="M108">
        <f>DigInv!N108</f>
        <v>10.199999999999999</v>
      </c>
      <c r="O108">
        <f>ABS(L108-DigInv!$C$34)</f>
        <v>2.8596778552312565</v>
      </c>
      <c r="P108">
        <f t="shared" si="2"/>
        <v>10.199999999999999</v>
      </c>
    </row>
    <row r="109" spans="10:16">
      <c r="J109" s="5"/>
      <c r="L109">
        <f>DigInv!M109</f>
        <v>-1.543756903</v>
      </c>
      <c r="M109">
        <f>DigInv!N109</f>
        <v>10.3</v>
      </c>
      <c r="O109">
        <f>ABS(L109-DigInv!$C$34)</f>
        <v>2.8613221282312562</v>
      </c>
      <c r="P109">
        <f t="shared" si="2"/>
        <v>10.3</v>
      </c>
    </row>
    <row r="110" spans="10:16">
      <c r="J110" s="5"/>
      <c r="L110">
        <f>DigInv!M110</f>
        <v>-1.5436695039999999</v>
      </c>
      <c r="M110">
        <f>DigInv!N110</f>
        <v>10.4</v>
      </c>
      <c r="O110">
        <f>ABS(L110-DigInv!$C$34)</f>
        <v>2.8614095272312565</v>
      </c>
      <c r="P110">
        <f t="shared" si="2"/>
        <v>10.4</v>
      </c>
    </row>
    <row r="111" spans="10:16">
      <c r="J111" s="5"/>
      <c r="L111">
        <f>DigInv!M111</f>
        <v>-1.543582105</v>
      </c>
      <c r="M111">
        <f>DigInv!N111</f>
        <v>10.5</v>
      </c>
      <c r="O111">
        <f>ABS(L111-DigInv!$C$34)</f>
        <v>2.8614969262312564</v>
      </c>
      <c r="P111">
        <f t="shared" si="2"/>
        <v>10.5</v>
      </c>
    </row>
    <row r="112" spans="10:16">
      <c r="J112" s="5"/>
      <c r="L112">
        <f>DigInv!M112</f>
        <v>-1.5417678079999999</v>
      </c>
      <c r="M112">
        <f>DigInv!N112</f>
        <v>10.6</v>
      </c>
      <c r="O112">
        <f>ABS(L112-DigInv!$C$34)</f>
        <v>2.8633112232312565</v>
      </c>
      <c r="P112">
        <f t="shared" si="2"/>
        <v>10.6</v>
      </c>
    </row>
    <row r="113" spans="10:16">
      <c r="J113" s="5"/>
      <c r="L113">
        <f>DigInv!M113</f>
        <v>-1.538737976</v>
      </c>
      <c r="M113">
        <f>DigInv!N113</f>
        <v>10.7</v>
      </c>
      <c r="O113">
        <f>ABS(L113-DigInv!$C$34)</f>
        <v>2.8663410552312563</v>
      </c>
      <c r="P113">
        <f t="shared" si="2"/>
        <v>10.7</v>
      </c>
    </row>
    <row r="114" spans="10:16">
      <c r="J114" s="5"/>
      <c r="L114">
        <f>DigInv!M114</f>
        <v>-1.535708144</v>
      </c>
      <c r="M114">
        <f>DigInv!N114</f>
        <v>10.8</v>
      </c>
      <c r="O114">
        <f>ABS(L114-DigInv!$C$34)</f>
        <v>2.8693708872312564</v>
      </c>
      <c r="P114">
        <f t="shared" si="2"/>
        <v>10.8</v>
      </c>
    </row>
    <row r="115" spans="10:16">
      <c r="J115" s="5"/>
      <c r="L115">
        <f>DigInv!M115</f>
        <v>-1.530476035</v>
      </c>
      <c r="M115">
        <f>DigInv!N115</f>
        <v>10.9</v>
      </c>
      <c r="O115">
        <f>ABS(L115-DigInv!$C$34)</f>
        <v>2.8746029962312565</v>
      </c>
      <c r="P115">
        <f t="shared" si="2"/>
        <v>10.9</v>
      </c>
    </row>
    <row r="116" spans="10:16">
      <c r="J116" s="5"/>
      <c r="L116">
        <f>DigInv!M116</f>
        <v>-1.5244616499999999</v>
      </c>
      <c r="M116">
        <f>DigInv!N116</f>
        <v>11</v>
      </c>
      <c r="O116">
        <f>ABS(L116-DigInv!$C$34)</f>
        <v>2.8806173812312563</v>
      </c>
      <c r="P116">
        <f t="shared" si="2"/>
        <v>11</v>
      </c>
    </row>
    <row r="117" spans="10:16">
      <c r="J117" s="5"/>
      <c r="L117">
        <f>DigInv!M117</f>
        <v>-1.518447265</v>
      </c>
      <c r="M117">
        <f>DigInv!N117</f>
        <v>11.1</v>
      </c>
      <c r="O117">
        <f>ABS(L117-DigInv!$C$34)</f>
        <v>2.8866317662312566</v>
      </c>
      <c r="P117">
        <f t="shared" si="2"/>
        <v>11.1</v>
      </c>
    </row>
    <row r="118" spans="10:16">
      <c r="J118" s="5"/>
      <c r="L118">
        <f>DigInv!M118</f>
        <v>-1.517779</v>
      </c>
      <c r="M118">
        <f>DigInv!N118</f>
        <v>11.2</v>
      </c>
      <c r="O118">
        <f>ABS(L118-DigInv!$C$34)</f>
        <v>2.8873000312312564</v>
      </c>
      <c r="P118">
        <f t="shared" si="2"/>
        <v>11.2</v>
      </c>
    </row>
    <row r="119" spans="10:16">
      <c r="J119" s="5"/>
      <c r="L119">
        <f>DigInv!M119</f>
        <v>-1.517779</v>
      </c>
      <c r="M119">
        <f>DigInv!N119</f>
        <v>11.3</v>
      </c>
      <c r="O119">
        <f>ABS(L119-DigInv!$C$34)</f>
        <v>2.8873000312312564</v>
      </c>
      <c r="P119">
        <f t="shared" si="2"/>
        <v>11.3</v>
      </c>
    </row>
    <row r="120" spans="10:16">
      <c r="J120" s="5"/>
      <c r="L120">
        <f>DigInv!M120</f>
        <v>-1.517603888</v>
      </c>
      <c r="M120">
        <f>DigInv!N120</f>
        <v>11.4</v>
      </c>
      <c r="O120">
        <f>ABS(L120-DigInv!$C$34)</f>
        <v>2.8874751432312564</v>
      </c>
      <c r="P120">
        <f t="shared" si="2"/>
        <v>11.4</v>
      </c>
    </row>
    <row r="121" spans="10:16">
      <c r="J121" s="5"/>
      <c r="L121">
        <f>DigInv!M121</f>
        <v>-1.5132135799999999</v>
      </c>
      <c r="M121">
        <f>DigInv!N121</f>
        <v>11.5</v>
      </c>
      <c r="O121">
        <f>ABS(L121-DigInv!$C$34)</f>
        <v>2.8918654512312565</v>
      </c>
      <c r="P121">
        <f t="shared" si="2"/>
        <v>11.5</v>
      </c>
    </row>
    <row r="122" spans="10:16">
      <c r="J122" s="5"/>
      <c r="L122">
        <f>DigInv!M122</f>
        <v>-1.5088232720000001</v>
      </c>
      <c r="M122">
        <f>DigInv!N122</f>
        <v>11.6</v>
      </c>
      <c r="O122">
        <f>ABS(L122-DigInv!$C$34)</f>
        <v>2.8962557592312566</v>
      </c>
      <c r="P122">
        <f t="shared" si="2"/>
        <v>11.6</v>
      </c>
    </row>
    <row r="123" spans="10:16">
      <c r="J123" s="5"/>
      <c r="L123">
        <f>DigInv!M123</f>
        <v>-1.5049943569999999</v>
      </c>
      <c r="M123">
        <f>DigInv!N123</f>
        <v>11.7</v>
      </c>
      <c r="O123">
        <f>ABS(L123-DigInv!$C$34)</f>
        <v>2.9000846742312563</v>
      </c>
      <c r="P123">
        <f t="shared" si="2"/>
        <v>11.7</v>
      </c>
    </row>
    <row r="124" spans="10:16">
      <c r="J124" s="5"/>
      <c r="L124">
        <f>DigInv!M124</f>
        <v>-1.5035450779999999</v>
      </c>
      <c r="M124">
        <f>DigInv!N124</f>
        <v>11.8</v>
      </c>
      <c r="O124">
        <f>ABS(L124-DigInv!$C$34)</f>
        <v>2.9015339532312563</v>
      </c>
      <c r="P124">
        <f t="shared" si="2"/>
        <v>11.8</v>
      </c>
    </row>
    <row r="125" spans="10:16">
      <c r="J125" s="5"/>
      <c r="L125">
        <f>DigInv!M125</f>
        <v>-1.5020957989999999</v>
      </c>
      <c r="M125">
        <f>DigInv!N125</f>
        <v>11.9</v>
      </c>
      <c r="O125">
        <f>ABS(L125-DigInv!$C$34)</f>
        <v>2.9029832322312563</v>
      </c>
      <c r="P125">
        <f t="shared" si="2"/>
        <v>11.9</v>
      </c>
    </row>
    <row r="126" spans="10:16">
      <c r="J126" s="5"/>
      <c r="L126">
        <f>DigInv!M126</f>
        <v>-1.501142</v>
      </c>
      <c r="M126">
        <f>DigInv!N126</f>
        <v>12</v>
      </c>
      <c r="O126">
        <f>ABS(L126-DigInv!$C$34)</f>
        <v>2.9039370312312567</v>
      </c>
      <c r="P126">
        <f t="shared" si="2"/>
        <v>12</v>
      </c>
    </row>
    <row r="127" spans="10:16">
      <c r="J127" s="5"/>
      <c r="L127">
        <f>DigInv!M127</f>
        <v>-1.501142</v>
      </c>
      <c r="M127">
        <f>DigInv!N127</f>
        <v>12.1</v>
      </c>
      <c r="O127">
        <f>ABS(L127-DigInv!$C$34)</f>
        <v>2.9039370312312567</v>
      </c>
      <c r="P127">
        <f t="shared" si="2"/>
        <v>12.1</v>
      </c>
    </row>
    <row r="128" spans="10:16">
      <c r="J128" s="5"/>
      <c r="L128">
        <f>DigInv!M128</f>
        <v>-1.501142</v>
      </c>
      <c r="M128">
        <f>DigInv!N128</f>
        <v>12.2</v>
      </c>
      <c r="O128">
        <f>ABS(L128-DigInv!$C$34)</f>
        <v>2.9039370312312567</v>
      </c>
      <c r="P128">
        <f t="shared" si="2"/>
        <v>12.2</v>
      </c>
    </row>
    <row r="129" spans="10:16">
      <c r="J129" s="5"/>
      <c r="L129">
        <f>DigInv!M129</f>
        <v>-1.500964502</v>
      </c>
      <c r="M129">
        <f>DigInv!N129</f>
        <v>12.3</v>
      </c>
      <c r="O129">
        <f>ABS(L129-DigInv!$C$34)</f>
        <v>2.9041145292312565</v>
      </c>
      <c r="P129">
        <f t="shared" si="2"/>
        <v>12.3</v>
      </c>
    </row>
    <row r="130" spans="10:16">
      <c r="J130" s="5"/>
      <c r="L130">
        <f>DigInv!M130</f>
        <v>-1.5006043760000001</v>
      </c>
      <c r="M130">
        <f>DigInv!N130</f>
        <v>12.4</v>
      </c>
      <c r="O130">
        <f>ABS(L130-DigInv!$C$34)</f>
        <v>2.9044746552312564</v>
      </c>
      <c r="P130">
        <f t="shared" si="2"/>
        <v>12.4</v>
      </c>
    </row>
    <row r="131" spans="10:16">
      <c r="J131" s="5"/>
      <c r="L131">
        <f>DigInv!M131</f>
        <v>-1.5002442499999999</v>
      </c>
      <c r="M131">
        <f>DigInv!N131</f>
        <v>12.5</v>
      </c>
      <c r="O131">
        <f>ABS(L131-DigInv!$C$34)</f>
        <v>2.9048347812312567</v>
      </c>
      <c r="P131">
        <f t="shared" si="2"/>
        <v>12.5</v>
      </c>
    </row>
    <row r="132" spans="10:16">
      <c r="J132" s="5"/>
      <c r="L132">
        <f>DigInv!M132</f>
        <v>-1.495122982</v>
      </c>
      <c r="M132">
        <f>DigInv!N132</f>
        <v>12.6</v>
      </c>
      <c r="O132">
        <f>ABS(L132-DigInv!$C$34)</f>
        <v>2.9099560492312566</v>
      </c>
      <c r="P132">
        <f t="shared" si="2"/>
        <v>12.6</v>
      </c>
    </row>
    <row r="133" spans="10:16">
      <c r="J133" s="5"/>
      <c r="L133">
        <f>DigInv!M133</f>
        <v>-1.4873683390000001</v>
      </c>
      <c r="M133">
        <f>DigInv!N133</f>
        <v>12.7</v>
      </c>
      <c r="O133">
        <f>ABS(L133-DigInv!$C$34)</f>
        <v>2.9177106922312563</v>
      </c>
      <c r="P133">
        <f t="shared" si="2"/>
        <v>12.7</v>
      </c>
    </row>
    <row r="134" spans="10:16">
      <c r="J134" s="5"/>
      <c r="L134">
        <f>DigInv!M134</f>
        <v>-1.4796136959999999</v>
      </c>
      <c r="M134">
        <f>DigInv!N134</f>
        <v>12.8</v>
      </c>
      <c r="O134">
        <f>ABS(L134-DigInv!$C$34)</f>
        <v>2.9254653352312565</v>
      </c>
      <c r="P134">
        <f t="shared" si="2"/>
        <v>12.8</v>
      </c>
    </row>
    <row r="135" spans="10:16">
      <c r="J135" s="5"/>
      <c r="L135">
        <f>DigInv!M135</f>
        <v>-1.4732428930000001</v>
      </c>
      <c r="M135">
        <f>DigInv!N135</f>
        <v>12.9</v>
      </c>
      <c r="O135">
        <f>ABS(L135-DigInv!$C$34)</f>
        <v>2.9318361382312563</v>
      </c>
      <c r="P135">
        <f t="shared" ref="P135:P198" si="3">M135</f>
        <v>12.9</v>
      </c>
    </row>
    <row r="136" spans="10:16">
      <c r="J136" s="5"/>
      <c r="L136">
        <f>DigInv!M136</f>
        <v>-1.46722921</v>
      </c>
      <c r="M136">
        <f>DigInv!N136</f>
        <v>13</v>
      </c>
      <c r="O136">
        <f>ABS(L136-DigInv!$C$34)</f>
        <v>2.9378498212312563</v>
      </c>
      <c r="P136">
        <f t="shared" si="3"/>
        <v>13</v>
      </c>
    </row>
    <row r="137" spans="10:16">
      <c r="J137" s="5"/>
      <c r="L137">
        <f>DigInv!M137</f>
        <v>-1.461215527</v>
      </c>
      <c r="M137">
        <f>DigInv!N137</f>
        <v>13.1</v>
      </c>
      <c r="O137">
        <f>ABS(L137-DigInv!$C$34)</f>
        <v>2.9438635042312562</v>
      </c>
      <c r="P137">
        <f t="shared" si="3"/>
        <v>13.1</v>
      </c>
    </row>
    <row r="138" spans="10:16">
      <c r="J138" s="5"/>
      <c r="L138">
        <f>DigInv!M138</f>
        <v>-1.4559153119999999</v>
      </c>
      <c r="M138">
        <f>DigInv!N138</f>
        <v>13.2</v>
      </c>
      <c r="O138">
        <f>ABS(L138-DigInv!$C$34)</f>
        <v>2.9491637192312563</v>
      </c>
      <c r="P138">
        <f t="shared" si="3"/>
        <v>13.2</v>
      </c>
    </row>
    <row r="139" spans="10:16">
      <c r="J139" s="5"/>
      <c r="L139">
        <f>DigInv!M139</f>
        <v>-1.450655928</v>
      </c>
      <c r="M139">
        <f>DigInv!N139</f>
        <v>13.3</v>
      </c>
      <c r="O139">
        <f>ABS(L139-DigInv!$C$34)</f>
        <v>2.9544231032312567</v>
      </c>
      <c r="P139">
        <f t="shared" si="3"/>
        <v>13.3</v>
      </c>
    </row>
    <row r="140" spans="10:16">
      <c r="J140" s="5"/>
      <c r="L140">
        <f>DigInv!M140</f>
        <v>-1.445671978</v>
      </c>
      <c r="M140">
        <f>DigInv!N140</f>
        <v>13.4</v>
      </c>
      <c r="O140">
        <f>ABS(L140-DigInv!$C$34)</f>
        <v>2.9594070532312564</v>
      </c>
      <c r="P140">
        <f t="shared" si="3"/>
        <v>13.4</v>
      </c>
    </row>
    <row r="141" spans="10:16">
      <c r="J141" s="5"/>
      <c r="L141">
        <f>DigInv!M141</f>
        <v>-1.443256045</v>
      </c>
      <c r="M141">
        <f>DigInv!N141</f>
        <v>13.5</v>
      </c>
      <c r="O141">
        <f>ABS(L141-DigInv!$C$34)</f>
        <v>2.9618229862312564</v>
      </c>
      <c r="P141">
        <f t="shared" si="3"/>
        <v>13.5</v>
      </c>
    </row>
    <row r="142" spans="10:16">
      <c r="J142" s="5"/>
      <c r="L142">
        <f>DigInv!M142</f>
        <v>-1.4408401120000001</v>
      </c>
      <c r="M142">
        <f>DigInv!N142</f>
        <v>13.6</v>
      </c>
      <c r="O142">
        <f>ABS(L142-DigInv!$C$34)</f>
        <v>2.9642389192312564</v>
      </c>
      <c r="P142">
        <f t="shared" si="3"/>
        <v>13.6</v>
      </c>
    </row>
    <row r="143" spans="10:16">
      <c r="J143" s="5"/>
      <c r="L143">
        <f>DigInv!M143</f>
        <v>-1.439013082</v>
      </c>
      <c r="M143">
        <f>DigInv!N143</f>
        <v>13.7</v>
      </c>
      <c r="O143">
        <f>ABS(L143-DigInv!$C$34)</f>
        <v>2.9660659492312567</v>
      </c>
      <c r="P143">
        <f t="shared" si="3"/>
        <v>13.7</v>
      </c>
    </row>
    <row r="144" spans="10:16">
      <c r="J144" s="5"/>
      <c r="L144">
        <f>DigInv!M144</f>
        <v>-1.4389730679999999</v>
      </c>
      <c r="M144">
        <f>DigInv!N144</f>
        <v>13.8</v>
      </c>
      <c r="O144">
        <f>ABS(L144-DigInv!$C$34)</f>
        <v>2.9661059632312563</v>
      </c>
      <c r="P144">
        <f t="shared" si="3"/>
        <v>13.8</v>
      </c>
    </row>
    <row r="145" spans="10:16">
      <c r="J145" s="5"/>
      <c r="L145">
        <f>DigInv!M145</f>
        <v>-1.438933054</v>
      </c>
      <c r="M145">
        <f>DigInv!N145</f>
        <v>13.9</v>
      </c>
      <c r="O145">
        <f>ABS(L145-DigInv!$C$34)</f>
        <v>2.9661459772312564</v>
      </c>
      <c r="P145">
        <f t="shared" si="3"/>
        <v>13.9</v>
      </c>
    </row>
    <row r="146" spans="10:16">
      <c r="J146" s="5"/>
      <c r="L146">
        <f>DigInv!M146</f>
        <v>-1.4387621399999999</v>
      </c>
      <c r="M146">
        <f>DigInv!N146</f>
        <v>14</v>
      </c>
      <c r="O146">
        <f>ABS(L146-DigInv!$C$34)</f>
        <v>2.9663168912312567</v>
      </c>
      <c r="P146">
        <f t="shared" si="3"/>
        <v>14</v>
      </c>
    </row>
    <row r="147" spans="10:16">
      <c r="J147" s="5"/>
      <c r="L147">
        <f>DigInv!M147</f>
        <v>-1.438393941</v>
      </c>
      <c r="M147">
        <f>DigInv!N147</f>
        <v>14.1</v>
      </c>
      <c r="O147">
        <f>ABS(L147-DigInv!$C$34)</f>
        <v>2.9666850902312563</v>
      </c>
      <c r="P147">
        <f t="shared" si="3"/>
        <v>14.1</v>
      </c>
    </row>
    <row r="148" spans="10:16">
      <c r="J148" s="5"/>
      <c r="L148">
        <f>DigInv!M148</f>
        <v>-1.438025742</v>
      </c>
      <c r="M148">
        <f>DigInv!N148</f>
        <v>14.2</v>
      </c>
      <c r="O148">
        <f>ABS(L148-DigInv!$C$34)</f>
        <v>2.9670532892312567</v>
      </c>
      <c r="P148">
        <f t="shared" si="3"/>
        <v>14.2</v>
      </c>
    </row>
    <row r="149" spans="10:16">
      <c r="J149" s="5"/>
      <c r="L149">
        <f>DigInv!M149</f>
        <v>-1.2931248609999999</v>
      </c>
      <c r="M149">
        <f>DigInv!N149</f>
        <v>14.3</v>
      </c>
      <c r="O149">
        <f>ABS(L149-DigInv!$C$34)</f>
        <v>3.1119541702312565</v>
      </c>
      <c r="P149">
        <f t="shared" si="3"/>
        <v>14.3</v>
      </c>
    </row>
    <row r="150" spans="10:16">
      <c r="J150" s="5"/>
      <c r="L150">
        <f>DigInv!M150</f>
        <v>-1.0299018879999999</v>
      </c>
      <c r="M150">
        <f>DigInv!N150</f>
        <v>14.4</v>
      </c>
      <c r="O150">
        <f>ABS(L150-DigInv!$C$34)</f>
        <v>3.3751771432312565</v>
      </c>
      <c r="P150">
        <f t="shared" si="3"/>
        <v>14.4</v>
      </c>
    </row>
    <row r="151" spans="10:16">
      <c r="J151" s="5"/>
      <c r="L151">
        <f>DigInv!M151</f>
        <v>-0.76667891500000296</v>
      </c>
      <c r="M151">
        <f>DigInv!N151</f>
        <v>14.5</v>
      </c>
      <c r="O151">
        <f>ABS(L151-DigInv!$C$34)</f>
        <v>3.6384001162312534</v>
      </c>
      <c r="P151">
        <f t="shared" si="3"/>
        <v>14.5</v>
      </c>
    </row>
    <row r="152" spans="10:16">
      <c r="J152" s="5"/>
      <c r="L152">
        <f>DigInv!M152</f>
        <v>-0.68742310600000001</v>
      </c>
      <c r="M152">
        <f>DigInv!N152</f>
        <v>14.6</v>
      </c>
      <c r="O152">
        <f>ABS(L152-DigInv!$C$34)</f>
        <v>3.7176559252312567</v>
      </c>
      <c r="P152">
        <f t="shared" si="3"/>
        <v>14.6</v>
      </c>
    </row>
    <row r="153" spans="10:16">
      <c r="J153" s="5"/>
      <c r="L153">
        <f>DigInv!M153</f>
        <v>-0.68668986700000001</v>
      </c>
      <c r="M153">
        <f>DigInv!N153</f>
        <v>14.7</v>
      </c>
      <c r="O153">
        <f>ABS(L153-DigInv!$C$34)</f>
        <v>3.7183891642312563</v>
      </c>
      <c r="P153">
        <f t="shared" si="3"/>
        <v>14.7</v>
      </c>
    </row>
    <row r="154" spans="10:16">
      <c r="J154" s="5"/>
      <c r="L154">
        <f>DigInv!M154</f>
        <v>-0.68595662800000001</v>
      </c>
      <c r="M154">
        <f>DigInv!N154</f>
        <v>14.8</v>
      </c>
      <c r="O154">
        <f>ABS(L154-DigInv!$C$34)</f>
        <v>3.7191224032312564</v>
      </c>
      <c r="P154">
        <f t="shared" si="3"/>
        <v>14.8</v>
      </c>
    </row>
    <row r="155" spans="10:16">
      <c r="J155" s="5"/>
      <c r="L155">
        <f>DigInv!M155</f>
        <v>-0.68505295899999996</v>
      </c>
      <c r="M155">
        <f>DigInv!N155</f>
        <v>14.9</v>
      </c>
      <c r="O155">
        <f>ABS(L155-DigInv!$C$34)</f>
        <v>3.7200260722312564</v>
      </c>
      <c r="P155">
        <f t="shared" si="3"/>
        <v>14.9</v>
      </c>
    </row>
    <row r="156" spans="10:16">
      <c r="J156" s="5"/>
      <c r="L156">
        <f>DigInv!M156</f>
        <v>-0.68411964999999997</v>
      </c>
      <c r="M156">
        <f>DigInv!N156</f>
        <v>15</v>
      </c>
      <c r="O156">
        <f>ABS(L156-DigInv!$C$34)</f>
        <v>3.7209593812312565</v>
      </c>
      <c r="P156">
        <f t="shared" si="3"/>
        <v>15</v>
      </c>
    </row>
    <row r="157" spans="10:16">
      <c r="J157" s="5"/>
      <c r="L157">
        <f>DigInv!M157</f>
        <v>-0.68318489699999996</v>
      </c>
      <c r="M157">
        <f>DigInv!N157</f>
        <v>15.1</v>
      </c>
      <c r="O157">
        <f>ABS(L157-DigInv!$C$34)</f>
        <v>3.7218941342312566</v>
      </c>
      <c r="P157">
        <f t="shared" si="3"/>
        <v>15.1</v>
      </c>
    </row>
    <row r="158" spans="10:16">
      <c r="J158" s="5"/>
      <c r="L158">
        <f>DigInv!M158</f>
        <v>-0.68174474399999996</v>
      </c>
      <c r="M158">
        <f>DigInv!N158</f>
        <v>15.2</v>
      </c>
      <c r="O158">
        <f>ABS(L158-DigInv!$C$34)</f>
        <v>3.7233342872312565</v>
      </c>
      <c r="P158">
        <f t="shared" si="3"/>
        <v>15.2</v>
      </c>
    </row>
    <row r="159" spans="10:16">
      <c r="J159" s="5"/>
      <c r="L159">
        <f>DigInv!M159</f>
        <v>-0.68030459099999996</v>
      </c>
      <c r="M159">
        <f>DigInv!N159</f>
        <v>15.3</v>
      </c>
      <c r="O159">
        <f>ABS(L159-DigInv!$C$34)</f>
        <v>3.7247744402312564</v>
      </c>
      <c r="P159">
        <f t="shared" si="3"/>
        <v>15.3</v>
      </c>
    </row>
    <row r="160" spans="10:16">
      <c r="J160" s="5"/>
      <c r="L160">
        <f>DigInv!M160</f>
        <v>-0.67908599999999997</v>
      </c>
      <c r="M160">
        <f>DigInv!N160</f>
        <v>15.4</v>
      </c>
      <c r="O160">
        <f>ABS(L160-DigInv!$C$34)</f>
        <v>3.7259930312312566</v>
      </c>
      <c r="P160">
        <f t="shared" si="3"/>
        <v>15.4</v>
      </c>
    </row>
    <row r="161" spans="10:16">
      <c r="J161" s="5"/>
      <c r="L161">
        <f>DigInv!M161</f>
        <v>-0.67908599999999997</v>
      </c>
      <c r="M161">
        <f>DigInv!N161</f>
        <v>15.5</v>
      </c>
      <c r="O161">
        <f>ABS(L161-DigInv!$C$34)</f>
        <v>3.7259930312312566</v>
      </c>
      <c r="P161">
        <f t="shared" si="3"/>
        <v>15.5</v>
      </c>
    </row>
    <row r="162" spans="10:16">
      <c r="J162" s="5"/>
      <c r="L162">
        <f>DigInv!M162</f>
        <v>-0.67908599999999997</v>
      </c>
      <c r="M162">
        <f>DigInv!N162</f>
        <v>15.6</v>
      </c>
      <c r="O162">
        <f>ABS(L162-DigInv!$C$34)</f>
        <v>3.7259930312312566</v>
      </c>
      <c r="P162">
        <f t="shared" si="3"/>
        <v>15.6</v>
      </c>
    </row>
    <row r="163" spans="10:16">
      <c r="J163" s="5"/>
      <c r="L163">
        <f>DigInv!M163</f>
        <v>-0.678814327</v>
      </c>
      <c r="M163">
        <f>DigInv!N163</f>
        <v>15.7</v>
      </c>
      <c r="O163">
        <f>ABS(L163-DigInv!$C$34)</f>
        <v>3.7262647042312564</v>
      </c>
      <c r="P163">
        <f t="shared" si="3"/>
        <v>15.7</v>
      </c>
    </row>
    <row r="164" spans="10:16">
      <c r="J164" s="5"/>
      <c r="L164">
        <f>DigInv!M164</f>
        <v>-0.67792313800000004</v>
      </c>
      <c r="M164">
        <f>DigInv!N164</f>
        <v>15.8</v>
      </c>
      <c r="O164">
        <f>ABS(L164-DigInv!$C$34)</f>
        <v>3.7271558932312563</v>
      </c>
      <c r="P164">
        <f t="shared" si="3"/>
        <v>15.8</v>
      </c>
    </row>
    <row r="165" spans="10:16">
      <c r="J165" s="5"/>
      <c r="L165">
        <f>DigInv!M165</f>
        <v>-0.67703194899999997</v>
      </c>
      <c r="M165">
        <f>DigInv!N165</f>
        <v>15.9</v>
      </c>
      <c r="O165">
        <f>ABS(L165-DigInv!$C$34)</f>
        <v>3.7280470822312566</v>
      </c>
      <c r="P165">
        <f t="shared" si="3"/>
        <v>15.9</v>
      </c>
    </row>
    <row r="166" spans="10:16">
      <c r="J166" s="5"/>
      <c r="L166">
        <f>DigInv!M166</f>
        <v>-0.67608380000000001</v>
      </c>
      <c r="M166">
        <f>DigInv!N166</f>
        <v>16</v>
      </c>
      <c r="O166">
        <f>ABS(L166-DigInv!$C$34)</f>
        <v>3.7289952312312566</v>
      </c>
      <c r="P166">
        <f t="shared" si="3"/>
        <v>16</v>
      </c>
    </row>
    <row r="167" spans="10:16">
      <c r="J167" s="5"/>
      <c r="L167">
        <f>DigInv!M167</f>
        <v>-0.67506765499999999</v>
      </c>
      <c r="M167">
        <f>DigInv!N167</f>
        <v>16.100000000000001</v>
      </c>
      <c r="O167">
        <f>ABS(L167-DigInv!$C$34)</f>
        <v>3.7300113762312566</v>
      </c>
      <c r="P167">
        <f t="shared" si="3"/>
        <v>16.100000000000001</v>
      </c>
    </row>
    <row r="168" spans="10:16">
      <c r="J168" s="5"/>
      <c r="L168">
        <f>DigInv!M168</f>
        <v>-0.67405150999999996</v>
      </c>
      <c r="M168">
        <f>DigInv!N168</f>
        <v>16.2</v>
      </c>
      <c r="O168">
        <f>ABS(L168-DigInv!$C$34)</f>
        <v>3.7310275212312565</v>
      </c>
      <c r="P168">
        <f t="shared" si="3"/>
        <v>16.2</v>
      </c>
    </row>
    <row r="169" spans="10:16">
      <c r="J169" s="5"/>
      <c r="L169">
        <f>DigInv!M169</f>
        <v>-0.67295698100000001</v>
      </c>
      <c r="M169">
        <f>DigInv!N169</f>
        <v>16.3</v>
      </c>
      <c r="O169">
        <f>ABS(L169-DigInv!$C$34)</f>
        <v>3.7321220502312564</v>
      </c>
      <c r="P169">
        <f t="shared" si="3"/>
        <v>16.3</v>
      </c>
    </row>
    <row r="170" spans="10:16">
      <c r="J170" s="5"/>
      <c r="L170">
        <f>DigInv!M170</f>
        <v>-0.67181166800000003</v>
      </c>
      <c r="M170">
        <f>DigInv!N170</f>
        <v>16.399999999999999</v>
      </c>
      <c r="O170">
        <f>ABS(L170-DigInv!$C$34)</f>
        <v>3.7332673632312563</v>
      </c>
      <c r="P170">
        <f t="shared" si="3"/>
        <v>16.399999999999999</v>
      </c>
    </row>
    <row r="171" spans="10:16">
      <c r="J171" s="5"/>
      <c r="L171">
        <f>DigInv!M171</f>
        <v>-0.67066635500000005</v>
      </c>
      <c r="M171">
        <f>DigInv!N171</f>
        <v>16.5</v>
      </c>
      <c r="O171">
        <f>ABS(L171-DigInv!$C$34)</f>
        <v>3.7344126762312566</v>
      </c>
      <c r="P171">
        <f t="shared" si="3"/>
        <v>16.5</v>
      </c>
    </row>
    <row r="172" spans="10:16">
      <c r="J172" s="5"/>
      <c r="L172">
        <f>DigInv!M172</f>
        <v>-0.66942049400000003</v>
      </c>
      <c r="M172">
        <f>DigInv!N172</f>
        <v>16.600000000000001</v>
      </c>
      <c r="O172">
        <f>ABS(L172-DigInv!$C$34)</f>
        <v>3.7356585372312563</v>
      </c>
      <c r="P172">
        <f t="shared" si="3"/>
        <v>16.600000000000001</v>
      </c>
    </row>
    <row r="173" spans="10:16">
      <c r="J173" s="5"/>
      <c r="L173">
        <f>DigInv!M173</f>
        <v>-0.668142503</v>
      </c>
      <c r="M173">
        <f>DigInv!N173</f>
        <v>16.7</v>
      </c>
      <c r="O173">
        <f>ABS(L173-DigInv!$C$34)</f>
        <v>3.7369365282312565</v>
      </c>
      <c r="P173">
        <f t="shared" si="3"/>
        <v>16.7</v>
      </c>
    </row>
    <row r="174" spans="10:16">
      <c r="J174" s="5"/>
      <c r="L174">
        <f>DigInv!M174</f>
        <v>-0.66686451199999996</v>
      </c>
      <c r="M174">
        <f>DigInv!N174</f>
        <v>16.8</v>
      </c>
      <c r="O174">
        <f>ABS(L174-DigInv!$C$34)</f>
        <v>3.7382145192312564</v>
      </c>
      <c r="P174">
        <f t="shared" si="3"/>
        <v>16.8</v>
      </c>
    </row>
    <row r="175" spans="10:16">
      <c r="J175" s="5"/>
      <c r="L175">
        <f>DigInv!M175</f>
        <v>-0.66674800000000001</v>
      </c>
      <c r="M175">
        <f>DigInv!N175</f>
        <v>16.899999999999999</v>
      </c>
      <c r="O175">
        <f>ABS(L175-DigInv!$C$34)</f>
        <v>3.7383310312312563</v>
      </c>
      <c r="P175">
        <f t="shared" si="3"/>
        <v>16.899999999999999</v>
      </c>
    </row>
    <row r="176" spans="10:16">
      <c r="J176" s="5"/>
      <c r="L176">
        <f>DigInv!M176</f>
        <v>-0.66674800000000001</v>
      </c>
      <c r="M176">
        <f>DigInv!N176</f>
        <v>17</v>
      </c>
      <c r="O176">
        <f>ABS(L176-DigInv!$C$34)</f>
        <v>3.7383310312312563</v>
      </c>
      <c r="P176">
        <f t="shared" si="3"/>
        <v>17</v>
      </c>
    </row>
    <row r="177" spans="10:16">
      <c r="J177" s="5"/>
      <c r="L177">
        <f>DigInv!M177</f>
        <v>-0.66666597400000005</v>
      </c>
      <c r="M177">
        <f>DigInv!N177</f>
        <v>17.100000000000001</v>
      </c>
      <c r="O177">
        <f>ABS(L177-DigInv!$C$34)</f>
        <v>3.7384130572312566</v>
      </c>
      <c r="P177">
        <f t="shared" si="3"/>
        <v>17.100000000000001</v>
      </c>
    </row>
    <row r="178" spans="10:16">
      <c r="J178" s="5"/>
      <c r="L178">
        <f>DigInv!M178</f>
        <v>-0.66529496799999999</v>
      </c>
      <c r="M178">
        <f>DigInv!N178</f>
        <v>17.2</v>
      </c>
      <c r="O178">
        <f>ABS(L178-DigInv!$C$34)</f>
        <v>3.7397840632312565</v>
      </c>
      <c r="P178">
        <f t="shared" si="3"/>
        <v>17.2</v>
      </c>
    </row>
    <row r="179" spans="10:16">
      <c r="J179" s="5"/>
      <c r="L179">
        <f>DigInv!M179</f>
        <v>-0.66392396200000003</v>
      </c>
      <c r="M179">
        <f>DigInv!N179</f>
        <v>17.3</v>
      </c>
      <c r="O179">
        <f>ABS(L179-DigInv!$C$34)</f>
        <v>3.7411550692312563</v>
      </c>
      <c r="P179">
        <f t="shared" si="3"/>
        <v>17.3</v>
      </c>
    </row>
    <row r="180" spans="10:16">
      <c r="J180" s="5"/>
      <c r="L180">
        <f>DigInv!M180</f>
        <v>-0.66215897999999995</v>
      </c>
      <c r="M180">
        <f>DigInv!N180</f>
        <v>17.399999999999999</v>
      </c>
      <c r="O180">
        <f>ABS(L180-DigInv!$C$34)</f>
        <v>3.7429200512312564</v>
      </c>
      <c r="P180">
        <f t="shared" si="3"/>
        <v>17.399999999999999</v>
      </c>
    </row>
    <row r="181" spans="10:16">
      <c r="J181" s="5"/>
      <c r="L181">
        <f>DigInv!M181</f>
        <v>-0.65891924999999996</v>
      </c>
      <c r="M181">
        <f>DigInv!N181</f>
        <v>17.5</v>
      </c>
      <c r="O181">
        <f>ABS(L181-DigInv!$C$34)</f>
        <v>3.7461597812312566</v>
      </c>
      <c r="P181">
        <f t="shared" si="3"/>
        <v>17.5</v>
      </c>
    </row>
    <row r="182" spans="10:16">
      <c r="J182" s="5"/>
      <c r="L182">
        <f>DigInv!M182</f>
        <v>-0.65567951999999996</v>
      </c>
      <c r="M182">
        <f>DigInv!N182</f>
        <v>17.600000000000001</v>
      </c>
      <c r="O182">
        <f>ABS(L182-DigInv!$C$34)</f>
        <v>3.7493995112312564</v>
      </c>
      <c r="P182">
        <f t="shared" si="3"/>
        <v>17.600000000000001</v>
      </c>
    </row>
    <row r="183" spans="10:16">
      <c r="J183" s="5"/>
      <c r="L183">
        <f>DigInv!M183</f>
        <v>-0.65296823699999995</v>
      </c>
      <c r="M183">
        <f>DigInv!N183</f>
        <v>17.7</v>
      </c>
      <c r="O183">
        <f>ABS(L183-DigInv!$C$34)</f>
        <v>3.7521107942312564</v>
      </c>
      <c r="P183">
        <f t="shared" si="3"/>
        <v>17.7</v>
      </c>
    </row>
    <row r="184" spans="10:16">
      <c r="J184" s="5"/>
      <c r="L184">
        <f>DigInv!M184</f>
        <v>-0.65118901799999995</v>
      </c>
      <c r="M184">
        <f>DigInv!N184</f>
        <v>17.8</v>
      </c>
      <c r="O184">
        <f>ABS(L184-DigInv!$C$34)</f>
        <v>3.7538900132312563</v>
      </c>
      <c r="P184">
        <f t="shared" si="3"/>
        <v>17.8</v>
      </c>
    </row>
    <row r="185" spans="10:16">
      <c r="J185" s="5"/>
      <c r="L185">
        <f>DigInv!M185</f>
        <v>-0.64940979899999995</v>
      </c>
      <c r="M185">
        <f>DigInv!N185</f>
        <v>17.899999999999999</v>
      </c>
      <c r="O185">
        <f>ABS(L185-DigInv!$C$34)</f>
        <v>3.7556692322312566</v>
      </c>
      <c r="P185">
        <f t="shared" si="3"/>
        <v>17.899999999999999</v>
      </c>
    </row>
    <row r="186" spans="10:16">
      <c r="J186" s="5"/>
      <c r="L186">
        <f>DigInv!M186</f>
        <v>-0.64851455999999996</v>
      </c>
      <c r="M186">
        <f>DigInv!N186</f>
        <v>18</v>
      </c>
      <c r="O186">
        <f>ABS(L186-DigInv!$C$34)</f>
        <v>3.7565644712312567</v>
      </c>
      <c r="P186">
        <f t="shared" si="3"/>
        <v>18</v>
      </c>
    </row>
    <row r="187" spans="10:16">
      <c r="J187" s="5"/>
      <c r="L187">
        <f>DigInv!M187</f>
        <v>-0.64845910200000001</v>
      </c>
      <c r="M187">
        <f>DigInv!N187</f>
        <v>18.100000000000001</v>
      </c>
      <c r="O187">
        <f>ABS(L187-DigInv!$C$34)</f>
        <v>3.7566199292312565</v>
      </c>
      <c r="P187">
        <f t="shared" si="3"/>
        <v>18.100000000000001</v>
      </c>
    </row>
    <row r="188" spans="10:16">
      <c r="J188" s="5"/>
      <c r="L188">
        <f>DigInv!M188</f>
        <v>-0.64840364399999995</v>
      </c>
      <c r="M188">
        <f>DigInv!N188</f>
        <v>18.2</v>
      </c>
      <c r="O188">
        <f>ABS(L188-DigInv!$C$34)</f>
        <v>3.7566753872312564</v>
      </c>
      <c r="P188">
        <f t="shared" si="3"/>
        <v>18.2</v>
      </c>
    </row>
    <row r="189" spans="10:16">
      <c r="J189" s="5"/>
      <c r="L189">
        <f>DigInv!M189</f>
        <v>-0.64834795300000003</v>
      </c>
      <c r="M189">
        <f>DigInv!N189</f>
        <v>18.3</v>
      </c>
      <c r="O189">
        <f>ABS(L189-DigInv!$C$34)</f>
        <v>3.7567310782312564</v>
      </c>
      <c r="P189">
        <f t="shared" si="3"/>
        <v>18.3</v>
      </c>
    </row>
    <row r="190" spans="10:16">
      <c r="J190" s="5"/>
      <c r="L190">
        <f>DigInv!M190</f>
        <v>-0.64829214400000001</v>
      </c>
      <c r="M190">
        <f>DigInv!N190</f>
        <v>18.399999999999999</v>
      </c>
      <c r="O190">
        <f>ABS(L190-DigInv!$C$34)</f>
        <v>3.7567868872312564</v>
      </c>
      <c r="P190">
        <f t="shared" si="3"/>
        <v>18.399999999999999</v>
      </c>
    </row>
    <row r="191" spans="10:16">
      <c r="J191" s="5"/>
      <c r="L191">
        <f>DigInv!M191</f>
        <v>-0.648236335</v>
      </c>
      <c r="M191">
        <f>DigInv!N191</f>
        <v>18.5</v>
      </c>
      <c r="O191">
        <f>ABS(L191-DigInv!$C$34)</f>
        <v>3.7568426962312564</v>
      </c>
      <c r="P191">
        <f t="shared" si="3"/>
        <v>18.5</v>
      </c>
    </row>
    <row r="192" spans="10:16">
      <c r="J192" s="5"/>
      <c r="L192">
        <f>DigInv!M192</f>
        <v>-0.64665786199999997</v>
      </c>
      <c r="M192">
        <f>DigInv!N192</f>
        <v>18.600000000000001</v>
      </c>
      <c r="O192">
        <f>ABS(L192-DigInv!$C$34)</f>
        <v>3.7584211692312564</v>
      </c>
      <c r="P192">
        <f t="shared" si="3"/>
        <v>18.600000000000001</v>
      </c>
    </row>
    <row r="193" spans="10:16">
      <c r="J193" s="5"/>
      <c r="L193">
        <f>DigInv!M193</f>
        <v>-0.64473332900000002</v>
      </c>
      <c r="M193">
        <f>DigInv!N193</f>
        <v>18.7</v>
      </c>
      <c r="O193">
        <f>ABS(L193-DigInv!$C$34)</f>
        <v>3.7603457022312563</v>
      </c>
      <c r="P193">
        <f t="shared" si="3"/>
        <v>18.7</v>
      </c>
    </row>
    <row r="194" spans="10:16">
      <c r="J194" s="5"/>
      <c r="L194">
        <f>DigInv!M194</f>
        <v>-0.64280879599999996</v>
      </c>
      <c r="M194">
        <f>DigInv!N194</f>
        <v>18.8</v>
      </c>
      <c r="O194">
        <f>ABS(L194-DigInv!$C$34)</f>
        <v>3.7622702352312567</v>
      </c>
      <c r="P194">
        <f t="shared" si="3"/>
        <v>18.8</v>
      </c>
    </row>
    <row r="195" spans="10:16">
      <c r="J195" s="5"/>
      <c r="L195">
        <f>DigInv!M195</f>
        <v>-0.64268503099999996</v>
      </c>
      <c r="M195">
        <f>DigInv!N195</f>
        <v>18.899999999999999</v>
      </c>
      <c r="O195">
        <f>ABS(L195-DigInv!$C$34)</f>
        <v>3.7623940002312564</v>
      </c>
      <c r="P195">
        <f t="shared" si="3"/>
        <v>18.899999999999999</v>
      </c>
    </row>
    <row r="196" spans="10:16">
      <c r="J196" s="5"/>
      <c r="L196">
        <f>DigInv!M196</f>
        <v>-0.64262501000000005</v>
      </c>
      <c r="M196">
        <f>DigInv!N196</f>
        <v>19</v>
      </c>
      <c r="O196">
        <f>ABS(L196-DigInv!$C$34)</f>
        <v>3.7624540212312563</v>
      </c>
      <c r="P196">
        <f t="shared" si="3"/>
        <v>19</v>
      </c>
    </row>
    <row r="197" spans="10:16">
      <c r="J197" s="5"/>
      <c r="L197">
        <f>DigInv!M197</f>
        <v>-0.64257200000000003</v>
      </c>
      <c r="M197">
        <f>DigInv!N197</f>
        <v>19.100000000000001</v>
      </c>
      <c r="O197">
        <f>ABS(L197-DigInv!$C$34)</f>
        <v>3.7625070312312565</v>
      </c>
      <c r="P197">
        <f t="shared" si="3"/>
        <v>19.100000000000001</v>
      </c>
    </row>
    <row r="198" spans="10:16">
      <c r="J198" s="5"/>
      <c r="L198">
        <f>DigInv!M198</f>
        <v>-0.64257200000000003</v>
      </c>
      <c r="M198">
        <f>DigInv!N198</f>
        <v>19.2</v>
      </c>
      <c r="O198">
        <f>ABS(L198-DigInv!$C$34)</f>
        <v>3.7625070312312565</v>
      </c>
      <c r="P198">
        <f t="shared" si="3"/>
        <v>19.2</v>
      </c>
    </row>
    <row r="199" spans="10:16">
      <c r="J199" s="5"/>
      <c r="L199">
        <f>DigInv!M199</f>
        <v>-0.64257200000000003</v>
      </c>
      <c r="M199">
        <f>DigInv!N199</f>
        <v>19.3</v>
      </c>
      <c r="O199">
        <f>ABS(L199-DigInv!$C$34)</f>
        <v>3.7625070312312565</v>
      </c>
      <c r="P199">
        <f t="shared" ref="P199:P262" si="4">M199</f>
        <v>19.3</v>
      </c>
    </row>
    <row r="200" spans="10:16">
      <c r="J200" s="5"/>
      <c r="L200">
        <f>DigInv!M200</f>
        <v>-0.64257200000000003</v>
      </c>
      <c r="M200">
        <f>DigInv!N200</f>
        <v>19.399999999999999</v>
      </c>
      <c r="O200">
        <f>ABS(L200-DigInv!$C$34)</f>
        <v>3.7625070312312565</v>
      </c>
      <c r="P200">
        <f t="shared" si="4"/>
        <v>19.399999999999999</v>
      </c>
    </row>
    <row r="201" spans="10:16">
      <c r="J201" s="5"/>
      <c r="L201">
        <f>DigInv!M201</f>
        <v>-0.64257200000000003</v>
      </c>
      <c r="M201">
        <f>DigInv!N201</f>
        <v>19.5</v>
      </c>
      <c r="O201">
        <f>ABS(L201-DigInv!$C$34)</f>
        <v>3.7625070312312565</v>
      </c>
      <c r="P201">
        <f t="shared" si="4"/>
        <v>19.5</v>
      </c>
    </row>
    <row r="202" spans="10:16">
      <c r="J202" s="5"/>
      <c r="L202">
        <f>DigInv!M202</f>
        <v>-0.64257200000000003</v>
      </c>
      <c r="M202">
        <f>DigInv!N202</f>
        <v>19.600000000000001</v>
      </c>
      <c r="O202">
        <f>ABS(L202-DigInv!$C$34)</f>
        <v>3.7625070312312565</v>
      </c>
      <c r="P202">
        <f t="shared" si="4"/>
        <v>19.600000000000001</v>
      </c>
    </row>
    <row r="203" spans="10:16">
      <c r="J203" s="5"/>
      <c r="L203">
        <f>DigInv!M203</f>
        <v>-0.64257200000000003</v>
      </c>
      <c r="M203">
        <f>DigInv!N203</f>
        <v>19.7</v>
      </c>
      <c r="O203">
        <f>ABS(L203-DigInv!$C$34)</f>
        <v>3.7625070312312565</v>
      </c>
      <c r="P203">
        <f t="shared" si="4"/>
        <v>19.7</v>
      </c>
    </row>
    <row r="204" spans="10:16">
      <c r="J204" s="5"/>
      <c r="L204">
        <f>DigInv!M204</f>
        <v>-0.64257200000000003</v>
      </c>
      <c r="M204">
        <f>DigInv!N204</f>
        <v>19.8</v>
      </c>
      <c r="O204">
        <f>ABS(L204-DigInv!$C$34)</f>
        <v>3.7625070312312565</v>
      </c>
      <c r="P204">
        <f t="shared" si="4"/>
        <v>19.8</v>
      </c>
    </row>
    <row r="205" spans="10:16">
      <c r="J205" s="5"/>
      <c r="L205">
        <f>DigInv!M205</f>
        <v>-0.64257200000000003</v>
      </c>
      <c r="M205">
        <f>DigInv!N205</f>
        <v>19.899999999999999</v>
      </c>
      <c r="O205">
        <f>ABS(L205-DigInv!$C$34)</f>
        <v>3.7625070312312565</v>
      </c>
      <c r="P205">
        <f t="shared" si="4"/>
        <v>19.899999999999999</v>
      </c>
    </row>
    <row r="206" spans="10:16">
      <c r="J206" s="5"/>
      <c r="L206">
        <f>DigInv!M206</f>
        <v>-0.64021439999999996</v>
      </c>
      <c r="M206">
        <f>DigInv!N206</f>
        <v>20</v>
      </c>
      <c r="O206">
        <f>ABS(L206-DigInv!$C$34)</f>
        <v>3.7648646312312564</v>
      </c>
      <c r="P206">
        <f t="shared" si="4"/>
        <v>20</v>
      </c>
    </row>
    <row r="207" spans="10:16">
      <c r="J207" s="5"/>
      <c r="L207">
        <f>DigInv!M207</f>
        <v>-0.63607681199999999</v>
      </c>
      <c r="M207">
        <f>DigInv!N207</f>
        <v>20.100000000000001</v>
      </c>
      <c r="O207">
        <f>ABS(L207-DigInv!$C$34)</f>
        <v>3.7690022192312567</v>
      </c>
      <c r="P207">
        <f t="shared" si="4"/>
        <v>20.100000000000001</v>
      </c>
    </row>
    <row r="208" spans="10:16">
      <c r="J208" s="5"/>
      <c r="L208">
        <f>DigInv!M208</f>
        <v>-0.63193922400000002</v>
      </c>
      <c r="M208">
        <f>DigInv!N208</f>
        <v>20.2</v>
      </c>
      <c r="O208">
        <f>ABS(L208-DigInv!$C$34)</f>
        <v>3.7731398072312565</v>
      </c>
      <c r="P208">
        <f t="shared" si="4"/>
        <v>20.2</v>
      </c>
    </row>
    <row r="209" spans="10:16">
      <c r="J209" s="5"/>
      <c r="L209">
        <f>DigInv!M209</f>
        <v>-0.62888953599999997</v>
      </c>
      <c r="M209">
        <f>DigInv!N209</f>
        <v>20.3</v>
      </c>
      <c r="O209">
        <f>ABS(L209-DigInv!$C$34)</f>
        <v>3.7761894952312565</v>
      </c>
      <c r="P209">
        <f t="shared" si="4"/>
        <v>20.3</v>
      </c>
    </row>
    <row r="210" spans="10:16">
      <c r="J210" s="5"/>
      <c r="L210">
        <f>DigInv!M210</f>
        <v>-0.62626124800000005</v>
      </c>
      <c r="M210">
        <f>DigInv!N210</f>
        <v>20.399999999999999</v>
      </c>
      <c r="O210">
        <f>ABS(L210-DigInv!$C$34)</f>
        <v>3.7788177832312564</v>
      </c>
      <c r="P210">
        <f t="shared" si="4"/>
        <v>20.399999999999999</v>
      </c>
    </row>
    <row r="211" spans="10:16">
      <c r="J211" s="5"/>
      <c r="L211">
        <f>DigInv!M211</f>
        <v>-0.62363296000000001</v>
      </c>
      <c r="M211">
        <f>DigInv!N211</f>
        <v>20.5</v>
      </c>
      <c r="O211">
        <f>ABS(L211-DigInv!$C$34)</f>
        <v>3.7814460712312563</v>
      </c>
      <c r="P211">
        <f t="shared" si="4"/>
        <v>20.5</v>
      </c>
    </row>
    <row r="212" spans="10:16">
      <c r="J212" s="5"/>
      <c r="L212">
        <f>DigInv!M212</f>
        <v>-0.62323265800000005</v>
      </c>
      <c r="M212">
        <f>DigInv!N212</f>
        <v>20.6</v>
      </c>
      <c r="O212">
        <f>ABS(L212-DigInv!$C$34)</f>
        <v>3.7818463732312564</v>
      </c>
      <c r="P212">
        <f t="shared" si="4"/>
        <v>20.6</v>
      </c>
    </row>
    <row r="213" spans="10:16">
      <c r="J213" s="5"/>
      <c r="L213">
        <f>DigInv!M213</f>
        <v>-0.62316000100000002</v>
      </c>
      <c r="M213">
        <f>DigInv!N213</f>
        <v>20.7</v>
      </c>
      <c r="O213">
        <f>ABS(L213-DigInv!$C$34)</f>
        <v>3.7819190302312564</v>
      </c>
      <c r="P213">
        <f t="shared" si="4"/>
        <v>20.7</v>
      </c>
    </row>
    <row r="214" spans="10:16">
      <c r="J214" s="5"/>
      <c r="L214">
        <f>DigInv!M214</f>
        <v>-0.623089</v>
      </c>
      <c r="M214">
        <f>DigInv!N214</f>
        <v>20.8</v>
      </c>
      <c r="O214">
        <f>ABS(L214-DigInv!$C$34)</f>
        <v>3.7819900312312562</v>
      </c>
      <c r="P214">
        <f t="shared" si="4"/>
        <v>20.8</v>
      </c>
    </row>
    <row r="215" spans="10:16">
      <c r="J215" s="5"/>
      <c r="L215">
        <f>DigInv!M215</f>
        <v>-0.623089</v>
      </c>
      <c r="M215">
        <f>DigInv!N215</f>
        <v>20.9</v>
      </c>
      <c r="O215">
        <f>ABS(L215-DigInv!$C$34)</f>
        <v>3.7819900312312562</v>
      </c>
      <c r="P215">
        <f t="shared" si="4"/>
        <v>20.9</v>
      </c>
    </row>
    <row r="216" spans="10:16">
      <c r="J216" s="5"/>
      <c r="L216">
        <f>DigInv!M216</f>
        <v>-0.623089</v>
      </c>
      <c r="M216">
        <f>DigInv!N216</f>
        <v>21</v>
      </c>
      <c r="O216">
        <f>ABS(L216-DigInv!$C$34)</f>
        <v>3.7819900312312562</v>
      </c>
      <c r="P216">
        <f t="shared" si="4"/>
        <v>21</v>
      </c>
    </row>
    <row r="217" spans="10:16">
      <c r="J217" s="5"/>
      <c r="L217">
        <f>DigInv!M217</f>
        <v>-0.623089</v>
      </c>
      <c r="M217">
        <f>DigInv!N217</f>
        <v>21.1</v>
      </c>
      <c r="O217">
        <f>ABS(L217-DigInv!$C$34)</f>
        <v>3.7819900312312562</v>
      </c>
      <c r="P217">
        <f t="shared" si="4"/>
        <v>21.1</v>
      </c>
    </row>
    <row r="218" spans="10:16">
      <c r="J218" s="5"/>
      <c r="L218">
        <f>DigInv!M218</f>
        <v>-0.623089</v>
      </c>
      <c r="M218">
        <f>DigInv!N218</f>
        <v>21.2</v>
      </c>
      <c r="O218">
        <f>ABS(L218-DigInv!$C$34)</f>
        <v>3.7819900312312562</v>
      </c>
      <c r="P218">
        <f t="shared" si="4"/>
        <v>21.2</v>
      </c>
    </row>
    <row r="219" spans="10:16">
      <c r="J219" s="5"/>
      <c r="L219">
        <f>DigInv!M219</f>
        <v>-0.623089</v>
      </c>
      <c r="M219">
        <f>DigInv!N219</f>
        <v>21.3</v>
      </c>
      <c r="O219">
        <f>ABS(L219-DigInv!$C$34)</f>
        <v>3.7819900312312562</v>
      </c>
      <c r="P219">
        <f t="shared" si="4"/>
        <v>21.3</v>
      </c>
    </row>
    <row r="220" spans="10:16">
      <c r="J220" s="5"/>
      <c r="L220">
        <f>DigInv!M220</f>
        <v>-0.62232759400000004</v>
      </c>
      <c r="M220">
        <f>DigInv!N220</f>
        <v>21.4</v>
      </c>
      <c r="O220">
        <f>ABS(L220-DigInv!$C$34)</f>
        <v>3.7827514372312563</v>
      </c>
      <c r="P220">
        <f t="shared" si="4"/>
        <v>21.4</v>
      </c>
    </row>
    <row r="221" spans="10:16">
      <c r="J221" s="5"/>
      <c r="L221">
        <f>DigInv!M221</f>
        <v>-0.61998326500000001</v>
      </c>
      <c r="M221">
        <f>DigInv!N221</f>
        <v>21.5</v>
      </c>
      <c r="O221">
        <f>ABS(L221-DigInv!$C$34)</f>
        <v>3.7850957662312563</v>
      </c>
      <c r="P221">
        <f t="shared" si="4"/>
        <v>21.5</v>
      </c>
    </row>
    <row r="222" spans="10:16">
      <c r="J222" s="5"/>
      <c r="L222">
        <f>DigInv!M222</f>
        <v>-0.61763893599999997</v>
      </c>
      <c r="M222">
        <f>DigInv!N222</f>
        <v>21.6</v>
      </c>
      <c r="O222">
        <f>ABS(L222-DigInv!$C$34)</f>
        <v>3.7874400952312564</v>
      </c>
      <c r="P222">
        <f t="shared" si="4"/>
        <v>21.6</v>
      </c>
    </row>
    <row r="223" spans="10:16">
      <c r="J223" s="5"/>
      <c r="L223">
        <f>DigInv!M223</f>
        <v>-0.61641000000000001</v>
      </c>
      <c r="M223">
        <f>DigInv!N223</f>
        <v>21.7</v>
      </c>
      <c r="O223">
        <f>ABS(L223-DigInv!$C$34)</f>
        <v>3.7886690312312563</v>
      </c>
      <c r="P223">
        <f t="shared" si="4"/>
        <v>21.7</v>
      </c>
    </row>
    <row r="224" spans="10:16">
      <c r="J224" s="5"/>
      <c r="L224">
        <f>DigInv!M224</f>
        <v>-0.61641000000000001</v>
      </c>
      <c r="M224">
        <f>DigInv!N224</f>
        <v>21.8</v>
      </c>
      <c r="O224">
        <f>ABS(L224-DigInv!$C$34)</f>
        <v>3.7886690312312563</v>
      </c>
      <c r="P224">
        <f t="shared" si="4"/>
        <v>21.8</v>
      </c>
    </row>
    <row r="225" spans="10:16">
      <c r="J225" s="5"/>
      <c r="L225">
        <f>DigInv!M225</f>
        <v>-0.61641000000000001</v>
      </c>
      <c r="M225">
        <f>DigInv!N225</f>
        <v>21.9</v>
      </c>
      <c r="O225">
        <f>ABS(L225-DigInv!$C$34)</f>
        <v>3.7886690312312563</v>
      </c>
      <c r="P225">
        <f t="shared" si="4"/>
        <v>21.9</v>
      </c>
    </row>
    <row r="226" spans="10:16">
      <c r="J226" s="5"/>
      <c r="L226">
        <f>DigInv!M226</f>
        <v>-0.61626502000000005</v>
      </c>
      <c r="M226">
        <f>DigInv!N226</f>
        <v>22</v>
      </c>
      <c r="O226">
        <f>ABS(L226-DigInv!$C$34)</f>
        <v>3.7888140112312563</v>
      </c>
      <c r="P226">
        <f t="shared" si="4"/>
        <v>22</v>
      </c>
    </row>
    <row r="227" spans="10:16">
      <c r="J227" s="5"/>
      <c r="L227">
        <f>DigInv!M227</f>
        <v>-0.61603371100000004</v>
      </c>
      <c r="M227">
        <f>DigInv!N227</f>
        <v>22.1</v>
      </c>
      <c r="O227">
        <f>ABS(L227-DigInv!$C$34)</f>
        <v>3.7890453202312564</v>
      </c>
      <c r="P227">
        <f t="shared" si="4"/>
        <v>22.1</v>
      </c>
    </row>
    <row r="228" spans="10:16">
      <c r="J228" s="5"/>
      <c r="L228">
        <f>DigInv!M228</f>
        <v>-0.61580240200000003</v>
      </c>
      <c r="M228">
        <f>DigInv!N228</f>
        <v>22.2</v>
      </c>
      <c r="O228">
        <f>ABS(L228-DigInv!$C$34)</f>
        <v>3.7892766292312565</v>
      </c>
      <c r="P228">
        <f t="shared" si="4"/>
        <v>22.2</v>
      </c>
    </row>
    <row r="229" spans="10:16">
      <c r="J229" s="5"/>
      <c r="L229">
        <f>DigInv!M229</f>
        <v>-0.61382307400000002</v>
      </c>
      <c r="M229">
        <f>DigInv!N229</f>
        <v>22.3</v>
      </c>
      <c r="O229">
        <f>ABS(L229-DigInv!$C$34)</f>
        <v>3.7912559572312565</v>
      </c>
      <c r="P229">
        <f t="shared" si="4"/>
        <v>22.3</v>
      </c>
    </row>
    <row r="230" spans="10:16">
      <c r="J230" s="5"/>
      <c r="L230">
        <f>DigInv!M230</f>
        <v>-0.61134431199999995</v>
      </c>
      <c r="M230">
        <f>DigInv!N230</f>
        <v>22.4</v>
      </c>
      <c r="O230">
        <f>ABS(L230-DigInv!$C$34)</f>
        <v>3.7937347192312565</v>
      </c>
      <c r="P230">
        <f t="shared" si="4"/>
        <v>22.4</v>
      </c>
    </row>
    <row r="231" spans="10:16">
      <c r="J231" s="5"/>
      <c r="L231">
        <f>DigInv!M231</f>
        <v>-0.60886554999999998</v>
      </c>
      <c r="M231">
        <f>DigInv!N231</f>
        <v>22.5</v>
      </c>
      <c r="O231">
        <f>ABS(L231-DigInv!$C$34)</f>
        <v>3.7962134812312565</v>
      </c>
      <c r="P231">
        <f t="shared" si="4"/>
        <v>22.5</v>
      </c>
    </row>
    <row r="232" spans="10:16">
      <c r="J232" s="5"/>
      <c r="L232">
        <f>DigInv!M232</f>
        <v>-0.60861369399999998</v>
      </c>
      <c r="M232">
        <f>DigInv!N232</f>
        <v>22.6</v>
      </c>
      <c r="O232">
        <f>ABS(L232-DigInv!$C$34)</f>
        <v>3.7964653372312567</v>
      </c>
      <c r="P232">
        <f t="shared" si="4"/>
        <v>22.6</v>
      </c>
    </row>
    <row r="233" spans="10:16">
      <c r="J233" s="5"/>
      <c r="L233">
        <f>DigInv!M233</f>
        <v>-0.60853261299999994</v>
      </c>
      <c r="M233">
        <f>DigInv!N233</f>
        <v>22.7</v>
      </c>
      <c r="O233">
        <f>ABS(L233-DigInv!$C$34)</f>
        <v>3.7965464182312565</v>
      </c>
      <c r="P233">
        <f t="shared" si="4"/>
        <v>22.7</v>
      </c>
    </row>
    <row r="234" spans="10:16">
      <c r="J234" s="5"/>
      <c r="L234">
        <f>DigInv!M234</f>
        <v>-0.60844500800000001</v>
      </c>
      <c r="M234">
        <f>DigInv!N234</f>
        <v>22.8</v>
      </c>
      <c r="O234">
        <f>ABS(L234-DigInv!$C$34)</f>
        <v>3.7966340232312565</v>
      </c>
      <c r="P234">
        <f t="shared" si="4"/>
        <v>22.8</v>
      </c>
    </row>
    <row r="235" spans="10:16">
      <c r="J235" s="5"/>
      <c r="L235">
        <f>DigInv!M235</f>
        <v>-0.60828214400000002</v>
      </c>
      <c r="M235">
        <f>DigInv!N235</f>
        <v>22.9</v>
      </c>
      <c r="O235">
        <f>ABS(L235-DigInv!$C$34)</f>
        <v>3.7967968872312565</v>
      </c>
      <c r="P235">
        <f t="shared" si="4"/>
        <v>22.9</v>
      </c>
    </row>
    <row r="236" spans="10:16">
      <c r="J236" s="5"/>
      <c r="L236">
        <f>DigInv!M236</f>
        <v>-0.60811928000000004</v>
      </c>
      <c r="M236">
        <f>DigInv!N236</f>
        <v>23</v>
      </c>
      <c r="O236">
        <f>ABS(L236-DigInv!$C$34)</f>
        <v>3.7969597512312565</v>
      </c>
      <c r="P236">
        <f t="shared" si="4"/>
        <v>23</v>
      </c>
    </row>
    <row r="237" spans="10:16">
      <c r="J237" s="5"/>
      <c r="L237">
        <f>DigInv!M237</f>
        <v>-0.60737143400000004</v>
      </c>
      <c r="M237">
        <f>DigInv!N237</f>
        <v>23.1</v>
      </c>
      <c r="O237">
        <f>ABS(L237-DigInv!$C$34)</f>
        <v>3.7977075972312564</v>
      </c>
      <c r="P237">
        <f t="shared" si="4"/>
        <v>23.1</v>
      </c>
    </row>
    <row r="238" spans="10:16">
      <c r="J238" s="5"/>
      <c r="L238">
        <f>DigInv!M238</f>
        <v>-0.60467364800000001</v>
      </c>
      <c r="M238">
        <f>DigInv!N238</f>
        <v>23.2</v>
      </c>
      <c r="O238">
        <f>ABS(L238-DigInv!$C$34)</f>
        <v>3.8004053832312565</v>
      </c>
      <c r="P238">
        <f t="shared" si="4"/>
        <v>23.2</v>
      </c>
    </row>
    <row r="239" spans="10:16">
      <c r="J239" s="5"/>
      <c r="L239">
        <f>DigInv!M239</f>
        <v>-0.60197586199999997</v>
      </c>
      <c r="M239">
        <f>DigInv!N239</f>
        <v>23.3</v>
      </c>
      <c r="O239">
        <f>ABS(L239-DigInv!$C$34)</f>
        <v>3.8031031692312567</v>
      </c>
      <c r="P239">
        <f t="shared" si="4"/>
        <v>23.3</v>
      </c>
    </row>
    <row r="240" spans="10:16">
      <c r="J240" s="5"/>
      <c r="L240">
        <f>DigInv!M240</f>
        <v>-0.60027543800000005</v>
      </c>
      <c r="M240">
        <f>DigInv!N240</f>
        <v>23.4</v>
      </c>
      <c r="O240">
        <f>ABS(L240-DigInv!$C$34)</f>
        <v>3.8048035932312563</v>
      </c>
      <c r="P240">
        <f t="shared" si="4"/>
        <v>23.4</v>
      </c>
    </row>
    <row r="241" spans="10:16">
      <c r="J241" s="5"/>
      <c r="L241">
        <f>DigInv!M241</f>
        <v>-0.60019014500000001</v>
      </c>
      <c r="M241">
        <f>DigInv!N241</f>
        <v>23.5</v>
      </c>
      <c r="O241">
        <f>ABS(L241-DigInv!$C$34)</f>
        <v>3.8048888862312564</v>
      </c>
      <c r="P241">
        <f t="shared" si="4"/>
        <v>23.5</v>
      </c>
    </row>
    <row r="242" spans="10:16">
      <c r="J242" s="5"/>
      <c r="L242">
        <f>DigInv!M242</f>
        <v>-0.60010485199999997</v>
      </c>
      <c r="M242">
        <f>DigInv!N242</f>
        <v>23.6</v>
      </c>
      <c r="O242">
        <f>ABS(L242-DigInv!$C$34)</f>
        <v>3.8049741792312566</v>
      </c>
      <c r="P242">
        <f t="shared" si="4"/>
        <v>23.6</v>
      </c>
    </row>
    <row r="243" spans="10:16">
      <c r="J243" s="5"/>
      <c r="L243">
        <f>DigInv!M243</f>
        <v>-0.60006499999999996</v>
      </c>
      <c r="M243">
        <f>DigInv!N243</f>
        <v>23.7</v>
      </c>
      <c r="O243">
        <f>ABS(L243-DigInv!$C$34)</f>
        <v>3.8050140312312566</v>
      </c>
      <c r="P243">
        <f t="shared" si="4"/>
        <v>23.7</v>
      </c>
    </row>
    <row r="244" spans="10:16">
      <c r="J244" s="5"/>
      <c r="L244">
        <f>DigInv!M244</f>
        <v>-0.60006499999999996</v>
      </c>
      <c r="M244">
        <f>DigInv!N244</f>
        <v>23.8</v>
      </c>
      <c r="O244">
        <f>ABS(L244-DigInv!$C$34)</f>
        <v>3.8050140312312566</v>
      </c>
      <c r="P244">
        <f t="shared" si="4"/>
        <v>23.8</v>
      </c>
    </row>
    <row r="245" spans="10:16">
      <c r="J245" s="5"/>
      <c r="L245">
        <f>DigInv!M245</f>
        <v>-0.60006499999999996</v>
      </c>
      <c r="M245">
        <f>DigInv!N245</f>
        <v>23.9</v>
      </c>
      <c r="O245">
        <f>ABS(L245-DigInv!$C$34)</f>
        <v>3.8050140312312566</v>
      </c>
      <c r="P245">
        <f t="shared" si="4"/>
        <v>23.9</v>
      </c>
    </row>
    <row r="246" spans="10:16">
      <c r="J246" s="5"/>
      <c r="L246">
        <f>DigInv!M246</f>
        <v>-0.60000620000000005</v>
      </c>
      <c r="M246">
        <f>DigInv!N246</f>
        <v>24</v>
      </c>
      <c r="O246">
        <f>ABS(L246-DigInv!$C$34)</f>
        <v>3.8050728312312563</v>
      </c>
      <c r="P246">
        <f t="shared" si="4"/>
        <v>24</v>
      </c>
    </row>
    <row r="247" spans="10:16">
      <c r="J247" s="5"/>
      <c r="L247">
        <f>DigInv!M247</f>
        <v>-0.59992020499999998</v>
      </c>
      <c r="M247">
        <f>DigInv!N247</f>
        <v>24.1</v>
      </c>
      <c r="O247">
        <f>ABS(L247-DigInv!$C$34)</f>
        <v>3.8051588262312563</v>
      </c>
      <c r="P247">
        <f t="shared" si="4"/>
        <v>24.1</v>
      </c>
    </row>
    <row r="248" spans="10:16">
      <c r="J248" s="5"/>
      <c r="L248">
        <f>DigInv!M248</f>
        <v>-0.59983421000000003</v>
      </c>
      <c r="M248">
        <f>DigInv!N248</f>
        <v>24.2</v>
      </c>
      <c r="O248">
        <f>ABS(L248-DigInv!$C$34)</f>
        <v>3.8052448212312564</v>
      </c>
      <c r="P248">
        <f t="shared" si="4"/>
        <v>24.2</v>
      </c>
    </row>
    <row r="249" spans="10:16">
      <c r="J249" s="5"/>
      <c r="L249">
        <f>DigInv!M249</f>
        <v>-0.59745490400000001</v>
      </c>
      <c r="M249">
        <f>DigInv!N249</f>
        <v>24.3</v>
      </c>
      <c r="O249">
        <f>ABS(L249-DigInv!$C$34)</f>
        <v>3.8076241272312563</v>
      </c>
      <c r="P249">
        <f t="shared" si="4"/>
        <v>24.3</v>
      </c>
    </row>
    <row r="250" spans="10:16">
      <c r="J250" s="5"/>
      <c r="L250">
        <f>DigInv!M250</f>
        <v>-0.59462163199999996</v>
      </c>
      <c r="M250">
        <f>DigInv!N250</f>
        <v>24.4</v>
      </c>
      <c r="O250">
        <f>ABS(L250-DigInv!$C$34)</f>
        <v>3.8104573992312565</v>
      </c>
      <c r="P250">
        <f t="shared" si="4"/>
        <v>24.4</v>
      </c>
    </row>
    <row r="251" spans="10:16">
      <c r="J251" s="5"/>
      <c r="L251">
        <f>DigInv!M251</f>
        <v>-0.59178836000000001</v>
      </c>
      <c r="M251">
        <f>DigInv!N251</f>
        <v>24.5</v>
      </c>
      <c r="O251">
        <f>ABS(L251-DigInv!$C$34)</f>
        <v>3.8132906712312566</v>
      </c>
      <c r="P251">
        <f t="shared" si="4"/>
        <v>24.5</v>
      </c>
    </row>
    <row r="252" spans="10:16">
      <c r="J252" s="5"/>
      <c r="L252">
        <f>DigInv!M252</f>
        <v>-0.59174800000000005</v>
      </c>
      <c r="M252">
        <f>DigInv!N252</f>
        <v>24.6</v>
      </c>
      <c r="O252">
        <f>ABS(L252-DigInv!$C$34)</f>
        <v>3.8133310312312565</v>
      </c>
      <c r="P252">
        <f t="shared" si="4"/>
        <v>24.6</v>
      </c>
    </row>
    <row r="253" spans="10:16">
      <c r="J253" s="5"/>
      <c r="L253">
        <f>DigInv!M253</f>
        <v>-0.59174800000000005</v>
      </c>
      <c r="M253">
        <f>DigInv!N253</f>
        <v>24.7</v>
      </c>
      <c r="O253">
        <f>ABS(L253-DigInv!$C$34)</f>
        <v>3.8133310312312565</v>
      </c>
      <c r="P253">
        <f t="shared" si="4"/>
        <v>24.7</v>
      </c>
    </row>
    <row r="254" spans="10:16">
      <c r="J254" s="5"/>
      <c r="L254">
        <f>DigInv!M254</f>
        <v>-0.59173571199999997</v>
      </c>
      <c r="M254">
        <f>DigInv!N254</f>
        <v>24.8</v>
      </c>
      <c r="O254">
        <f>ABS(L254-DigInv!$C$34)</f>
        <v>3.8133433192312562</v>
      </c>
      <c r="P254">
        <f t="shared" si="4"/>
        <v>24.8</v>
      </c>
    </row>
    <row r="255" spans="10:16">
      <c r="J255" s="5"/>
      <c r="L255">
        <f>DigInv!M255</f>
        <v>-0.59164585599999997</v>
      </c>
      <c r="M255">
        <f>DigInv!N255</f>
        <v>24.9</v>
      </c>
      <c r="O255">
        <f>ABS(L255-DigInv!$C$34)</f>
        <v>3.8134331752312565</v>
      </c>
      <c r="P255">
        <f t="shared" si="4"/>
        <v>24.9</v>
      </c>
    </row>
    <row r="256" spans="10:16">
      <c r="J256" s="5"/>
      <c r="L256">
        <f>DigInv!M256</f>
        <v>-0.59155599999999997</v>
      </c>
      <c r="M256">
        <f>DigInv!N256</f>
        <v>25</v>
      </c>
      <c r="O256">
        <f>ABS(L256-DigInv!$C$34)</f>
        <v>3.8135230312312567</v>
      </c>
      <c r="P256">
        <f t="shared" si="4"/>
        <v>25</v>
      </c>
    </row>
    <row r="257" spans="10:16">
      <c r="J257" s="5"/>
      <c r="L257">
        <f>DigInv!M257</f>
        <v>-0.591466245</v>
      </c>
      <c r="M257">
        <f>DigInv!N257</f>
        <v>25.1</v>
      </c>
      <c r="O257">
        <f>ABS(L257-DigInv!$C$34)</f>
        <v>3.8136127862312565</v>
      </c>
      <c r="P257">
        <f t="shared" si="4"/>
        <v>25.1</v>
      </c>
    </row>
    <row r="258" spans="10:16">
      <c r="J258" s="5"/>
      <c r="L258">
        <f>DigInv!M258</f>
        <v>-0.59137673999999996</v>
      </c>
      <c r="M258">
        <f>DigInv!N258</f>
        <v>25.2</v>
      </c>
      <c r="O258">
        <f>ABS(L258-DigInv!$C$34)</f>
        <v>3.8137022912312566</v>
      </c>
      <c r="P258">
        <f t="shared" si="4"/>
        <v>25.2</v>
      </c>
    </row>
    <row r="259" spans="10:16">
      <c r="J259" s="5"/>
      <c r="L259">
        <f>DigInv!M259</f>
        <v>-0.59128723500000002</v>
      </c>
      <c r="M259">
        <f>DigInv!N259</f>
        <v>25.3</v>
      </c>
      <c r="O259">
        <f>ABS(L259-DigInv!$C$34)</f>
        <v>3.8137917962312562</v>
      </c>
      <c r="P259">
        <f t="shared" si="4"/>
        <v>25.3</v>
      </c>
    </row>
    <row r="260" spans="10:16">
      <c r="J260" s="5"/>
      <c r="L260">
        <f>DigInv!M260</f>
        <v>-0.59123700000000001</v>
      </c>
      <c r="M260">
        <f>DigInv!N260</f>
        <v>25.4</v>
      </c>
      <c r="O260">
        <f>ABS(L260-DigInv!$C$34)</f>
        <v>3.8138420312312564</v>
      </c>
      <c r="P260">
        <f t="shared" si="4"/>
        <v>25.4</v>
      </c>
    </row>
    <row r="261" spans="10:16">
      <c r="J261" s="5"/>
      <c r="L261">
        <f>DigInv!M261</f>
        <v>-0.59123700000000001</v>
      </c>
      <c r="M261">
        <f>DigInv!N261</f>
        <v>25.5</v>
      </c>
      <c r="O261">
        <f>ABS(L261-DigInv!$C$34)</f>
        <v>3.8138420312312564</v>
      </c>
      <c r="P261">
        <f t="shared" si="4"/>
        <v>25.5</v>
      </c>
    </row>
    <row r="262" spans="10:16">
      <c r="J262" s="5"/>
      <c r="L262">
        <f>DigInv!M262</f>
        <v>-0.59123700000000001</v>
      </c>
      <c r="M262">
        <f>DigInv!N262</f>
        <v>25.6</v>
      </c>
      <c r="O262">
        <f>ABS(L262-DigInv!$C$34)</f>
        <v>3.8138420312312564</v>
      </c>
      <c r="P262">
        <f t="shared" si="4"/>
        <v>25.6</v>
      </c>
    </row>
    <row r="263" spans="10:16">
      <c r="J263" s="5"/>
      <c r="L263">
        <f>DigInv!M263</f>
        <v>-0.59123700000000001</v>
      </c>
      <c r="M263">
        <f>DigInv!N263</f>
        <v>25.7</v>
      </c>
      <c r="O263">
        <f>ABS(L263-DigInv!$C$34)</f>
        <v>3.8138420312312564</v>
      </c>
      <c r="P263">
        <f t="shared" ref="P263:P326" si="5">M263</f>
        <v>25.7</v>
      </c>
    </row>
    <row r="264" spans="10:16">
      <c r="J264" s="5"/>
      <c r="L264">
        <f>DigInv!M264</f>
        <v>-0.59123700000000001</v>
      </c>
      <c r="M264">
        <f>DigInv!N264</f>
        <v>25.8</v>
      </c>
      <c r="O264">
        <f>ABS(L264-DigInv!$C$34)</f>
        <v>3.8138420312312564</v>
      </c>
      <c r="P264">
        <f t="shared" si="5"/>
        <v>25.8</v>
      </c>
    </row>
    <row r="265" spans="10:16">
      <c r="J265" s="5"/>
      <c r="L265">
        <f>DigInv!M265</f>
        <v>-0.59123700000000001</v>
      </c>
      <c r="M265">
        <f>DigInv!N265</f>
        <v>25.9</v>
      </c>
      <c r="O265">
        <f>ABS(L265-DigInv!$C$34)</f>
        <v>3.8138420312312564</v>
      </c>
      <c r="P265">
        <f t="shared" si="5"/>
        <v>25.9</v>
      </c>
    </row>
    <row r="266" spans="10:16">
      <c r="J266" s="5"/>
      <c r="L266">
        <f>DigInv!M266</f>
        <v>-0.59117017999999999</v>
      </c>
      <c r="M266">
        <f>DigInv!N266</f>
        <v>26</v>
      </c>
      <c r="O266">
        <f>ABS(L266-DigInv!$C$34)</f>
        <v>3.8139088512312567</v>
      </c>
      <c r="P266">
        <f t="shared" si="5"/>
        <v>26</v>
      </c>
    </row>
    <row r="267" spans="10:16">
      <c r="J267" s="5"/>
      <c r="L267">
        <f>DigInv!M267</f>
        <v>-0.59107997300000004</v>
      </c>
      <c r="M267">
        <f>DigInv!N267</f>
        <v>26.1</v>
      </c>
      <c r="O267">
        <f>ABS(L267-DigInv!$C$34)</f>
        <v>3.8139990582312562</v>
      </c>
      <c r="P267">
        <f t="shared" si="5"/>
        <v>26.1</v>
      </c>
    </row>
    <row r="268" spans="10:16">
      <c r="J268" s="5"/>
      <c r="L268">
        <f>DigInv!M268</f>
        <v>-0.59098976599999997</v>
      </c>
      <c r="M268">
        <f>DigInv!N268</f>
        <v>26.2</v>
      </c>
      <c r="O268">
        <f>ABS(L268-DigInv!$C$34)</f>
        <v>3.8140892652312566</v>
      </c>
      <c r="P268">
        <f t="shared" si="5"/>
        <v>26.2</v>
      </c>
    </row>
    <row r="269" spans="10:16">
      <c r="J269" s="5"/>
      <c r="L269">
        <f>DigInv!M269</f>
        <v>-0.58841433899999995</v>
      </c>
      <c r="M269">
        <f>DigInv!N269</f>
        <v>26.3</v>
      </c>
      <c r="O269">
        <f>ABS(L269-DigInv!$C$34)</f>
        <v>3.8166646922312566</v>
      </c>
      <c r="P269">
        <f t="shared" si="5"/>
        <v>26.3</v>
      </c>
    </row>
    <row r="270" spans="10:16">
      <c r="J270" s="5"/>
      <c r="L270">
        <f>DigInv!M270</f>
        <v>-0.58553719199999998</v>
      </c>
      <c r="M270">
        <f>DigInv!N270</f>
        <v>26.4</v>
      </c>
      <c r="O270">
        <f>ABS(L270-DigInv!$C$34)</f>
        <v>3.8195418392312566</v>
      </c>
      <c r="P270">
        <f t="shared" si="5"/>
        <v>26.4</v>
      </c>
    </row>
    <row r="271" spans="10:16">
      <c r="J271" s="5"/>
      <c r="L271">
        <f>DigInv!M271</f>
        <v>-0.58277497499999997</v>
      </c>
      <c r="M271">
        <f>DigInv!N271</f>
        <v>26.5</v>
      </c>
      <c r="O271">
        <f>ABS(L271-DigInv!$C$34)</f>
        <v>3.8223040562312565</v>
      </c>
      <c r="P271">
        <f t="shared" si="5"/>
        <v>26.5</v>
      </c>
    </row>
    <row r="272" spans="10:16">
      <c r="J272" s="5"/>
      <c r="L272">
        <f>DigInv!M272</f>
        <v>-0.58258719000000003</v>
      </c>
      <c r="M272">
        <f>DigInv!N272</f>
        <v>26.6</v>
      </c>
      <c r="O272">
        <f>ABS(L272-DigInv!$C$34)</f>
        <v>3.8224918412312565</v>
      </c>
      <c r="P272">
        <f t="shared" si="5"/>
        <v>26.6</v>
      </c>
    </row>
    <row r="273" spans="10:16">
      <c r="J273" s="5"/>
      <c r="L273">
        <f>DigInv!M273</f>
        <v>-0.58239940499999998</v>
      </c>
      <c r="M273">
        <f>DigInv!N273</f>
        <v>26.7</v>
      </c>
      <c r="O273">
        <f>ABS(L273-DigInv!$C$34)</f>
        <v>3.8226796262312566</v>
      </c>
      <c r="P273">
        <f t="shared" si="5"/>
        <v>26.7</v>
      </c>
    </row>
    <row r="274" spans="10:16">
      <c r="J274" s="5"/>
      <c r="L274">
        <f>DigInv!M274</f>
        <v>-0.58224799999999999</v>
      </c>
      <c r="M274">
        <f>DigInv!N274</f>
        <v>26.8</v>
      </c>
      <c r="O274">
        <f>ABS(L274-DigInv!$C$34)</f>
        <v>3.8228310312312566</v>
      </c>
      <c r="P274">
        <f t="shared" si="5"/>
        <v>26.8</v>
      </c>
    </row>
    <row r="275" spans="10:16">
      <c r="J275" s="5"/>
      <c r="L275">
        <f>DigInv!M275</f>
        <v>-0.58224799999999999</v>
      </c>
      <c r="M275">
        <f>DigInv!N275</f>
        <v>26.9</v>
      </c>
      <c r="O275">
        <f>ABS(L275-DigInv!$C$34)</f>
        <v>3.8228310312312566</v>
      </c>
      <c r="P275">
        <f t="shared" si="5"/>
        <v>26.9</v>
      </c>
    </row>
    <row r="276" spans="10:16">
      <c r="J276" s="5"/>
      <c r="L276">
        <f>DigInv!M276</f>
        <v>-0.58224799999999999</v>
      </c>
      <c r="M276">
        <f>DigInv!N276</f>
        <v>27</v>
      </c>
      <c r="O276">
        <f>ABS(L276-DigInv!$C$34)</f>
        <v>3.8228310312312566</v>
      </c>
      <c r="P276">
        <f t="shared" si="5"/>
        <v>27</v>
      </c>
    </row>
    <row r="277" spans="10:16">
      <c r="J277" s="5"/>
      <c r="L277">
        <f>DigInv!M277</f>
        <v>-0.58131436400000003</v>
      </c>
      <c r="M277">
        <f>DigInv!N277</f>
        <v>27.1</v>
      </c>
      <c r="O277">
        <f>ABS(L277-DigInv!$C$34)</f>
        <v>3.8237646672312566</v>
      </c>
      <c r="P277">
        <f t="shared" si="5"/>
        <v>27.1</v>
      </c>
    </row>
    <row r="278" spans="10:16">
      <c r="J278" s="5"/>
      <c r="L278">
        <f>DigInv!M278</f>
        <v>-0.57860604800000004</v>
      </c>
      <c r="M278">
        <f>DigInv!N278</f>
        <v>27.2</v>
      </c>
      <c r="O278">
        <f>ABS(L278-DigInv!$C$34)</f>
        <v>3.8264729832312563</v>
      </c>
      <c r="P278">
        <f t="shared" si="5"/>
        <v>27.2</v>
      </c>
    </row>
    <row r="279" spans="10:16">
      <c r="J279" s="5"/>
      <c r="L279">
        <f>DigInv!M279</f>
        <v>-0.57589773200000005</v>
      </c>
      <c r="M279">
        <f>DigInv!N279</f>
        <v>27.3</v>
      </c>
      <c r="O279">
        <f>ABS(L279-DigInv!$C$34)</f>
        <v>3.8291812992312564</v>
      </c>
      <c r="P279">
        <f t="shared" si="5"/>
        <v>27.3</v>
      </c>
    </row>
    <row r="280" spans="10:16">
      <c r="J280" s="5"/>
      <c r="L280">
        <f>DigInv!M280</f>
        <v>-0.57438688400000004</v>
      </c>
      <c r="M280">
        <f>DigInv!N280</f>
        <v>27.4</v>
      </c>
      <c r="O280">
        <f>ABS(L280-DigInv!$C$34)</f>
        <v>3.8306921472312565</v>
      </c>
      <c r="P280">
        <f t="shared" si="5"/>
        <v>27.4</v>
      </c>
    </row>
    <row r="281" spans="10:16">
      <c r="J281" s="5"/>
      <c r="L281">
        <f>DigInv!M281</f>
        <v>-0.57409414999999997</v>
      </c>
      <c r="M281">
        <f>DigInv!N281</f>
        <v>27.5</v>
      </c>
      <c r="O281">
        <f>ABS(L281-DigInv!$C$34)</f>
        <v>3.8309848812312564</v>
      </c>
      <c r="P281">
        <f t="shared" si="5"/>
        <v>27.5</v>
      </c>
    </row>
    <row r="282" spans="10:16">
      <c r="J282" s="5"/>
      <c r="L282">
        <f>DigInv!M282</f>
        <v>-0.57380141600000001</v>
      </c>
      <c r="M282">
        <f>DigInv!N282</f>
        <v>27.6</v>
      </c>
      <c r="O282">
        <f>ABS(L282-DigInv!$C$34)</f>
        <v>3.8312776152312562</v>
      </c>
      <c r="P282">
        <f t="shared" si="5"/>
        <v>27.6</v>
      </c>
    </row>
    <row r="283" spans="10:16">
      <c r="J283" s="5"/>
      <c r="L283">
        <f>DigInv!M283</f>
        <v>-0.57363489400000001</v>
      </c>
      <c r="M283">
        <f>DigInv!N283</f>
        <v>27.7</v>
      </c>
      <c r="O283">
        <f>ABS(L283-DigInv!$C$34)</f>
        <v>3.8314441372312564</v>
      </c>
      <c r="P283">
        <f t="shared" si="5"/>
        <v>27.7</v>
      </c>
    </row>
    <row r="284" spans="10:16">
      <c r="J284" s="5"/>
      <c r="L284">
        <f>DigInv!M284</f>
        <v>-0.57353731600000002</v>
      </c>
      <c r="M284">
        <f>DigInv!N284</f>
        <v>27.8</v>
      </c>
      <c r="O284">
        <f>ABS(L284-DigInv!$C$34)</f>
        <v>3.8315417152312565</v>
      </c>
      <c r="P284">
        <f t="shared" si="5"/>
        <v>27.8</v>
      </c>
    </row>
    <row r="285" spans="10:16">
      <c r="J285" s="5"/>
      <c r="L285">
        <f>DigInv!M285</f>
        <v>-0.57343973800000003</v>
      </c>
      <c r="M285">
        <f>DigInv!N285</f>
        <v>27.9</v>
      </c>
      <c r="O285">
        <f>ABS(L285-DigInv!$C$34)</f>
        <v>3.8316392932312562</v>
      </c>
      <c r="P285">
        <f t="shared" si="5"/>
        <v>27.9</v>
      </c>
    </row>
    <row r="286" spans="10:16">
      <c r="J286" s="5"/>
      <c r="L286">
        <f>DigInv!M286</f>
        <v>-0.57334216000000005</v>
      </c>
      <c r="M286">
        <f>DigInv!N286</f>
        <v>28</v>
      </c>
      <c r="O286">
        <f>ABS(L286-DigInv!$C$34)</f>
        <v>3.8317368712312563</v>
      </c>
      <c r="P286">
        <f t="shared" si="5"/>
        <v>28</v>
      </c>
    </row>
    <row r="287" spans="10:16">
      <c r="J287" s="5"/>
      <c r="L287">
        <f>DigInv!M287</f>
        <v>-0.57324458199999995</v>
      </c>
      <c r="M287">
        <f>DigInv!N287</f>
        <v>28.1</v>
      </c>
      <c r="O287">
        <f>ABS(L287-DigInv!$C$34)</f>
        <v>3.8318344492312564</v>
      </c>
      <c r="P287">
        <f t="shared" si="5"/>
        <v>28.1</v>
      </c>
    </row>
    <row r="288" spans="10:16">
      <c r="J288" s="5"/>
      <c r="L288">
        <f>DigInv!M288</f>
        <v>-0.57314700399999996</v>
      </c>
      <c r="M288">
        <f>DigInv!N288</f>
        <v>28.2</v>
      </c>
      <c r="O288">
        <f>ABS(L288-DigInv!$C$34)</f>
        <v>3.8319320272312565</v>
      </c>
      <c r="P288">
        <f t="shared" si="5"/>
        <v>28.2</v>
      </c>
    </row>
    <row r="289" spans="10:16">
      <c r="J289" s="5"/>
      <c r="L289">
        <f>DigInv!M289</f>
        <v>-0.57304909299999995</v>
      </c>
      <c r="M289">
        <f>DigInv!N289</f>
        <v>28.3</v>
      </c>
      <c r="O289">
        <f>ABS(L289-DigInv!$C$34)</f>
        <v>3.8320299382312566</v>
      </c>
      <c r="P289">
        <f t="shared" si="5"/>
        <v>28.3</v>
      </c>
    </row>
    <row r="290" spans="10:16">
      <c r="J290" s="5"/>
      <c r="L290">
        <f>DigInv!M290</f>
        <v>-0.57295116400000001</v>
      </c>
      <c r="M290">
        <f>DigInv!N290</f>
        <v>28.4</v>
      </c>
      <c r="O290">
        <f>ABS(L290-DigInv!$C$34)</f>
        <v>3.8321278672312564</v>
      </c>
      <c r="P290">
        <f t="shared" si="5"/>
        <v>28.4</v>
      </c>
    </row>
    <row r="291" spans="10:16">
      <c r="J291" s="5"/>
      <c r="L291">
        <f>DigInv!M291</f>
        <v>-0.57253109499999999</v>
      </c>
      <c r="M291">
        <f>DigInv!N291</f>
        <v>28.5</v>
      </c>
      <c r="O291">
        <f>ABS(L291-DigInv!$C$34)</f>
        <v>3.8325479362312564</v>
      </c>
      <c r="P291">
        <f t="shared" si="5"/>
        <v>28.5</v>
      </c>
    </row>
    <row r="292" spans="10:16">
      <c r="J292" s="5"/>
      <c r="L292">
        <f>DigInv!M292</f>
        <v>-0.56920256199999997</v>
      </c>
      <c r="M292">
        <f>DigInv!N292</f>
        <v>28.6</v>
      </c>
      <c r="O292">
        <f>ABS(L292-DigInv!$C$34)</f>
        <v>3.8358764692312564</v>
      </c>
      <c r="P292">
        <f t="shared" si="5"/>
        <v>28.6</v>
      </c>
    </row>
    <row r="293" spans="10:16">
      <c r="J293" s="5"/>
      <c r="L293">
        <f>DigInv!M293</f>
        <v>-0.56587402899999995</v>
      </c>
      <c r="M293">
        <f>DigInv!N293</f>
        <v>28.7</v>
      </c>
      <c r="O293">
        <f>ABS(L293-DigInv!$C$34)</f>
        <v>3.8392050022312567</v>
      </c>
      <c r="P293">
        <f t="shared" si="5"/>
        <v>28.7</v>
      </c>
    </row>
    <row r="294" spans="10:16">
      <c r="J294" s="5"/>
      <c r="L294">
        <f>DigInv!M294</f>
        <v>-0.56337999999999999</v>
      </c>
      <c r="M294">
        <f>DigInv!N294</f>
        <v>28.8</v>
      </c>
      <c r="O294">
        <f>ABS(L294-DigInv!$C$34)</f>
        <v>3.8416990312312564</v>
      </c>
      <c r="P294">
        <f t="shared" si="5"/>
        <v>28.8</v>
      </c>
    </row>
    <row r="295" spans="10:16">
      <c r="J295" s="5"/>
      <c r="L295">
        <f>DigInv!M295</f>
        <v>-0.56337999999999999</v>
      </c>
      <c r="M295">
        <f>DigInv!N295</f>
        <v>28.9</v>
      </c>
      <c r="O295">
        <f>ABS(L295-DigInv!$C$34)</f>
        <v>3.8416990312312564</v>
      </c>
      <c r="P295">
        <f t="shared" si="5"/>
        <v>28.9</v>
      </c>
    </row>
    <row r="296" spans="10:16">
      <c r="J296" s="5"/>
      <c r="L296">
        <f>DigInv!M296</f>
        <v>-0.56337999999999999</v>
      </c>
      <c r="M296">
        <f>DigInv!N296</f>
        <v>29</v>
      </c>
      <c r="O296">
        <f>ABS(L296-DigInv!$C$34)</f>
        <v>3.8416990312312564</v>
      </c>
      <c r="P296">
        <f t="shared" si="5"/>
        <v>29</v>
      </c>
    </row>
    <row r="297" spans="10:16">
      <c r="J297" s="5"/>
      <c r="L297">
        <f>DigInv!M297</f>
        <v>-0.56333911000000003</v>
      </c>
      <c r="M297">
        <f>DigInv!N297</f>
        <v>29.1</v>
      </c>
      <c r="O297">
        <f>ABS(L297-DigInv!$C$34)</f>
        <v>3.8417399212312562</v>
      </c>
      <c r="P297">
        <f t="shared" si="5"/>
        <v>29.1</v>
      </c>
    </row>
    <row r="298" spans="10:16">
      <c r="J298" s="5"/>
      <c r="L298">
        <f>DigInv!M298</f>
        <v>-0.56323732000000004</v>
      </c>
      <c r="M298">
        <f>DigInv!N298</f>
        <v>29.2</v>
      </c>
      <c r="O298">
        <f>ABS(L298-DigInv!$C$34)</f>
        <v>3.8418417112312566</v>
      </c>
      <c r="P298">
        <f t="shared" si="5"/>
        <v>29.2</v>
      </c>
    </row>
    <row r="299" spans="10:16">
      <c r="J299" s="5"/>
      <c r="L299">
        <f>DigInv!M299</f>
        <v>-0.56313553000000005</v>
      </c>
      <c r="M299">
        <f>DigInv!N299</f>
        <v>29.3</v>
      </c>
      <c r="O299">
        <f>ABS(L299-DigInv!$C$34)</f>
        <v>3.8419435012312562</v>
      </c>
      <c r="P299">
        <f t="shared" si="5"/>
        <v>29.3</v>
      </c>
    </row>
    <row r="300" spans="10:16">
      <c r="J300" s="5"/>
      <c r="L300">
        <f>DigInv!M300</f>
        <v>-0.56308999999999998</v>
      </c>
      <c r="M300">
        <f>DigInv!N300</f>
        <v>29.4</v>
      </c>
      <c r="O300">
        <f>ABS(L300-DigInv!$C$34)</f>
        <v>3.8419890312312566</v>
      </c>
      <c r="P300">
        <f t="shared" si="5"/>
        <v>29.4</v>
      </c>
    </row>
    <row r="301" spans="10:16">
      <c r="J301" s="5"/>
      <c r="L301">
        <f>DigInv!M301</f>
        <v>-0.56308999999999998</v>
      </c>
      <c r="M301">
        <f>DigInv!N301</f>
        <v>29.5</v>
      </c>
      <c r="O301">
        <f>ABS(L301-DigInv!$C$34)</f>
        <v>3.8419890312312566</v>
      </c>
      <c r="P301">
        <f t="shared" si="5"/>
        <v>29.5</v>
      </c>
    </row>
    <row r="302" spans="10:16">
      <c r="J302" s="5"/>
      <c r="L302">
        <f>DigInv!M302</f>
        <v>-0.56308999999999998</v>
      </c>
      <c r="M302">
        <f>DigInv!N302</f>
        <v>29.6</v>
      </c>
      <c r="O302">
        <f>ABS(L302-DigInv!$C$34)</f>
        <v>3.8419890312312566</v>
      </c>
      <c r="P302">
        <f t="shared" si="5"/>
        <v>29.6</v>
      </c>
    </row>
    <row r="303" spans="10:16">
      <c r="J303" s="5"/>
      <c r="L303">
        <f>DigInv!M303</f>
        <v>-0.56080599099999995</v>
      </c>
      <c r="M303">
        <f>DigInv!N303</f>
        <v>29.7</v>
      </c>
      <c r="O303">
        <f>ABS(L303-DigInv!$C$34)</f>
        <v>3.8442730402312564</v>
      </c>
      <c r="P303">
        <f t="shared" si="5"/>
        <v>29.7</v>
      </c>
    </row>
    <row r="304" spans="10:16">
      <c r="J304" s="5"/>
      <c r="L304">
        <f>DigInv!M304</f>
        <v>-0.55756029399999996</v>
      </c>
      <c r="M304">
        <f>DigInv!N304</f>
        <v>29.8</v>
      </c>
      <c r="O304">
        <f>ABS(L304-DigInv!$C$34)</f>
        <v>3.8475187372312565</v>
      </c>
      <c r="P304">
        <f t="shared" si="5"/>
        <v>29.8</v>
      </c>
    </row>
    <row r="305" spans="10:16">
      <c r="J305" s="5"/>
      <c r="L305">
        <f>DigInv!M305</f>
        <v>-0.55431459699999996</v>
      </c>
      <c r="M305">
        <f>DigInv!N305</f>
        <v>29.9</v>
      </c>
      <c r="O305">
        <f>ABS(L305-DigInv!$C$34)</f>
        <v>3.8507644342312566</v>
      </c>
      <c r="P305">
        <f t="shared" si="5"/>
        <v>29.9</v>
      </c>
    </row>
    <row r="306" spans="10:16">
      <c r="J306" s="5"/>
      <c r="L306">
        <f>DigInv!M306</f>
        <v>-0.55375269999999999</v>
      </c>
      <c r="M306">
        <f>DigInv!N306</f>
        <v>30</v>
      </c>
      <c r="O306">
        <f>ABS(L306-DigInv!$C$34)</f>
        <v>3.8513263312312565</v>
      </c>
      <c r="P306">
        <f t="shared" si="5"/>
        <v>30</v>
      </c>
    </row>
    <row r="307" spans="10:16">
      <c r="J307" s="5"/>
      <c r="L307">
        <f>DigInv!M307</f>
        <v>-0.55364704899999995</v>
      </c>
      <c r="M307">
        <f>DigInv!N307</f>
        <v>30.1</v>
      </c>
      <c r="O307">
        <f>ABS(L307-DigInv!$C$34)</f>
        <v>3.8514319822312566</v>
      </c>
      <c r="P307">
        <f t="shared" si="5"/>
        <v>30.1</v>
      </c>
    </row>
    <row r="308" spans="10:16">
      <c r="J308" s="5"/>
      <c r="L308">
        <f>DigInv!M308</f>
        <v>-0.553540798</v>
      </c>
      <c r="M308">
        <f>DigInv!N308</f>
        <v>30.2</v>
      </c>
      <c r="O308">
        <f>ABS(L308-DigInv!$C$34)</f>
        <v>3.8515382332312562</v>
      </c>
      <c r="P308">
        <f t="shared" si="5"/>
        <v>30.2</v>
      </c>
    </row>
    <row r="309" spans="10:16">
      <c r="J309" s="5"/>
      <c r="L309">
        <f>DigInv!M309</f>
        <v>-0.55332984699999999</v>
      </c>
      <c r="M309">
        <f>DigInv!N309</f>
        <v>30.3</v>
      </c>
      <c r="O309">
        <f>ABS(L309-DigInv!$C$34)</f>
        <v>3.8517491842312563</v>
      </c>
      <c r="P309">
        <f t="shared" si="5"/>
        <v>30.3</v>
      </c>
    </row>
    <row r="310" spans="10:16">
      <c r="J310" s="5"/>
      <c r="L310">
        <f>DigInv!M310</f>
        <v>-0.55311889599999997</v>
      </c>
      <c r="M310">
        <f>DigInv!N310</f>
        <v>30.4</v>
      </c>
      <c r="O310">
        <f>ABS(L310-DigInv!$C$34)</f>
        <v>3.8519601352312565</v>
      </c>
      <c r="P310">
        <f t="shared" si="5"/>
        <v>30.4</v>
      </c>
    </row>
    <row r="311" spans="10:16">
      <c r="J311" s="5"/>
      <c r="L311">
        <f>DigInv!M311</f>
        <v>-0.55294100000000002</v>
      </c>
      <c r="M311">
        <f>DigInv!N311</f>
        <v>30.5</v>
      </c>
      <c r="O311">
        <f>ABS(L311-DigInv!$C$34)</f>
        <v>3.8521380312312563</v>
      </c>
      <c r="P311">
        <f t="shared" si="5"/>
        <v>30.5</v>
      </c>
    </row>
    <row r="312" spans="10:16">
      <c r="J312" s="5"/>
      <c r="L312">
        <f>DigInv!M312</f>
        <v>-0.55294100000000002</v>
      </c>
      <c r="M312">
        <f>DigInv!N312</f>
        <v>30.6</v>
      </c>
      <c r="O312">
        <f>ABS(L312-DigInv!$C$34)</f>
        <v>3.8521380312312563</v>
      </c>
      <c r="P312">
        <f t="shared" si="5"/>
        <v>30.6</v>
      </c>
    </row>
    <row r="313" spans="10:16">
      <c r="J313" s="5"/>
      <c r="L313">
        <f>DigInv!M313</f>
        <v>-0.55294100000000002</v>
      </c>
      <c r="M313">
        <f>DigInv!N313</f>
        <v>30.7</v>
      </c>
      <c r="O313">
        <f>ABS(L313-DigInv!$C$34)</f>
        <v>3.8521380312312563</v>
      </c>
      <c r="P313">
        <f t="shared" si="5"/>
        <v>30.7</v>
      </c>
    </row>
    <row r="314" spans="10:16">
      <c r="J314" s="5"/>
      <c r="L314">
        <f>DigInv!M314</f>
        <v>-0.55294100000000002</v>
      </c>
      <c r="M314">
        <f>DigInv!N314</f>
        <v>30.8</v>
      </c>
      <c r="O314">
        <f>ABS(L314-DigInv!$C$34)</f>
        <v>3.8521380312312563</v>
      </c>
      <c r="P314">
        <f t="shared" si="5"/>
        <v>30.8</v>
      </c>
    </row>
    <row r="315" spans="10:16">
      <c r="J315" s="5"/>
      <c r="L315">
        <f>DigInv!M315</f>
        <v>-0.55294100000000002</v>
      </c>
      <c r="M315">
        <f>DigInv!N315</f>
        <v>30.9</v>
      </c>
      <c r="O315">
        <f>ABS(L315-DigInv!$C$34)</f>
        <v>3.8521380312312563</v>
      </c>
      <c r="P315">
        <f t="shared" si="5"/>
        <v>30.9</v>
      </c>
    </row>
    <row r="316" spans="10:16">
      <c r="J316" s="5"/>
      <c r="L316">
        <f>DigInv!M316</f>
        <v>-0.55294100000000002</v>
      </c>
      <c r="M316">
        <f>DigInv!N316</f>
        <v>31</v>
      </c>
      <c r="O316">
        <f>ABS(L316-DigInv!$C$34)</f>
        <v>3.8521380312312563</v>
      </c>
      <c r="P316">
        <f t="shared" si="5"/>
        <v>31</v>
      </c>
    </row>
    <row r="317" spans="10:16">
      <c r="J317" s="5"/>
      <c r="L317">
        <f>DigInv!M317</f>
        <v>-0.55294100000000002</v>
      </c>
      <c r="M317">
        <f>DigInv!N317</f>
        <v>31.1</v>
      </c>
      <c r="O317">
        <f>ABS(L317-DigInv!$C$34)</f>
        <v>3.8521380312312563</v>
      </c>
      <c r="P317">
        <f t="shared" si="5"/>
        <v>31.1</v>
      </c>
    </row>
    <row r="318" spans="10:16">
      <c r="J318" s="5"/>
      <c r="L318">
        <f>DigInv!M318</f>
        <v>-0.55294100000000002</v>
      </c>
      <c r="M318">
        <f>DigInv!N318</f>
        <v>31.2</v>
      </c>
      <c r="O318">
        <f>ABS(L318-DigInv!$C$34)</f>
        <v>3.8521380312312563</v>
      </c>
      <c r="P318">
        <f t="shared" si="5"/>
        <v>31.2</v>
      </c>
    </row>
    <row r="319" spans="10:16">
      <c r="J319" s="5"/>
      <c r="L319">
        <f>DigInv!M319</f>
        <v>-0.55294100000000002</v>
      </c>
      <c r="M319">
        <f>DigInv!N319</f>
        <v>31.3</v>
      </c>
      <c r="O319">
        <f>ABS(L319-DigInv!$C$34)</f>
        <v>3.8521380312312563</v>
      </c>
      <c r="P319">
        <f t="shared" si="5"/>
        <v>31.3</v>
      </c>
    </row>
    <row r="320" spans="10:16">
      <c r="J320" s="5"/>
      <c r="L320">
        <f>DigInv!M320</f>
        <v>-0.55075755800000004</v>
      </c>
      <c r="M320">
        <f>DigInv!N320</f>
        <v>31.4</v>
      </c>
      <c r="O320">
        <f>ABS(L320-DigInv!$C$34)</f>
        <v>3.8543214732312565</v>
      </c>
      <c r="P320">
        <f t="shared" si="5"/>
        <v>31.4</v>
      </c>
    </row>
    <row r="321" spans="10:16">
      <c r="J321" s="5"/>
      <c r="L321">
        <f>DigInv!M321</f>
        <v>-0.54717630500000003</v>
      </c>
      <c r="M321">
        <f>DigInv!N321</f>
        <v>31.5</v>
      </c>
      <c r="O321">
        <f>ABS(L321-DigInv!$C$34)</f>
        <v>3.8579027262312566</v>
      </c>
      <c r="P321">
        <f t="shared" si="5"/>
        <v>31.5</v>
      </c>
    </row>
    <row r="322" spans="10:16">
      <c r="J322" s="5"/>
      <c r="L322">
        <f>DigInv!M322</f>
        <v>-0.54359505200000002</v>
      </c>
      <c r="M322">
        <f>DigInv!N322</f>
        <v>31.6</v>
      </c>
      <c r="O322">
        <f>ABS(L322-DigInv!$C$34)</f>
        <v>3.8614839792312563</v>
      </c>
      <c r="P322">
        <f t="shared" si="5"/>
        <v>31.6</v>
      </c>
    </row>
    <row r="323" spans="10:16">
      <c r="J323" s="5"/>
      <c r="L323">
        <f>DigInv!M323</f>
        <v>-0.54273800000000005</v>
      </c>
      <c r="M323">
        <f>DigInv!N323</f>
        <v>31.7</v>
      </c>
      <c r="O323">
        <f>ABS(L323-DigInv!$C$34)</f>
        <v>3.8623410312312565</v>
      </c>
      <c r="P323">
        <f t="shared" si="5"/>
        <v>31.7</v>
      </c>
    </row>
    <row r="324" spans="10:16">
      <c r="J324" s="5"/>
      <c r="L324">
        <f>DigInv!M324</f>
        <v>-0.54273800000000005</v>
      </c>
      <c r="M324">
        <f>DigInv!N324</f>
        <v>31.8</v>
      </c>
      <c r="O324">
        <f>ABS(L324-DigInv!$C$34)</f>
        <v>3.8623410312312565</v>
      </c>
      <c r="P324">
        <f t="shared" si="5"/>
        <v>31.8</v>
      </c>
    </row>
    <row r="325" spans="10:16">
      <c r="J325" s="5"/>
      <c r="L325">
        <f>DigInv!M325</f>
        <v>-0.54273800000000005</v>
      </c>
      <c r="M325">
        <f>DigInv!N325</f>
        <v>31.9</v>
      </c>
      <c r="O325">
        <f>ABS(L325-DigInv!$C$34)</f>
        <v>3.8623410312312565</v>
      </c>
      <c r="P325">
        <f t="shared" si="5"/>
        <v>31.9</v>
      </c>
    </row>
    <row r="326" spans="10:16">
      <c r="J326" s="5"/>
      <c r="L326">
        <f>DigInv!M326</f>
        <v>-0.54263848000000003</v>
      </c>
      <c r="M326">
        <f>DigInv!N326</f>
        <v>32</v>
      </c>
      <c r="O326">
        <f>ABS(L326-DigInv!$C$34)</f>
        <v>3.8624405512312565</v>
      </c>
      <c r="P326">
        <f t="shared" si="5"/>
        <v>32</v>
      </c>
    </row>
    <row r="327" spans="10:16">
      <c r="J327" s="5"/>
      <c r="L327">
        <f>DigInv!M327</f>
        <v>-0.54252931900000001</v>
      </c>
      <c r="M327">
        <f>DigInv!N327</f>
        <v>32.1</v>
      </c>
      <c r="O327">
        <f>ABS(L327-DigInv!$C$34)</f>
        <v>3.8625497122312566</v>
      </c>
      <c r="P327">
        <f t="shared" ref="P327:P390" si="6">M327</f>
        <v>32.1</v>
      </c>
    </row>
    <row r="328" spans="10:16">
      <c r="J328" s="5"/>
      <c r="L328">
        <f>DigInv!M328</f>
        <v>-0.54242699999999999</v>
      </c>
      <c r="M328">
        <f>DigInv!N328</f>
        <v>32.200000000000003</v>
      </c>
      <c r="O328">
        <f>ABS(L328-DigInv!$C$34)</f>
        <v>3.8626520312312564</v>
      </c>
      <c r="P328">
        <f t="shared" si="6"/>
        <v>32.200000000000003</v>
      </c>
    </row>
    <row r="329" spans="10:16">
      <c r="J329" s="5"/>
      <c r="L329">
        <f>DigInv!M329</f>
        <v>-0.54242699999999999</v>
      </c>
      <c r="M329">
        <f>DigInv!N329</f>
        <v>32.299999999999997</v>
      </c>
      <c r="O329">
        <f>ABS(L329-DigInv!$C$34)</f>
        <v>3.8626520312312564</v>
      </c>
      <c r="P329">
        <f t="shared" si="6"/>
        <v>32.299999999999997</v>
      </c>
    </row>
    <row r="330" spans="10:16">
      <c r="J330" s="5"/>
      <c r="L330">
        <f>DigInv!M330</f>
        <v>-0.54242699999999999</v>
      </c>
      <c r="M330">
        <f>DigInv!N330</f>
        <v>32.4</v>
      </c>
      <c r="O330">
        <f>ABS(L330-DigInv!$C$34)</f>
        <v>3.8626520312312564</v>
      </c>
      <c r="P330">
        <f t="shared" si="6"/>
        <v>32.4</v>
      </c>
    </row>
    <row r="331" spans="10:16">
      <c r="J331" s="5"/>
      <c r="L331">
        <f>DigInv!M331</f>
        <v>-0.54168427500000005</v>
      </c>
      <c r="M331">
        <f>DigInv!N331</f>
        <v>32.5</v>
      </c>
      <c r="O331">
        <f>ABS(L331-DigInv!$C$34)</f>
        <v>3.8633947562312563</v>
      </c>
      <c r="P331">
        <f t="shared" si="6"/>
        <v>32.5</v>
      </c>
    </row>
    <row r="332" spans="10:16">
      <c r="J332" s="5"/>
      <c r="L332">
        <f>DigInv!M332</f>
        <v>-0.53820832200000002</v>
      </c>
      <c r="M332">
        <f>DigInv!N332</f>
        <v>32.6</v>
      </c>
      <c r="O332">
        <f>ABS(L332-DigInv!$C$34)</f>
        <v>3.8668707092312564</v>
      </c>
      <c r="P332">
        <f t="shared" si="6"/>
        <v>32.6</v>
      </c>
    </row>
    <row r="333" spans="10:16">
      <c r="J333" s="5"/>
      <c r="L333">
        <f>DigInv!M333</f>
        <v>-0.53473236899999999</v>
      </c>
      <c r="M333">
        <f>DigInv!N333</f>
        <v>32.700000000000003</v>
      </c>
      <c r="O333">
        <f>ABS(L333-DigInv!$C$34)</f>
        <v>3.8703466622312566</v>
      </c>
      <c r="P333">
        <f t="shared" si="6"/>
        <v>32.700000000000003</v>
      </c>
    </row>
    <row r="334" spans="10:16">
      <c r="J334" s="5"/>
      <c r="L334">
        <f>DigInv!M334</f>
        <v>-0.532524</v>
      </c>
      <c r="M334">
        <f>DigInv!N334</f>
        <v>32.799999999999997</v>
      </c>
      <c r="O334">
        <f>ABS(L334-DigInv!$C$34)</f>
        <v>3.8725550312312564</v>
      </c>
      <c r="P334">
        <f t="shared" si="6"/>
        <v>32.799999999999997</v>
      </c>
    </row>
    <row r="335" spans="10:16">
      <c r="J335" s="5"/>
      <c r="L335">
        <f>DigInv!M335</f>
        <v>-0.532524</v>
      </c>
      <c r="M335">
        <f>DigInv!N335</f>
        <v>32.9</v>
      </c>
      <c r="O335">
        <f>ABS(L335-DigInv!$C$34)</f>
        <v>3.8725550312312564</v>
      </c>
      <c r="P335">
        <f t="shared" si="6"/>
        <v>32.9</v>
      </c>
    </row>
    <row r="336" spans="10:16">
      <c r="J336" s="5"/>
      <c r="L336">
        <f>DigInv!M336</f>
        <v>-0.532524</v>
      </c>
      <c r="M336">
        <f>DigInv!N336</f>
        <v>33</v>
      </c>
      <c r="O336">
        <f>ABS(L336-DigInv!$C$34)</f>
        <v>3.8725550312312564</v>
      </c>
      <c r="P336">
        <f t="shared" si="6"/>
        <v>33</v>
      </c>
    </row>
    <row r="337" spans="10:16">
      <c r="J337" s="5"/>
      <c r="L337">
        <f>DigInv!M337</f>
        <v>-0.53240779800000004</v>
      </c>
      <c r="M337">
        <f>DigInv!N337</f>
        <v>33.1</v>
      </c>
      <c r="O337">
        <f>ABS(L337-DigInv!$C$34)</f>
        <v>3.8726712332312565</v>
      </c>
      <c r="P337">
        <f t="shared" si="6"/>
        <v>33.1</v>
      </c>
    </row>
    <row r="338" spans="10:16">
      <c r="J338" s="5"/>
      <c r="L338">
        <f>DigInv!M338</f>
        <v>-0.53218245600000003</v>
      </c>
      <c r="M338">
        <f>DigInv!N338</f>
        <v>33.200000000000003</v>
      </c>
      <c r="O338">
        <f>ABS(L338-DigInv!$C$34)</f>
        <v>3.8728965752312563</v>
      </c>
      <c r="P338">
        <f t="shared" si="6"/>
        <v>33.200000000000003</v>
      </c>
    </row>
    <row r="339" spans="10:16">
      <c r="J339" s="5"/>
      <c r="L339">
        <f>DigInv!M339</f>
        <v>-0.53195711400000001</v>
      </c>
      <c r="M339">
        <f>DigInv!N339</f>
        <v>33.299999999999997</v>
      </c>
      <c r="O339">
        <f>ABS(L339-DigInv!$C$34)</f>
        <v>3.8731219172312565</v>
      </c>
      <c r="P339">
        <f t="shared" si="6"/>
        <v>33.299999999999997</v>
      </c>
    </row>
    <row r="340" spans="10:16">
      <c r="J340" s="5"/>
      <c r="L340">
        <f>DigInv!M340</f>
        <v>-0.53180665199999999</v>
      </c>
      <c r="M340">
        <f>DigInv!N340</f>
        <v>33.4</v>
      </c>
      <c r="O340">
        <f>ABS(L340-DigInv!$C$34)</f>
        <v>3.8732723792312562</v>
      </c>
      <c r="P340">
        <f t="shared" si="6"/>
        <v>33.4</v>
      </c>
    </row>
    <row r="341" spans="10:16">
      <c r="J341" s="5"/>
      <c r="L341">
        <f>DigInv!M341</f>
        <v>-0.53169363000000003</v>
      </c>
      <c r="M341">
        <f>DigInv!N341</f>
        <v>33.5</v>
      </c>
      <c r="O341">
        <f>ABS(L341-DigInv!$C$34)</f>
        <v>3.8733854012312565</v>
      </c>
      <c r="P341">
        <f t="shared" si="6"/>
        <v>33.5</v>
      </c>
    </row>
    <row r="342" spans="10:16">
      <c r="J342" s="5"/>
      <c r="L342">
        <f>DigInv!M342</f>
        <v>-0.53158060799999995</v>
      </c>
      <c r="M342">
        <f>DigInv!N342</f>
        <v>33.6</v>
      </c>
      <c r="O342">
        <f>ABS(L342-DigInv!$C$34)</f>
        <v>3.8734984232312564</v>
      </c>
      <c r="P342">
        <f t="shared" si="6"/>
        <v>33.6</v>
      </c>
    </row>
    <row r="343" spans="10:16">
      <c r="J343" s="5"/>
      <c r="L343">
        <f>DigInv!M343</f>
        <v>-0.52891328599999998</v>
      </c>
      <c r="M343">
        <f>DigInv!N343</f>
        <v>33.700000000000003</v>
      </c>
      <c r="O343">
        <f>ABS(L343-DigInv!$C$34)</f>
        <v>3.8761657452312566</v>
      </c>
      <c r="P343">
        <f t="shared" si="6"/>
        <v>33.700000000000003</v>
      </c>
    </row>
    <row r="344" spans="10:16">
      <c r="J344" s="5"/>
      <c r="L344">
        <f>DigInv!M344</f>
        <v>-0.52567636399999995</v>
      </c>
      <c r="M344">
        <f>DigInv!N344</f>
        <v>33.799999999999997</v>
      </c>
      <c r="O344">
        <f>ABS(L344-DigInv!$C$34)</f>
        <v>3.8794026672312567</v>
      </c>
      <c r="P344">
        <f t="shared" si="6"/>
        <v>33.799999999999997</v>
      </c>
    </row>
    <row r="345" spans="10:16">
      <c r="J345" s="5"/>
      <c r="L345">
        <f>DigInv!M345</f>
        <v>-0.52243944200000003</v>
      </c>
      <c r="M345">
        <f>DigInv!N345</f>
        <v>33.9</v>
      </c>
      <c r="O345">
        <f>ABS(L345-DigInv!$C$34)</f>
        <v>3.8826395892312564</v>
      </c>
      <c r="P345">
        <f t="shared" si="6"/>
        <v>33.9</v>
      </c>
    </row>
    <row r="346" spans="10:16">
      <c r="J346" s="5"/>
      <c r="L346">
        <f>DigInv!M346</f>
        <v>-0.52200139999999995</v>
      </c>
      <c r="M346">
        <f>DigInv!N346</f>
        <v>34</v>
      </c>
      <c r="O346">
        <f>ABS(L346-DigInv!$C$34)</f>
        <v>3.8830776312312567</v>
      </c>
      <c r="P346">
        <f t="shared" si="6"/>
        <v>34</v>
      </c>
    </row>
    <row r="347" spans="10:16">
      <c r="J347" s="5"/>
      <c r="L347">
        <f>DigInv!M347</f>
        <v>-0.52165391000000005</v>
      </c>
      <c r="M347">
        <f>DigInv!N347</f>
        <v>34.1</v>
      </c>
      <c r="O347">
        <f>ABS(L347-DigInv!$C$34)</f>
        <v>3.8834251212312565</v>
      </c>
      <c r="P347">
        <f t="shared" si="6"/>
        <v>34.1</v>
      </c>
    </row>
    <row r="348" spans="10:16">
      <c r="J348" s="5"/>
      <c r="L348">
        <f>DigInv!M348</f>
        <v>-0.52133414</v>
      </c>
      <c r="M348">
        <f>DigInv!N348</f>
        <v>34.200000000000003</v>
      </c>
      <c r="O348">
        <f>ABS(L348-DigInv!$C$34)</f>
        <v>3.8837448912312564</v>
      </c>
      <c r="P348">
        <f t="shared" si="6"/>
        <v>34.200000000000003</v>
      </c>
    </row>
    <row r="349" spans="10:16">
      <c r="J349" s="5"/>
      <c r="L349">
        <f>DigInv!M349</f>
        <v>-0.52121830999999996</v>
      </c>
      <c r="M349">
        <f>DigInv!N349</f>
        <v>34.299999999999997</v>
      </c>
      <c r="O349">
        <f>ABS(L349-DigInv!$C$34)</f>
        <v>3.8838607212312564</v>
      </c>
      <c r="P349">
        <f t="shared" si="6"/>
        <v>34.299999999999997</v>
      </c>
    </row>
    <row r="350" spans="10:16">
      <c r="J350" s="5"/>
      <c r="L350">
        <f>DigInv!M350</f>
        <v>-0.52110248000000003</v>
      </c>
      <c r="M350">
        <f>DigInv!N350</f>
        <v>34.4</v>
      </c>
      <c r="O350">
        <f>ABS(L350-DigInv!$C$34)</f>
        <v>3.8839765512312563</v>
      </c>
      <c r="P350">
        <f t="shared" si="6"/>
        <v>34.4</v>
      </c>
    </row>
    <row r="351" spans="10:16">
      <c r="J351" s="5"/>
      <c r="L351">
        <f>DigInv!M351</f>
        <v>-0.52095501499999997</v>
      </c>
      <c r="M351">
        <f>DigInv!N351</f>
        <v>34.5</v>
      </c>
      <c r="O351">
        <f>ABS(L351-DigInv!$C$34)</f>
        <v>3.8841240162312562</v>
      </c>
      <c r="P351">
        <f t="shared" si="6"/>
        <v>34.5</v>
      </c>
    </row>
    <row r="352" spans="10:16">
      <c r="J352" s="5"/>
      <c r="L352">
        <f>DigInv!M352</f>
        <v>-0.52072230200000003</v>
      </c>
      <c r="M352">
        <f>DigInv!N352</f>
        <v>34.6</v>
      </c>
      <c r="O352">
        <f>ABS(L352-DigInv!$C$34)</f>
        <v>3.8843567292312562</v>
      </c>
      <c r="P352">
        <f t="shared" si="6"/>
        <v>34.6</v>
      </c>
    </row>
    <row r="353" spans="10:16">
      <c r="J353" s="5"/>
      <c r="L353">
        <f>DigInv!M353</f>
        <v>-0.52048958899999997</v>
      </c>
      <c r="M353">
        <f>DigInv!N353</f>
        <v>34.700000000000003</v>
      </c>
      <c r="O353">
        <f>ABS(L353-DigInv!$C$34)</f>
        <v>3.8845894422312566</v>
      </c>
      <c r="P353">
        <f t="shared" si="6"/>
        <v>34.700000000000003</v>
      </c>
    </row>
    <row r="354" spans="10:16">
      <c r="J354" s="5"/>
      <c r="L354">
        <f>DigInv!M354</f>
        <v>-0.51879966799999999</v>
      </c>
      <c r="M354">
        <f>DigInv!N354</f>
        <v>34.799999999999997</v>
      </c>
      <c r="O354">
        <f>ABS(L354-DigInv!$C$34)</f>
        <v>3.8862793632312567</v>
      </c>
      <c r="P354">
        <f t="shared" si="6"/>
        <v>34.799999999999997</v>
      </c>
    </row>
    <row r="355" spans="10:16">
      <c r="J355" s="5"/>
      <c r="L355">
        <f>DigInv!M355</f>
        <v>-0.51511100899999995</v>
      </c>
      <c r="M355">
        <f>DigInv!N355</f>
        <v>34.9</v>
      </c>
      <c r="O355">
        <f>ABS(L355-DigInv!$C$34)</f>
        <v>3.8899680222312565</v>
      </c>
      <c r="P355">
        <f t="shared" si="6"/>
        <v>34.9</v>
      </c>
    </row>
    <row r="356" spans="10:16">
      <c r="J356" s="5"/>
      <c r="L356">
        <f>DigInv!M356</f>
        <v>-0.51142235000000003</v>
      </c>
      <c r="M356">
        <f>DigInv!N356</f>
        <v>35</v>
      </c>
      <c r="O356">
        <f>ABS(L356-DigInv!$C$34)</f>
        <v>3.8936566812312563</v>
      </c>
      <c r="P356">
        <f t="shared" si="6"/>
        <v>35</v>
      </c>
    </row>
    <row r="357" spans="10:16">
      <c r="J357" s="5"/>
      <c r="L357">
        <f>DigInv!M357</f>
        <v>-0.50970911900000004</v>
      </c>
      <c r="M357">
        <f>DigInv!N357</f>
        <v>35.1</v>
      </c>
      <c r="O357">
        <f>ABS(L357-DigInv!$C$34)</f>
        <v>3.8953699122312564</v>
      </c>
      <c r="P357">
        <f t="shared" si="6"/>
        <v>35.1</v>
      </c>
    </row>
    <row r="358" spans="10:16">
      <c r="J358" s="5"/>
      <c r="L358">
        <f>DigInv!M358</f>
        <v>-0.50947008800000004</v>
      </c>
      <c r="M358">
        <f>DigInv!N358</f>
        <v>35.200000000000003</v>
      </c>
      <c r="O358">
        <f>ABS(L358-DigInv!$C$34)</f>
        <v>3.8956089432312564</v>
      </c>
      <c r="P358">
        <f t="shared" si="6"/>
        <v>35.200000000000003</v>
      </c>
    </row>
    <row r="359" spans="10:16">
      <c r="J359" s="5"/>
      <c r="L359">
        <f>DigInv!M359</f>
        <v>-0.50923105700000004</v>
      </c>
      <c r="M359">
        <f>DigInv!N359</f>
        <v>35.299999999999997</v>
      </c>
      <c r="O359">
        <f>ABS(L359-DigInv!$C$34)</f>
        <v>3.8958479742312564</v>
      </c>
      <c r="P359">
        <f t="shared" si="6"/>
        <v>35.299999999999997</v>
      </c>
    </row>
    <row r="360" spans="10:16">
      <c r="J360" s="5"/>
      <c r="L360">
        <f>DigInv!M360</f>
        <v>-0.50660264799999999</v>
      </c>
      <c r="M360">
        <f>DigInv!N360</f>
        <v>35.4</v>
      </c>
      <c r="O360">
        <f>ABS(L360-DigInv!$C$34)</f>
        <v>3.8984763832312566</v>
      </c>
      <c r="P360">
        <f t="shared" si="6"/>
        <v>35.4</v>
      </c>
    </row>
    <row r="361" spans="10:16">
      <c r="J361" s="5"/>
      <c r="L361">
        <f>DigInv!M361</f>
        <v>-0.50306176000000002</v>
      </c>
      <c r="M361">
        <f>DigInv!N361</f>
        <v>35.5</v>
      </c>
      <c r="O361">
        <f>ABS(L361-DigInv!$C$34)</f>
        <v>3.9020172712312564</v>
      </c>
      <c r="P361">
        <f t="shared" si="6"/>
        <v>35.5</v>
      </c>
    </row>
    <row r="362" spans="10:16">
      <c r="J362" s="5"/>
      <c r="L362">
        <f>DigInv!M362</f>
        <v>-0.499520872</v>
      </c>
      <c r="M362">
        <f>DigInv!N362</f>
        <v>35.6</v>
      </c>
      <c r="O362">
        <f>ABS(L362-DigInv!$C$34)</f>
        <v>3.9055581592312563</v>
      </c>
      <c r="P362">
        <f t="shared" si="6"/>
        <v>35.6</v>
      </c>
    </row>
    <row r="363" spans="10:16">
      <c r="J363" s="5"/>
      <c r="L363">
        <f>DigInv!M363</f>
        <v>-0.49536751899999998</v>
      </c>
      <c r="M363">
        <f>DigInv!N363</f>
        <v>35.700000000000003</v>
      </c>
      <c r="O363">
        <f>ABS(L363-DigInv!$C$34)</f>
        <v>3.9097115122312562</v>
      </c>
      <c r="P363">
        <f t="shared" si="6"/>
        <v>35.700000000000003</v>
      </c>
    </row>
    <row r="364" spans="10:16">
      <c r="J364" s="5"/>
      <c r="L364">
        <f>DigInv!M364</f>
        <v>-0.49112638600000003</v>
      </c>
      <c r="M364">
        <f>DigInv!N364</f>
        <v>35.799999999999997</v>
      </c>
      <c r="O364">
        <f>ABS(L364-DigInv!$C$34)</f>
        <v>3.9139526452312565</v>
      </c>
      <c r="P364">
        <f t="shared" si="6"/>
        <v>35.799999999999997</v>
      </c>
    </row>
    <row r="365" spans="10:16">
      <c r="J365" s="5"/>
      <c r="L365">
        <f>DigInv!M365</f>
        <v>-0.486987583</v>
      </c>
      <c r="M365">
        <f>DigInv!N365</f>
        <v>35.9</v>
      </c>
      <c r="O365">
        <f>ABS(L365-DigInv!$C$34)</f>
        <v>3.9180914482312565</v>
      </c>
      <c r="P365">
        <f t="shared" si="6"/>
        <v>35.9</v>
      </c>
    </row>
    <row r="366" spans="10:16">
      <c r="J366" s="5"/>
      <c r="L366">
        <f>DigInv!M366</f>
        <v>-0.48673731999999997</v>
      </c>
      <c r="M366">
        <f>DigInv!N366</f>
        <v>36</v>
      </c>
      <c r="O366">
        <f>ABS(L366-DigInv!$C$34)</f>
        <v>3.9183417112312564</v>
      </c>
      <c r="P366">
        <f t="shared" si="6"/>
        <v>36</v>
      </c>
    </row>
    <row r="367" spans="10:16">
      <c r="J367" s="5"/>
      <c r="L367">
        <f>DigInv!M367</f>
        <v>-0.486487057</v>
      </c>
      <c r="M367">
        <f>DigInv!N367</f>
        <v>36.1</v>
      </c>
      <c r="O367">
        <f>ABS(L367-DigInv!$C$34)</f>
        <v>3.9185919742312563</v>
      </c>
      <c r="P367">
        <f t="shared" si="6"/>
        <v>36.1</v>
      </c>
    </row>
    <row r="368" spans="10:16">
      <c r="J368" s="5"/>
      <c r="L368">
        <f>DigInv!M368</f>
        <v>-0.48625886600000001</v>
      </c>
      <c r="M368">
        <f>DigInv!N368</f>
        <v>36.200000000000003</v>
      </c>
      <c r="O368">
        <f>ABS(L368-DigInv!$C$34)</f>
        <v>3.9188201652312564</v>
      </c>
      <c r="P368">
        <f t="shared" si="6"/>
        <v>36.200000000000003</v>
      </c>
    </row>
    <row r="369" spans="10:16">
      <c r="J369" s="5"/>
      <c r="L369">
        <f>DigInv!M369</f>
        <v>-0.48613355899999999</v>
      </c>
      <c r="M369">
        <f>DigInv!N369</f>
        <v>36.299999999999997</v>
      </c>
      <c r="O369">
        <f>ABS(L369-DigInv!$C$34)</f>
        <v>3.9189454722312567</v>
      </c>
      <c r="P369">
        <f t="shared" si="6"/>
        <v>36.299999999999997</v>
      </c>
    </row>
    <row r="370" spans="10:16">
      <c r="J370" s="5"/>
      <c r="L370">
        <f>DigInv!M370</f>
        <v>-0.48600825199999997</v>
      </c>
      <c r="M370">
        <f>DigInv!N370</f>
        <v>36.4</v>
      </c>
      <c r="O370">
        <f>ABS(L370-DigInv!$C$34)</f>
        <v>3.9190707792312565</v>
      </c>
      <c r="P370">
        <f t="shared" si="6"/>
        <v>36.4</v>
      </c>
    </row>
    <row r="371" spans="10:16">
      <c r="J371" s="5"/>
      <c r="L371">
        <f>DigInv!M371</f>
        <v>-0.48592400000000002</v>
      </c>
      <c r="M371">
        <f>DigInv!N371</f>
        <v>36.5</v>
      </c>
      <c r="O371">
        <f>ABS(L371-DigInv!$C$34)</f>
        <v>3.9191550312312566</v>
      </c>
      <c r="P371">
        <f t="shared" si="6"/>
        <v>36.5</v>
      </c>
    </row>
    <row r="372" spans="10:16">
      <c r="J372" s="5"/>
      <c r="L372">
        <f>DigInv!M372</f>
        <v>-0.48592400000000002</v>
      </c>
      <c r="M372">
        <f>DigInv!N372</f>
        <v>36.6</v>
      </c>
      <c r="O372">
        <f>ABS(L372-DigInv!$C$34)</f>
        <v>3.9191550312312566</v>
      </c>
      <c r="P372">
        <f t="shared" si="6"/>
        <v>36.6</v>
      </c>
    </row>
    <row r="373" spans="10:16">
      <c r="J373" s="5"/>
      <c r="L373">
        <f>DigInv!M373</f>
        <v>-0.48592400000000002</v>
      </c>
      <c r="M373">
        <f>DigInv!N373</f>
        <v>36.700000000000003</v>
      </c>
      <c r="O373">
        <f>ABS(L373-DigInv!$C$34)</f>
        <v>3.9191550312312566</v>
      </c>
      <c r="P373">
        <f t="shared" si="6"/>
        <v>36.700000000000003</v>
      </c>
    </row>
    <row r="374" spans="10:16">
      <c r="J374" s="5"/>
      <c r="L374">
        <f>DigInv!M374</f>
        <v>-0.48586402400000001</v>
      </c>
      <c r="M374">
        <f>DigInv!N374</f>
        <v>36.799999999999997</v>
      </c>
      <c r="O374">
        <f>ABS(L374-DigInv!$C$34)</f>
        <v>3.9192150072312564</v>
      </c>
      <c r="P374">
        <f t="shared" si="6"/>
        <v>36.799999999999997</v>
      </c>
    </row>
    <row r="375" spans="10:16">
      <c r="J375" s="5"/>
      <c r="L375">
        <f>DigInv!M375</f>
        <v>-0.48573871699999999</v>
      </c>
      <c r="M375">
        <f>DigInv!N375</f>
        <v>36.9</v>
      </c>
      <c r="O375">
        <f>ABS(L375-DigInv!$C$34)</f>
        <v>3.9193403142312566</v>
      </c>
      <c r="P375">
        <f t="shared" si="6"/>
        <v>36.9</v>
      </c>
    </row>
    <row r="376" spans="10:16">
      <c r="J376" s="5"/>
      <c r="L376">
        <f>DigInv!M376</f>
        <v>-0.48561341000000002</v>
      </c>
      <c r="M376">
        <f>DigInv!N376</f>
        <v>37</v>
      </c>
      <c r="O376">
        <f>ABS(L376-DigInv!$C$34)</f>
        <v>3.9194656212312564</v>
      </c>
      <c r="P376">
        <f t="shared" si="6"/>
        <v>37</v>
      </c>
    </row>
    <row r="377" spans="10:16">
      <c r="J377" s="5"/>
      <c r="L377">
        <f>DigInv!M377</f>
        <v>-0.485488103</v>
      </c>
      <c r="M377">
        <f>DigInv!N377</f>
        <v>37.1</v>
      </c>
      <c r="O377">
        <f>ABS(L377-DigInv!$C$34)</f>
        <v>3.9195909282312567</v>
      </c>
      <c r="P377">
        <f t="shared" si="6"/>
        <v>37.1</v>
      </c>
    </row>
    <row r="378" spans="10:16">
      <c r="J378" s="5"/>
      <c r="L378">
        <f>DigInv!M378</f>
        <v>-0.48536279599999999</v>
      </c>
      <c r="M378">
        <f>DigInv!N378</f>
        <v>37.200000000000003</v>
      </c>
      <c r="O378">
        <f>ABS(L378-DigInv!$C$34)</f>
        <v>3.9197162352312565</v>
      </c>
      <c r="P378">
        <f t="shared" si="6"/>
        <v>37.200000000000003</v>
      </c>
    </row>
    <row r="379" spans="10:16">
      <c r="J379" s="5"/>
      <c r="L379">
        <f>DigInv!M379</f>
        <v>-0.48523748900000002</v>
      </c>
      <c r="M379">
        <f>DigInv!N379</f>
        <v>37.299999999999997</v>
      </c>
      <c r="O379">
        <f>ABS(L379-DigInv!$C$34)</f>
        <v>3.9198415422312562</v>
      </c>
      <c r="P379">
        <f t="shared" si="6"/>
        <v>37.299999999999997</v>
      </c>
    </row>
    <row r="380" spans="10:16">
      <c r="J380" s="5"/>
      <c r="L380">
        <f>DigInv!M380</f>
        <v>-0.48520999999999997</v>
      </c>
      <c r="M380">
        <f>DigInv!N380</f>
        <v>37.4</v>
      </c>
      <c r="O380">
        <f>ABS(L380-DigInv!$C$34)</f>
        <v>3.9198690312312565</v>
      </c>
      <c r="P380">
        <f t="shared" si="6"/>
        <v>37.4</v>
      </c>
    </row>
    <row r="381" spans="10:16">
      <c r="J381" s="5"/>
      <c r="L381">
        <f>DigInv!M381</f>
        <v>-0.48520999999999997</v>
      </c>
      <c r="M381">
        <f>DigInv!N381</f>
        <v>37.5</v>
      </c>
      <c r="O381">
        <f>ABS(L381-DigInv!$C$34)</f>
        <v>3.9198690312312565</v>
      </c>
      <c r="P381">
        <f t="shared" si="6"/>
        <v>37.5</v>
      </c>
    </row>
    <row r="382" spans="10:16">
      <c r="J382" s="5"/>
      <c r="L382">
        <f>DigInv!M382</f>
        <v>-0.48520999999999997</v>
      </c>
      <c r="M382">
        <f>DigInv!N382</f>
        <v>37.6</v>
      </c>
      <c r="O382">
        <f>ABS(L382-DigInv!$C$34)</f>
        <v>3.9198690312312565</v>
      </c>
      <c r="P382">
        <f t="shared" si="6"/>
        <v>37.6</v>
      </c>
    </row>
    <row r="383" spans="10:16">
      <c r="J383" s="5"/>
      <c r="L383">
        <f>DigInv!M383</f>
        <v>-0.48139227499999998</v>
      </c>
      <c r="M383">
        <f>DigInv!N383</f>
        <v>37.700000000000003</v>
      </c>
      <c r="O383">
        <f>ABS(L383-DigInv!$C$34)</f>
        <v>3.9236867562312563</v>
      </c>
      <c r="P383">
        <f t="shared" si="6"/>
        <v>37.700000000000003</v>
      </c>
    </row>
    <row r="384" spans="10:16">
      <c r="J384" s="5"/>
      <c r="L384">
        <f>DigInv!M384</f>
        <v>-0.47729434999999998</v>
      </c>
      <c r="M384">
        <f>DigInv!N384</f>
        <v>37.799999999999997</v>
      </c>
      <c r="O384">
        <f>ABS(L384-DigInv!$C$34)</f>
        <v>3.9277846812312562</v>
      </c>
      <c r="P384">
        <f t="shared" si="6"/>
        <v>37.799999999999997</v>
      </c>
    </row>
    <row r="385" spans="10:16">
      <c r="J385" s="5"/>
      <c r="L385">
        <f>DigInv!M385</f>
        <v>-0.47320045599999999</v>
      </c>
      <c r="M385">
        <f>DigInv!N385</f>
        <v>37.9</v>
      </c>
      <c r="O385">
        <f>ABS(L385-DigInv!$C$34)</f>
        <v>3.9318785752312566</v>
      </c>
      <c r="P385">
        <f t="shared" si="6"/>
        <v>37.9</v>
      </c>
    </row>
    <row r="386" spans="10:16">
      <c r="J386" s="5"/>
      <c r="L386">
        <f>DigInv!M386</f>
        <v>-0.46915131999999998</v>
      </c>
      <c r="M386">
        <f>DigInv!N386</f>
        <v>38</v>
      </c>
      <c r="O386">
        <f>ABS(L386-DigInv!$C$34)</f>
        <v>3.9359277112312565</v>
      </c>
      <c r="P386">
        <f t="shared" si="6"/>
        <v>38</v>
      </c>
    </row>
    <row r="387" spans="10:16">
      <c r="J387" s="5"/>
      <c r="L387">
        <f>DigInv!M387</f>
        <v>-0.46510218399999997</v>
      </c>
      <c r="M387">
        <f>DigInv!N387</f>
        <v>38.1</v>
      </c>
      <c r="O387">
        <f>ABS(L387-DigInv!$C$34)</f>
        <v>3.9399768472312564</v>
      </c>
      <c r="P387">
        <f t="shared" si="6"/>
        <v>38.1</v>
      </c>
    </row>
    <row r="388" spans="10:16">
      <c r="J388" s="5"/>
      <c r="L388">
        <f>DigInv!M388</f>
        <v>-0.46190740600000002</v>
      </c>
      <c r="M388">
        <f>DigInv!N388</f>
        <v>38.200000000000003</v>
      </c>
      <c r="O388">
        <f>ABS(L388-DigInv!$C$34)</f>
        <v>3.9431716252312565</v>
      </c>
      <c r="P388">
        <f t="shared" si="6"/>
        <v>38.200000000000003</v>
      </c>
    </row>
    <row r="389" spans="10:16">
      <c r="J389" s="5"/>
      <c r="L389">
        <f>DigInv!M389</f>
        <v>-0.46151533900000002</v>
      </c>
      <c r="M389">
        <f>DigInv!N389</f>
        <v>38.299999999999997</v>
      </c>
      <c r="O389">
        <f>ABS(L389-DigInv!$C$34)</f>
        <v>3.9435636922312565</v>
      </c>
      <c r="P389">
        <f t="shared" si="6"/>
        <v>38.299999999999997</v>
      </c>
    </row>
    <row r="390" spans="10:16">
      <c r="J390" s="5"/>
      <c r="L390">
        <f>DigInv!M390</f>
        <v>-0.46112327199999997</v>
      </c>
      <c r="M390">
        <f>DigInv!N390</f>
        <v>38.4</v>
      </c>
      <c r="O390">
        <f>ABS(L390-DigInv!$C$34)</f>
        <v>3.9439557592312564</v>
      </c>
      <c r="P390">
        <f t="shared" si="6"/>
        <v>38.4</v>
      </c>
    </row>
    <row r="391" spans="10:16">
      <c r="J391" s="5"/>
      <c r="L391">
        <f>DigInv!M391</f>
        <v>-0.45929386</v>
      </c>
      <c r="M391">
        <f>DigInv!N391</f>
        <v>38.5</v>
      </c>
      <c r="O391">
        <f>ABS(L391-DigInv!$C$34)</f>
        <v>3.9457851712312566</v>
      </c>
      <c r="P391">
        <f t="shared" ref="P391:P454" si="7">M391</f>
        <v>38.5</v>
      </c>
    </row>
    <row r="392" spans="10:16">
      <c r="J392" s="5"/>
      <c r="L392">
        <f>DigInv!M392</f>
        <v>-0.45516469599999998</v>
      </c>
      <c r="M392">
        <f>DigInv!N392</f>
        <v>38.6</v>
      </c>
      <c r="O392">
        <f>ABS(L392-DigInv!$C$34)</f>
        <v>3.9499143352312567</v>
      </c>
      <c r="P392">
        <f t="shared" si="7"/>
        <v>38.6</v>
      </c>
    </row>
    <row r="393" spans="10:16">
      <c r="J393" s="5"/>
      <c r="L393">
        <f>DigInv!M393</f>
        <v>-0.45103553200000002</v>
      </c>
      <c r="M393">
        <f>DigInv!N393</f>
        <v>38.700000000000003</v>
      </c>
      <c r="O393">
        <f>ABS(L393-DigInv!$C$34)</f>
        <v>3.9540434992312563</v>
      </c>
      <c r="P393">
        <f t="shared" si="7"/>
        <v>38.700000000000003</v>
      </c>
    </row>
    <row r="394" spans="10:16">
      <c r="J394" s="5"/>
      <c r="L394">
        <f>DigInv!M394</f>
        <v>-0.44911800000000002</v>
      </c>
      <c r="M394">
        <f>DigInv!N394</f>
        <v>38.799999999999997</v>
      </c>
      <c r="O394">
        <f>ABS(L394-DigInv!$C$34)</f>
        <v>3.9559610312312565</v>
      </c>
      <c r="P394">
        <f t="shared" si="7"/>
        <v>38.799999999999997</v>
      </c>
    </row>
    <row r="395" spans="10:16">
      <c r="J395" s="5"/>
      <c r="L395">
        <f>DigInv!M395</f>
        <v>-0.44911800000000002</v>
      </c>
      <c r="M395">
        <f>DigInv!N395</f>
        <v>38.9</v>
      </c>
      <c r="O395">
        <f>ABS(L395-DigInv!$C$34)</f>
        <v>3.9559610312312565</v>
      </c>
      <c r="P395">
        <f t="shared" si="7"/>
        <v>38.9</v>
      </c>
    </row>
    <row r="396" spans="10:16">
      <c r="J396" s="5"/>
      <c r="L396">
        <f>DigInv!M396</f>
        <v>-0.44911800000000002</v>
      </c>
      <c r="M396">
        <f>DigInv!N396</f>
        <v>39</v>
      </c>
      <c r="O396">
        <f>ABS(L396-DigInv!$C$34)</f>
        <v>3.9559610312312565</v>
      </c>
      <c r="P396">
        <f t="shared" si="7"/>
        <v>39</v>
      </c>
    </row>
    <row r="397" spans="10:16">
      <c r="J397" s="5"/>
      <c r="L397">
        <f>DigInv!M397</f>
        <v>-0.44595728499999998</v>
      </c>
      <c r="M397">
        <f>DigInv!N397</f>
        <v>39.1</v>
      </c>
      <c r="O397">
        <f>ABS(L397-DigInv!$C$34)</f>
        <v>3.9591217462312565</v>
      </c>
      <c r="P397">
        <f t="shared" si="7"/>
        <v>39.1</v>
      </c>
    </row>
    <row r="398" spans="10:16">
      <c r="J398" s="5"/>
      <c r="L398">
        <f>DigInv!M398</f>
        <v>-0.44135392000000001</v>
      </c>
      <c r="M398">
        <f>DigInv!N398</f>
        <v>39.200000000000003</v>
      </c>
      <c r="O398">
        <f>ABS(L398-DigInv!$C$34)</f>
        <v>3.9637251112312564</v>
      </c>
      <c r="P398">
        <f t="shared" si="7"/>
        <v>39.200000000000003</v>
      </c>
    </row>
    <row r="399" spans="10:16">
      <c r="J399" s="5"/>
      <c r="L399">
        <f>DigInv!M399</f>
        <v>-0.43675055499999998</v>
      </c>
      <c r="M399">
        <f>DigInv!N399</f>
        <v>39.299999999999997</v>
      </c>
      <c r="O399">
        <f>ABS(L399-DigInv!$C$34)</f>
        <v>3.9683284762312563</v>
      </c>
      <c r="P399">
        <f t="shared" si="7"/>
        <v>39.299999999999997</v>
      </c>
    </row>
    <row r="400" spans="10:16">
      <c r="J400" s="5"/>
      <c r="L400">
        <f>DigInv!M400</f>
        <v>-0.43566254799999998</v>
      </c>
      <c r="M400">
        <f>DigInv!N400</f>
        <v>39.4</v>
      </c>
      <c r="O400">
        <f>ABS(L400-DigInv!$C$34)</f>
        <v>3.9694164832312566</v>
      </c>
      <c r="P400">
        <f t="shared" si="7"/>
        <v>39.4</v>
      </c>
    </row>
    <row r="401" spans="10:16">
      <c r="J401" s="5"/>
      <c r="L401">
        <f>DigInv!M401</f>
        <v>-0.43525608999999998</v>
      </c>
      <c r="M401">
        <f>DigInv!N401</f>
        <v>39.5</v>
      </c>
      <c r="O401">
        <f>ABS(L401-DigInv!$C$34)</f>
        <v>3.9698229412312562</v>
      </c>
      <c r="P401">
        <f t="shared" si="7"/>
        <v>39.5</v>
      </c>
    </row>
    <row r="402" spans="10:16">
      <c r="J402" s="5"/>
      <c r="L402">
        <f>DigInv!M402</f>
        <v>-0.43484963199999999</v>
      </c>
      <c r="M402">
        <f>DigInv!N402</f>
        <v>39.6</v>
      </c>
      <c r="O402">
        <f>ABS(L402-DigInv!$C$34)</f>
        <v>3.9702293992312563</v>
      </c>
      <c r="P402">
        <f t="shared" si="7"/>
        <v>39.6</v>
      </c>
    </row>
    <row r="403" spans="10:16">
      <c r="J403" s="5"/>
      <c r="L403">
        <f>DigInv!M403</f>
        <v>-0.43021150899999999</v>
      </c>
      <c r="M403">
        <f>DigInv!N403</f>
        <v>39.700000000000003</v>
      </c>
      <c r="O403">
        <f>ABS(L403-DigInv!$C$34)</f>
        <v>3.9748675222312566</v>
      </c>
      <c r="P403">
        <f t="shared" si="7"/>
        <v>39.700000000000003</v>
      </c>
    </row>
    <row r="404" spans="10:16">
      <c r="J404" s="5"/>
      <c r="L404">
        <f>DigInv!M404</f>
        <v>-0.42552460600000003</v>
      </c>
      <c r="M404">
        <f>DigInv!N404</f>
        <v>39.799999999999997</v>
      </c>
      <c r="O404">
        <f>ABS(L404-DigInv!$C$34)</f>
        <v>3.9795544252312562</v>
      </c>
      <c r="P404">
        <f t="shared" si="7"/>
        <v>39.799999999999997</v>
      </c>
    </row>
    <row r="405" spans="10:16">
      <c r="J405" s="5"/>
      <c r="L405">
        <f>DigInv!M405</f>
        <v>-0.42149199999999998</v>
      </c>
      <c r="M405">
        <f>DigInv!N405</f>
        <v>39.9</v>
      </c>
      <c r="O405">
        <f>ABS(L405-DigInv!$C$34)</f>
        <v>3.9835870312312567</v>
      </c>
      <c r="P405">
        <f t="shared" si="7"/>
        <v>39.9</v>
      </c>
    </row>
    <row r="406" spans="10:16">
      <c r="J406" s="5"/>
      <c r="L406">
        <f>DigInv!M406</f>
        <v>-0.42149199999999998</v>
      </c>
      <c r="M406">
        <f>DigInv!N406</f>
        <v>40</v>
      </c>
      <c r="O406">
        <f>ABS(L406-DigInv!$C$34)</f>
        <v>3.9835870312312567</v>
      </c>
      <c r="P406">
        <f t="shared" si="7"/>
        <v>40</v>
      </c>
    </row>
    <row r="407" spans="10:16">
      <c r="J407" s="5"/>
      <c r="L407">
        <f>DigInv!M407</f>
        <v>-0.42149199999999998</v>
      </c>
      <c r="M407">
        <f>DigInv!N407</f>
        <v>40.1</v>
      </c>
      <c r="O407">
        <f>ABS(L407-DigInv!$C$34)</f>
        <v>3.9835870312312567</v>
      </c>
      <c r="P407">
        <f t="shared" si="7"/>
        <v>40.1</v>
      </c>
    </row>
    <row r="408" spans="10:16">
      <c r="J408" s="5"/>
      <c r="L408">
        <f>DigInv!M408</f>
        <v>-0.42149199999999998</v>
      </c>
      <c r="M408">
        <f>DigInv!N408</f>
        <v>40.200000000000003</v>
      </c>
      <c r="O408">
        <f>ABS(L408-DigInv!$C$34)</f>
        <v>3.9835870312312567</v>
      </c>
      <c r="P408">
        <f t="shared" si="7"/>
        <v>40.200000000000003</v>
      </c>
    </row>
    <row r="409" spans="10:16">
      <c r="J409" s="5"/>
      <c r="L409">
        <f>DigInv!M409</f>
        <v>-0.42149199999999998</v>
      </c>
      <c r="M409">
        <f>DigInv!N409</f>
        <v>40.299999999999997</v>
      </c>
      <c r="O409">
        <f>ABS(L409-DigInv!$C$34)</f>
        <v>3.9835870312312567</v>
      </c>
      <c r="P409">
        <f t="shared" si="7"/>
        <v>40.299999999999997</v>
      </c>
    </row>
    <row r="410" spans="10:16">
      <c r="J410" s="5"/>
      <c r="L410">
        <f>DigInv!M410</f>
        <v>-0.42149199999999998</v>
      </c>
      <c r="M410">
        <f>DigInv!N410</f>
        <v>40.4</v>
      </c>
      <c r="O410">
        <f>ABS(L410-DigInv!$C$34)</f>
        <v>3.9835870312312567</v>
      </c>
      <c r="P410">
        <f t="shared" si="7"/>
        <v>40.4</v>
      </c>
    </row>
    <row r="411" spans="10:16">
      <c r="J411" s="5"/>
      <c r="L411">
        <f>DigInv!M411</f>
        <v>-0.42137032499999999</v>
      </c>
      <c r="M411">
        <f>DigInv!N411</f>
        <v>40.5</v>
      </c>
      <c r="O411">
        <f>ABS(L411-DigInv!$C$34)</f>
        <v>3.9837087062312566</v>
      </c>
      <c r="P411">
        <f t="shared" si="7"/>
        <v>40.5</v>
      </c>
    </row>
    <row r="412" spans="10:16">
      <c r="J412" s="5"/>
      <c r="L412">
        <f>DigInv!M412</f>
        <v>-0.42109479</v>
      </c>
      <c r="M412">
        <f>DigInv!N412</f>
        <v>40.6</v>
      </c>
      <c r="O412">
        <f>ABS(L412-DigInv!$C$34)</f>
        <v>3.9839842412312563</v>
      </c>
      <c r="P412">
        <f t="shared" si="7"/>
        <v>40.6</v>
      </c>
    </row>
    <row r="413" spans="10:16">
      <c r="J413" s="5"/>
      <c r="L413">
        <f>DigInv!M413</f>
        <v>-0.420819255</v>
      </c>
      <c r="M413">
        <f>DigInv!N413</f>
        <v>40.700000000000003</v>
      </c>
      <c r="O413">
        <f>ABS(L413-DigInv!$C$34)</f>
        <v>3.9842597762312564</v>
      </c>
      <c r="P413">
        <f t="shared" si="7"/>
        <v>40.700000000000003</v>
      </c>
    </row>
    <row r="414" spans="10:16">
      <c r="J414" s="5"/>
      <c r="L414">
        <f>DigInv!M414</f>
        <v>-0.41838114399999998</v>
      </c>
      <c r="M414">
        <f>DigInv!N414</f>
        <v>40.799999999999997</v>
      </c>
      <c r="O414">
        <f>ABS(L414-DigInv!$C$34)</f>
        <v>3.9866978872312564</v>
      </c>
      <c r="P414">
        <f t="shared" si="7"/>
        <v>40.799999999999997</v>
      </c>
    </row>
    <row r="415" spans="10:16">
      <c r="J415" s="5"/>
      <c r="L415">
        <f>DigInv!M415</f>
        <v>-0.41445626200000002</v>
      </c>
      <c r="M415">
        <f>DigInv!N415</f>
        <v>40.9</v>
      </c>
      <c r="O415">
        <f>ABS(L415-DigInv!$C$34)</f>
        <v>3.9906227692312566</v>
      </c>
      <c r="P415">
        <f t="shared" si="7"/>
        <v>40.9</v>
      </c>
    </row>
    <row r="416" spans="10:16">
      <c r="J416" s="5"/>
      <c r="L416">
        <f>DigInv!M416</f>
        <v>-0.41053138</v>
      </c>
      <c r="M416">
        <f>DigInv!N416</f>
        <v>41</v>
      </c>
      <c r="O416">
        <f>ABS(L416-DigInv!$C$34)</f>
        <v>3.9945476512312563</v>
      </c>
      <c r="P416">
        <f t="shared" si="7"/>
        <v>41</v>
      </c>
    </row>
    <row r="417" spans="10:16">
      <c r="J417" s="5"/>
      <c r="L417">
        <f>DigInv!M417</f>
        <v>-0.40910974900000002</v>
      </c>
      <c r="M417">
        <f>DigInv!N417</f>
        <v>41.1</v>
      </c>
      <c r="O417">
        <f>ABS(L417-DigInv!$C$34)</f>
        <v>3.9959692822312562</v>
      </c>
      <c r="P417">
        <f t="shared" si="7"/>
        <v>41.1</v>
      </c>
    </row>
    <row r="418" spans="10:16">
      <c r="J418" s="5"/>
      <c r="L418">
        <f>DigInv!M418</f>
        <v>-0.408551308</v>
      </c>
      <c r="M418">
        <f>DigInv!N418</f>
        <v>41.2</v>
      </c>
      <c r="O418">
        <f>ABS(L418-DigInv!$C$34)</f>
        <v>3.9965277232312566</v>
      </c>
      <c r="P418">
        <f t="shared" si="7"/>
        <v>41.2</v>
      </c>
    </row>
    <row r="419" spans="10:16">
      <c r="J419" s="5"/>
      <c r="L419">
        <f>DigInv!M419</f>
        <v>-0.40799286699999998</v>
      </c>
      <c r="M419">
        <f>DigInv!N419</f>
        <v>41.3</v>
      </c>
      <c r="O419">
        <f>ABS(L419-DigInv!$C$34)</f>
        <v>3.9970861642312565</v>
      </c>
      <c r="P419">
        <f t="shared" si="7"/>
        <v>41.3</v>
      </c>
    </row>
    <row r="420" spans="10:16">
      <c r="J420" s="5"/>
      <c r="L420">
        <f>DigInv!M420</f>
        <v>-0.40793400000000002</v>
      </c>
      <c r="M420">
        <f>DigInv!N420</f>
        <v>41.4</v>
      </c>
      <c r="O420">
        <f>ABS(L420-DigInv!$C$34)</f>
        <v>3.9971450312312564</v>
      </c>
      <c r="P420">
        <f t="shared" si="7"/>
        <v>41.4</v>
      </c>
    </row>
    <row r="421" spans="10:16">
      <c r="J421" s="5"/>
      <c r="L421">
        <f>DigInv!M421</f>
        <v>-0.40793400000000002</v>
      </c>
      <c r="M421">
        <f>DigInv!N421</f>
        <v>41.5</v>
      </c>
      <c r="O421">
        <f>ABS(L421-DigInv!$C$34)</f>
        <v>3.9971450312312564</v>
      </c>
      <c r="P421">
        <f t="shared" si="7"/>
        <v>41.5</v>
      </c>
    </row>
    <row r="422" spans="10:16">
      <c r="J422" s="5"/>
      <c r="L422">
        <f>DigInv!M422</f>
        <v>-0.40793400000000002</v>
      </c>
      <c r="M422">
        <f>DigInv!N422</f>
        <v>41.6</v>
      </c>
      <c r="O422">
        <f>ABS(L422-DigInv!$C$34)</f>
        <v>3.9971450312312564</v>
      </c>
      <c r="P422">
        <f t="shared" si="7"/>
        <v>41.6</v>
      </c>
    </row>
    <row r="423" spans="10:16">
      <c r="J423" s="5"/>
      <c r="L423">
        <f>DigInv!M423</f>
        <v>-0.40793400000000002</v>
      </c>
      <c r="M423">
        <f>DigInv!N423</f>
        <v>41.7</v>
      </c>
      <c r="O423">
        <f>ABS(L423-DigInv!$C$34)</f>
        <v>3.9971450312312564</v>
      </c>
      <c r="P423">
        <f t="shared" si="7"/>
        <v>41.7</v>
      </c>
    </row>
    <row r="424" spans="10:16">
      <c r="J424" s="5"/>
      <c r="L424">
        <f>DigInv!M424</f>
        <v>-0.40793400000000002</v>
      </c>
      <c r="M424">
        <f>DigInv!N424</f>
        <v>41.8</v>
      </c>
      <c r="O424">
        <f>ABS(L424-DigInv!$C$34)</f>
        <v>3.9971450312312564</v>
      </c>
      <c r="P424">
        <f t="shared" si="7"/>
        <v>41.8</v>
      </c>
    </row>
    <row r="425" spans="10:16">
      <c r="J425" s="5"/>
      <c r="L425">
        <f>DigInv!M425</f>
        <v>-0.40701333299999998</v>
      </c>
      <c r="M425">
        <f>DigInv!N425</f>
        <v>41.9</v>
      </c>
      <c r="O425">
        <f>ABS(L425-DigInv!$C$34)</f>
        <v>3.9980656982312563</v>
      </c>
      <c r="P425">
        <f t="shared" si="7"/>
        <v>41.9</v>
      </c>
    </row>
    <row r="426" spans="10:16">
      <c r="J426" s="5"/>
      <c r="L426">
        <f>DigInv!M426</f>
        <v>-0.40232994</v>
      </c>
      <c r="M426">
        <f>DigInv!N426</f>
        <v>42</v>
      </c>
      <c r="O426">
        <f>ABS(L426-DigInv!$C$34)</f>
        <v>4.0027490912312569</v>
      </c>
      <c r="P426">
        <f t="shared" si="7"/>
        <v>42</v>
      </c>
    </row>
    <row r="427" spans="10:16">
      <c r="J427" s="5"/>
      <c r="L427">
        <f>DigInv!M427</f>
        <v>-0.39764654700000002</v>
      </c>
      <c r="M427">
        <f>DigInv!N427</f>
        <v>42.1</v>
      </c>
      <c r="O427">
        <f>ABS(L427-DigInv!$C$34)</f>
        <v>4.0074324842312565</v>
      </c>
      <c r="P427">
        <f t="shared" si="7"/>
        <v>42.1</v>
      </c>
    </row>
    <row r="428" spans="10:16">
      <c r="J428" s="5"/>
      <c r="L428">
        <f>DigInv!M428</f>
        <v>-0.392992434</v>
      </c>
      <c r="M428">
        <f>DigInv!N428</f>
        <v>42.2</v>
      </c>
      <c r="O428">
        <f>ABS(L428-DigInv!$C$34)</f>
        <v>4.0120865972312565</v>
      </c>
      <c r="P428">
        <f t="shared" si="7"/>
        <v>42.2</v>
      </c>
    </row>
    <row r="429" spans="10:16">
      <c r="J429" s="5"/>
      <c r="L429">
        <f>DigInv!M429</f>
        <v>-0.38839328099999998</v>
      </c>
      <c r="M429">
        <f>DigInv!N429</f>
        <v>42.3</v>
      </c>
      <c r="O429">
        <f>ABS(L429-DigInv!$C$34)</f>
        <v>4.0166857502312565</v>
      </c>
      <c r="P429">
        <f t="shared" si="7"/>
        <v>42.3</v>
      </c>
    </row>
    <row r="430" spans="10:16">
      <c r="J430" s="5"/>
      <c r="L430">
        <f>DigInv!M430</f>
        <v>-0.38379412800000001</v>
      </c>
      <c r="M430">
        <f>DigInv!N430</f>
        <v>42.4</v>
      </c>
      <c r="O430">
        <f>ABS(L430-DigInv!$C$34)</f>
        <v>4.0212849032312565</v>
      </c>
      <c r="P430">
        <f t="shared" si="7"/>
        <v>42.4</v>
      </c>
    </row>
    <row r="431" spans="10:16">
      <c r="J431" s="5"/>
      <c r="L431">
        <f>DigInv!M431</f>
        <v>-0.38148799999999999</v>
      </c>
      <c r="M431">
        <f>DigInv!N431</f>
        <v>42.5</v>
      </c>
      <c r="O431">
        <f>ABS(L431-DigInv!$C$34)</f>
        <v>4.0235910312312564</v>
      </c>
      <c r="P431">
        <f t="shared" si="7"/>
        <v>42.5</v>
      </c>
    </row>
    <row r="432" spans="10:16">
      <c r="J432" s="5"/>
      <c r="L432">
        <f>DigInv!M432</f>
        <v>-0.38148799999999999</v>
      </c>
      <c r="M432">
        <f>DigInv!N432</f>
        <v>42.6</v>
      </c>
      <c r="O432">
        <f>ABS(L432-DigInv!$C$34)</f>
        <v>4.0235910312312564</v>
      </c>
      <c r="P432">
        <f t="shared" si="7"/>
        <v>42.6</v>
      </c>
    </row>
    <row r="433" spans="10:16">
      <c r="J433" s="5"/>
      <c r="L433">
        <f>DigInv!M433</f>
        <v>-0.38148799999999999</v>
      </c>
      <c r="M433">
        <f>DigInv!N433</f>
        <v>42.7</v>
      </c>
      <c r="O433">
        <f>ABS(L433-DigInv!$C$34)</f>
        <v>4.0235910312312564</v>
      </c>
      <c r="P433">
        <f t="shared" si="7"/>
        <v>42.7</v>
      </c>
    </row>
    <row r="434" spans="10:16">
      <c r="J434" s="5"/>
      <c r="L434">
        <f>DigInv!M434</f>
        <v>-0.381301952</v>
      </c>
      <c r="M434">
        <f>DigInv!N434</f>
        <v>42.8</v>
      </c>
      <c r="O434">
        <f>ABS(L434-DigInv!$C$34)</f>
        <v>4.0237770792312562</v>
      </c>
      <c r="P434">
        <f t="shared" si="7"/>
        <v>42.8</v>
      </c>
    </row>
    <row r="435" spans="10:16">
      <c r="J435" s="5"/>
      <c r="L435">
        <f>DigInv!M435</f>
        <v>-0.38101553599999999</v>
      </c>
      <c r="M435">
        <f>DigInv!N435</f>
        <v>42.9</v>
      </c>
      <c r="O435">
        <f>ABS(L435-DigInv!$C$34)</f>
        <v>4.0240634952312568</v>
      </c>
      <c r="P435">
        <f t="shared" si="7"/>
        <v>42.9</v>
      </c>
    </row>
    <row r="436" spans="10:16">
      <c r="J436" s="5"/>
      <c r="L436">
        <f>DigInv!M436</f>
        <v>-0.38072911999999998</v>
      </c>
      <c r="M436">
        <f>DigInv!N436</f>
        <v>43</v>
      </c>
      <c r="O436">
        <f>ABS(L436-DigInv!$C$34)</f>
        <v>4.0243499112312566</v>
      </c>
      <c r="P436">
        <f t="shared" si="7"/>
        <v>43</v>
      </c>
    </row>
    <row r="437" spans="10:16">
      <c r="J437" s="5"/>
      <c r="L437">
        <f>DigInv!M437</f>
        <v>-0.37694622100000003</v>
      </c>
      <c r="M437">
        <f>DigInv!N437</f>
        <v>43.1</v>
      </c>
      <c r="O437">
        <f>ABS(L437-DigInv!$C$34)</f>
        <v>4.0281328102312566</v>
      </c>
      <c r="P437">
        <f t="shared" si="7"/>
        <v>43.1</v>
      </c>
    </row>
    <row r="438" spans="10:16">
      <c r="J438" s="5"/>
      <c r="L438">
        <f>DigInv!M438</f>
        <v>-0.37229231200000001</v>
      </c>
      <c r="M438">
        <f>DigInv!N438</f>
        <v>43.2</v>
      </c>
      <c r="O438">
        <f>ABS(L438-DigInv!$C$34)</f>
        <v>4.0327867192312565</v>
      </c>
      <c r="P438">
        <f t="shared" si="7"/>
        <v>43.2</v>
      </c>
    </row>
    <row r="439" spans="10:16">
      <c r="J439" s="5"/>
      <c r="L439">
        <f>DigInv!M439</f>
        <v>-0.367638403</v>
      </c>
      <c r="M439">
        <f>DigInv!N439</f>
        <v>43.3</v>
      </c>
      <c r="O439">
        <f>ABS(L439-DigInv!$C$34)</f>
        <v>4.0374406282312565</v>
      </c>
      <c r="P439">
        <f t="shared" si="7"/>
        <v>43.3</v>
      </c>
    </row>
    <row r="440" spans="10:16">
      <c r="J440" s="5"/>
      <c r="L440">
        <f>DigInv!M440</f>
        <v>-0.36741299999999999</v>
      </c>
      <c r="M440">
        <f>DigInv!N440</f>
        <v>43.4</v>
      </c>
      <c r="O440">
        <f>ABS(L440-DigInv!$C$34)</f>
        <v>4.0376660312312564</v>
      </c>
      <c r="P440">
        <f t="shared" si="7"/>
        <v>43.4</v>
      </c>
    </row>
    <row r="441" spans="10:16">
      <c r="J441" s="5"/>
      <c r="L441">
        <f>DigInv!M441</f>
        <v>-0.36741299999999999</v>
      </c>
      <c r="M441">
        <f>DigInv!N441</f>
        <v>43.5</v>
      </c>
      <c r="O441">
        <f>ABS(L441-DigInv!$C$34)</f>
        <v>4.0376660312312564</v>
      </c>
      <c r="P441">
        <f t="shared" si="7"/>
        <v>43.5</v>
      </c>
    </row>
    <row r="442" spans="10:16">
      <c r="J442" s="5"/>
      <c r="L442">
        <f>DigInv!M442</f>
        <v>-0.36638325599999999</v>
      </c>
      <c r="M442">
        <f>DigInv!N442</f>
        <v>43.6</v>
      </c>
      <c r="O442">
        <f>ABS(L442-DigInv!$C$34)</f>
        <v>4.0386957752312567</v>
      </c>
      <c r="P442">
        <f t="shared" si="7"/>
        <v>43.6</v>
      </c>
    </row>
    <row r="443" spans="10:16">
      <c r="J443" s="5"/>
      <c r="L443">
        <f>DigInv!M443</f>
        <v>-0.356343252</v>
      </c>
      <c r="M443">
        <f>DigInv!N443</f>
        <v>43.7</v>
      </c>
      <c r="O443">
        <f>ABS(L443-DigInv!$C$34)</f>
        <v>4.0487357792312562</v>
      </c>
      <c r="P443">
        <f t="shared" si="7"/>
        <v>43.7</v>
      </c>
    </row>
    <row r="444" spans="10:16">
      <c r="J444" s="5"/>
      <c r="L444">
        <f>DigInv!M444</f>
        <v>-0.34630324800000001</v>
      </c>
      <c r="M444">
        <f>DigInv!N444</f>
        <v>43.8</v>
      </c>
      <c r="O444">
        <f>ABS(L444-DigInv!$C$34)</f>
        <v>4.0587757832312565</v>
      </c>
      <c r="P444">
        <f t="shared" si="7"/>
        <v>43.8</v>
      </c>
    </row>
    <row r="445" spans="10:16">
      <c r="J445" s="5"/>
      <c r="L445">
        <f>DigInv!M445</f>
        <v>-0.337517699</v>
      </c>
      <c r="M445">
        <f>DigInv!N445</f>
        <v>43.9</v>
      </c>
      <c r="O445">
        <f>ABS(L445-DigInv!$C$34)</f>
        <v>4.0675613322312563</v>
      </c>
      <c r="P445">
        <f t="shared" si="7"/>
        <v>43.9</v>
      </c>
    </row>
    <row r="446" spans="10:16">
      <c r="J446" s="5"/>
      <c r="L446">
        <f>DigInv!M446</f>
        <v>-0.33242504</v>
      </c>
      <c r="M446">
        <f>DigInv!N446</f>
        <v>44</v>
      </c>
      <c r="O446">
        <f>ABS(L446-DigInv!$C$34)</f>
        <v>4.072653991231256</v>
      </c>
      <c r="P446">
        <f t="shared" si="7"/>
        <v>44</v>
      </c>
    </row>
    <row r="447" spans="10:16">
      <c r="J447" s="5"/>
      <c r="L447">
        <f>DigInv!M447</f>
        <v>-0.32733238100000001</v>
      </c>
      <c r="M447">
        <f>DigInv!N447</f>
        <v>44.1</v>
      </c>
      <c r="O447">
        <f>ABS(L447-DigInv!$C$34)</f>
        <v>4.0777466502312567</v>
      </c>
      <c r="P447">
        <f t="shared" si="7"/>
        <v>44.1</v>
      </c>
    </row>
    <row r="448" spans="10:16">
      <c r="J448" s="5"/>
      <c r="L448">
        <f>DigInv!M448</f>
        <v>-0.32222126200000001</v>
      </c>
      <c r="M448">
        <f>DigInv!N448</f>
        <v>44.2</v>
      </c>
      <c r="O448">
        <f>ABS(L448-DigInv!$C$34)</f>
        <v>4.0828577692312562</v>
      </c>
      <c r="P448">
        <f t="shared" si="7"/>
        <v>44.2</v>
      </c>
    </row>
    <row r="449" spans="10:16">
      <c r="J449" s="5"/>
      <c r="L449">
        <f>DigInv!M449</f>
        <v>-0.31708297299999999</v>
      </c>
      <c r="M449">
        <f>DigInv!N449</f>
        <v>44.3</v>
      </c>
      <c r="O449">
        <f>ABS(L449-DigInv!$C$34)</f>
        <v>4.0879960582312567</v>
      </c>
      <c r="P449">
        <f t="shared" si="7"/>
        <v>44.3</v>
      </c>
    </row>
    <row r="450" spans="10:16">
      <c r="J450" s="5"/>
      <c r="L450">
        <f>DigInv!M450</f>
        <v>-0.31194468400000003</v>
      </c>
      <c r="M450">
        <f>DigInv!N450</f>
        <v>44.4</v>
      </c>
      <c r="O450">
        <f>ABS(L450-DigInv!$C$34)</f>
        <v>4.0931343472312562</v>
      </c>
      <c r="P450">
        <f t="shared" si="7"/>
        <v>44.4</v>
      </c>
    </row>
    <row r="451" spans="10:16">
      <c r="J451" s="5"/>
      <c r="L451">
        <f>DigInv!M451</f>
        <v>-0.30966100000000002</v>
      </c>
      <c r="M451">
        <f>DigInv!N451</f>
        <v>44.5</v>
      </c>
      <c r="O451">
        <f>ABS(L451-DigInv!$C$34)</f>
        <v>4.0954180312312563</v>
      </c>
      <c r="P451">
        <f t="shared" si="7"/>
        <v>44.5</v>
      </c>
    </row>
    <row r="452" spans="10:16">
      <c r="J452" s="5"/>
      <c r="L452">
        <f>DigInv!M452</f>
        <v>-0.30966100000000002</v>
      </c>
      <c r="M452">
        <f>DigInv!N452</f>
        <v>44.6</v>
      </c>
      <c r="O452">
        <f>ABS(L452-DigInv!$C$34)</f>
        <v>4.0954180312312563</v>
      </c>
      <c r="P452">
        <f t="shared" si="7"/>
        <v>44.6</v>
      </c>
    </row>
    <row r="453" spans="10:16">
      <c r="J453" s="5"/>
      <c r="L453">
        <f>DigInv!M453</f>
        <v>-0.30966100000000002</v>
      </c>
      <c r="M453">
        <f>DigInv!N453</f>
        <v>44.7</v>
      </c>
      <c r="O453">
        <f>ABS(L453-DigInv!$C$34)</f>
        <v>4.0954180312312563</v>
      </c>
      <c r="P453">
        <f t="shared" si="7"/>
        <v>44.7</v>
      </c>
    </row>
    <row r="454" spans="10:16">
      <c r="J454" s="5"/>
      <c r="L454">
        <f>DigInv!M454</f>
        <v>-0.30966100000000002</v>
      </c>
      <c r="M454">
        <f>DigInv!N454</f>
        <v>44.8</v>
      </c>
      <c r="O454">
        <f>ABS(L454-DigInv!$C$34)</f>
        <v>4.0954180312312563</v>
      </c>
      <c r="P454">
        <f t="shared" si="7"/>
        <v>44.8</v>
      </c>
    </row>
    <row r="455" spans="10:16">
      <c r="J455" s="5"/>
      <c r="L455">
        <f>DigInv!M455</f>
        <v>-0.30966100000000002</v>
      </c>
      <c r="M455">
        <f>DigInv!N455</f>
        <v>44.9</v>
      </c>
      <c r="O455">
        <f>ABS(L455-DigInv!$C$34)</f>
        <v>4.0954180312312563</v>
      </c>
      <c r="P455">
        <f t="shared" ref="P455:P518" si="8">M455</f>
        <v>44.9</v>
      </c>
    </row>
    <row r="456" spans="10:16">
      <c r="J456" s="5"/>
      <c r="L456">
        <f>DigInv!M456</f>
        <v>-0.30966100000000002</v>
      </c>
      <c r="M456">
        <f>DigInv!N456</f>
        <v>45</v>
      </c>
      <c r="O456">
        <f>ABS(L456-DigInv!$C$34)</f>
        <v>4.0954180312312563</v>
      </c>
      <c r="P456">
        <f t="shared" si="8"/>
        <v>45</v>
      </c>
    </row>
    <row r="457" spans="10:16">
      <c r="J457" s="5"/>
      <c r="L457">
        <f>DigInv!M457</f>
        <v>-0.30521733699999998</v>
      </c>
      <c r="M457">
        <f>DigInv!N457</f>
        <v>45.1</v>
      </c>
      <c r="O457">
        <f>ABS(L457-DigInv!$C$34)</f>
        <v>4.0998616942312562</v>
      </c>
      <c r="P457">
        <f t="shared" si="8"/>
        <v>45.1</v>
      </c>
    </row>
    <row r="458" spans="10:16">
      <c r="J458" s="5"/>
      <c r="L458">
        <f>DigInv!M458</f>
        <v>-0.300035524</v>
      </c>
      <c r="M458">
        <f>DigInv!N458</f>
        <v>45.2</v>
      </c>
      <c r="O458">
        <f>ABS(L458-DigInv!$C$34)</f>
        <v>4.1050435072312563</v>
      </c>
      <c r="P458">
        <f t="shared" si="8"/>
        <v>45.2</v>
      </c>
    </row>
    <row r="459" spans="10:16">
      <c r="J459" s="5"/>
      <c r="L459">
        <f>DigInv!M459</f>
        <v>-0.29489670400000001</v>
      </c>
      <c r="M459">
        <f>DigInv!N459</f>
        <v>45.3</v>
      </c>
      <c r="O459">
        <f>ABS(L459-DigInv!$C$34)</f>
        <v>4.1101823272312563</v>
      </c>
      <c r="P459">
        <f t="shared" si="8"/>
        <v>45.3</v>
      </c>
    </row>
    <row r="460" spans="10:16">
      <c r="J460" s="5"/>
      <c r="L460">
        <f>DigInv!M460</f>
        <v>-0.294745072</v>
      </c>
      <c r="M460">
        <f>DigInv!N460</f>
        <v>45.4</v>
      </c>
      <c r="O460">
        <f>ABS(L460-DigInv!$C$34)</f>
        <v>4.1103339592312569</v>
      </c>
      <c r="P460">
        <f t="shared" si="8"/>
        <v>45.4</v>
      </c>
    </row>
    <row r="461" spans="10:16">
      <c r="J461" s="5"/>
      <c r="L461">
        <f>DigInv!M461</f>
        <v>-0.29459343999999998</v>
      </c>
      <c r="M461">
        <f>DigInv!N461</f>
        <v>45.5</v>
      </c>
      <c r="O461">
        <f>ABS(L461-DigInv!$C$34)</f>
        <v>4.1104855912312566</v>
      </c>
      <c r="P461">
        <f t="shared" si="8"/>
        <v>45.5</v>
      </c>
    </row>
    <row r="462" spans="10:16">
      <c r="J462" s="5"/>
      <c r="L462">
        <f>DigInv!M462</f>
        <v>-0.29441756000000002</v>
      </c>
      <c r="M462">
        <f>DigInv!N462</f>
        <v>45.6</v>
      </c>
      <c r="O462">
        <f>ABS(L462-DigInv!$C$34)</f>
        <v>4.1106614712312561</v>
      </c>
      <c r="P462">
        <f t="shared" si="8"/>
        <v>45.6</v>
      </c>
    </row>
    <row r="463" spans="10:16">
      <c r="J463" s="5"/>
      <c r="L463">
        <f>DigInv!M463</f>
        <v>-0.29411394499999999</v>
      </c>
      <c r="M463">
        <f>DigInv!N463</f>
        <v>45.7</v>
      </c>
      <c r="O463">
        <f>ABS(L463-DigInv!$C$34)</f>
        <v>4.1109650862312561</v>
      </c>
      <c r="P463">
        <f t="shared" si="8"/>
        <v>45.7</v>
      </c>
    </row>
    <row r="464" spans="10:16">
      <c r="J464" s="5"/>
      <c r="L464">
        <f>DigInv!M464</f>
        <v>-0.29381033000000001</v>
      </c>
      <c r="M464">
        <f>DigInv!N464</f>
        <v>45.8</v>
      </c>
      <c r="O464">
        <f>ABS(L464-DigInv!$C$34)</f>
        <v>4.1112687012312561</v>
      </c>
      <c r="P464">
        <f t="shared" si="8"/>
        <v>45.8</v>
      </c>
    </row>
    <row r="465" spans="10:16">
      <c r="J465" s="5"/>
      <c r="L465">
        <f>DigInv!M465</f>
        <v>-0.29212023500000001</v>
      </c>
      <c r="M465">
        <f>DigInv!N465</f>
        <v>45.9</v>
      </c>
      <c r="O465">
        <f>ABS(L465-DigInv!$C$34)</f>
        <v>4.1129587962312568</v>
      </c>
      <c r="P465">
        <f t="shared" si="8"/>
        <v>45.9</v>
      </c>
    </row>
    <row r="466" spans="10:16">
      <c r="J466" s="5"/>
      <c r="L466">
        <f>DigInv!M466</f>
        <v>-0.28735189999999999</v>
      </c>
      <c r="M466">
        <f>DigInv!N466</f>
        <v>46</v>
      </c>
      <c r="O466">
        <f>ABS(L466-DigInv!$C$34)</f>
        <v>4.1177271312312564</v>
      </c>
      <c r="P466">
        <f t="shared" si="8"/>
        <v>46</v>
      </c>
    </row>
    <row r="467" spans="10:16">
      <c r="J467" s="5"/>
      <c r="L467">
        <f>DigInv!M467</f>
        <v>-0.28258356499999998</v>
      </c>
      <c r="M467">
        <f>DigInv!N467</f>
        <v>46.1</v>
      </c>
      <c r="O467">
        <f>ABS(L467-DigInv!$C$34)</f>
        <v>4.1224954662312561</v>
      </c>
      <c r="P467">
        <f t="shared" si="8"/>
        <v>46.1</v>
      </c>
    </row>
    <row r="468" spans="10:16">
      <c r="J468" s="5"/>
      <c r="L468">
        <f>DigInv!M468</f>
        <v>-0.28001599999999999</v>
      </c>
      <c r="M468">
        <f>DigInv!N468</f>
        <v>46.2</v>
      </c>
      <c r="O468">
        <f>ABS(L468-DigInv!$C$34)</f>
        <v>4.1250630312312566</v>
      </c>
      <c r="P468">
        <f t="shared" si="8"/>
        <v>46.2</v>
      </c>
    </row>
    <row r="469" spans="10:16">
      <c r="J469" s="5"/>
      <c r="L469">
        <f>DigInv!M469</f>
        <v>-0.28001599999999999</v>
      </c>
      <c r="M469">
        <f>DigInv!N469</f>
        <v>46.3</v>
      </c>
      <c r="O469">
        <f>ABS(L469-DigInv!$C$34)</f>
        <v>4.1250630312312566</v>
      </c>
      <c r="P469">
        <f t="shared" si="8"/>
        <v>46.3</v>
      </c>
    </row>
    <row r="470" spans="10:16">
      <c r="J470" s="5"/>
      <c r="L470">
        <f>DigInv!M470</f>
        <v>-0.28001599999999999</v>
      </c>
      <c r="M470">
        <f>DigInv!N470</f>
        <v>46.4</v>
      </c>
      <c r="O470">
        <f>ABS(L470-DigInv!$C$34)</f>
        <v>4.1250630312312566</v>
      </c>
      <c r="P470">
        <f t="shared" si="8"/>
        <v>46.4</v>
      </c>
    </row>
    <row r="471" spans="10:16">
      <c r="J471" s="5"/>
      <c r="L471">
        <f>DigInv!M471</f>
        <v>-0.28001599999999999</v>
      </c>
      <c r="M471">
        <f>DigInv!N471</f>
        <v>46.5</v>
      </c>
      <c r="O471">
        <f>ABS(L471-DigInv!$C$34)</f>
        <v>4.1250630312312566</v>
      </c>
      <c r="P471">
        <f t="shared" si="8"/>
        <v>46.5</v>
      </c>
    </row>
    <row r="472" spans="10:16">
      <c r="J472" s="5"/>
      <c r="L472">
        <f>DigInv!M472</f>
        <v>-0.28001599999999999</v>
      </c>
      <c r="M472">
        <f>DigInv!N472</f>
        <v>46.6</v>
      </c>
      <c r="O472">
        <f>ABS(L472-DigInv!$C$34)</f>
        <v>4.1250630312312566</v>
      </c>
      <c r="P472">
        <f t="shared" si="8"/>
        <v>46.6</v>
      </c>
    </row>
    <row r="473" spans="10:16">
      <c r="J473" s="5"/>
      <c r="L473">
        <f>DigInv!M473</f>
        <v>-0.28001599999999999</v>
      </c>
      <c r="M473">
        <f>DigInv!N473</f>
        <v>46.7</v>
      </c>
      <c r="O473">
        <f>ABS(L473-DigInv!$C$34)</f>
        <v>4.1250630312312566</v>
      </c>
      <c r="P473">
        <f t="shared" si="8"/>
        <v>46.7</v>
      </c>
    </row>
    <row r="474" spans="10:16">
      <c r="J474" s="5"/>
      <c r="L474">
        <f>DigInv!M474</f>
        <v>-0.27623157199999998</v>
      </c>
      <c r="M474">
        <f>DigInv!N474</f>
        <v>46.8</v>
      </c>
      <c r="O474">
        <f>ABS(L474-DigInv!$C$34)</f>
        <v>4.1288474592312561</v>
      </c>
      <c r="P474">
        <f t="shared" si="8"/>
        <v>46.8</v>
      </c>
    </row>
    <row r="475" spans="10:16">
      <c r="J475" s="5"/>
      <c r="L475">
        <f>DigInv!M475</f>
        <v>-0.27127510100000002</v>
      </c>
      <c r="M475">
        <f>DigInv!N475</f>
        <v>46.9</v>
      </c>
      <c r="O475">
        <f>ABS(L475-DigInv!$C$34)</f>
        <v>4.1338039302312568</v>
      </c>
      <c r="P475">
        <f t="shared" si="8"/>
        <v>46.9</v>
      </c>
    </row>
    <row r="476" spans="10:16">
      <c r="J476" s="5"/>
      <c r="L476">
        <f>DigInv!M476</f>
        <v>-0.26631863</v>
      </c>
      <c r="M476">
        <f>DigInv!N476</f>
        <v>47</v>
      </c>
      <c r="O476">
        <f>ABS(L476-DigInv!$C$34)</f>
        <v>4.1387604012312567</v>
      </c>
      <c r="P476">
        <f t="shared" si="8"/>
        <v>47</v>
      </c>
    </row>
    <row r="477" spans="10:16">
      <c r="J477" s="5"/>
      <c r="L477">
        <f>DigInv!M477</f>
        <v>-0.26104501099999999</v>
      </c>
      <c r="M477">
        <f>DigInv!N477</f>
        <v>47.1</v>
      </c>
      <c r="O477">
        <f>ABS(L477-DigInv!$C$34)</f>
        <v>4.1440340202312562</v>
      </c>
      <c r="P477">
        <f t="shared" si="8"/>
        <v>47.1</v>
      </c>
    </row>
    <row r="478" spans="10:16">
      <c r="J478" s="5"/>
      <c r="L478">
        <f>DigInv!M478</f>
        <v>-0.25574175199999999</v>
      </c>
      <c r="M478">
        <f>DigInv!N478</f>
        <v>47.2</v>
      </c>
      <c r="O478">
        <f>ABS(L478-DigInv!$C$34)</f>
        <v>4.1493372792312568</v>
      </c>
      <c r="P478">
        <f t="shared" si="8"/>
        <v>47.2</v>
      </c>
    </row>
    <row r="479" spans="10:16">
      <c r="J479" s="5"/>
      <c r="L479">
        <f>DigInv!M479</f>
        <v>-0.250765668</v>
      </c>
      <c r="M479">
        <f>DigInv!N479</f>
        <v>47.3</v>
      </c>
      <c r="O479">
        <f>ABS(L479-DigInv!$C$34)</f>
        <v>4.1543133632312568</v>
      </c>
      <c r="P479">
        <f t="shared" si="8"/>
        <v>47.3</v>
      </c>
    </row>
    <row r="480" spans="10:16">
      <c r="J480" s="5"/>
      <c r="L480">
        <f>DigInv!M480</f>
        <v>-0.250455384</v>
      </c>
      <c r="M480">
        <f>DigInv!N480</f>
        <v>47.4</v>
      </c>
      <c r="O480">
        <f>ABS(L480-DigInv!$C$34)</f>
        <v>4.1546236472312561</v>
      </c>
      <c r="P480">
        <f t="shared" si="8"/>
        <v>47.4</v>
      </c>
    </row>
    <row r="481" spans="10:16">
      <c r="J481" s="5"/>
      <c r="L481">
        <f>DigInv!M481</f>
        <v>-0.25014510000000001</v>
      </c>
      <c r="M481">
        <f>DigInv!N481</f>
        <v>47.5</v>
      </c>
      <c r="O481">
        <f>ABS(L481-DigInv!$C$34)</f>
        <v>4.1549339312312563</v>
      </c>
      <c r="P481">
        <f t="shared" si="8"/>
        <v>47.5</v>
      </c>
    </row>
    <row r="482" spans="10:16">
      <c r="J482" s="5"/>
      <c r="L482">
        <f>DigInv!M482</f>
        <v>-0.24990200000000001</v>
      </c>
      <c r="M482">
        <f>DigInv!N482</f>
        <v>47.6</v>
      </c>
      <c r="O482">
        <f>ABS(L482-DigInv!$C$34)</f>
        <v>4.1551770312312568</v>
      </c>
      <c r="P482">
        <f t="shared" si="8"/>
        <v>47.6</v>
      </c>
    </row>
    <row r="483" spans="10:16">
      <c r="J483" s="5"/>
      <c r="L483">
        <f>DigInv!M483</f>
        <v>-0.24990200000000001</v>
      </c>
      <c r="M483">
        <f>DigInv!N483</f>
        <v>47.7</v>
      </c>
      <c r="O483">
        <f>ABS(L483-DigInv!$C$34)</f>
        <v>4.1551770312312568</v>
      </c>
      <c r="P483">
        <f t="shared" si="8"/>
        <v>47.7</v>
      </c>
    </row>
    <row r="484" spans="10:16">
      <c r="J484" s="5"/>
      <c r="L484">
        <f>DigInv!M484</f>
        <v>-0.24990200000000001</v>
      </c>
      <c r="M484">
        <f>DigInv!N484</f>
        <v>47.8</v>
      </c>
      <c r="O484">
        <f>ABS(L484-DigInv!$C$34)</f>
        <v>4.1551770312312568</v>
      </c>
      <c r="P484">
        <f t="shared" si="8"/>
        <v>47.8</v>
      </c>
    </row>
    <row r="485" spans="10:16">
      <c r="J485" s="5"/>
      <c r="L485">
        <f>DigInv!M485</f>
        <v>-0.246014068999999</v>
      </c>
      <c r="M485">
        <f>DigInv!N485</f>
        <v>47.9</v>
      </c>
      <c r="O485">
        <f>ABS(L485-DigInv!$C$34)</f>
        <v>4.1590649622312572</v>
      </c>
      <c r="P485">
        <f t="shared" si="8"/>
        <v>47.9</v>
      </c>
    </row>
    <row r="486" spans="10:16">
      <c r="J486" s="5"/>
      <c r="L486">
        <f>DigInv!M486</f>
        <v>-0.23543528</v>
      </c>
      <c r="M486">
        <f>DigInv!N486</f>
        <v>48</v>
      </c>
      <c r="O486">
        <f>ABS(L486-DigInv!$C$34)</f>
        <v>4.1696437512312565</v>
      </c>
      <c r="P486">
        <f t="shared" si="8"/>
        <v>48</v>
      </c>
    </row>
    <row r="487" spans="10:16">
      <c r="J487" s="5"/>
      <c r="L487">
        <f>DigInv!M487</f>
        <v>-0.22485649099999999</v>
      </c>
      <c r="M487">
        <f>DigInv!N487</f>
        <v>48.1</v>
      </c>
      <c r="O487">
        <f>ABS(L487-DigInv!$C$34)</f>
        <v>4.1802225402312567</v>
      </c>
      <c r="P487">
        <f t="shared" si="8"/>
        <v>48.1</v>
      </c>
    </row>
    <row r="488" spans="10:16">
      <c r="J488" s="5"/>
      <c r="L488">
        <f>DigInv!M488</f>
        <v>-0.21968128200000001</v>
      </c>
      <c r="M488">
        <f>DigInv!N488</f>
        <v>48.2</v>
      </c>
      <c r="O488">
        <f>ABS(L488-DigInv!$C$34)</f>
        <v>4.1853977492312566</v>
      </c>
      <c r="P488">
        <f t="shared" si="8"/>
        <v>48.2</v>
      </c>
    </row>
    <row r="489" spans="10:16">
      <c r="J489" s="5"/>
      <c r="L489">
        <f>DigInv!M489</f>
        <v>-0.219523683</v>
      </c>
      <c r="M489">
        <f>DigInv!N489</f>
        <v>48.3</v>
      </c>
      <c r="O489">
        <f>ABS(L489-DigInv!$C$34)</f>
        <v>4.1855553482312562</v>
      </c>
      <c r="P489">
        <f t="shared" si="8"/>
        <v>48.3</v>
      </c>
    </row>
    <row r="490" spans="10:16">
      <c r="J490" s="5"/>
      <c r="L490">
        <f>DigInv!M490</f>
        <v>-0.21936608399999999</v>
      </c>
      <c r="M490">
        <f>DigInv!N490</f>
        <v>48.4</v>
      </c>
      <c r="O490">
        <f>ABS(L490-DigInv!$C$34)</f>
        <v>4.1857129472312566</v>
      </c>
      <c r="P490">
        <f t="shared" si="8"/>
        <v>48.4</v>
      </c>
    </row>
    <row r="491" spans="10:16">
      <c r="J491" s="5"/>
      <c r="L491">
        <f>DigInv!M491</f>
        <v>-0.21610108</v>
      </c>
      <c r="M491">
        <f>DigInv!N491</f>
        <v>48.5</v>
      </c>
      <c r="O491">
        <f>ABS(L491-DigInv!$C$34)</f>
        <v>4.1889779512312568</v>
      </c>
      <c r="P491">
        <f t="shared" si="8"/>
        <v>48.5</v>
      </c>
    </row>
    <row r="492" spans="10:16">
      <c r="J492" s="5"/>
      <c r="L492">
        <f>DigInv!M492</f>
        <v>-0.21130220799999999</v>
      </c>
      <c r="M492">
        <f>DigInv!N492</f>
        <v>48.6</v>
      </c>
      <c r="O492">
        <f>ABS(L492-DigInv!$C$34)</f>
        <v>4.1937768232312562</v>
      </c>
      <c r="P492">
        <f t="shared" si="8"/>
        <v>48.6</v>
      </c>
    </row>
    <row r="493" spans="10:16">
      <c r="J493" s="5"/>
      <c r="L493">
        <f>DigInv!M493</f>
        <v>-0.20650333600000001</v>
      </c>
      <c r="M493">
        <f>DigInv!N493</f>
        <v>48.7</v>
      </c>
      <c r="O493">
        <f>ABS(L493-DigInv!$C$34)</f>
        <v>4.1985756952312565</v>
      </c>
      <c r="P493">
        <f t="shared" si="8"/>
        <v>48.7</v>
      </c>
    </row>
    <row r="494" spans="10:16">
      <c r="J494" s="5"/>
      <c r="L494">
        <f>DigInv!M494</f>
        <v>-0.20088510400000001</v>
      </c>
      <c r="M494">
        <f>DigInv!N494</f>
        <v>48.8</v>
      </c>
      <c r="O494">
        <f>ABS(L494-DigInv!$C$34)</f>
        <v>4.2041939272312563</v>
      </c>
      <c r="P494">
        <f t="shared" si="8"/>
        <v>48.8</v>
      </c>
    </row>
    <row r="495" spans="10:16">
      <c r="J495" s="5"/>
      <c r="L495">
        <f>DigInv!M495</f>
        <v>-0.19508763700000001</v>
      </c>
      <c r="M495">
        <f>DigInv!N495</f>
        <v>48.9</v>
      </c>
      <c r="O495">
        <f>ABS(L495-DigInv!$C$34)</f>
        <v>4.2099913942312561</v>
      </c>
      <c r="P495">
        <f t="shared" si="8"/>
        <v>48.9</v>
      </c>
    </row>
    <row r="496" spans="10:16">
      <c r="J496" s="5"/>
      <c r="L496">
        <f>DigInv!M496</f>
        <v>-0.18929017000000001</v>
      </c>
      <c r="M496">
        <f>DigInv!N496</f>
        <v>49</v>
      </c>
      <c r="O496">
        <f>ABS(L496-DigInv!$C$34)</f>
        <v>4.2157888612312568</v>
      </c>
      <c r="P496">
        <f t="shared" si="8"/>
        <v>49</v>
      </c>
    </row>
    <row r="497" spans="10:16">
      <c r="J497" s="5"/>
      <c r="L497">
        <f>DigInv!M497</f>
        <v>-0.18881298499999999</v>
      </c>
      <c r="M497">
        <f>DigInv!N497</f>
        <v>49.1</v>
      </c>
      <c r="O497">
        <f>ABS(L497-DigInv!$C$34)</f>
        <v>4.2162660462312562</v>
      </c>
      <c r="P497">
        <f t="shared" si="8"/>
        <v>49.1</v>
      </c>
    </row>
    <row r="498" spans="10:16">
      <c r="J498" s="5"/>
      <c r="L498">
        <f>DigInv!M498</f>
        <v>-0.18849182</v>
      </c>
      <c r="M498">
        <f>DigInv!N498</f>
        <v>49.2</v>
      </c>
      <c r="O498">
        <f>ABS(L498-DigInv!$C$34)</f>
        <v>4.2165872112312561</v>
      </c>
      <c r="P498">
        <f t="shared" si="8"/>
        <v>49.2</v>
      </c>
    </row>
    <row r="499" spans="10:16">
      <c r="J499" s="5"/>
      <c r="L499">
        <f>DigInv!M499</f>
        <v>-0.18820999999999999</v>
      </c>
      <c r="M499">
        <f>DigInv!N499</f>
        <v>49.3</v>
      </c>
      <c r="O499">
        <f>ABS(L499-DigInv!$C$34)</f>
        <v>4.2168690312312567</v>
      </c>
      <c r="P499">
        <f t="shared" si="8"/>
        <v>49.3</v>
      </c>
    </row>
    <row r="500" spans="10:16">
      <c r="J500" s="5"/>
      <c r="L500">
        <f>DigInv!M500</f>
        <v>-0.18820999999999999</v>
      </c>
      <c r="M500">
        <f>DigInv!N500</f>
        <v>49.4</v>
      </c>
      <c r="O500">
        <f>ABS(L500-DigInv!$C$34)</f>
        <v>4.2168690312312567</v>
      </c>
      <c r="P500">
        <f t="shared" si="8"/>
        <v>49.4</v>
      </c>
    </row>
    <row r="501" spans="10:16">
      <c r="J501" s="5"/>
      <c r="L501">
        <f>DigInv!M501</f>
        <v>-0.18820999999999999</v>
      </c>
      <c r="M501">
        <f>DigInv!N501</f>
        <v>49.5</v>
      </c>
      <c r="O501">
        <f>ABS(L501-DigInv!$C$34)</f>
        <v>4.2168690312312567</v>
      </c>
      <c r="P501">
        <f t="shared" si="8"/>
        <v>49.5</v>
      </c>
    </row>
    <row r="502" spans="10:16">
      <c r="J502" s="5"/>
      <c r="L502">
        <f>DigInv!M502</f>
        <v>-0.18678497599999999</v>
      </c>
      <c r="M502">
        <f>DigInv!N502</f>
        <v>49.6</v>
      </c>
      <c r="O502">
        <f>ABS(L502-DigInv!$C$34)</f>
        <v>4.2182940552312562</v>
      </c>
      <c r="P502">
        <f t="shared" si="8"/>
        <v>49.6</v>
      </c>
    </row>
    <row r="503" spans="10:16">
      <c r="J503" s="5"/>
      <c r="L503">
        <f>DigInv!M503</f>
        <v>-0.18157473199999999</v>
      </c>
      <c r="M503">
        <f>DigInv!N503</f>
        <v>49.7</v>
      </c>
      <c r="O503">
        <f>ABS(L503-DigInv!$C$34)</f>
        <v>4.2235042992312568</v>
      </c>
      <c r="P503">
        <f t="shared" si="8"/>
        <v>49.7</v>
      </c>
    </row>
    <row r="504" spans="10:16">
      <c r="J504" s="5"/>
      <c r="L504">
        <f>DigInv!M504</f>
        <v>-0.17636448800000001</v>
      </c>
      <c r="M504">
        <f>DigInv!N504</f>
        <v>49.8</v>
      </c>
      <c r="O504">
        <f>ABS(L504-DigInv!$C$34)</f>
        <v>4.2287145432312565</v>
      </c>
      <c r="P504">
        <f t="shared" si="8"/>
        <v>49.8</v>
      </c>
    </row>
    <row r="505" spans="10:16">
      <c r="J505" s="5"/>
      <c r="L505">
        <f>DigInv!M505</f>
        <v>-0.17322832399999999</v>
      </c>
      <c r="M505">
        <f>DigInv!N505</f>
        <v>49.9</v>
      </c>
      <c r="O505">
        <f>ABS(L505-DigInv!$C$34)</f>
        <v>4.2318507072312563</v>
      </c>
      <c r="P505">
        <f t="shared" si="8"/>
        <v>49.9</v>
      </c>
    </row>
    <row r="506" spans="10:16">
      <c r="J506" s="5"/>
      <c r="L506">
        <f>DigInv!M506</f>
        <v>-0.172904</v>
      </c>
      <c r="M506">
        <f>DigInv!N506</f>
        <v>50</v>
      </c>
      <c r="O506">
        <f>ABS(L506-DigInv!$C$34)</f>
        <v>4.2321750312312565</v>
      </c>
      <c r="P506">
        <f t="shared" si="8"/>
        <v>50</v>
      </c>
    </row>
    <row r="507" spans="10:16">
      <c r="J507" s="5"/>
      <c r="L507">
        <f>DigInv!M507</f>
        <v>-0.17257967599999999</v>
      </c>
      <c r="M507">
        <f>DigInv!N507</f>
        <v>50.1</v>
      </c>
      <c r="O507">
        <f>ABS(L507-DigInv!$C$34)</f>
        <v>4.2324993552312566</v>
      </c>
      <c r="P507">
        <f t="shared" si="8"/>
        <v>50.1</v>
      </c>
    </row>
    <row r="508" spans="10:16">
      <c r="J508" s="5"/>
      <c r="L508">
        <f>DigInv!M508</f>
        <v>-0.16950673799999999</v>
      </c>
      <c r="M508">
        <f>DigInv!N508</f>
        <v>50.2</v>
      </c>
      <c r="O508">
        <f>ABS(L508-DigInv!$C$34)</f>
        <v>4.2355722932312565</v>
      </c>
      <c r="P508">
        <f t="shared" si="8"/>
        <v>50.2</v>
      </c>
    </row>
    <row r="509" spans="10:16">
      <c r="J509" s="5"/>
      <c r="L509">
        <f>DigInv!M509</f>
        <v>-0.164406357</v>
      </c>
      <c r="M509">
        <f>DigInv!N509</f>
        <v>50.3</v>
      </c>
      <c r="O509">
        <f>ABS(L509-DigInv!$C$34)</f>
        <v>4.2406726742312566</v>
      </c>
      <c r="P509">
        <f t="shared" si="8"/>
        <v>50.3</v>
      </c>
    </row>
    <row r="510" spans="10:16">
      <c r="J510" s="5"/>
      <c r="L510">
        <f>DigInv!M510</f>
        <v>-0.15930597599999999</v>
      </c>
      <c r="M510">
        <f>DigInv!N510</f>
        <v>50.4</v>
      </c>
      <c r="O510">
        <f>ABS(L510-DigInv!$C$34)</f>
        <v>4.2457730552312567</v>
      </c>
      <c r="P510">
        <f t="shared" si="8"/>
        <v>50.4</v>
      </c>
    </row>
    <row r="511" spans="10:16">
      <c r="J511" s="5"/>
      <c r="L511">
        <f>DigInv!M511</f>
        <v>-0.15767334</v>
      </c>
      <c r="M511">
        <f>DigInv!N511</f>
        <v>50.5</v>
      </c>
      <c r="O511">
        <f>ABS(L511-DigInv!$C$34)</f>
        <v>4.2474056912312568</v>
      </c>
      <c r="P511">
        <f t="shared" si="8"/>
        <v>50.5</v>
      </c>
    </row>
    <row r="512" spans="10:16">
      <c r="J512" s="5"/>
      <c r="L512">
        <f>DigInv!M512</f>
        <v>-0.15734620799999999</v>
      </c>
      <c r="M512">
        <f>DigInv!N512</f>
        <v>50.6</v>
      </c>
      <c r="O512">
        <f>ABS(L512-DigInv!$C$34)</f>
        <v>4.2477328232312566</v>
      </c>
      <c r="P512">
        <f t="shared" si="8"/>
        <v>50.6</v>
      </c>
    </row>
    <row r="513" spans="10:16">
      <c r="J513" s="5"/>
      <c r="L513">
        <f>DigInv!M513</f>
        <v>-0.15701907600000001</v>
      </c>
      <c r="M513">
        <f>DigInv!N513</f>
        <v>50.7</v>
      </c>
      <c r="O513">
        <f>ABS(L513-DigInv!$C$34)</f>
        <v>4.2480599552312563</v>
      </c>
      <c r="P513">
        <f t="shared" si="8"/>
        <v>50.7</v>
      </c>
    </row>
    <row r="514" spans="10:16">
      <c r="J514" s="5"/>
      <c r="L514">
        <f>DigInv!M514</f>
        <v>-0.15683485599999999</v>
      </c>
      <c r="M514">
        <f>DigInv!N514</f>
        <v>50.8</v>
      </c>
      <c r="O514">
        <f>ABS(L514-DigInv!$C$34)</f>
        <v>4.2482441752312567</v>
      </c>
      <c r="P514">
        <f t="shared" si="8"/>
        <v>50.8</v>
      </c>
    </row>
    <row r="515" spans="10:16">
      <c r="J515" s="5"/>
      <c r="L515">
        <f>DigInv!M515</f>
        <v>-0.156670588</v>
      </c>
      <c r="M515">
        <f>DigInv!N515</f>
        <v>50.9</v>
      </c>
      <c r="O515">
        <f>ABS(L515-DigInv!$C$34)</f>
        <v>4.2484084432312565</v>
      </c>
      <c r="P515">
        <f t="shared" si="8"/>
        <v>50.9</v>
      </c>
    </row>
    <row r="516" spans="10:16">
      <c r="J516" s="5"/>
      <c r="L516">
        <f>DigInv!M516</f>
        <v>-0.15618678</v>
      </c>
      <c r="M516">
        <f>DigInv!N516</f>
        <v>51</v>
      </c>
      <c r="O516">
        <f>ABS(L516-DigInv!$C$34)</f>
        <v>4.2488922512312568</v>
      </c>
      <c r="P516">
        <f t="shared" si="8"/>
        <v>51</v>
      </c>
    </row>
    <row r="517" spans="10:16">
      <c r="J517" s="5"/>
      <c r="L517">
        <f>DigInv!M517</f>
        <v>-0.144806658</v>
      </c>
      <c r="M517">
        <f>DigInv!N517</f>
        <v>51.1</v>
      </c>
      <c r="O517">
        <f>ABS(L517-DigInv!$C$34)</f>
        <v>4.2602723732312562</v>
      </c>
      <c r="P517">
        <f t="shared" si="8"/>
        <v>51.1</v>
      </c>
    </row>
    <row r="518" spans="10:16">
      <c r="J518" s="5"/>
      <c r="L518">
        <f>DigInv!M518</f>
        <v>-0.13342653599999901</v>
      </c>
      <c r="M518">
        <f>DigInv!N518</f>
        <v>51.2</v>
      </c>
      <c r="O518">
        <f>ABS(L518-DigInv!$C$34)</f>
        <v>4.2716524952312573</v>
      </c>
      <c r="P518">
        <f t="shared" si="8"/>
        <v>51.2</v>
      </c>
    </row>
    <row r="519" spans="10:16">
      <c r="J519" s="5"/>
      <c r="L519">
        <f>DigInv!M519</f>
        <v>-0.12217499699999999</v>
      </c>
      <c r="M519">
        <f>DigInv!N519</f>
        <v>51.3</v>
      </c>
      <c r="O519">
        <f>ABS(L519-DigInv!$C$34)</f>
        <v>4.2829040342312563</v>
      </c>
      <c r="P519">
        <f t="shared" ref="P519:P582" si="9">M519</f>
        <v>51.3</v>
      </c>
    </row>
    <row r="520" spans="10:16">
      <c r="J520" s="5"/>
      <c r="L520">
        <f>DigInv!M520</f>
        <v>-0.111511266</v>
      </c>
      <c r="M520">
        <f>DigInv!N520</f>
        <v>51.4</v>
      </c>
      <c r="O520">
        <f>ABS(L520-DigInv!$C$34)</f>
        <v>4.2935677652312565</v>
      </c>
      <c r="P520">
        <f t="shared" si="9"/>
        <v>51.4</v>
      </c>
    </row>
    <row r="521" spans="10:16">
      <c r="J521" s="5"/>
      <c r="L521">
        <f>DigInv!M521</f>
        <v>-0.100847535</v>
      </c>
      <c r="M521">
        <f>DigInv!N521</f>
        <v>51.5</v>
      </c>
      <c r="O521">
        <f>ABS(L521-DigInv!$C$34)</f>
        <v>4.3042314962312567</v>
      </c>
      <c r="P521">
        <f t="shared" si="9"/>
        <v>51.5</v>
      </c>
    </row>
    <row r="522" spans="10:16">
      <c r="J522" s="5"/>
      <c r="L522">
        <f>DigInv!M522</f>
        <v>-9.3364987999999996E-2</v>
      </c>
      <c r="M522">
        <f>DigInv!N522</f>
        <v>51.6</v>
      </c>
      <c r="O522">
        <f>ABS(L522-DigInv!$C$34)</f>
        <v>4.3117140432312562</v>
      </c>
      <c r="P522">
        <f t="shared" si="9"/>
        <v>51.6</v>
      </c>
    </row>
    <row r="523" spans="10:16">
      <c r="J523" s="5"/>
      <c r="L523">
        <f>DigInv!M523</f>
        <v>-9.2327081000000005E-2</v>
      </c>
      <c r="M523">
        <f>DigInv!N523</f>
        <v>51.7</v>
      </c>
      <c r="O523">
        <f>ABS(L523-DigInv!$C$34)</f>
        <v>4.3127519502312568</v>
      </c>
      <c r="P523">
        <f t="shared" si="9"/>
        <v>51.7</v>
      </c>
    </row>
    <row r="524" spans="10:16">
      <c r="J524" s="5"/>
      <c r="L524">
        <f>DigInv!M524</f>
        <v>-9.1289174000000001E-2</v>
      </c>
      <c r="M524">
        <f>DigInv!N524</f>
        <v>51.8</v>
      </c>
      <c r="O524">
        <f>ABS(L524-DigInv!$C$34)</f>
        <v>4.3137898572312565</v>
      </c>
      <c r="P524">
        <f t="shared" si="9"/>
        <v>51.8</v>
      </c>
    </row>
    <row r="525" spans="10:16">
      <c r="J525" s="5"/>
      <c r="L525">
        <f>DigInv!M525</f>
        <v>-9.0750999999999998E-2</v>
      </c>
      <c r="M525">
        <f>DigInv!N525</f>
        <v>51.9</v>
      </c>
      <c r="O525">
        <f>ABS(L525-DigInv!$C$34)</f>
        <v>4.3143280312312564</v>
      </c>
      <c r="P525">
        <f t="shared" si="9"/>
        <v>51.9</v>
      </c>
    </row>
    <row r="526" spans="10:16">
      <c r="J526" s="5"/>
      <c r="L526">
        <f>DigInv!M526</f>
        <v>-9.0750999999999998E-2</v>
      </c>
      <c r="M526">
        <f>DigInv!N526</f>
        <v>52</v>
      </c>
      <c r="O526">
        <f>ABS(L526-DigInv!$C$34)</f>
        <v>4.3143280312312564</v>
      </c>
      <c r="P526">
        <f t="shared" si="9"/>
        <v>52</v>
      </c>
    </row>
    <row r="527" spans="10:16">
      <c r="J527" s="5"/>
      <c r="L527">
        <f>DigInv!M527</f>
        <v>-9.0750999999999998E-2</v>
      </c>
      <c r="M527">
        <f>DigInv!N527</f>
        <v>52.1</v>
      </c>
      <c r="O527">
        <f>ABS(L527-DigInv!$C$34)</f>
        <v>4.3143280312312564</v>
      </c>
      <c r="P527">
        <f t="shared" si="9"/>
        <v>52.1</v>
      </c>
    </row>
    <row r="528" spans="10:16">
      <c r="J528" s="5"/>
      <c r="L528">
        <f>DigInv!M528</f>
        <v>-8.3087115999999697E-2</v>
      </c>
      <c r="M528">
        <f>DigInv!N528</f>
        <v>52.2</v>
      </c>
      <c r="O528">
        <f>ABS(L528-DigInv!$C$34)</f>
        <v>4.3219919152312567</v>
      </c>
      <c r="P528">
        <f t="shared" si="9"/>
        <v>52.2</v>
      </c>
    </row>
    <row r="529" spans="10:16">
      <c r="J529" s="5"/>
      <c r="L529">
        <f>DigInv!M529</f>
        <v>-7.09698939999997E-2</v>
      </c>
      <c r="M529">
        <f>DigInv!N529</f>
        <v>52.3</v>
      </c>
      <c r="O529">
        <f>ABS(L529-DigInv!$C$34)</f>
        <v>4.3341091372312563</v>
      </c>
      <c r="P529">
        <f t="shared" si="9"/>
        <v>52.3</v>
      </c>
    </row>
    <row r="530" spans="10:16">
      <c r="J530" s="5"/>
      <c r="L530">
        <f>DigInv!M530</f>
        <v>-5.88526719999998E-2</v>
      </c>
      <c r="M530">
        <f>DigInv!N530</f>
        <v>52.4</v>
      </c>
      <c r="O530">
        <f>ABS(L530-DigInv!$C$34)</f>
        <v>4.3462263592312569</v>
      </c>
      <c r="P530">
        <f t="shared" si="9"/>
        <v>52.4</v>
      </c>
    </row>
    <row r="531" spans="10:16">
      <c r="J531" s="5"/>
      <c r="L531">
        <f>DigInv!M531</f>
        <v>-1.63600499999992E-2</v>
      </c>
      <c r="M531">
        <f>DigInv!N531</f>
        <v>52.5</v>
      </c>
      <c r="O531">
        <f>ABS(L531-DigInv!$C$34)</f>
        <v>4.388718981231257</v>
      </c>
      <c r="P531">
        <f t="shared" si="9"/>
        <v>52.5</v>
      </c>
    </row>
    <row r="532" spans="10:16">
      <c r="J532" s="5"/>
      <c r="L532">
        <f>DigInv!M532</f>
        <v>3.4527228000000701E-2</v>
      </c>
      <c r="M532">
        <f>DigInv!N532</f>
        <v>52.6</v>
      </c>
      <c r="O532">
        <f>ABS(L532-DigInv!$C$34)</f>
        <v>4.4396062592312573</v>
      </c>
      <c r="P532">
        <f t="shared" si="9"/>
        <v>52.6</v>
      </c>
    </row>
    <row r="533" spans="10:16">
      <c r="J533" s="5"/>
      <c r="L533">
        <f>DigInv!M533</f>
        <v>8.5414506000000598E-2</v>
      </c>
      <c r="M533">
        <f>DigInv!N533</f>
        <v>52.7</v>
      </c>
      <c r="O533">
        <f>ABS(L533-DigInv!$C$34)</f>
        <v>4.4904935372312567</v>
      </c>
      <c r="P533">
        <f t="shared" si="9"/>
        <v>52.7</v>
      </c>
    </row>
    <row r="534" spans="10:16">
      <c r="J534" s="5"/>
      <c r="L534">
        <f>DigInv!M534</f>
        <v>9.2421615999999998E-2</v>
      </c>
      <c r="M534">
        <f>DigInv!N534</f>
        <v>52.8</v>
      </c>
      <c r="O534">
        <f>ABS(L534-DigInv!$C$34)</f>
        <v>4.4975006472312566</v>
      </c>
      <c r="P534">
        <f t="shared" si="9"/>
        <v>52.8</v>
      </c>
    </row>
    <row r="535" spans="10:16">
      <c r="J535" s="5"/>
      <c r="L535">
        <f>DigInv!M535</f>
        <v>9.6351763000000007E-2</v>
      </c>
      <c r="M535">
        <f>DigInv!N535</f>
        <v>52.9</v>
      </c>
      <c r="O535">
        <f>ABS(L535-DigInv!$C$34)</f>
        <v>4.5014307942312568</v>
      </c>
      <c r="P535">
        <f t="shared" si="9"/>
        <v>52.9</v>
      </c>
    </row>
    <row r="536" spans="10:16">
      <c r="J536" s="5"/>
      <c r="L536">
        <f>DigInv!M536</f>
        <v>0.10227310000000001</v>
      </c>
      <c r="M536">
        <f>DigInv!N536</f>
        <v>53</v>
      </c>
      <c r="O536">
        <f>ABS(L536-DigInv!$C$34)</f>
        <v>4.5073521312312561</v>
      </c>
      <c r="P536">
        <f t="shared" si="9"/>
        <v>53</v>
      </c>
    </row>
    <row r="537" spans="10:16">
      <c r="J537" s="5"/>
      <c r="L537">
        <f>DigInv!M537</f>
        <v>0.12950017</v>
      </c>
      <c r="M537">
        <f>DigInv!N537</f>
        <v>53.1</v>
      </c>
      <c r="O537">
        <f>ABS(L537-DigInv!$C$34)</f>
        <v>4.5345792012312565</v>
      </c>
      <c r="P537">
        <f t="shared" si="9"/>
        <v>53.1</v>
      </c>
    </row>
    <row r="538" spans="10:16">
      <c r="J538" s="5"/>
      <c r="L538">
        <f>DigInv!M538</f>
        <v>0.15672723999999999</v>
      </c>
      <c r="M538">
        <f>DigInv!N538</f>
        <v>53.2</v>
      </c>
      <c r="O538">
        <f>ABS(L538-DigInv!$C$34)</f>
        <v>4.5618062712312568</v>
      </c>
      <c r="P538">
        <f t="shared" si="9"/>
        <v>53.2</v>
      </c>
    </row>
    <row r="539" spans="10:16">
      <c r="J539" s="5"/>
      <c r="L539">
        <f>DigInv!M539</f>
        <v>0.179881666</v>
      </c>
      <c r="M539">
        <f>DigInv!N539</f>
        <v>53.3</v>
      </c>
      <c r="O539">
        <f>ABS(L539-DigInv!$C$34)</f>
        <v>4.5849606972312564</v>
      </c>
      <c r="P539">
        <f t="shared" si="9"/>
        <v>53.3</v>
      </c>
    </row>
    <row r="540" spans="10:16">
      <c r="J540" s="5"/>
      <c r="L540">
        <f>DigInv!M540</f>
        <v>0.18988586800000001</v>
      </c>
      <c r="M540">
        <f>DigInv!N540</f>
        <v>53.4</v>
      </c>
      <c r="O540">
        <f>ABS(L540-DigInv!$C$34)</f>
        <v>4.5949648992312566</v>
      </c>
      <c r="P540">
        <f t="shared" si="9"/>
        <v>53.4</v>
      </c>
    </row>
    <row r="541" spans="10:16">
      <c r="J541" s="5"/>
      <c r="L541">
        <f>DigInv!M541</f>
        <v>0.199890070000001</v>
      </c>
      <c r="M541">
        <f>DigInv!N541</f>
        <v>53.5</v>
      </c>
      <c r="O541">
        <f>ABS(L541-DigInv!$C$34)</f>
        <v>4.6049691012312577</v>
      </c>
      <c r="P541">
        <f t="shared" si="9"/>
        <v>53.5</v>
      </c>
    </row>
    <row r="542" spans="10:16">
      <c r="J542" s="5"/>
      <c r="L542">
        <f>DigInv!M542</f>
        <v>0.206508416</v>
      </c>
      <c r="M542">
        <f>DigInv!N542</f>
        <v>53.6</v>
      </c>
      <c r="O542">
        <f>ABS(L542-DigInv!$C$34)</f>
        <v>4.6115874472312566</v>
      </c>
      <c r="P542">
        <f t="shared" si="9"/>
        <v>53.6</v>
      </c>
    </row>
    <row r="543" spans="10:16">
      <c r="J543" s="5"/>
      <c r="L543">
        <f>DigInv!M543</f>
        <v>0.20777412200000001</v>
      </c>
      <c r="M543">
        <f>DigInv!N543</f>
        <v>53.7</v>
      </c>
      <c r="O543">
        <f>ABS(L543-DigInv!$C$34)</f>
        <v>4.6128531532312564</v>
      </c>
      <c r="P543">
        <f t="shared" si="9"/>
        <v>53.7</v>
      </c>
    </row>
    <row r="544" spans="10:16">
      <c r="J544" s="5"/>
      <c r="L544">
        <f>DigInv!M544</f>
        <v>0.20903982800000001</v>
      </c>
      <c r="M544">
        <f>DigInv!N544</f>
        <v>53.8</v>
      </c>
      <c r="O544">
        <f>ABS(L544-DigInv!$C$34)</f>
        <v>4.6141188592312563</v>
      </c>
      <c r="P544">
        <f t="shared" si="9"/>
        <v>53.8</v>
      </c>
    </row>
    <row r="545" spans="10:16">
      <c r="J545" s="5"/>
      <c r="L545">
        <f>DigInv!M545</f>
        <v>0.21172605799999999</v>
      </c>
      <c r="M545">
        <f>DigInv!N545</f>
        <v>53.9</v>
      </c>
      <c r="O545">
        <f>ABS(L545-DigInv!$C$34)</f>
        <v>4.6168050892312564</v>
      </c>
      <c r="P545">
        <f t="shared" si="9"/>
        <v>53.9</v>
      </c>
    </row>
    <row r="546" spans="10:16">
      <c r="J546" s="5"/>
      <c r="L546">
        <f>DigInv!M546</f>
        <v>0.21562988</v>
      </c>
      <c r="M546">
        <f>DigInv!N546</f>
        <v>54</v>
      </c>
      <c r="O546">
        <f>ABS(L546-DigInv!$C$34)</f>
        <v>4.6207089112312563</v>
      </c>
      <c r="P546">
        <f t="shared" si="9"/>
        <v>54</v>
      </c>
    </row>
    <row r="547" spans="10:16">
      <c r="J547" s="5"/>
      <c r="L547">
        <f>DigInv!M547</f>
        <v>0.219533702</v>
      </c>
      <c r="M547">
        <f>DigInv!N547</f>
        <v>54.1</v>
      </c>
      <c r="O547">
        <f>ABS(L547-DigInv!$C$34)</f>
        <v>4.6246127332312561</v>
      </c>
      <c r="P547">
        <f t="shared" si="9"/>
        <v>54.1</v>
      </c>
    </row>
    <row r="548" spans="10:16">
      <c r="J548" s="5"/>
      <c r="L548">
        <f>DigInv!M548</f>
        <v>0.22438543799999999</v>
      </c>
      <c r="M548">
        <f>DigInv!N548</f>
        <v>54.2</v>
      </c>
      <c r="O548">
        <f>ABS(L548-DigInv!$C$34)</f>
        <v>4.6294644692312561</v>
      </c>
      <c r="P548">
        <f t="shared" si="9"/>
        <v>54.2</v>
      </c>
    </row>
    <row r="549" spans="10:16">
      <c r="J549" s="5"/>
      <c r="L549">
        <f>DigInv!M549</f>
        <v>0.229664127</v>
      </c>
      <c r="M549">
        <f>DigInv!N549</f>
        <v>54.3</v>
      </c>
      <c r="O549">
        <f>ABS(L549-DigInv!$C$34)</f>
        <v>4.6347431582312568</v>
      </c>
      <c r="P549">
        <f t="shared" si="9"/>
        <v>54.3</v>
      </c>
    </row>
    <row r="550" spans="10:16">
      <c r="J550" s="5"/>
      <c r="L550">
        <f>DigInv!M550</f>
        <v>0.234942816</v>
      </c>
      <c r="M550">
        <f>DigInv!N550</f>
        <v>54.4</v>
      </c>
      <c r="O550">
        <f>ABS(L550-DigInv!$C$34)</f>
        <v>4.6400218472312567</v>
      </c>
      <c r="P550">
        <f t="shared" si="9"/>
        <v>54.4</v>
      </c>
    </row>
    <row r="551" spans="10:16">
      <c r="J551" s="5"/>
      <c r="L551">
        <f>DigInv!M551</f>
        <v>0.23578499999999999</v>
      </c>
      <c r="M551">
        <f>DigInv!N551</f>
        <v>54.5</v>
      </c>
      <c r="O551">
        <f>ABS(L551-DigInv!$C$34)</f>
        <v>4.6408640312312563</v>
      </c>
      <c r="P551">
        <f t="shared" si="9"/>
        <v>54.5</v>
      </c>
    </row>
    <row r="552" spans="10:16">
      <c r="J552" s="5"/>
      <c r="L552">
        <f>DigInv!M552</f>
        <v>0.23578499999999999</v>
      </c>
      <c r="M552">
        <f>DigInv!N552</f>
        <v>54.6</v>
      </c>
      <c r="O552">
        <f>ABS(L552-DigInv!$C$34)</f>
        <v>4.6408640312312563</v>
      </c>
      <c r="P552">
        <f t="shared" si="9"/>
        <v>54.6</v>
      </c>
    </row>
    <row r="553" spans="10:16">
      <c r="J553" s="5"/>
      <c r="L553">
        <f>DigInv!M553</f>
        <v>0.23578499999999999</v>
      </c>
      <c r="M553">
        <f>DigInv!N553</f>
        <v>54.7</v>
      </c>
      <c r="O553">
        <f>ABS(L553-DigInv!$C$34)</f>
        <v>4.6408640312312563</v>
      </c>
      <c r="P553">
        <f t="shared" si="9"/>
        <v>54.7</v>
      </c>
    </row>
    <row r="554" spans="10:16">
      <c r="J554" s="5"/>
      <c r="L554">
        <f>DigInv!M554</f>
        <v>0.23578499999999999</v>
      </c>
      <c r="M554">
        <f>DigInv!N554</f>
        <v>54.8</v>
      </c>
      <c r="O554">
        <f>ABS(L554-DigInv!$C$34)</f>
        <v>4.6408640312312563</v>
      </c>
      <c r="P554">
        <f t="shared" si="9"/>
        <v>54.8</v>
      </c>
    </row>
    <row r="555" spans="10:16">
      <c r="J555" s="5"/>
      <c r="L555">
        <f>DigInv!M555</f>
        <v>0.23578499999999999</v>
      </c>
      <c r="M555">
        <f>DigInv!N555</f>
        <v>54.9</v>
      </c>
      <c r="O555">
        <f>ABS(L555-DigInv!$C$34)</f>
        <v>4.6408640312312563</v>
      </c>
      <c r="P555">
        <f t="shared" si="9"/>
        <v>54.9</v>
      </c>
    </row>
    <row r="556" spans="10:16">
      <c r="J556" s="5"/>
      <c r="L556">
        <f>DigInv!M556</f>
        <v>0.23655219999999999</v>
      </c>
      <c r="M556">
        <f>DigInv!N556</f>
        <v>55</v>
      </c>
      <c r="O556">
        <f>ABS(L556-DigInv!$C$34)</f>
        <v>4.6416312312312566</v>
      </c>
      <c r="P556">
        <f t="shared" si="9"/>
        <v>55</v>
      </c>
    </row>
    <row r="557" spans="10:16">
      <c r="J557" s="5"/>
      <c r="L557">
        <f>DigInv!M557</f>
        <v>0.24193794399999999</v>
      </c>
      <c r="M557">
        <f>DigInv!N557</f>
        <v>55.1</v>
      </c>
      <c r="O557">
        <f>ABS(L557-DigInv!$C$34)</f>
        <v>4.6470169752312565</v>
      </c>
      <c r="P557">
        <f t="shared" si="9"/>
        <v>55.1</v>
      </c>
    </row>
    <row r="558" spans="10:16">
      <c r="J558" s="5"/>
      <c r="L558">
        <f>DigInv!M558</f>
        <v>0.24732368800000001</v>
      </c>
      <c r="M558">
        <f>DigInv!N558</f>
        <v>55.2</v>
      </c>
      <c r="O558">
        <f>ABS(L558-DigInv!$C$34)</f>
        <v>4.6524027192312563</v>
      </c>
      <c r="P558">
        <f t="shared" si="9"/>
        <v>55.2</v>
      </c>
    </row>
    <row r="559" spans="10:16">
      <c r="J559" s="5"/>
      <c r="L559">
        <f>DigInv!M559</f>
        <v>0.25274012600000001</v>
      </c>
      <c r="M559">
        <f>DigInv!N559</f>
        <v>55.3</v>
      </c>
      <c r="O559">
        <f>ABS(L559-DigInv!$C$34)</f>
        <v>4.6578191572312564</v>
      </c>
      <c r="P559">
        <f t="shared" si="9"/>
        <v>55.3</v>
      </c>
    </row>
    <row r="560" spans="10:16">
      <c r="J560" s="5"/>
      <c r="L560">
        <f>DigInv!M560</f>
        <v>0.25823046799999999</v>
      </c>
      <c r="M560">
        <f>DigInv!N560</f>
        <v>55.4</v>
      </c>
      <c r="O560">
        <f>ABS(L560-DigInv!$C$34)</f>
        <v>4.6633094992312563</v>
      </c>
      <c r="P560">
        <f t="shared" si="9"/>
        <v>55.4</v>
      </c>
    </row>
    <row r="561" spans="10:16">
      <c r="J561" s="5"/>
      <c r="L561">
        <f>DigInv!M561</f>
        <v>0.26372081000000003</v>
      </c>
      <c r="M561">
        <f>DigInv!N561</f>
        <v>55.5</v>
      </c>
      <c r="O561">
        <f>ABS(L561-DigInv!$C$34)</f>
        <v>4.6687998412312561</v>
      </c>
      <c r="P561">
        <f t="shared" si="9"/>
        <v>55.5</v>
      </c>
    </row>
    <row r="562" spans="10:16">
      <c r="J562" s="5"/>
      <c r="L562">
        <f>DigInv!M562</f>
        <v>0.26925576800000001</v>
      </c>
      <c r="M562">
        <f>DigInv!N562</f>
        <v>55.6</v>
      </c>
      <c r="O562">
        <f>ABS(L562-DigInv!$C$34)</f>
        <v>4.6743347992312563</v>
      </c>
      <c r="P562">
        <f t="shared" si="9"/>
        <v>55.6</v>
      </c>
    </row>
    <row r="563" spans="10:16">
      <c r="J563" s="5"/>
      <c r="L563">
        <f>DigInv!M563</f>
        <v>0.274846496</v>
      </c>
      <c r="M563">
        <f>DigInv!N563</f>
        <v>55.7</v>
      </c>
      <c r="O563">
        <f>ABS(L563-DigInv!$C$34)</f>
        <v>4.6799255272312568</v>
      </c>
      <c r="P563">
        <f t="shared" si="9"/>
        <v>55.7</v>
      </c>
    </row>
    <row r="564" spans="10:16">
      <c r="J564" s="5"/>
      <c r="L564">
        <f>DigInv!M564</f>
        <v>0.28043722399999998</v>
      </c>
      <c r="M564">
        <f>DigInv!N564</f>
        <v>55.8</v>
      </c>
      <c r="O564">
        <f>ABS(L564-DigInv!$C$34)</f>
        <v>4.6855162552312564</v>
      </c>
      <c r="P564">
        <f t="shared" si="9"/>
        <v>55.8</v>
      </c>
    </row>
    <row r="565" spans="10:16">
      <c r="J565" s="5"/>
      <c r="L565">
        <f>DigInv!M565</f>
        <v>0.28608647199999998</v>
      </c>
      <c r="M565">
        <f>DigInv!N565</f>
        <v>55.9</v>
      </c>
      <c r="O565">
        <f>ABS(L565-DigInv!$C$34)</f>
        <v>4.6911655032312565</v>
      </c>
      <c r="P565">
        <f t="shared" si="9"/>
        <v>55.9</v>
      </c>
    </row>
    <row r="566" spans="10:16">
      <c r="J566" s="5"/>
      <c r="L566">
        <f>DigInv!M566</f>
        <v>0.29177547999999998</v>
      </c>
      <c r="M566">
        <f>DigInv!N566</f>
        <v>56</v>
      </c>
      <c r="O566">
        <f>ABS(L566-DigInv!$C$34)</f>
        <v>4.6968545112312565</v>
      </c>
      <c r="P566">
        <f t="shared" si="9"/>
        <v>56</v>
      </c>
    </row>
    <row r="567" spans="10:16">
      <c r="J567" s="5"/>
      <c r="L567">
        <f>DigInv!M567</f>
        <v>0.29746448800000003</v>
      </c>
      <c r="M567">
        <f>DigInv!N567</f>
        <v>56.1</v>
      </c>
      <c r="O567">
        <f>ABS(L567-DigInv!$C$34)</f>
        <v>4.7025435192312566</v>
      </c>
      <c r="P567">
        <f t="shared" si="9"/>
        <v>56.1</v>
      </c>
    </row>
    <row r="568" spans="10:16">
      <c r="J568" s="5"/>
      <c r="L568">
        <f>DigInv!M568</f>
        <v>0.30322371199999998</v>
      </c>
      <c r="M568">
        <f>DigInv!N568</f>
        <v>56.2</v>
      </c>
      <c r="O568">
        <f>ABS(L568-DigInv!$C$34)</f>
        <v>4.7083027432312567</v>
      </c>
      <c r="P568">
        <f t="shared" si="9"/>
        <v>56.2</v>
      </c>
    </row>
    <row r="569" spans="10:16">
      <c r="J569" s="5"/>
      <c r="L569">
        <f>DigInv!M569</f>
        <v>0.30900678799999998</v>
      </c>
      <c r="M569">
        <f>DigInv!N569</f>
        <v>56.3</v>
      </c>
      <c r="O569">
        <f>ABS(L569-DigInv!$C$34)</f>
        <v>4.714085819231256</v>
      </c>
      <c r="P569">
        <f t="shared" si="9"/>
        <v>56.3</v>
      </c>
    </row>
    <row r="570" spans="10:16">
      <c r="J570" s="5"/>
      <c r="L570">
        <f>DigInv!M570</f>
        <v>0.31478986399999997</v>
      </c>
      <c r="M570">
        <f>DigInv!N570</f>
        <v>56.4</v>
      </c>
      <c r="O570">
        <f>ABS(L570-DigInv!$C$34)</f>
        <v>4.7198688952312562</v>
      </c>
      <c r="P570">
        <f t="shared" si="9"/>
        <v>56.4</v>
      </c>
    </row>
    <row r="571" spans="10:16">
      <c r="J571" s="5"/>
      <c r="L571">
        <f>DigInv!M571</f>
        <v>0.32019052999999997</v>
      </c>
      <c r="M571">
        <f>DigInv!N571</f>
        <v>56.5</v>
      </c>
      <c r="O571">
        <f>ABS(L571-DigInv!$C$34)</f>
        <v>4.7252695612312561</v>
      </c>
      <c r="P571">
        <f t="shared" si="9"/>
        <v>56.5</v>
      </c>
    </row>
    <row r="572" spans="10:16">
      <c r="J572" s="5"/>
      <c r="L572">
        <f>DigInv!M572</f>
        <v>0.32554749199999999</v>
      </c>
      <c r="M572">
        <f>DigInv!N572</f>
        <v>56.6</v>
      </c>
      <c r="O572">
        <f>ABS(L572-DigInv!$C$34)</f>
        <v>4.7306265232312565</v>
      </c>
      <c r="P572">
        <f t="shared" si="9"/>
        <v>56.6</v>
      </c>
    </row>
    <row r="573" spans="10:16">
      <c r="J573" s="5"/>
      <c r="L573">
        <f>DigInv!M573</f>
        <v>0.33067002400000001</v>
      </c>
      <c r="M573">
        <f>DigInv!N573</f>
        <v>56.7</v>
      </c>
      <c r="O573">
        <f>ABS(L573-DigInv!$C$34)</f>
        <v>4.7357490552312562</v>
      </c>
      <c r="P573">
        <f t="shared" si="9"/>
        <v>56.7</v>
      </c>
    </row>
    <row r="574" spans="10:16">
      <c r="J574" s="5"/>
      <c r="L574">
        <f>DigInv!M574</f>
        <v>0.331186696</v>
      </c>
      <c r="M574">
        <f>DigInv!N574</f>
        <v>56.8</v>
      </c>
      <c r="O574">
        <f>ABS(L574-DigInv!$C$34)</f>
        <v>4.7362657272312561</v>
      </c>
      <c r="P574">
        <f t="shared" si="9"/>
        <v>56.8</v>
      </c>
    </row>
    <row r="575" spans="10:16">
      <c r="J575" s="5"/>
      <c r="L575">
        <f>DigInv!M575</f>
        <v>0.331703368</v>
      </c>
      <c r="M575">
        <f>DigInv!N575</f>
        <v>56.9</v>
      </c>
      <c r="O575">
        <f>ABS(L575-DigInv!$C$34)</f>
        <v>4.7367823992312568</v>
      </c>
      <c r="P575">
        <f t="shared" si="9"/>
        <v>56.9</v>
      </c>
    </row>
    <row r="576" spans="10:16">
      <c r="J576" s="5"/>
      <c r="L576">
        <f>DigInv!M576</f>
        <v>0.332117</v>
      </c>
      <c r="M576">
        <f>DigInv!N576</f>
        <v>57</v>
      </c>
      <c r="O576">
        <f>ABS(L576-DigInv!$C$34)</f>
        <v>4.7371960312312567</v>
      </c>
      <c r="P576">
        <f t="shared" si="9"/>
        <v>57</v>
      </c>
    </row>
    <row r="577" spans="10:16">
      <c r="J577" s="5"/>
      <c r="L577">
        <f>DigInv!M577</f>
        <v>0.332117</v>
      </c>
      <c r="M577">
        <f>DigInv!N577</f>
        <v>57.1</v>
      </c>
      <c r="O577">
        <f>ABS(L577-DigInv!$C$34)</f>
        <v>4.7371960312312567</v>
      </c>
      <c r="P577">
        <f t="shared" si="9"/>
        <v>57.1</v>
      </c>
    </row>
    <row r="578" spans="10:16">
      <c r="J578" s="5"/>
      <c r="L578">
        <f>DigInv!M578</f>
        <v>0.332117</v>
      </c>
      <c r="M578">
        <f>DigInv!N578</f>
        <v>57.2</v>
      </c>
      <c r="O578">
        <f>ABS(L578-DigInv!$C$34)</f>
        <v>4.7371960312312567</v>
      </c>
      <c r="P578">
        <f t="shared" si="9"/>
        <v>57.2</v>
      </c>
    </row>
    <row r="579" spans="10:16">
      <c r="J579" s="5"/>
      <c r="L579">
        <f>DigInv!M579</f>
        <v>0.332117</v>
      </c>
      <c r="M579">
        <f>DigInv!N579</f>
        <v>57.3</v>
      </c>
      <c r="O579">
        <f>ABS(L579-DigInv!$C$34)</f>
        <v>4.7371960312312567</v>
      </c>
      <c r="P579">
        <f t="shared" si="9"/>
        <v>57.3</v>
      </c>
    </row>
    <row r="580" spans="10:16">
      <c r="J580" s="5"/>
      <c r="L580">
        <f>DigInv!M580</f>
        <v>0.332117</v>
      </c>
      <c r="M580">
        <f>DigInv!N580</f>
        <v>57.4</v>
      </c>
      <c r="O580">
        <f>ABS(L580-DigInv!$C$34)</f>
        <v>4.7371960312312567</v>
      </c>
      <c r="P580">
        <f t="shared" si="9"/>
        <v>57.4</v>
      </c>
    </row>
    <row r="581" spans="10:16">
      <c r="J581" s="5"/>
      <c r="L581">
        <f>DigInv!M581</f>
        <v>0.332117</v>
      </c>
      <c r="M581">
        <f>DigInv!N581</f>
        <v>57.5</v>
      </c>
      <c r="O581">
        <f>ABS(L581-DigInv!$C$34)</f>
        <v>4.7371960312312567</v>
      </c>
      <c r="P581">
        <f t="shared" si="9"/>
        <v>57.5</v>
      </c>
    </row>
    <row r="582" spans="10:16">
      <c r="J582" s="5"/>
      <c r="L582">
        <f>DigInv!M582</f>
        <v>0.33510495200000001</v>
      </c>
      <c r="M582">
        <f>DigInv!N582</f>
        <v>57.6</v>
      </c>
      <c r="O582">
        <f>ABS(L582-DigInv!$C$34)</f>
        <v>4.7401839832312564</v>
      </c>
      <c r="P582">
        <f t="shared" si="9"/>
        <v>57.6</v>
      </c>
    </row>
    <row r="583" spans="10:16">
      <c r="J583" s="5"/>
      <c r="L583">
        <f>DigInv!M583</f>
        <v>0.34106387900000001</v>
      </c>
      <c r="M583">
        <f>DigInv!N583</f>
        <v>57.7</v>
      </c>
      <c r="O583">
        <f>ABS(L583-DigInv!$C$34)</f>
        <v>4.7461429102312565</v>
      </c>
      <c r="P583">
        <f t="shared" ref="P583:P646" si="10">M583</f>
        <v>57.7</v>
      </c>
    </row>
    <row r="584" spans="10:16">
      <c r="J584" s="5"/>
      <c r="L584">
        <f>DigInv!M584</f>
        <v>0.34702280600000002</v>
      </c>
      <c r="M584">
        <f>DigInv!N584</f>
        <v>57.8</v>
      </c>
      <c r="O584">
        <f>ABS(L584-DigInv!$C$34)</f>
        <v>4.7521018372312565</v>
      </c>
      <c r="P584">
        <f t="shared" si="10"/>
        <v>57.8</v>
      </c>
    </row>
    <row r="585" spans="10:16">
      <c r="J585" s="5"/>
      <c r="L585">
        <f>DigInv!M585</f>
        <v>0.35291967400000002</v>
      </c>
      <c r="M585">
        <f>DigInv!N585</f>
        <v>57.9</v>
      </c>
      <c r="O585">
        <f>ABS(L585-DigInv!$C$34)</f>
        <v>4.7579987052312562</v>
      </c>
      <c r="P585">
        <f t="shared" si="10"/>
        <v>57.9</v>
      </c>
    </row>
    <row r="586" spans="10:16">
      <c r="J586" s="5"/>
      <c r="L586">
        <f>DigInv!M586</f>
        <v>0.35878347999999999</v>
      </c>
      <c r="M586">
        <f>DigInv!N586</f>
        <v>58</v>
      </c>
      <c r="O586">
        <f>ABS(L586-DigInv!$C$34)</f>
        <v>4.763862511231256</v>
      </c>
      <c r="P586">
        <f t="shared" si="10"/>
        <v>58</v>
      </c>
    </row>
    <row r="587" spans="10:16">
      <c r="J587" s="5"/>
      <c r="L587">
        <f>DigInv!M587</f>
        <v>0.36464728600000001</v>
      </c>
      <c r="M587">
        <f>DigInv!N587</f>
        <v>58.1</v>
      </c>
      <c r="O587">
        <f>ABS(L587-DigInv!$C$34)</f>
        <v>4.7697263172312567</v>
      </c>
      <c r="P587">
        <f t="shared" si="10"/>
        <v>58.1</v>
      </c>
    </row>
    <row r="588" spans="10:16">
      <c r="J588" s="5"/>
      <c r="L588">
        <f>DigInv!M588</f>
        <v>0.36594212799999998</v>
      </c>
      <c r="M588">
        <f>DigInv!N588</f>
        <v>58.2</v>
      </c>
      <c r="O588">
        <f>ABS(L588-DigInv!$C$34)</f>
        <v>4.7710211592312568</v>
      </c>
      <c r="P588">
        <f t="shared" si="10"/>
        <v>58.2</v>
      </c>
    </row>
    <row r="589" spans="10:16">
      <c r="J589" s="5"/>
      <c r="L589">
        <f>DigInv!M589</f>
        <v>0.36611903200000001</v>
      </c>
      <c r="M589">
        <f>DigInv!N589</f>
        <v>58.3</v>
      </c>
      <c r="O589">
        <f>ABS(L589-DigInv!$C$34)</f>
        <v>4.7711980632312567</v>
      </c>
      <c r="P589">
        <f t="shared" si="10"/>
        <v>58.3</v>
      </c>
    </row>
    <row r="590" spans="10:16">
      <c r="J590" s="5"/>
      <c r="L590">
        <f>DigInv!M590</f>
        <v>0.36629593599999999</v>
      </c>
      <c r="M590">
        <f>DigInv!N590</f>
        <v>58.4</v>
      </c>
      <c r="O590">
        <f>ABS(L590-DigInv!$C$34)</f>
        <v>4.7713749672312566</v>
      </c>
      <c r="P590">
        <f t="shared" si="10"/>
        <v>58.4</v>
      </c>
    </row>
    <row r="591" spans="10:16">
      <c r="J591" s="5"/>
      <c r="L591">
        <f>DigInv!M591</f>
        <v>0.36630400000000002</v>
      </c>
      <c r="M591">
        <f>DigInv!N591</f>
        <v>58.5</v>
      </c>
      <c r="O591">
        <f>ABS(L591-DigInv!$C$34)</f>
        <v>4.7713830312312568</v>
      </c>
      <c r="P591">
        <f t="shared" si="10"/>
        <v>58.5</v>
      </c>
    </row>
    <row r="592" spans="10:16">
      <c r="J592" s="5"/>
      <c r="L592">
        <f>DigInv!M592</f>
        <v>0.36630400000000002</v>
      </c>
      <c r="M592">
        <f>DigInv!N592</f>
        <v>58.6</v>
      </c>
      <c r="O592">
        <f>ABS(L592-DigInv!$C$34)</f>
        <v>4.7713830312312568</v>
      </c>
      <c r="P592">
        <f t="shared" si="10"/>
        <v>58.6</v>
      </c>
    </row>
    <row r="593" spans="10:16">
      <c r="J593" s="5"/>
      <c r="L593">
        <f>DigInv!M593</f>
        <v>0.36630400000000002</v>
      </c>
      <c r="M593">
        <f>DigInv!N593</f>
        <v>58.7</v>
      </c>
      <c r="O593">
        <f>ABS(L593-DigInv!$C$34)</f>
        <v>4.7713830312312568</v>
      </c>
      <c r="P593">
        <f t="shared" si="10"/>
        <v>58.7</v>
      </c>
    </row>
    <row r="594" spans="10:16">
      <c r="J594" s="5"/>
      <c r="L594">
        <f>DigInv!M594</f>
        <v>0.36630400000000002</v>
      </c>
      <c r="M594">
        <f>DigInv!N594</f>
        <v>58.8</v>
      </c>
      <c r="O594">
        <f>ABS(L594-DigInv!$C$34)</f>
        <v>4.7713830312312568</v>
      </c>
      <c r="P594">
        <f t="shared" si="10"/>
        <v>58.8</v>
      </c>
    </row>
    <row r="595" spans="10:16">
      <c r="J595" s="5"/>
      <c r="L595">
        <f>DigInv!M595</f>
        <v>0.36630400000000002</v>
      </c>
      <c r="M595">
        <f>DigInv!N595</f>
        <v>58.9</v>
      </c>
      <c r="O595">
        <f>ABS(L595-DigInv!$C$34)</f>
        <v>4.7713830312312568</v>
      </c>
      <c r="P595">
        <f t="shared" si="10"/>
        <v>58.9</v>
      </c>
    </row>
    <row r="596" spans="10:16">
      <c r="J596" s="5"/>
      <c r="L596">
        <f>DigInv!M596</f>
        <v>0.36773454999999999</v>
      </c>
      <c r="M596">
        <f>DigInv!N596</f>
        <v>59</v>
      </c>
      <c r="O596">
        <f>ABS(L596-DigInv!$C$34)</f>
        <v>4.7728135812312562</v>
      </c>
      <c r="P596">
        <f t="shared" si="10"/>
        <v>59</v>
      </c>
    </row>
    <row r="597" spans="10:16">
      <c r="J597" s="5"/>
      <c r="L597">
        <f>DigInv!M597</f>
        <v>0.373313695</v>
      </c>
      <c r="M597">
        <f>DigInv!N597</f>
        <v>59.1</v>
      </c>
      <c r="O597">
        <f>ABS(L597-DigInv!$C$34)</f>
        <v>4.7783927262312567</v>
      </c>
      <c r="P597">
        <f t="shared" si="10"/>
        <v>59.1</v>
      </c>
    </row>
    <row r="598" spans="10:16">
      <c r="J598" s="5"/>
      <c r="L598">
        <f>DigInv!M598</f>
        <v>0.37889284000000001</v>
      </c>
      <c r="M598">
        <f>DigInv!N598</f>
        <v>59.2</v>
      </c>
      <c r="O598">
        <f>ABS(L598-DigInv!$C$34)</f>
        <v>4.7839718712312562</v>
      </c>
      <c r="P598">
        <f t="shared" si="10"/>
        <v>59.2</v>
      </c>
    </row>
    <row r="599" spans="10:16">
      <c r="J599" s="5"/>
      <c r="L599">
        <f>DigInv!M599</f>
        <v>0.38234514600000002</v>
      </c>
      <c r="M599">
        <f>DigInv!N599</f>
        <v>59.3</v>
      </c>
      <c r="O599">
        <f>ABS(L599-DigInv!$C$34)</f>
        <v>4.7874241772312569</v>
      </c>
      <c r="P599">
        <f t="shared" si="10"/>
        <v>59.3</v>
      </c>
    </row>
    <row r="600" spans="10:16">
      <c r="J600" s="5"/>
      <c r="L600">
        <f>DigInv!M600</f>
        <v>0.382703868</v>
      </c>
      <c r="M600">
        <f>DigInv!N600</f>
        <v>59.4</v>
      </c>
      <c r="O600">
        <f>ABS(L600-DigInv!$C$34)</f>
        <v>4.7877828992312566</v>
      </c>
      <c r="P600">
        <f t="shared" si="10"/>
        <v>59.4</v>
      </c>
    </row>
    <row r="601" spans="10:16">
      <c r="J601" s="5"/>
      <c r="L601">
        <f>DigInv!M601</f>
        <v>0.38306258999999998</v>
      </c>
      <c r="M601">
        <f>DigInv!N601</f>
        <v>59.5</v>
      </c>
      <c r="O601">
        <f>ABS(L601-DigInv!$C$34)</f>
        <v>4.7881416212312562</v>
      </c>
      <c r="P601">
        <f t="shared" si="10"/>
        <v>59.5</v>
      </c>
    </row>
    <row r="602" spans="10:16">
      <c r="J602" s="5"/>
      <c r="L602">
        <f>DigInv!M602</f>
        <v>0.38322099999999998</v>
      </c>
      <c r="M602">
        <f>DigInv!N602</f>
        <v>59.6</v>
      </c>
      <c r="O602">
        <f>ABS(L602-DigInv!$C$34)</f>
        <v>4.7883000312312562</v>
      </c>
      <c r="P602">
        <f t="shared" si="10"/>
        <v>59.6</v>
      </c>
    </row>
    <row r="603" spans="10:16">
      <c r="J603" s="5"/>
      <c r="L603">
        <f>DigInv!M603</f>
        <v>0.38322099999999998</v>
      </c>
      <c r="M603">
        <f>DigInv!N603</f>
        <v>59.7</v>
      </c>
      <c r="O603">
        <f>ABS(L603-DigInv!$C$34)</f>
        <v>4.7883000312312562</v>
      </c>
      <c r="P603">
        <f t="shared" si="10"/>
        <v>59.7</v>
      </c>
    </row>
    <row r="604" spans="10:16">
      <c r="J604" s="5"/>
      <c r="L604">
        <f>DigInv!M604</f>
        <v>0.38322099999999998</v>
      </c>
      <c r="M604">
        <f>DigInv!N604</f>
        <v>59.8</v>
      </c>
      <c r="O604">
        <f>ABS(L604-DigInv!$C$34)</f>
        <v>4.7883000312312562</v>
      </c>
      <c r="P604">
        <f t="shared" si="10"/>
        <v>59.8</v>
      </c>
    </row>
    <row r="605" spans="10:16">
      <c r="J605" s="5"/>
      <c r="L605">
        <f>DigInv!M605</f>
        <v>0.38334823899999998</v>
      </c>
      <c r="M605">
        <f>DigInv!N605</f>
        <v>59.9</v>
      </c>
      <c r="O605">
        <f>ABS(L605-DigInv!$C$34)</f>
        <v>4.7884272702312565</v>
      </c>
      <c r="P605">
        <f t="shared" si="10"/>
        <v>59.9</v>
      </c>
    </row>
    <row r="606" spans="10:16">
      <c r="J606" s="5"/>
      <c r="L606">
        <f>DigInv!M606</f>
        <v>0.38352760000000002</v>
      </c>
      <c r="M606">
        <f>DigInv!N606</f>
        <v>60</v>
      </c>
      <c r="O606">
        <f>ABS(L606-DigInv!$C$34)</f>
        <v>4.7886066312312563</v>
      </c>
      <c r="P606">
        <f t="shared" si="10"/>
        <v>60</v>
      </c>
    </row>
    <row r="607" spans="10:16">
      <c r="J607" s="5"/>
      <c r="L607">
        <f>DigInv!M607</f>
        <v>0.38370696100000001</v>
      </c>
      <c r="M607">
        <f>DigInv!N607</f>
        <v>60.1</v>
      </c>
      <c r="O607">
        <f>ABS(L607-DigInv!$C$34)</f>
        <v>4.7887859922312561</v>
      </c>
      <c r="P607">
        <f t="shared" si="10"/>
        <v>60.1</v>
      </c>
    </row>
    <row r="608" spans="10:16">
      <c r="J608" s="5"/>
      <c r="L608">
        <f>DigInv!M608</f>
        <v>0.38373200000000002</v>
      </c>
      <c r="M608">
        <f>DigInv!N608</f>
        <v>60.2</v>
      </c>
      <c r="O608">
        <f>ABS(L608-DigInv!$C$34)</f>
        <v>4.7888110312312566</v>
      </c>
      <c r="P608">
        <f t="shared" si="10"/>
        <v>60.2</v>
      </c>
    </row>
    <row r="609" spans="10:16">
      <c r="J609" s="5"/>
      <c r="L609">
        <f>DigInv!M609</f>
        <v>0.38373200000000002</v>
      </c>
      <c r="M609">
        <f>DigInv!N609</f>
        <v>60.3</v>
      </c>
      <c r="O609">
        <f>ABS(L609-DigInv!$C$34)</f>
        <v>4.7888110312312566</v>
      </c>
      <c r="P609">
        <f t="shared" si="10"/>
        <v>60.3</v>
      </c>
    </row>
    <row r="610" spans="10:16">
      <c r="J610" s="5"/>
      <c r="L610">
        <f>DigInv!M610</f>
        <v>0.38380046400000001</v>
      </c>
      <c r="M610">
        <f>DigInv!N610</f>
        <v>60.4</v>
      </c>
      <c r="O610">
        <f>ABS(L610-DigInv!$C$34)</f>
        <v>4.7888794952312566</v>
      </c>
      <c r="P610">
        <f t="shared" si="10"/>
        <v>60.4</v>
      </c>
    </row>
    <row r="611" spans="10:16">
      <c r="J611" s="5"/>
      <c r="L611">
        <f>DigInv!M611</f>
        <v>0.38980818</v>
      </c>
      <c r="M611">
        <f>DigInv!N611</f>
        <v>60.5</v>
      </c>
      <c r="O611">
        <f>ABS(L611-DigInv!$C$34)</f>
        <v>4.7948872112312566</v>
      </c>
      <c r="P611">
        <f t="shared" si="10"/>
        <v>60.5</v>
      </c>
    </row>
    <row r="612" spans="10:16">
      <c r="J612" s="5"/>
      <c r="L612">
        <f>DigInv!M612</f>
        <v>0.395815896</v>
      </c>
      <c r="M612">
        <f>DigInv!N612</f>
        <v>60.6</v>
      </c>
      <c r="O612">
        <f>ABS(L612-DigInv!$C$34)</f>
        <v>4.8008949272312567</v>
      </c>
      <c r="P612">
        <f t="shared" si="10"/>
        <v>60.6</v>
      </c>
    </row>
    <row r="613" spans="10:16">
      <c r="J613" s="5"/>
      <c r="L613">
        <f>DigInv!M613</f>
        <v>0.40087746899999999</v>
      </c>
      <c r="M613">
        <f>DigInv!N613</f>
        <v>60.7</v>
      </c>
      <c r="O613">
        <f>ABS(L613-DigInv!$C$34)</f>
        <v>4.8059565002312565</v>
      </c>
      <c r="P613">
        <f t="shared" si="10"/>
        <v>60.7</v>
      </c>
    </row>
    <row r="614" spans="10:16">
      <c r="J614" s="5"/>
      <c r="L614">
        <f>DigInv!M614</f>
        <v>0.40105893599999998</v>
      </c>
      <c r="M614">
        <f>DigInv!N614</f>
        <v>60.8</v>
      </c>
      <c r="O614">
        <f>ABS(L614-DigInv!$C$34)</f>
        <v>4.8061379672312565</v>
      </c>
      <c r="P614">
        <f t="shared" si="10"/>
        <v>60.8</v>
      </c>
    </row>
    <row r="615" spans="10:16">
      <c r="J615" s="5"/>
      <c r="L615">
        <f>DigInv!M615</f>
        <v>0.40124040300000002</v>
      </c>
      <c r="M615">
        <f>DigInv!N615</f>
        <v>60.9</v>
      </c>
      <c r="O615">
        <f>ABS(L615-DigInv!$C$34)</f>
        <v>4.8063194342312565</v>
      </c>
      <c r="P615">
        <f t="shared" si="10"/>
        <v>60.9</v>
      </c>
    </row>
    <row r="616" spans="10:16">
      <c r="J616" s="5"/>
      <c r="L616">
        <f>DigInv!M616</f>
        <v>0.40315316000000001</v>
      </c>
      <c r="M616">
        <f>DigInv!N616</f>
        <v>61</v>
      </c>
      <c r="O616">
        <f>ABS(L616-DigInv!$C$34)</f>
        <v>4.8082321912312569</v>
      </c>
      <c r="P616">
        <f t="shared" si="10"/>
        <v>61</v>
      </c>
    </row>
    <row r="617" spans="10:16">
      <c r="J617" s="5"/>
      <c r="L617">
        <f>DigInv!M617</f>
        <v>0.40885901600000002</v>
      </c>
      <c r="M617">
        <f>DigInv!N617</f>
        <v>61.1</v>
      </c>
      <c r="O617">
        <f>ABS(L617-DigInv!$C$34)</f>
        <v>4.8139380472312565</v>
      </c>
      <c r="P617">
        <f t="shared" si="10"/>
        <v>61.1</v>
      </c>
    </row>
    <row r="618" spans="10:16">
      <c r="J618" s="5"/>
      <c r="L618">
        <f>DigInv!M618</f>
        <v>0.41456487199999997</v>
      </c>
      <c r="M618">
        <f>DigInv!N618</f>
        <v>61.2</v>
      </c>
      <c r="O618">
        <f>ABS(L618-DigInv!$C$34)</f>
        <v>4.8196439032312561</v>
      </c>
      <c r="P618">
        <f t="shared" si="10"/>
        <v>61.2</v>
      </c>
    </row>
    <row r="619" spans="10:16">
      <c r="J619" s="5"/>
      <c r="L619">
        <f>DigInv!M619</f>
        <v>0.41770608599999998</v>
      </c>
      <c r="M619">
        <f>DigInv!N619</f>
        <v>61.3</v>
      </c>
      <c r="O619">
        <f>ABS(L619-DigInv!$C$34)</f>
        <v>4.8227851172312564</v>
      </c>
      <c r="P619">
        <f t="shared" si="10"/>
        <v>61.3</v>
      </c>
    </row>
    <row r="620" spans="10:16">
      <c r="J620" s="5"/>
      <c r="L620">
        <f>DigInv!M620</f>
        <v>0.41788930800000001</v>
      </c>
      <c r="M620">
        <f>DigInv!N620</f>
        <v>61.4</v>
      </c>
      <c r="O620">
        <f>ABS(L620-DigInv!$C$34)</f>
        <v>4.8229683392312568</v>
      </c>
      <c r="P620">
        <f t="shared" si="10"/>
        <v>61.4</v>
      </c>
    </row>
    <row r="621" spans="10:16">
      <c r="J621" s="5"/>
      <c r="L621">
        <f>DigInv!M621</f>
        <v>0.41807253</v>
      </c>
      <c r="M621">
        <f>DigInv!N621</f>
        <v>61.5</v>
      </c>
      <c r="O621">
        <f>ABS(L621-DigInv!$C$34)</f>
        <v>4.8231515612312563</v>
      </c>
      <c r="P621">
        <f t="shared" si="10"/>
        <v>61.5</v>
      </c>
    </row>
    <row r="622" spans="10:16">
      <c r="J622" s="5"/>
      <c r="L622">
        <f>DigInv!M622</f>
        <v>0.42191479199999998</v>
      </c>
      <c r="M622">
        <f>DigInv!N622</f>
        <v>61.6</v>
      </c>
      <c r="O622">
        <f>ABS(L622-DigInv!$C$34)</f>
        <v>4.8269938232312564</v>
      </c>
      <c r="P622">
        <f t="shared" si="10"/>
        <v>61.6</v>
      </c>
    </row>
    <row r="623" spans="10:16">
      <c r="J623" s="5"/>
      <c r="L623">
        <f>DigInv!M623</f>
        <v>0.428043954</v>
      </c>
      <c r="M623">
        <f>DigInv!N623</f>
        <v>61.7</v>
      </c>
      <c r="O623">
        <f>ABS(L623-DigInv!$C$34)</f>
        <v>4.8331229852312561</v>
      </c>
      <c r="P623">
        <f t="shared" si="10"/>
        <v>61.7</v>
      </c>
    </row>
    <row r="624" spans="10:16">
      <c r="J624" s="5"/>
      <c r="L624">
        <f>DigInv!M624</f>
        <v>0.43417311600000003</v>
      </c>
      <c r="M624">
        <f>DigInv!N624</f>
        <v>61.8</v>
      </c>
      <c r="O624">
        <f>ABS(L624-DigInv!$C$34)</f>
        <v>4.8392521472312566</v>
      </c>
      <c r="P624">
        <f t="shared" si="10"/>
        <v>61.8</v>
      </c>
    </row>
    <row r="625" spans="10:16">
      <c r="J625" s="5"/>
      <c r="L625">
        <f>DigInv!M625</f>
        <v>0.43574676299999998</v>
      </c>
      <c r="M625">
        <f>DigInv!N625</f>
        <v>61.9</v>
      </c>
      <c r="O625">
        <f>ABS(L625-DigInv!$C$34)</f>
        <v>4.8408257942312565</v>
      </c>
      <c r="P625">
        <f t="shared" si="10"/>
        <v>61.9</v>
      </c>
    </row>
    <row r="626" spans="10:16">
      <c r="J626" s="5"/>
      <c r="L626">
        <f>DigInv!M626</f>
        <v>0.43593174000000001</v>
      </c>
      <c r="M626">
        <f>DigInv!N626</f>
        <v>62</v>
      </c>
      <c r="O626">
        <f>ABS(L626-DigInv!$C$34)</f>
        <v>4.8410107712312564</v>
      </c>
      <c r="P626">
        <f t="shared" si="10"/>
        <v>62</v>
      </c>
    </row>
    <row r="627" spans="10:16">
      <c r="J627" s="5"/>
      <c r="L627">
        <f>DigInv!M627</f>
        <v>0.43611671699999999</v>
      </c>
      <c r="M627">
        <f>DigInv!N627</f>
        <v>62.1</v>
      </c>
      <c r="O627">
        <f>ABS(L627-DigInv!$C$34)</f>
        <v>4.8411957482312564</v>
      </c>
      <c r="P627">
        <f t="shared" si="10"/>
        <v>62.1</v>
      </c>
    </row>
    <row r="628" spans="10:16">
      <c r="J628" s="5"/>
      <c r="L628">
        <f>DigInv!M628</f>
        <v>0.44180564</v>
      </c>
      <c r="M628">
        <f>DigInv!N628</f>
        <v>62.2</v>
      </c>
      <c r="O628">
        <f>ABS(L628-DigInv!$C$34)</f>
        <v>4.8468846712312565</v>
      </c>
      <c r="P628">
        <f t="shared" si="10"/>
        <v>62.2</v>
      </c>
    </row>
    <row r="629" spans="10:16">
      <c r="J629" s="5"/>
      <c r="L629">
        <f>DigInv!M629</f>
        <v>0.44799025999999997</v>
      </c>
      <c r="M629">
        <f>DigInv!N629</f>
        <v>62.3</v>
      </c>
      <c r="O629">
        <f>ABS(L629-DigInv!$C$34)</f>
        <v>4.8530692912312565</v>
      </c>
      <c r="P629">
        <f t="shared" si="10"/>
        <v>62.3</v>
      </c>
    </row>
    <row r="630" spans="10:16">
      <c r="J630" s="5"/>
      <c r="L630">
        <f>DigInv!M630</f>
        <v>0.45375199999999999</v>
      </c>
      <c r="M630">
        <f>DigInv!N630</f>
        <v>62.4</v>
      </c>
      <c r="O630">
        <f>ABS(L630-DigInv!$C$34)</f>
        <v>4.8588310312312561</v>
      </c>
      <c r="P630">
        <f t="shared" si="10"/>
        <v>62.4</v>
      </c>
    </row>
    <row r="631" spans="10:16">
      <c r="J631" s="5"/>
      <c r="L631">
        <f>DigInv!M631</f>
        <v>0.45375199999999999</v>
      </c>
      <c r="M631">
        <f>DigInv!N631</f>
        <v>62.5</v>
      </c>
      <c r="O631">
        <f>ABS(L631-DigInv!$C$34)</f>
        <v>4.8588310312312561</v>
      </c>
      <c r="P631">
        <f t="shared" si="10"/>
        <v>62.5</v>
      </c>
    </row>
    <row r="632" spans="10:16">
      <c r="J632" s="5"/>
      <c r="L632">
        <f>DigInv!M632</f>
        <v>0.45375199999999999</v>
      </c>
      <c r="M632">
        <f>DigInv!N632</f>
        <v>62.6</v>
      </c>
      <c r="O632">
        <f>ABS(L632-DigInv!$C$34)</f>
        <v>4.8588310312312561</v>
      </c>
      <c r="P632">
        <f t="shared" si="10"/>
        <v>62.6</v>
      </c>
    </row>
    <row r="633" spans="10:16">
      <c r="J633" s="5"/>
      <c r="L633">
        <f>DigInv!M633</f>
        <v>0.45516079199999998</v>
      </c>
      <c r="M633">
        <f>DigInv!N633</f>
        <v>62.7</v>
      </c>
      <c r="O633">
        <f>ABS(L633-DigInv!$C$34)</f>
        <v>4.8602398232312565</v>
      </c>
      <c r="P633">
        <f t="shared" si="10"/>
        <v>62.7</v>
      </c>
    </row>
    <row r="634" spans="10:16">
      <c r="J634" s="5"/>
      <c r="L634">
        <f>DigInv!M634</f>
        <v>0.46158268800000002</v>
      </c>
      <c r="M634">
        <f>DigInv!N634</f>
        <v>62.8</v>
      </c>
      <c r="O634">
        <f>ABS(L634-DigInv!$C$34)</f>
        <v>4.8666617192312565</v>
      </c>
      <c r="P634">
        <f t="shared" si="10"/>
        <v>62.8</v>
      </c>
    </row>
    <row r="635" spans="10:16">
      <c r="J635" s="5"/>
      <c r="L635">
        <f>DigInv!M635</f>
        <v>0.468004584</v>
      </c>
      <c r="M635">
        <f>DigInv!N635</f>
        <v>62.9</v>
      </c>
      <c r="O635">
        <f>ABS(L635-DigInv!$C$34)</f>
        <v>4.8730836152312564</v>
      </c>
      <c r="P635">
        <f t="shared" si="10"/>
        <v>62.9</v>
      </c>
    </row>
    <row r="636" spans="10:16">
      <c r="J636" s="5"/>
      <c r="L636">
        <f>DigInv!M636</f>
        <v>0.47211755</v>
      </c>
      <c r="M636">
        <f>DigInv!N636</f>
        <v>63</v>
      </c>
      <c r="O636">
        <f>ABS(L636-DigInv!$C$34)</f>
        <v>4.8771965812312565</v>
      </c>
      <c r="P636">
        <f t="shared" si="10"/>
        <v>63</v>
      </c>
    </row>
    <row r="637" spans="10:16">
      <c r="J637" s="5"/>
      <c r="L637">
        <f>DigInv!M637</f>
        <v>0.47230533499999999</v>
      </c>
      <c r="M637">
        <f>DigInv!N637</f>
        <v>63.1</v>
      </c>
      <c r="O637">
        <f>ABS(L637-DigInv!$C$34)</f>
        <v>4.8773843662312562</v>
      </c>
      <c r="P637">
        <f t="shared" si="10"/>
        <v>63.1</v>
      </c>
    </row>
    <row r="638" spans="10:16">
      <c r="J638" s="5"/>
      <c r="L638">
        <f>DigInv!M638</f>
        <v>0.47249311999999999</v>
      </c>
      <c r="M638">
        <f>DigInv!N638</f>
        <v>63.2</v>
      </c>
      <c r="O638">
        <f>ABS(L638-DigInv!$C$34)</f>
        <v>4.8775721512312566</v>
      </c>
      <c r="P638">
        <f t="shared" si="10"/>
        <v>63.2</v>
      </c>
    </row>
    <row r="639" spans="10:16">
      <c r="J639" s="5"/>
      <c r="L639">
        <f>DigInv!M639</f>
        <v>0.47258299999999998</v>
      </c>
      <c r="M639">
        <f>DigInv!N639</f>
        <v>63.3</v>
      </c>
      <c r="O639">
        <f>ABS(L639-DigInv!$C$34)</f>
        <v>4.8776620312312566</v>
      </c>
      <c r="P639">
        <f t="shared" si="10"/>
        <v>63.3</v>
      </c>
    </row>
    <row r="640" spans="10:16">
      <c r="J640" s="5"/>
      <c r="L640">
        <f>DigInv!M640</f>
        <v>0.47258299999999998</v>
      </c>
      <c r="M640">
        <f>DigInv!N640</f>
        <v>63.4</v>
      </c>
      <c r="O640">
        <f>ABS(L640-DigInv!$C$34)</f>
        <v>4.8776620312312566</v>
      </c>
      <c r="P640">
        <f t="shared" si="10"/>
        <v>63.4</v>
      </c>
    </row>
    <row r="641" spans="10:16">
      <c r="J641" s="5"/>
      <c r="L641">
        <f>DigInv!M641</f>
        <v>0.47258299999999998</v>
      </c>
      <c r="M641">
        <f>DigInv!N641</f>
        <v>63.5</v>
      </c>
      <c r="O641">
        <f>ABS(L641-DigInv!$C$34)</f>
        <v>4.8776620312312566</v>
      </c>
      <c r="P641">
        <f t="shared" si="10"/>
        <v>63.5</v>
      </c>
    </row>
    <row r="642" spans="10:16">
      <c r="J642" s="5"/>
      <c r="L642">
        <f>DigInv!M642</f>
        <v>0.47270926000000002</v>
      </c>
      <c r="M642">
        <f>DigInv!N642</f>
        <v>63.6</v>
      </c>
      <c r="O642">
        <f>ABS(L642-DigInv!$C$34)</f>
        <v>4.8777882912312567</v>
      </c>
      <c r="P642">
        <f t="shared" si="10"/>
        <v>63.6</v>
      </c>
    </row>
    <row r="643" spans="10:16">
      <c r="J643" s="5"/>
      <c r="L643">
        <f>DigInv!M643</f>
        <v>0.47289704500000002</v>
      </c>
      <c r="M643">
        <f>DigInv!N643</f>
        <v>63.7</v>
      </c>
      <c r="O643">
        <f>ABS(L643-DigInv!$C$34)</f>
        <v>4.8779760762312563</v>
      </c>
      <c r="P643">
        <f t="shared" si="10"/>
        <v>63.7</v>
      </c>
    </row>
    <row r="644" spans="10:16">
      <c r="J644" s="5"/>
      <c r="L644">
        <f>DigInv!M644</f>
        <v>0.47308483000000001</v>
      </c>
      <c r="M644">
        <f>DigInv!N644</f>
        <v>63.8</v>
      </c>
      <c r="O644">
        <f>ABS(L644-DigInv!$C$34)</f>
        <v>4.8781638612312568</v>
      </c>
      <c r="P644">
        <f t="shared" si="10"/>
        <v>63.8</v>
      </c>
    </row>
    <row r="645" spans="10:16">
      <c r="J645" s="5"/>
      <c r="L645">
        <f>DigInv!M645</f>
        <v>0.47327290399999999</v>
      </c>
      <c r="M645">
        <f>DigInv!N645</f>
        <v>63.9</v>
      </c>
      <c r="O645">
        <f>ABS(L645-DigInv!$C$34)</f>
        <v>4.8783519352312563</v>
      </c>
      <c r="P645">
        <f t="shared" si="10"/>
        <v>63.9</v>
      </c>
    </row>
    <row r="646" spans="10:16">
      <c r="J646" s="5"/>
      <c r="L646">
        <f>DigInv!M646</f>
        <v>0.47346104</v>
      </c>
      <c r="M646">
        <f>DigInv!N646</f>
        <v>64</v>
      </c>
      <c r="O646">
        <f>ABS(L646-DigInv!$C$34)</f>
        <v>4.8785400712312565</v>
      </c>
      <c r="P646">
        <f t="shared" si="10"/>
        <v>64</v>
      </c>
    </row>
    <row r="647" spans="10:16">
      <c r="J647" s="5"/>
      <c r="L647">
        <f>DigInv!M647</f>
        <v>0.47364917600000001</v>
      </c>
      <c r="M647">
        <f>DigInv!N647</f>
        <v>64.099999999999994</v>
      </c>
      <c r="O647">
        <f>ABS(L647-DigInv!$C$34)</f>
        <v>4.8787282072312568</v>
      </c>
      <c r="P647">
        <f t="shared" ref="P647:P710" si="11">M647</f>
        <v>64.099999999999994</v>
      </c>
    </row>
    <row r="648" spans="10:16">
      <c r="J648" s="5"/>
      <c r="L648">
        <f>DigInv!M648</f>
        <v>0.47365400000000002</v>
      </c>
      <c r="M648">
        <f>DigInv!N648</f>
        <v>64.2</v>
      </c>
      <c r="O648">
        <f>ABS(L648-DigInv!$C$34)</f>
        <v>4.8787330312312562</v>
      </c>
      <c r="P648">
        <f t="shared" si="11"/>
        <v>64.2</v>
      </c>
    </row>
    <row r="649" spans="10:16">
      <c r="J649" s="5"/>
      <c r="L649">
        <f>DigInv!M649</f>
        <v>0.47365400000000002</v>
      </c>
      <c r="M649">
        <f>DigInv!N649</f>
        <v>64.3</v>
      </c>
      <c r="O649">
        <f>ABS(L649-DigInv!$C$34)</f>
        <v>4.8787330312312562</v>
      </c>
      <c r="P649">
        <f t="shared" si="11"/>
        <v>64.3</v>
      </c>
    </row>
    <row r="650" spans="10:16">
      <c r="J650" s="5"/>
      <c r="L650">
        <f>DigInv!M650</f>
        <v>0.47365400000000002</v>
      </c>
      <c r="M650">
        <f>DigInv!N650</f>
        <v>64.400000000000006</v>
      </c>
      <c r="O650">
        <f>ABS(L650-DigInv!$C$34)</f>
        <v>4.8787330312312562</v>
      </c>
      <c r="P650">
        <f t="shared" si="11"/>
        <v>64.400000000000006</v>
      </c>
    </row>
    <row r="651" spans="10:16">
      <c r="J651" s="5"/>
      <c r="L651">
        <f>DigInv!M651</f>
        <v>0.47365400000000002</v>
      </c>
      <c r="M651">
        <f>DigInv!N651</f>
        <v>64.5</v>
      </c>
      <c r="O651">
        <f>ABS(L651-DigInv!$C$34)</f>
        <v>4.8787330312312562</v>
      </c>
      <c r="P651">
        <f t="shared" si="11"/>
        <v>64.5</v>
      </c>
    </row>
    <row r="652" spans="10:16">
      <c r="J652" s="5"/>
      <c r="L652">
        <f>DigInv!M652</f>
        <v>0.47365400000000002</v>
      </c>
      <c r="M652">
        <f>DigInv!N652</f>
        <v>64.599999999999994</v>
      </c>
      <c r="O652">
        <f>ABS(L652-DigInv!$C$34)</f>
        <v>4.8787330312312562</v>
      </c>
      <c r="P652">
        <f t="shared" si="11"/>
        <v>64.599999999999994</v>
      </c>
    </row>
    <row r="653" spans="10:16">
      <c r="J653" s="5"/>
      <c r="L653">
        <f>DigInv!M653</f>
        <v>0.47523374200000001</v>
      </c>
      <c r="M653">
        <f>DigInv!N653</f>
        <v>64.7</v>
      </c>
      <c r="O653">
        <f>ABS(L653-DigInv!$C$34)</f>
        <v>4.8803127732312568</v>
      </c>
      <c r="P653">
        <f t="shared" si="11"/>
        <v>64.7</v>
      </c>
    </row>
    <row r="654" spans="10:16">
      <c r="J654" s="5"/>
      <c r="L654">
        <f>DigInv!M654</f>
        <v>0.48095012799999998</v>
      </c>
      <c r="M654">
        <f>DigInv!N654</f>
        <v>64.8</v>
      </c>
      <c r="O654">
        <f>ABS(L654-DigInv!$C$34)</f>
        <v>4.8860291592312564</v>
      </c>
      <c r="P654">
        <f t="shared" si="11"/>
        <v>64.8</v>
      </c>
    </row>
    <row r="655" spans="10:16">
      <c r="J655" s="5"/>
      <c r="L655">
        <f>DigInv!M655</f>
        <v>0.48666651399999999</v>
      </c>
      <c r="M655">
        <f>DigInv!N655</f>
        <v>64.900000000000006</v>
      </c>
      <c r="O655">
        <f>ABS(L655-DigInv!$C$34)</f>
        <v>4.8917455452312568</v>
      </c>
      <c r="P655">
        <f t="shared" si="11"/>
        <v>64.900000000000006</v>
      </c>
    </row>
    <row r="656" spans="10:16">
      <c r="J656" s="5"/>
      <c r="L656">
        <f>DigInv!M656</f>
        <v>0.49002085000000001</v>
      </c>
      <c r="M656">
        <f>DigInv!N656</f>
        <v>65</v>
      </c>
      <c r="O656">
        <f>ABS(L656-DigInv!$C$34)</f>
        <v>4.8950998812312561</v>
      </c>
      <c r="P656">
        <f t="shared" si="11"/>
        <v>65</v>
      </c>
    </row>
    <row r="657" spans="10:16">
      <c r="J657" s="5"/>
      <c r="L657">
        <f>DigInv!M657</f>
        <v>0.49021003899999999</v>
      </c>
      <c r="M657">
        <f>DigInv!N657</f>
        <v>65.099999999999994</v>
      </c>
      <c r="O657">
        <f>ABS(L657-DigInv!$C$34)</f>
        <v>4.8952890702312564</v>
      </c>
      <c r="P657">
        <f t="shared" si="11"/>
        <v>65.099999999999994</v>
      </c>
    </row>
    <row r="658" spans="10:16">
      <c r="J658" s="5"/>
      <c r="L658">
        <f>DigInv!M658</f>
        <v>0.49039922800000002</v>
      </c>
      <c r="M658">
        <f>DigInv!N658</f>
        <v>65.2</v>
      </c>
      <c r="O658">
        <f>ABS(L658-DigInv!$C$34)</f>
        <v>4.8954782592312567</v>
      </c>
      <c r="P658">
        <f t="shared" si="11"/>
        <v>65.2</v>
      </c>
    </row>
    <row r="659" spans="10:16">
      <c r="J659" s="5"/>
      <c r="L659">
        <f>DigInv!M659</f>
        <v>0.490479</v>
      </c>
      <c r="M659">
        <f>DigInv!N659</f>
        <v>65.3</v>
      </c>
      <c r="O659">
        <f>ABS(L659-DigInv!$C$34)</f>
        <v>4.8955580312312561</v>
      </c>
      <c r="P659">
        <f t="shared" si="11"/>
        <v>65.3</v>
      </c>
    </row>
    <row r="660" spans="10:16">
      <c r="J660" s="5"/>
      <c r="L660">
        <f>DigInv!M660</f>
        <v>0.490479</v>
      </c>
      <c r="M660">
        <f>DigInv!N660</f>
        <v>65.400000000000006</v>
      </c>
      <c r="O660">
        <f>ABS(L660-DigInv!$C$34)</f>
        <v>4.8955580312312561</v>
      </c>
      <c r="P660">
        <f t="shared" si="11"/>
        <v>65.400000000000006</v>
      </c>
    </row>
    <row r="661" spans="10:16">
      <c r="J661" s="5"/>
      <c r="L661">
        <f>DigInv!M661</f>
        <v>0.490479</v>
      </c>
      <c r="M661">
        <f>DigInv!N661</f>
        <v>65.5</v>
      </c>
      <c r="O661">
        <f>ABS(L661-DigInv!$C$34)</f>
        <v>4.8955580312312561</v>
      </c>
      <c r="P661">
        <f t="shared" si="11"/>
        <v>65.5</v>
      </c>
    </row>
    <row r="662" spans="10:16">
      <c r="J662" s="5"/>
      <c r="L662">
        <f>DigInv!M662</f>
        <v>0.49075496800000001</v>
      </c>
      <c r="M662">
        <f>DigInv!N662</f>
        <v>65.599999999999994</v>
      </c>
      <c r="O662">
        <f>ABS(L662-DigInv!$C$34)</f>
        <v>4.8958339992312565</v>
      </c>
      <c r="P662">
        <f t="shared" si="11"/>
        <v>65.599999999999994</v>
      </c>
    </row>
    <row r="663" spans="10:16">
      <c r="J663" s="5"/>
      <c r="L663">
        <f>DigInv!M663</f>
        <v>0.49113334600000003</v>
      </c>
      <c r="M663">
        <f>DigInv!N663</f>
        <v>65.7</v>
      </c>
      <c r="O663">
        <f>ABS(L663-DigInv!$C$34)</f>
        <v>4.8962123772312562</v>
      </c>
      <c r="P663">
        <f t="shared" si="11"/>
        <v>65.7</v>
      </c>
    </row>
    <row r="664" spans="10:16">
      <c r="J664" s="5"/>
      <c r="L664">
        <f>DigInv!M664</f>
        <v>0.49151172399999998</v>
      </c>
      <c r="M664">
        <f>DigInv!N664</f>
        <v>65.8</v>
      </c>
      <c r="O664">
        <f>ABS(L664-DigInv!$C$34)</f>
        <v>4.8965907552312569</v>
      </c>
      <c r="P664">
        <f t="shared" si="11"/>
        <v>65.8</v>
      </c>
    </row>
    <row r="665" spans="10:16">
      <c r="J665" s="5"/>
      <c r="L665">
        <f>DigInv!M665</f>
        <v>0.49155700000000002</v>
      </c>
      <c r="M665">
        <f>DigInv!N665</f>
        <v>65.900000000000006</v>
      </c>
      <c r="O665">
        <f>ABS(L665-DigInv!$C$34)</f>
        <v>4.8966360312312567</v>
      </c>
      <c r="P665">
        <f t="shared" si="11"/>
        <v>65.900000000000006</v>
      </c>
    </row>
    <row r="666" spans="10:16">
      <c r="J666" s="5"/>
      <c r="L666">
        <f>DigInv!M666</f>
        <v>0.49155700000000002</v>
      </c>
      <c r="M666">
        <f>DigInv!N666</f>
        <v>66</v>
      </c>
      <c r="O666">
        <f>ABS(L666-DigInv!$C$34)</f>
        <v>4.8966360312312567</v>
      </c>
      <c r="P666">
        <f t="shared" si="11"/>
        <v>66</v>
      </c>
    </row>
    <row r="667" spans="10:16">
      <c r="J667" s="5"/>
      <c r="L667">
        <f>DigInv!M667</f>
        <v>0.49155700000000002</v>
      </c>
      <c r="M667">
        <f>DigInv!N667</f>
        <v>66.099999999999994</v>
      </c>
      <c r="O667">
        <f>ABS(L667-DigInv!$C$34)</f>
        <v>4.8966360312312567</v>
      </c>
      <c r="P667">
        <f t="shared" si="11"/>
        <v>66.099999999999994</v>
      </c>
    </row>
    <row r="668" spans="10:16">
      <c r="J668" s="5"/>
      <c r="L668">
        <f>DigInv!M668</f>
        <v>0.49155700000000002</v>
      </c>
      <c r="M668">
        <f>DigInv!N668</f>
        <v>66.2</v>
      </c>
      <c r="O668">
        <f>ABS(L668-DigInv!$C$34)</f>
        <v>4.8966360312312567</v>
      </c>
      <c r="P668">
        <f t="shared" si="11"/>
        <v>66.2</v>
      </c>
    </row>
    <row r="669" spans="10:16">
      <c r="J669" s="5"/>
      <c r="L669">
        <f>DigInv!M669</f>
        <v>0.49155700000000002</v>
      </c>
      <c r="M669">
        <f>DigInv!N669</f>
        <v>66.3</v>
      </c>
      <c r="O669">
        <f>ABS(L669-DigInv!$C$34)</f>
        <v>4.8966360312312567</v>
      </c>
      <c r="P669">
        <f t="shared" si="11"/>
        <v>66.3</v>
      </c>
    </row>
    <row r="670" spans="10:16">
      <c r="J670" s="5"/>
      <c r="L670">
        <f>DigInv!M670</f>
        <v>0.49159143199999999</v>
      </c>
      <c r="M670">
        <f>DigInv!N670</f>
        <v>66.400000000000006</v>
      </c>
      <c r="O670">
        <f>ABS(L670-DigInv!$C$34)</f>
        <v>4.8966704632312563</v>
      </c>
      <c r="P670">
        <f t="shared" si="11"/>
        <v>66.400000000000006</v>
      </c>
    </row>
    <row r="671" spans="10:16">
      <c r="J671" s="5"/>
      <c r="L671">
        <f>DigInv!M671</f>
        <v>0.49178027000000002</v>
      </c>
      <c r="M671">
        <f>DigInv!N671</f>
        <v>66.5</v>
      </c>
      <c r="O671">
        <f>ABS(L671-DigInv!$C$34)</f>
        <v>4.896859301231256</v>
      </c>
      <c r="P671">
        <f t="shared" si="11"/>
        <v>66.5</v>
      </c>
    </row>
    <row r="672" spans="10:16">
      <c r="J672" s="5"/>
      <c r="L672">
        <f>DigInv!M672</f>
        <v>0.49196910799999999</v>
      </c>
      <c r="M672">
        <f>DigInv!N672</f>
        <v>66.599999999999994</v>
      </c>
      <c r="O672">
        <f>ABS(L672-DigInv!$C$34)</f>
        <v>4.8970481392312566</v>
      </c>
      <c r="P672">
        <f t="shared" si="11"/>
        <v>66.599999999999994</v>
      </c>
    </row>
    <row r="673" spans="10:16">
      <c r="J673" s="5"/>
      <c r="L673">
        <f>DigInv!M673</f>
        <v>0.492095</v>
      </c>
      <c r="M673">
        <f>DigInv!N673</f>
        <v>66.7</v>
      </c>
      <c r="O673">
        <f>ABS(L673-DigInv!$C$34)</f>
        <v>4.8971740312312564</v>
      </c>
      <c r="P673">
        <f t="shared" si="11"/>
        <v>66.7</v>
      </c>
    </row>
    <row r="674" spans="10:16">
      <c r="J674" s="5"/>
      <c r="L674">
        <f>DigInv!M674</f>
        <v>0.492095</v>
      </c>
      <c r="M674">
        <f>DigInv!N674</f>
        <v>66.8</v>
      </c>
      <c r="O674">
        <f>ABS(L674-DigInv!$C$34)</f>
        <v>4.8971740312312564</v>
      </c>
      <c r="P674">
        <f t="shared" si="11"/>
        <v>66.8</v>
      </c>
    </row>
    <row r="675" spans="10:16">
      <c r="J675" s="5"/>
      <c r="L675">
        <f>DigInv!M675</f>
        <v>0.492095</v>
      </c>
      <c r="M675">
        <f>DigInv!N675</f>
        <v>66.900000000000006</v>
      </c>
      <c r="O675">
        <f>ABS(L675-DigInv!$C$34)</f>
        <v>4.8971740312312564</v>
      </c>
      <c r="P675">
        <f t="shared" si="11"/>
        <v>66.900000000000006</v>
      </c>
    </row>
    <row r="676" spans="10:16">
      <c r="J676" s="5"/>
      <c r="L676">
        <f>DigInv!M676</f>
        <v>0.492095</v>
      </c>
      <c r="M676">
        <f>DigInv!N676</f>
        <v>67</v>
      </c>
      <c r="O676">
        <f>ABS(L676-DigInv!$C$34)</f>
        <v>4.8971740312312564</v>
      </c>
      <c r="P676">
        <f t="shared" si="11"/>
        <v>67</v>
      </c>
    </row>
    <row r="677" spans="10:16">
      <c r="J677" s="5"/>
      <c r="L677">
        <f>DigInv!M677</f>
        <v>0.492095</v>
      </c>
      <c r="M677">
        <f>DigInv!N677</f>
        <v>67.099999999999994</v>
      </c>
      <c r="O677">
        <f>ABS(L677-DigInv!$C$34)</f>
        <v>4.8971740312312564</v>
      </c>
      <c r="P677">
        <f t="shared" si="11"/>
        <v>67.099999999999994</v>
      </c>
    </row>
    <row r="678" spans="10:16">
      <c r="J678" s="5"/>
      <c r="L678">
        <f>DigInv!M678</f>
        <v>0.492095</v>
      </c>
      <c r="M678">
        <f>DigInv!N678</f>
        <v>67.2</v>
      </c>
      <c r="O678">
        <f>ABS(L678-DigInv!$C$34)</f>
        <v>4.8971740312312564</v>
      </c>
      <c r="P678">
        <f t="shared" si="11"/>
        <v>67.2</v>
      </c>
    </row>
    <row r="679" spans="10:16">
      <c r="J679" s="5"/>
      <c r="L679">
        <f>DigInv!M679</f>
        <v>0.49575086200000001</v>
      </c>
      <c r="M679">
        <f>DigInv!N679</f>
        <v>67.3</v>
      </c>
      <c r="O679">
        <f>ABS(L679-DigInv!$C$34)</f>
        <v>4.9008298932312568</v>
      </c>
      <c r="P679">
        <f t="shared" si="11"/>
        <v>67.3</v>
      </c>
    </row>
    <row r="680" spans="10:16">
      <c r="J680" s="5"/>
      <c r="L680">
        <f>DigInv!M680</f>
        <v>0.50150515600000001</v>
      </c>
      <c r="M680">
        <f>DigInv!N680</f>
        <v>67.400000000000006</v>
      </c>
      <c r="O680">
        <f>ABS(L680-DigInv!$C$34)</f>
        <v>4.9065841872312568</v>
      </c>
      <c r="P680">
        <f t="shared" si="11"/>
        <v>67.400000000000006</v>
      </c>
    </row>
    <row r="681" spans="10:16">
      <c r="J681" s="5"/>
      <c r="L681">
        <f>DigInv!M681</f>
        <v>0.50725944999999995</v>
      </c>
      <c r="M681">
        <f>DigInv!N681</f>
        <v>67.5</v>
      </c>
      <c r="O681">
        <f>ABS(L681-DigInv!$C$34)</f>
        <v>4.9123384812312567</v>
      </c>
      <c r="P681">
        <f t="shared" si="11"/>
        <v>67.5</v>
      </c>
    </row>
    <row r="682" spans="10:16">
      <c r="J682" s="5"/>
      <c r="L682">
        <f>DigInv!M682</f>
        <v>0.50863859199999994</v>
      </c>
      <c r="M682">
        <f>DigInv!N682</f>
        <v>67.599999999999994</v>
      </c>
      <c r="O682">
        <f>ABS(L682-DigInv!$C$34)</f>
        <v>4.913717623231256</v>
      </c>
      <c r="P682">
        <f t="shared" si="11"/>
        <v>67.599999999999994</v>
      </c>
    </row>
    <row r="683" spans="10:16">
      <c r="J683" s="5"/>
      <c r="L683">
        <f>DigInv!M683</f>
        <v>0.50882883400000001</v>
      </c>
      <c r="M683">
        <f>DigInv!N683</f>
        <v>67.7</v>
      </c>
      <c r="O683">
        <f>ABS(L683-DigInv!$C$34)</f>
        <v>4.9139078652312564</v>
      </c>
      <c r="P683">
        <f t="shared" si="11"/>
        <v>67.7</v>
      </c>
    </row>
    <row r="684" spans="10:16">
      <c r="J684" s="5"/>
      <c r="L684">
        <f>DigInv!M684</f>
        <v>0.50901907599999996</v>
      </c>
      <c r="M684">
        <f>DigInv!N684</f>
        <v>67.8</v>
      </c>
      <c r="O684">
        <f>ABS(L684-DigInv!$C$34)</f>
        <v>4.914098107231256</v>
      </c>
      <c r="P684">
        <f t="shared" si="11"/>
        <v>67.8</v>
      </c>
    </row>
    <row r="685" spans="10:16">
      <c r="J685" s="5"/>
      <c r="L685">
        <f>DigInv!M685</f>
        <v>0.50920931800000002</v>
      </c>
      <c r="M685">
        <f>DigInv!N685</f>
        <v>67.900000000000006</v>
      </c>
      <c r="O685">
        <f>ABS(L685-DigInv!$C$34)</f>
        <v>4.9142883492312563</v>
      </c>
      <c r="P685">
        <f t="shared" si="11"/>
        <v>67.900000000000006</v>
      </c>
    </row>
    <row r="686" spans="10:16">
      <c r="J686" s="5"/>
      <c r="L686">
        <f>DigInv!M686</f>
        <v>0.50939955999999997</v>
      </c>
      <c r="M686">
        <f>DigInv!N686</f>
        <v>68</v>
      </c>
      <c r="O686">
        <f>ABS(L686-DigInv!$C$34)</f>
        <v>4.9144785912312567</v>
      </c>
      <c r="P686">
        <f t="shared" si="11"/>
        <v>68</v>
      </c>
    </row>
    <row r="687" spans="10:16">
      <c r="J687" s="5"/>
      <c r="L687">
        <f>DigInv!M687</f>
        <v>0.50958983300000005</v>
      </c>
      <c r="M687">
        <f>DigInv!N687</f>
        <v>68.099999999999994</v>
      </c>
      <c r="O687">
        <f>ABS(L687-DigInv!$C$34)</f>
        <v>4.9146688642312562</v>
      </c>
      <c r="P687">
        <f t="shared" si="11"/>
        <v>68.099999999999994</v>
      </c>
    </row>
    <row r="688" spans="10:16">
      <c r="J688" s="5"/>
      <c r="L688">
        <f>DigInv!M688</f>
        <v>0.50978042599999995</v>
      </c>
      <c r="M688">
        <f>DigInv!N688</f>
        <v>68.2</v>
      </c>
      <c r="O688">
        <f>ABS(L688-DigInv!$C$34)</f>
        <v>4.9148594572312563</v>
      </c>
      <c r="P688">
        <f t="shared" si="11"/>
        <v>68.2</v>
      </c>
    </row>
    <row r="689" spans="10:16">
      <c r="J689" s="5"/>
      <c r="L689">
        <f>DigInv!M689</f>
        <v>0.50997101899999997</v>
      </c>
      <c r="M689">
        <f>DigInv!N689</f>
        <v>68.3</v>
      </c>
      <c r="O689">
        <f>ABS(L689-DigInv!$C$34)</f>
        <v>4.9150500502312564</v>
      </c>
      <c r="P689">
        <f t="shared" si="11"/>
        <v>68.3</v>
      </c>
    </row>
    <row r="690" spans="10:16">
      <c r="J690" s="5"/>
      <c r="L690">
        <f>DigInv!M690</f>
        <v>0.51016152800000003</v>
      </c>
      <c r="M690">
        <f>DigInv!N690</f>
        <v>68.400000000000006</v>
      </c>
      <c r="O690">
        <f>ABS(L690-DigInv!$C$34)</f>
        <v>4.9152405592312567</v>
      </c>
      <c r="P690">
        <f t="shared" si="11"/>
        <v>68.400000000000006</v>
      </c>
    </row>
    <row r="691" spans="10:16">
      <c r="J691" s="5"/>
      <c r="L691">
        <f>DigInv!M691</f>
        <v>0.51035176999999998</v>
      </c>
      <c r="M691">
        <f>DigInv!N691</f>
        <v>68.5</v>
      </c>
      <c r="O691">
        <f>ABS(L691-DigInv!$C$34)</f>
        <v>4.9154308012312562</v>
      </c>
      <c r="P691">
        <f t="shared" si="11"/>
        <v>68.5</v>
      </c>
    </row>
    <row r="692" spans="10:16">
      <c r="J692" s="5"/>
      <c r="L692">
        <f>DigInv!M692</f>
        <v>0.51054201200000005</v>
      </c>
      <c r="M692">
        <f>DigInv!N692</f>
        <v>68.599999999999994</v>
      </c>
      <c r="O692">
        <f>ABS(L692-DigInv!$C$34)</f>
        <v>4.9156210432312566</v>
      </c>
      <c r="P692">
        <f t="shared" si="11"/>
        <v>68.599999999999994</v>
      </c>
    </row>
    <row r="693" spans="10:16">
      <c r="J693" s="5"/>
      <c r="L693">
        <f>DigInv!M693</f>
        <v>0.51065799999999995</v>
      </c>
      <c r="M693">
        <f>DigInv!N693</f>
        <v>68.7</v>
      </c>
      <c r="O693">
        <f>ABS(L693-DigInv!$C$34)</f>
        <v>4.9157370312312567</v>
      </c>
      <c r="P693">
        <f t="shared" si="11"/>
        <v>68.7</v>
      </c>
    </row>
    <row r="694" spans="10:16">
      <c r="J694" s="5"/>
      <c r="L694">
        <f>DigInv!M694</f>
        <v>0.51065799999999995</v>
      </c>
      <c r="M694">
        <f>DigInv!N694</f>
        <v>68.8</v>
      </c>
      <c r="O694">
        <f>ABS(L694-DigInv!$C$34)</f>
        <v>4.9157370312312567</v>
      </c>
      <c r="P694">
        <f t="shared" si="11"/>
        <v>68.8</v>
      </c>
    </row>
    <row r="695" spans="10:16">
      <c r="J695" s="5"/>
      <c r="L695">
        <f>DigInv!M695</f>
        <v>0.51065799999999995</v>
      </c>
      <c r="M695">
        <f>DigInv!N695</f>
        <v>68.900000000000006</v>
      </c>
      <c r="O695">
        <f>ABS(L695-DigInv!$C$34)</f>
        <v>4.9157370312312567</v>
      </c>
      <c r="P695">
        <f t="shared" si="11"/>
        <v>68.900000000000006</v>
      </c>
    </row>
    <row r="696" spans="10:16">
      <c r="J696" s="5"/>
      <c r="L696">
        <f>DigInv!M696</f>
        <v>0.51410175000000002</v>
      </c>
      <c r="M696">
        <f>DigInv!N696</f>
        <v>69</v>
      </c>
      <c r="O696">
        <f>ABS(L696-DigInv!$C$34)</f>
        <v>4.9191807812312565</v>
      </c>
      <c r="P696">
        <f t="shared" si="11"/>
        <v>69</v>
      </c>
    </row>
    <row r="697" spans="10:16">
      <c r="J697" s="5"/>
      <c r="L697">
        <f>DigInv!M697</f>
        <v>0.52046362499999999</v>
      </c>
      <c r="M697">
        <f>DigInv!N697</f>
        <v>69.099999999999994</v>
      </c>
      <c r="O697">
        <f>ABS(L697-DigInv!$C$34)</f>
        <v>4.9255426562312561</v>
      </c>
      <c r="P697">
        <f t="shared" si="11"/>
        <v>69.099999999999994</v>
      </c>
    </row>
    <row r="698" spans="10:16">
      <c r="J698" s="5"/>
      <c r="L698">
        <f>DigInv!M698</f>
        <v>0.52682549999999995</v>
      </c>
      <c r="M698">
        <f>DigInv!N698</f>
        <v>69.2</v>
      </c>
      <c r="O698">
        <f>ABS(L698-DigInv!$C$34)</f>
        <v>4.9319045312312566</v>
      </c>
      <c r="P698">
        <f t="shared" si="11"/>
        <v>69.2</v>
      </c>
    </row>
    <row r="699" spans="10:16">
      <c r="J699" s="5"/>
      <c r="L699">
        <f>DigInv!M699</f>
        <v>0.52891543500000004</v>
      </c>
      <c r="M699">
        <f>DigInv!N699</f>
        <v>69.3</v>
      </c>
      <c r="O699">
        <f>ABS(L699-DigInv!$C$34)</f>
        <v>4.9339944662312565</v>
      </c>
      <c r="P699">
        <f t="shared" si="11"/>
        <v>69.3</v>
      </c>
    </row>
    <row r="700" spans="10:16">
      <c r="J700" s="5"/>
      <c r="L700">
        <f>DigInv!M700</f>
        <v>0.52910672999999997</v>
      </c>
      <c r="M700">
        <f>DigInv!N700</f>
        <v>69.400000000000006</v>
      </c>
      <c r="O700">
        <f>ABS(L700-DigInv!$C$34)</f>
        <v>4.9341857612312561</v>
      </c>
      <c r="P700">
        <f t="shared" si="11"/>
        <v>69.400000000000006</v>
      </c>
    </row>
    <row r="701" spans="10:16">
      <c r="J701" s="5"/>
      <c r="L701">
        <f>DigInv!M701</f>
        <v>0.52929802500000001</v>
      </c>
      <c r="M701">
        <f>DigInv!N701</f>
        <v>69.5</v>
      </c>
      <c r="O701">
        <f>ABS(L701-DigInv!$C$34)</f>
        <v>4.9343770562312566</v>
      </c>
      <c r="P701">
        <f t="shared" si="11"/>
        <v>69.5</v>
      </c>
    </row>
    <row r="702" spans="10:16">
      <c r="J702" s="5"/>
      <c r="L702">
        <f>DigInv!M702</f>
        <v>0.53439640799999999</v>
      </c>
      <c r="M702">
        <f>DigInv!N702</f>
        <v>69.599999999999994</v>
      </c>
      <c r="O702">
        <f>ABS(L702-DigInv!$C$34)</f>
        <v>4.9394754392312565</v>
      </c>
      <c r="P702">
        <f t="shared" si="11"/>
        <v>69.599999999999994</v>
      </c>
    </row>
    <row r="703" spans="10:16">
      <c r="J703" s="5"/>
      <c r="L703">
        <f>DigInv!M703</f>
        <v>0.54040658100000005</v>
      </c>
      <c r="M703">
        <f>DigInv!N703</f>
        <v>69.7</v>
      </c>
      <c r="O703">
        <f>ABS(L703-DigInv!$C$34)</f>
        <v>4.9454856122312565</v>
      </c>
      <c r="P703">
        <f t="shared" si="11"/>
        <v>69.7</v>
      </c>
    </row>
    <row r="704" spans="10:16">
      <c r="J704" s="5"/>
      <c r="L704">
        <f>DigInv!M704</f>
        <v>0.546416754</v>
      </c>
      <c r="M704">
        <f>DigInv!N704</f>
        <v>69.8</v>
      </c>
      <c r="O704">
        <f>ABS(L704-DigInv!$C$34)</f>
        <v>4.9514957852312564</v>
      </c>
      <c r="P704">
        <f t="shared" si="11"/>
        <v>69.8</v>
      </c>
    </row>
    <row r="705" spans="10:16">
      <c r="J705" s="5"/>
      <c r="L705">
        <f>DigInv!M705</f>
        <v>0.54645100000000002</v>
      </c>
      <c r="M705">
        <f>DigInv!N705</f>
        <v>69.900000000000006</v>
      </c>
      <c r="O705">
        <f>ABS(L705-DigInv!$C$34)</f>
        <v>4.9515300312312567</v>
      </c>
      <c r="P705">
        <f t="shared" si="11"/>
        <v>69.900000000000006</v>
      </c>
    </row>
    <row r="706" spans="10:16">
      <c r="J706" s="5"/>
      <c r="L706">
        <f>DigInv!M706</f>
        <v>0.54645100000000002</v>
      </c>
      <c r="M706">
        <f>DigInv!N706</f>
        <v>70</v>
      </c>
      <c r="O706">
        <f>ABS(L706-DigInv!$C$34)</f>
        <v>4.9515300312312567</v>
      </c>
      <c r="P706">
        <f t="shared" si="11"/>
        <v>70</v>
      </c>
    </row>
    <row r="707" spans="10:16">
      <c r="J707" s="5"/>
      <c r="L707">
        <f>DigInv!M707</f>
        <v>0.54647894799999996</v>
      </c>
      <c r="M707">
        <f>DigInv!N707</f>
        <v>70.099999999999994</v>
      </c>
      <c r="O707">
        <f>ABS(L707-DigInv!$C$34)</f>
        <v>4.9515579792312563</v>
      </c>
      <c r="P707">
        <f t="shared" si="11"/>
        <v>70.099999999999994</v>
      </c>
    </row>
    <row r="708" spans="10:16">
      <c r="J708" s="5"/>
      <c r="L708">
        <f>DigInv!M708</f>
        <v>0.54667129599999997</v>
      </c>
      <c r="M708">
        <f>DigInv!N708</f>
        <v>70.2</v>
      </c>
      <c r="O708">
        <f>ABS(L708-DigInv!$C$34)</f>
        <v>4.951750327231256</v>
      </c>
      <c r="P708">
        <f t="shared" si="11"/>
        <v>70.2</v>
      </c>
    </row>
    <row r="709" spans="10:16">
      <c r="J709" s="5"/>
      <c r="L709">
        <f>DigInv!M709</f>
        <v>0.54686364399999998</v>
      </c>
      <c r="M709">
        <f>DigInv!N709</f>
        <v>70.3</v>
      </c>
      <c r="O709">
        <f>ABS(L709-DigInv!$C$34)</f>
        <v>4.9519426752312565</v>
      </c>
      <c r="P709">
        <f t="shared" si="11"/>
        <v>70.3</v>
      </c>
    </row>
    <row r="710" spans="10:16">
      <c r="J710" s="5"/>
      <c r="L710">
        <f>DigInv!M710</f>
        <v>0.54699900000000001</v>
      </c>
      <c r="M710">
        <f>DigInv!N710</f>
        <v>70.400000000000006</v>
      </c>
      <c r="O710">
        <f>ABS(L710-DigInv!$C$34)</f>
        <v>4.952078031231256</v>
      </c>
      <c r="P710">
        <f t="shared" si="11"/>
        <v>70.400000000000006</v>
      </c>
    </row>
    <row r="711" spans="10:16">
      <c r="J711" s="5"/>
      <c r="L711">
        <f>DigInv!M711</f>
        <v>0.54699900000000001</v>
      </c>
      <c r="M711">
        <f>DigInv!N711</f>
        <v>70.5</v>
      </c>
      <c r="O711">
        <f>ABS(L711-DigInv!$C$34)</f>
        <v>4.952078031231256</v>
      </c>
      <c r="P711">
        <f t="shared" ref="P711:P774" si="12">M711</f>
        <v>70.5</v>
      </c>
    </row>
    <row r="712" spans="10:16">
      <c r="J712" s="5"/>
      <c r="L712">
        <f>DigInv!M712</f>
        <v>0.54699900000000001</v>
      </c>
      <c r="M712">
        <f>DigInv!N712</f>
        <v>70.599999999999994</v>
      </c>
      <c r="O712">
        <f>ABS(L712-DigInv!$C$34)</f>
        <v>4.952078031231256</v>
      </c>
      <c r="P712">
        <f t="shared" si="12"/>
        <v>70.599999999999994</v>
      </c>
    </row>
    <row r="713" spans="10:16">
      <c r="J713" s="5"/>
      <c r="L713">
        <f>DigInv!M713</f>
        <v>0.54708487900000002</v>
      </c>
      <c r="M713">
        <f>DigInv!N713</f>
        <v>70.7</v>
      </c>
      <c r="O713">
        <f>ABS(L713-DigInv!$C$34)</f>
        <v>4.9521639102312562</v>
      </c>
      <c r="P713">
        <f t="shared" si="12"/>
        <v>70.7</v>
      </c>
    </row>
    <row r="714" spans="10:16">
      <c r="J714" s="5"/>
      <c r="L714">
        <f>DigInv!M714</f>
        <v>0.54727687599999997</v>
      </c>
      <c r="M714">
        <f>DigInv!N714</f>
        <v>70.8</v>
      </c>
      <c r="O714">
        <f>ABS(L714-DigInv!$C$34)</f>
        <v>4.9523559072312562</v>
      </c>
      <c r="P714">
        <f t="shared" si="12"/>
        <v>70.8</v>
      </c>
    </row>
    <row r="715" spans="10:16">
      <c r="J715" s="5"/>
      <c r="L715">
        <f>DigInv!M715</f>
        <v>0.54746887300000002</v>
      </c>
      <c r="M715">
        <f>DigInv!N715</f>
        <v>70.900000000000006</v>
      </c>
      <c r="O715">
        <f>ABS(L715-DigInv!$C$34)</f>
        <v>4.9525479042312561</v>
      </c>
      <c r="P715">
        <f t="shared" si="12"/>
        <v>70.900000000000006</v>
      </c>
    </row>
    <row r="716" spans="10:16">
      <c r="J716" s="5"/>
      <c r="L716">
        <f>DigInv!M716</f>
        <v>0.54766108000000002</v>
      </c>
      <c r="M716">
        <f>DigInv!N716</f>
        <v>71</v>
      </c>
      <c r="O716">
        <f>ABS(L716-DigInv!$C$34)</f>
        <v>4.9527401112312566</v>
      </c>
      <c r="P716">
        <f t="shared" si="12"/>
        <v>71</v>
      </c>
    </row>
    <row r="717" spans="10:16">
      <c r="J717" s="5"/>
      <c r="L717">
        <f>DigInv!M717</f>
        <v>0.54785342800000003</v>
      </c>
      <c r="M717">
        <f>DigInv!N717</f>
        <v>71.099999999999994</v>
      </c>
      <c r="O717">
        <f>ABS(L717-DigInv!$C$34)</f>
        <v>4.9529324592312562</v>
      </c>
      <c r="P717">
        <f t="shared" si="12"/>
        <v>71.099999999999994</v>
      </c>
    </row>
    <row r="718" spans="10:16">
      <c r="J718" s="5"/>
      <c r="L718">
        <f>DigInv!M718</f>
        <v>0.54804577600000004</v>
      </c>
      <c r="M718">
        <f>DigInv!N718</f>
        <v>71.2</v>
      </c>
      <c r="O718">
        <f>ABS(L718-DigInv!$C$34)</f>
        <v>4.9531248072312568</v>
      </c>
      <c r="P718">
        <f t="shared" si="12"/>
        <v>71.2</v>
      </c>
    </row>
    <row r="719" spans="10:16">
      <c r="J719" s="5"/>
      <c r="L719">
        <f>DigInv!M719</f>
        <v>0.54809399999999997</v>
      </c>
      <c r="M719">
        <f>DigInv!N719</f>
        <v>71.3</v>
      </c>
      <c r="O719">
        <f>ABS(L719-DigInv!$C$34)</f>
        <v>4.9531730312312563</v>
      </c>
      <c r="P719">
        <f t="shared" si="12"/>
        <v>71.3</v>
      </c>
    </row>
    <row r="720" spans="10:16">
      <c r="J720" s="5"/>
      <c r="L720">
        <f>DigInv!M720</f>
        <v>0.54809399999999997</v>
      </c>
      <c r="M720">
        <f>DigInv!N720</f>
        <v>71.400000000000006</v>
      </c>
      <c r="O720">
        <f>ABS(L720-DigInv!$C$34)</f>
        <v>4.9531730312312563</v>
      </c>
      <c r="P720">
        <f t="shared" si="12"/>
        <v>71.400000000000006</v>
      </c>
    </row>
    <row r="721" spans="10:16">
      <c r="J721" s="5"/>
      <c r="L721">
        <f>DigInv!M721</f>
        <v>0.54809399999999997</v>
      </c>
      <c r="M721">
        <f>DigInv!N721</f>
        <v>71.5</v>
      </c>
      <c r="O721">
        <f>ABS(L721-DigInv!$C$34)</f>
        <v>4.9531730312312563</v>
      </c>
      <c r="P721">
        <f t="shared" si="12"/>
        <v>71.5</v>
      </c>
    </row>
    <row r="722" spans="10:16">
      <c r="J722" s="5"/>
      <c r="L722">
        <f>DigInv!M722</f>
        <v>0.55300780000000005</v>
      </c>
      <c r="M722">
        <f>DigInv!N722</f>
        <v>71.599999999999994</v>
      </c>
      <c r="O722">
        <f>ABS(L722-DigInv!$C$34)</f>
        <v>4.958086831231256</v>
      </c>
      <c r="P722">
        <f t="shared" si="12"/>
        <v>71.599999999999994</v>
      </c>
    </row>
    <row r="723" spans="10:16">
      <c r="J723" s="5"/>
      <c r="L723">
        <f>DigInv!M723</f>
        <v>0.55846585000000004</v>
      </c>
      <c r="M723">
        <f>DigInv!N723</f>
        <v>71.7</v>
      </c>
      <c r="O723">
        <f>ABS(L723-DigInv!$C$34)</f>
        <v>4.9635448812312566</v>
      </c>
      <c r="P723">
        <f t="shared" si="12"/>
        <v>71.7</v>
      </c>
    </row>
    <row r="724" spans="10:16">
      <c r="J724" s="5"/>
      <c r="L724">
        <f>DigInv!M724</f>
        <v>0.56365390000000004</v>
      </c>
      <c r="M724">
        <f>DigInv!N724</f>
        <v>71.8</v>
      </c>
      <c r="O724">
        <f>ABS(L724-DigInv!$C$34)</f>
        <v>4.9687329312312567</v>
      </c>
      <c r="P724">
        <f t="shared" si="12"/>
        <v>71.8</v>
      </c>
    </row>
    <row r="725" spans="10:16">
      <c r="J725" s="5"/>
      <c r="L725">
        <f>DigInv!M725</f>
        <v>0.56384694999999996</v>
      </c>
      <c r="M725">
        <f>DigInv!N725</f>
        <v>71.900000000000006</v>
      </c>
      <c r="O725">
        <f>ABS(L725-DigInv!$C$34)</f>
        <v>4.9689259812312567</v>
      </c>
      <c r="P725">
        <f t="shared" si="12"/>
        <v>71.900000000000006</v>
      </c>
    </row>
    <row r="726" spans="10:16">
      <c r="J726" s="5"/>
      <c r="L726">
        <f>DigInv!M726</f>
        <v>0.56403999999999999</v>
      </c>
      <c r="M726">
        <f>DigInv!N726</f>
        <v>72</v>
      </c>
      <c r="O726">
        <f>ABS(L726-DigInv!$C$34)</f>
        <v>4.9691190312312568</v>
      </c>
      <c r="P726">
        <f t="shared" si="12"/>
        <v>72</v>
      </c>
    </row>
    <row r="727" spans="10:16">
      <c r="J727" s="5"/>
      <c r="L727">
        <f>DigInv!M727</f>
        <v>0.56423305000000001</v>
      </c>
      <c r="M727">
        <f>DigInv!N727</f>
        <v>72.099999999999994</v>
      </c>
      <c r="O727">
        <f>ABS(L727-DigInv!$C$34)</f>
        <v>4.9693120812312568</v>
      </c>
      <c r="P727">
        <f t="shared" si="12"/>
        <v>72.099999999999994</v>
      </c>
    </row>
    <row r="728" spans="10:16">
      <c r="J728" s="5"/>
      <c r="L728">
        <f>DigInv!M728</f>
        <v>0.56442610000000004</v>
      </c>
      <c r="M728">
        <f>DigInv!N728</f>
        <v>72.2</v>
      </c>
      <c r="O728">
        <f>ABS(L728-DigInv!$C$34)</f>
        <v>4.9695051312312568</v>
      </c>
      <c r="P728">
        <f t="shared" si="12"/>
        <v>72.2</v>
      </c>
    </row>
    <row r="729" spans="10:16">
      <c r="J729" s="5"/>
      <c r="L729">
        <f>DigInv!M729</f>
        <v>0.56461914999999996</v>
      </c>
      <c r="M729">
        <f>DigInv!N729</f>
        <v>72.3</v>
      </c>
      <c r="O729">
        <f>ABS(L729-DigInv!$C$34)</f>
        <v>4.9696981812312568</v>
      </c>
      <c r="P729">
        <f t="shared" si="12"/>
        <v>72.3</v>
      </c>
    </row>
    <row r="730" spans="10:16">
      <c r="J730" s="5"/>
      <c r="L730">
        <f>DigInv!M730</f>
        <v>0.56481219999999999</v>
      </c>
      <c r="M730">
        <f>DigInv!N730</f>
        <v>72.400000000000006</v>
      </c>
      <c r="O730">
        <f>ABS(L730-DigInv!$C$34)</f>
        <v>4.9698912312312569</v>
      </c>
      <c r="P730">
        <f t="shared" si="12"/>
        <v>72.400000000000006</v>
      </c>
    </row>
    <row r="731" spans="10:16">
      <c r="J731" s="5"/>
      <c r="L731">
        <f>DigInv!M731</f>
        <v>0.56500525000000001</v>
      </c>
      <c r="M731">
        <f>DigInv!N731</f>
        <v>72.5</v>
      </c>
      <c r="O731">
        <f>ABS(L731-DigInv!$C$34)</f>
        <v>4.9700842812312569</v>
      </c>
      <c r="P731">
        <f t="shared" si="12"/>
        <v>72.5</v>
      </c>
    </row>
    <row r="732" spans="10:16">
      <c r="J732" s="5"/>
      <c r="L732">
        <f>DigInv!M732</f>
        <v>0.56519830000000004</v>
      </c>
      <c r="M732">
        <f>DigInv!N732</f>
        <v>72.599999999999994</v>
      </c>
      <c r="O732">
        <f>ABS(L732-DigInv!$C$34)</f>
        <v>4.9702773312312569</v>
      </c>
      <c r="P732">
        <f t="shared" si="12"/>
        <v>72.599999999999994</v>
      </c>
    </row>
    <row r="733" spans="10:16">
      <c r="J733" s="5"/>
      <c r="L733">
        <f>DigInv!M733</f>
        <v>0.56558640400000004</v>
      </c>
      <c r="M733">
        <f>DigInv!N733</f>
        <v>72.7</v>
      </c>
      <c r="O733">
        <f>ABS(L733-DigInv!$C$34)</f>
        <v>4.9706654352312567</v>
      </c>
      <c r="P733">
        <f t="shared" si="12"/>
        <v>72.7</v>
      </c>
    </row>
    <row r="734" spans="10:16">
      <c r="J734" s="5"/>
      <c r="L734">
        <f>DigInv!M734</f>
        <v>0.56616625600000003</v>
      </c>
      <c r="M734">
        <f>DigInv!N734</f>
        <v>72.8</v>
      </c>
      <c r="O734">
        <f>ABS(L734-DigInv!$C$34)</f>
        <v>4.9712452872312562</v>
      </c>
      <c r="P734">
        <f t="shared" si="12"/>
        <v>72.8</v>
      </c>
    </row>
    <row r="735" spans="10:16">
      <c r="J735" s="5"/>
      <c r="L735">
        <f>DigInv!M735</f>
        <v>0.56674610800000003</v>
      </c>
      <c r="M735">
        <f>DigInv!N735</f>
        <v>72.900000000000006</v>
      </c>
      <c r="O735">
        <f>ABS(L735-DigInv!$C$34)</f>
        <v>4.9718251392312567</v>
      </c>
      <c r="P735">
        <f t="shared" si="12"/>
        <v>72.900000000000006</v>
      </c>
    </row>
    <row r="736" spans="10:16">
      <c r="J736" s="5"/>
      <c r="L736">
        <f>DigInv!M736</f>
        <v>0.57091809999999998</v>
      </c>
      <c r="M736">
        <f>DigInv!N736</f>
        <v>73</v>
      </c>
      <c r="O736">
        <f>ABS(L736-DigInv!$C$34)</f>
        <v>4.9759971312312565</v>
      </c>
      <c r="P736">
        <f t="shared" si="12"/>
        <v>73</v>
      </c>
    </row>
    <row r="737" spans="10:16">
      <c r="J737" s="5"/>
      <c r="L737">
        <f>DigInv!M737</f>
        <v>0.57697986999999995</v>
      </c>
      <c r="M737">
        <f>DigInv!N737</f>
        <v>73.099999999999994</v>
      </c>
      <c r="O737">
        <f>ABS(L737-DigInv!$C$34)</f>
        <v>4.9820589012312562</v>
      </c>
      <c r="P737">
        <f t="shared" si="12"/>
        <v>73.099999999999994</v>
      </c>
    </row>
    <row r="738" spans="10:16">
      <c r="J738" s="5"/>
      <c r="L738">
        <f>DigInv!M738</f>
        <v>0.58304164000000003</v>
      </c>
      <c r="M738">
        <f>DigInv!N738</f>
        <v>73.2</v>
      </c>
      <c r="O738">
        <f>ABS(L738-DigInv!$C$34)</f>
        <v>4.9881206712312567</v>
      </c>
      <c r="P738">
        <f t="shared" si="12"/>
        <v>73.2</v>
      </c>
    </row>
    <row r="739" spans="10:16">
      <c r="J739" s="5"/>
      <c r="L739">
        <f>DigInv!M739</f>
        <v>0.58421599999999996</v>
      </c>
      <c r="M739">
        <f>DigInv!N739</f>
        <v>73.3</v>
      </c>
      <c r="O739">
        <f>ABS(L739-DigInv!$C$34)</f>
        <v>4.9892950312312561</v>
      </c>
      <c r="P739">
        <f t="shared" si="12"/>
        <v>73.3</v>
      </c>
    </row>
    <row r="740" spans="10:16">
      <c r="J740" s="5"/>
      <c r="L740">
        <f>DigInv!M740</f>
        <v>0.58421599999999996</v>
      </c>
      <c r="M740">
        <f>DigInv!N740</f>
        <v>73.400000000000006</v>
      </c>
      <c r="O740">
        <f>ABS(L740-DigInv!$C$34)</f>
        <v>4.9892950312312561</v>
      </c>
      <c r="P740">
        <f t="shared" si="12"/>
        <v>73.400000000000006</v>
      </c>
    </row>
    <row r="741" spans="10:16">
      <c r="J741" s="5"/>
      <c r="L741">
        <f>DigInv!M741</f>
        <v>0.58421599999999996</v>
      </c>
      <c r="M741">
        <f>DigInv!N741</f>
        <v>73.5</v>
      </c>
      <c r="O741">
        <f>ABS(L741-DigInv!$C$34)</f>
        <v>4.9892950312312561</v>
      </c>
      <c r="P741">
        <f t="shared" si="12"/>
        <v>73.5</v>
      </c>
    </row>
    <row r="742" spans="10:16">
      <c r="J742" s="5"/>
      <c r="L742">
        <f>DigInv!M742</f>
        <v>0.58477308800000005</v>
      </c>
      <c r="M742">
        <f>DigInv!N742</f>
        <v>73.599999999999994</v>
      </c>
      <c r="O742">
        <f>ABS(L742-DigInv!$C$34)</f>
        <v>4.9898521192312568</v>
      </c>
      <c r="P742">
        <f t="shared" si="12"/>
        <v>73.599999999999994</v>
      </c>
    </row>
    <row r="743" spans="10:16">
      <c r="J743" s="5"/>
      <c r="L743">
        <f>DigInv!M743</f>
        <v>0.58535504599999999</v>
      </c>
      <c r="M743">
        <f>DigInv!N743</f>
        <v>73.7</v>
      </c>
      <c r="O743">
        <f>ABS(L743-DigInv!$C$34)</f>
        <v>4.9904340772312565</v>
      </c>
      <c r="P743">
        <f t="shared" si="12"/>
        <v>73.7</v>
      </c>
    </row>
    <row r="744" spans="10:16">
      <c r="J744" s="5"/>
      <c r="L744">
        <f>DigInv!M744</f>
        <v>0.58719328400000004</v>
      </c>
      <c r="M744">
        <f>DigInv!N744</f>
        <v>73.8</v>
      </c>
      <c r="O744">
        <f>ABS(L744-DigInv!$C$34)</f>
        <v>4.992272315231256</v>
      </c>
      <c r="P744">
        <f t="shared" si="12"/>
        <v>73.8</v>
      </c>
    </row>
    <row r="745" spans="10:16">
      <c r="J745" s="5"/>
      <c r="L745">
        <f>DigInv!M745</f>
        <v>0.599379302</v>
      </c>
      <c r="M745">
        <f>DigInv!N745</f>
        <v>73.900000000000006</v>
      </c>
      <c r="O745">
        <f>ABS(L745-DigInv!$C$34)</f>
        <v>5.0044583332312564</v>
      </c>
      <c r="P745">
        <f t="shared" si="12"/>
        <v>73.900000000000006</v>
      </c>
    </row>
    <row r="746" spans="10:16">
      <c r="J746" s="5"/>
      <c r="L746">
        <f>DigInv!M746</f>
        <v>0.61156531999999997</v>
      </c>
      <c r="M746">
        <f>DigInv!N746</f>
        <v>74</v>
      </c>
      <c r="O746">
        <f>ABS(L746-DigInv!$C$34)</f>
        <v>5.0166443512312568</v>
      </c>
      <c r="P746">
        <f t="shared" si="12"/>
        <v>74</v>
      </c>
    </row>
    <row r="747" spans="10:16">
      <c r="J747" s="5"/>
      <c r="L747">
        <f>DigInv!M747</f>
        <v>0.62089566699999998</v>
      </c>
      <c r="M747">
        <f>DigInv!N747</f>
        <v>74.099999999999994</v>
      </c>
      <c r="O747">
        <f>ABS(L747-DigInv!$C$34)</f>
        <v>5.0259746982312565</v>
      </c>
      <c r="P747">
        <f t="shared" si="12"/>
        <v>74.099999999999994</v>
      </c>
    </row>
    <row r="748" spans="10:16">
      <c r="J748" s="5"/>
      <c r="L748">
        <f>DigInv!M748</f>
        <v>0.62206695400000001</v>
      </c>
      <c r="M748">
        <f>DigInv!N748</f>
        <v>74.2</v>
      </c>
      <c r="O748">
        <f>ABS(L748-DigInv!$C$34)</f>
        <v>5.0271459852312566</v>
      </c>
      <c r="P748">
        <f t="shared" si="12"/>
        <v>74.2</v>
      </c>
    </row>
    <row r="749" spans="10:16">
      <c r="J749" s="5"/>
      <c r="L749">
        <f>DigInv!M749</f>
        <v>0.62323824100000003</v>
      </c>
      <c r="M749">
        <f>DigInv!N749</f>
        <v>74.3</v>
      </c>
      <c r="O749">
        <f>ABS(L749-DigInv!$C$34)</f>
        <v>5.0283172722312566</v>
      </c>
      <c r="P749">
        <f t="shared" si="12"/>
        <v>74.3</v>
      </c>
    </row>
    <row r="750" spans="10:16">
      <c r="J750" s="5"/>
      <c r="L750">
        <f>DigInv!M750</f>
        <v>0.62644050399999995</v>
      </c>
      <c r="M750">
        <f>DigInv!N750</f>
        <v>74.400000000000006</v>
      </c>
      <c r="O750">
        <f>ABS(L750-DigInv!$C$34)</f>
        <v>5.0315195352312561</v>
      </c>
      <c r="P750">
        <f t="shared" si="12"/>
        <v>74.400000000000006</v>
      </c>
    </row>
    <row r="751" spans="10:16">
      <c r="J751" s="5"/>
      <c r="L751">
        <f>DigInv!M751</f>
        <v>0.63256229500000005</v>
      </c>
      <c r="M751">
        <f>DigInv!N751</f>
        <v>74.5</v>
      </c>
      <c r="O751">
        <f>ABS(L751-DigInv!$C$34)</f>
        <v>5.037641326231256</v>
      </c>
      <c r="P751">
        <f t="shared" si="12"/>
        <v>74.5</v>
      </c>
    </row>
    <row r="752" spans="10:16">
      <c r="J752" s="5"/>
      <c r="L752">
        <f>DigInv!M752</f>
        <v>0.63868408600000004</v>
      </c>
      <c r="M752">
        <f>DigInv!N752</f>
        <v>74.599999999999994</v>
      </c>
      <c r="O752">
        <f>ABS(L752-DigInv!$C$34)</f>
        <v>5.043763117231256</v>
      </c>
      <c r="P752">
        <f t="shared" si="12"/>
        <v>74.599999999999994</v>
      </c>
    </row>
    <row r="753" spans="10:16">
      <c r="J753" s="5"/>
      <c r="L753">
        <f>DigInv!M753</f>
        <v>0.64514530800000003</v>
      </c>
      <c r="M753">
        <f>DigInv!N753</f>
        <v>74.7</v>
      </c>
      <c r="O753">
        <f>ABS(L753-DigInv!$C$34)</f>
        <v>5.0502243392312565</v>
      </c>
      <c r="P753">
        <f t="shared" si="12"/>
        <v>74.7</v>
      </c>
    </row>
    <row r="754" spans="10:16">
      <c r="J754" s="5"/>
      <c r="L754">
        <f>DigInv!M754</f>
        <v>0.65187187199999996</v>
      </c>
      <c r="M754">
        <f>DigInv!N754</f>
        <v>74.8</v>
      </c>
      <c r="O754">
        <f>ABS(L754-DigInv!$C$34)</f>
        <v>5.0569509032312565</v>
      </c>
      <c r="P754">
        <f t="shared" si="12"/>
        <v>74.8</v>
      </c>
    </row>
    <row r="755" spans="10:16">
      <c r="J755" s="5"/>
      <c r="L755">
        <f>DigInv!M755</f>
        <v>0.65859843600000001</v>
      </c>
      <c r="M755">
        <f>DigInv!N755</f>
        <v>74.900000000000006</v>
      </c>
      <c r="O755">
        <f>ABS(L755-DigInv!$C$34)</f>
        <v>5.0636774672312566</v>
      </c>
      <c r="P755">
        <f t="shared" si="12"/>
        <v>74.900000000000006</v>
      </c>
    </row>
    <row r="756" spans="10:16">
      <c r="J756" s="5"/>
      <c r="L756">
        <f>DigInv!M756</f>
        <v>0.66067374999999995</v>
      </c>
      <c r="M756">
        <f>DigInv!N756</f>
        <v>75</v>
      </c>
      <c r="O756">
        <f>ABS(L756-DigInv!$C$34)</f>
        <v>5.0657527812312564</v>
      </c>
      <c r="P756">
        <f t="shared" si="12"/>
        <v>75</v>
      </c>
    </row>
    <row r="757" spans="10:16">
      <c r="J757" s="5"/>
      <c r="L757">
        <f>DigInv!M757</f>
        <v>0.66086995900000001</v>
      </c>
      <c r="M757">
        <f>DigInv!N757</f>
        <v>75.099999999999994</v>
      </c>
      <c r="O757">
        <f>ABS(L757-DigInv!$C$34)</f>
        <v>5.0659489902312567</v>
      </c>
      <c r="P757">
        <f t="shared" si="12"/>
        <v>75.099999999999994</v>
      </c>
    </row>
    <row r="758" spans="10:16">
      <c r="J758" s="5"/>
      <c r="L758">
        <f>DigInv!M758</f>
        <v>0.66106616799999995</v>
      </c>
      <c r="M758">
        <f>DigInv!N758</f>
        <v>75.2</v>
      </c>
      <c r="O758">
        <f>ABS(L758-DigInv!$C$34)</f>
        <v>5.0661451992312561</v>
      </c>
      <c r="P758">
        <f t="shared" si="12"/>
        <v>75.2</v>
      </c>
    </row>
    <row r="759" spans="10:16">
      <c r="J759" s="5"/>
      <c r="L759">
        <f>DigInv!M759</f>
        <v>0.66623703099999998</v>
      </c>
      <c r="M759">
        <f>DigInv!N759</f>
        <v>75.3</v>
      </c>
      <c r="O759">
        <f>ABS(L759-DigInv!$C$34)</f>
        <v>5.0713160622312561</v>
      </c>
      <c r="P759">
        <f t="shared" si="12"/>
        <v>75.3</v>
      </c>
    </row>
    <row r="760" spans="10:16">
      <c r="J760" s="5"/>
      <c r="L760">
        <f>DigInv!M760</f>
        <v>0.67219595799999998</v>
      </c>
      <c r="M760">
        <f>DigInv!N760</f>
        <v>75.400000000000006</v>
      </c>
      <c r="O760">
        <f>ABS(L760-DigInv!$C$34)</f>
        <v>5.0772749892312561</v>
      </c>
      <c r="P760">
        <f t="shared" si="12"/>
        <v>75.400000000000006</v>
      </c>
    </row>
    <row r="761" spans="10:16">
      <c r="J761" s="5"/>
      <c r="L761">
        <f>DigInv!M761</f>
        <v>0.67807841499999999</v>
      </c>
      <c r="M761">
        <f>DigInv!N761</f>
        <v>75.5</v>
      </c>
      <c r="O761">
        <f>ABS(L761-DigInv!$C$34)</f>
        <v>5.0831574462312563</v>
      </c>
      <c r="P761">
        <f t="shared" si="12"/>
        <v>75.5</v>
      </c>
    </row>
    <row r="762" spans="10:16">
      <c r="J762" s="5"/>
      <c r="L762">
        <f>DigInv!M762</f>
        <v>0.678669148</v>
      </c>
      <c r="M762">
        <f>DigInv!N762</f>
        <v>75.599999999999994</v>
      </c>
      <c r="O762">
        <f>ABS(L762-DigInv!$C$34)</f>
        <v>5.0837481792312564</v>
      </c>
      <c r="P762">
        <f t="shared" si="12"/>
        <v>75.599999999999994</v>
      </c>
    </row>
    <row r="763" spans="10:16">
      <c r="J763" s="5"/>
      <c r="L763">
        <f>DigInv!M763</f>
        <v>0.67925988100000001</v>
      </c>
      <c r="M763">
        <f>DigInv!N763</f>
        <v>75.7</v>
      </c>
      <c r="O763">
        <f>ABS(L763-DigInv!$C$34)</f>
        <v>5.0843389122312566</v>
      </c>
      <c r="P763">
        <f t="shared" si="12"/>
        <v>75.7</v>
      </c>
    </row>
    <row r="764" spans="10:16">
      <c r="J764" s="5"/>
      <c r="L764">
        <f>DigInv!M764</f>
        <v>0.67975300000000005</v>
      </c>
      <c r="M764">
        <f>DigInv!N764</f>
        <v>75.8</v>
      </c>
      <c r="O764">
        <f>ABS(L764-DigInv!$C$34)</f>
        <v>5.0848320312312563</v>
      </c>
      <c r="P764">
        <f t="shared" si="12"/>
        <v>75.8</v>
      </c>
    </row>
    <row r="765" spans="10:16">
      <c r="J765" s="5"/>
      <c r="L765">
        <f>DigInv!M765</f>
        <v>0.67975300000000005</v>
      </c>
      <c r="M765">
        <f>DigInv!N765</f>
        <v>75.900000000000006</v>
      </c>
      <c r="O765">
        <f>ABS(L765-DigInv!$C$34)</f>
        <v>5.0848320312312563</v>
      </c>
      <c r="P765">
        <f t="shared" si="12"/>
        <v>75.900000000000006</v>
      </c>
    </row>
    <row r="766" spans="10:16">
      <c r="J766" s="5"/>
      <c r="L766">
        <f>DigInv!M766</f>
        <v>0.67975300000000005</v>
      </c>
      <c r="M766">
        <f>DigInv!N766</f>
        <v>76</v>
      </c>
      <c r="O766">
        <f>ABS(L766-DigInv!$C$34)</f>
        <v>5.0848320312312563</v>
      </c>
      <c r="P766">
        <f t="shared" si="12"/>
        <v>76</v>
      </c>
    </row>
    <row r="767" spans="10:16">
      <c r="J767" s="5"/>
      <c r="L767">
        <f>DigInv!M767</f>
        <v>0.68170482399999999</v>
      </c>
      <c r="M767">
        <f>DigInv!N767</f>
        <v>76.099999999999994</v>
      </c>
      <c r="O767">
        <f>ABS(L767-DigInv!$C$34)</f>
        <v>5.0867838552312561</v>
      </c>
      <c r="P767">
        <f t="shared" si="12"/>
        <v>76.099999999999994</v>
      </c>
    </row>
    <row r="768" spans="10:16">
      <c r="J768" s="5"/>
      <c r="L768">
        <f>DigInv!M768</f>
        <v>0.68787680799999995</v>
      </c>
      <c r="M768">
        <f>DigInv!N768</f>
        <v>76.2</v>
      </c>
      <c r="O768">
        <f>ABS(L768-DigInv!$C$34)</f>
        <v>5.0929558392312568</v>
      </c>
      <c r="P768">
        <f t="shared" si="12"/>
        <v>76.2</v>
      </c>
    </row>
    <row r="769" spans="10:16">
      <c r="J769" s="5"/>
      <c r="L769">
        <f>DigInv!M769</f>
        <v>0.69404879200000003</v>
      </c>
      <c r="M769">
        <f>DigInv!N769</f>
        <v>76.3</v>
      </c>
      <c r="O769">
        <f>ABS(L769-DigInv!$C$34)</f>
        <v>5.0991278232312567</v>
      </c>
      <c r="P769">
        <f t="shared" si="12"/>
        <v>76.3</v>
      </c>
    </row>
    <row r="770" spans="10:16">
      <c r="J770" s="5"/>
      <c r="L770">
        <f>DigInv!M770</f>
        <v>0.69733699999999998</v>
      </c>
      <c r="M770">
        <f>DigInv!N770</f>
        <v>76.400000000000006</v>
      </c>
      <c r="O770">
        <f>ABS(L770-DigInv!$C$34)</f>
        <v>5.1024160312312565</v>
      </c>
      <c r="P770">
        <f t="shared" si="12"/>
        <v>76.400000000000006</v>
      </c>
    </row>
    <row r="771" spans="10:16">
      <c r="J771" s="5"/>
      <c r="L771">
        <f>DigInv!M771</f>
        <v>0.69733699999999998</v>
      </c>
      <c r="M771">
        <f>DigInv!N771</f>
        <v>76.5</v>
      </c>
      <c r="O771">
        <f>ABS(L771-DigInv!$C$34)</f>
        <v>5.1024160312312565</v>
      </c>
      <c r="P771">
        <f t="shared" si="12"/>
        <v>76.5</v>
      </c>
    </row>
    <row r="772" spans="10:16">
      <c r="J772" s="5"/>
      <c r="L772">
        <f>DigInv!M772</f>
        <v>0.69733699999999998</v>
      </c>
      <c r="M772">
        <f>DigInv!N772</f>
        <v>76.599999999999994</v>
      </c>
      <c r="O772">
        <f>ABS(L772-DigInv!$C$34)</f>
        <v>5.1024160312312565</v>
      </c>
      <c r="P772">
        <f t="shared" si="12"/>
        <v>76.599999999999994</v>
      </c>
    </row>
    <row r="773" spans="10:16">
      <c r="J773" s="5"/>
      <c r="L773">
        <f>DigInv!M773</f>
        <v>0.69733699999999998</v>
      </c>
      <c r="M773">
        <f>DigInv!N773</f>
        <v>76.7</v>
      </c>
      <c r="O773">
        <f>ABS(L773-DigInv!$C$34)</f>
        <v>5.1024160312312565</v>
      </c>
      <c r="P773">
        <f t="shared" si="12"/>
        <v>76.7</v>
      </c>
    </row>
    <row r="774" spans="10:16">
      <c r="J774" s="5"/>
      <c r="L774">
        <f>DigInv!M774</f>
        <v>0.69733699999999998</v>
      </c>
      <c r="M774">
        <f>DigInv!N774</f>
        <v>76.8</v>
      </c>
      <c r="O774">
        <f>ABS(L774-DigInv!$C$34)</f>
        <v>5.1024160312312565</v>
      </c>
      <c r="P774">
        <f t="shared" si="12"/>
        <v>76.8</v>
      </c>
    </row>
    <row r="775" spans="10:16">
      <c r="J775" s="5"/>
      <c r="L775">
        <f>DigInv!M775</f>
        <v>0.69733699999999998</v>
      </c>
      <c r="M775">
        <f>DigInv!N775</f>
        <v>76.900000000000006</v>
      </c>
      <c r="O775">
        <f>ABS(L775-DigInv!$C$34)</f>
        <v>5.1024160312312565</v>
      </c>
      <c r="P775">
        <f t="shared" ref="P775:P838" si="13">M775</f>
        <v>76.900000000000006</v>
      </c>
    </row>
    <row r="776" spans="10:16">
      <c r="J776" s="5"/>
      <c r="L776">
        <f>DigInv!M776</f>
        <v>0.69779276000000001</v>
      </c>
      <c r="M776">
        <f>DigInv!N776</f>
        <v>77</v>
      </c>
      <c r="O776">
        <f>ABS(L776-DigInv!$C$34)</f>
        <v>5.1028717912312569</v>
      </c>
      <c r="P776">
        <f t="shared" si="13"/>
        <v>77</v>
      </c>
    </row>
    <row r="777" spans="10:16">
      <c r="J777" s="5"/>
      <c r="L777">
        <f>DigInv!M777</f>
        <v>0.69838524800000001</v>
      </c>
      <c r="M777">
        <f>DigInv!N777</f>
        <v>77.099999999999994</v>
      </c>
      <c r="O777">
        <f>ABS(L777-DigInv!$C$34)</f>
        <v>5.1034642792312566</v>
      </c>
      <c r="P777">
        <f t="shared" si="13"/>
        <v>77.099999999999994</v>
      </c>
    </row>
    <row r="778" spans="10:16">
      <c r="J778" s="5"/>
      <c r="L778">
        <f>DigInv!M778</f>
        <v>0.69897773600000002</v>
      </c>
      <c r="M778">
        <f>DigInv!N778</f>
        <v>77.2</v>
      </c>
      <c r="O778">
        <f>ABS(L778-DigInv!$C$34)</f>
        <v>5.1040567672312562</v>
      </c>
      <c r="P778">
        <f t="shared" si="13"/>
        <v>77.2</v>
      </c>
    </row>
    <row r="779" spans="10:16">
      <c r="J779" s="5"/>
      <c r="L779">
        <f>DigInv!M779</f>
        <v>0.70472207399999998</v>
      </c>
      <c r="M779">
        <f>DigInv!N779</f>
        <v>77.3</v>
      </c>
      <c r="O779">
        <f>ABS(L779-DigInv!$C$34)</f>
        <v>5.1098011052312566</v>
      </c>
      <c r="P779">
        <f t="shared" si="13"/>
        <v>77.3</v>
      </c>
    </row>
    <row r="780" spans="10:16">
      <c r="J780" s="5"/>
      <c r="L780">
        <f>DigInv!M780</f>
        <v>0.71091301200000101</v>
      </c>
      <c r="M780">
        <f>DigInv!N780</f>
        <v>77.400000000000006</v>
      </c>
      <c r="O780">
        <f>ABS(L780-DigInv!$C$34)</f>
        <v>5.1159920432312571</v>
      </c>
      <c r="P780">
        <f t="shared" si="13"/>
        <v>77.400000000000006</v>
      </c>
    </row>
    <row r="781" spans="10:16">
      <c r="J781" s="5"/>
      <c r="L781">
        <f>DigInv!M781</f>
        <v>0.71670532499999995</v>
      </c>
      <c r="M781">
        <f>DigInv!N781</f>
        <v>77.5</v>
      </c>
      <c r="O781">
        <f>ABS(L781-DigInv!$C$34)</f>
        <v>5.1217843562312559</v>
      </c>
      <c r="P781">
        <f t="shared" si="13"/>
        <v>77.5</v>
      </c>
    </row>
    <row r="782" spans="10:16">
      <c r="J782" s="5"/>
      <c r="L782">
        <f>DigInv!M782</f>
        <v>0.71729956800000005</v>
      </c>
      <c r="M782">
        <f>DigInv!N782</f>
        <v>77.599999999999994</v>
      </c>
      <c r="O782">
        <f>ABS(L782-DigInv!$C$34)</f>
        <v>5.122378599231256</v>
      </c>
      <c r="P782">
        <f t="shared" si="13"/>
        <v>77.599999999999994</v>
      </c>
    </row>
    <row r="783" spans="10:16">
      <c r="J783" s="5"/>
      <c r="L783">
        <f>DigInv!M783</f>
        <v>0.71789381100000005</v>
      </c>
      <c r="M783">
        <f>DigInv!N783</f>
        <v>77.7</v>
      </c>
      <c r="O783">
        <f>ABS(L783-DigInv!$C$34)</f>
        <v>5.1229728422312562</v>
      </c>
      <c r="P783">
        <f t="shared" si="13"/>
        <v>77.7</v>
      </c>
    </row>
    <row r="784" spans="10:16">
      <c r="J784" s="5"/>
      <c r="L784">
        <f>DigInv!M784</f>
        <v>0.71986873200000101</v>
      </c>
      <c r="M784">
        <f>DigInv!N784</f>
        <v>77.8</v>
      </c>
      <c r="O784">
        <f>ABS(L784-DigInv!$C$34)</f>
        <v>5.1249477632312574</v>
      </c>
      <c r="P784">
        <f t="shared" si="13"/>
        <v>77.8</v>
      </c>
    </row>
    <row r="785" spans="10:16">
      <c r="J785" s="5"/>
      <c r="L785">
        <f>DigInv!M785</f>
        <v>0.72667602600000103</v>
      </c>
      <c r="M785">
        <f>DigInv!N785</f>
        <v>77.900000000000006</v>
      </c>
      <c r="O785">
        <f>ABS(L785-DigInv!$C$34)</f>
        <v>5.1317550572312571</v>
      </c>
      <c r="P785">
        <f t="shared" si="13"/>
        <v>77.900000000000006</v>
      </c>
    </row>
    <row r="786" spans="10:16">
      <c r="J786" s="5"/>
      <c r="L786">
        <f>DigInv!M786</f>
        <v>0.73348332000000105</v>
      </c>
      <c r="M786">
        <f>DigInv!N786</f>
        <v>78</v>
      </c>
      <c r="O786">
        <f>ABS(L786-DigInv!$C$34)</f>
        <v>5.1385623512312577</v>
      </c>
      <c r="P786">
        <f t="shared" si="13"/>
        <v>78</v>
      </c>
    </row>
    <row r="787" spans="10:16">
      <c r="J787" s="5"/>
      <c r="L787">
        <f>DigInv!M787</f>
        <v>0.74007656000000099</v>
      </c>
      <c r="M787">
        <f>DigInv!N787</f>
        <v>78.099999999999994</v>
      </c>
      <c r="O787">
        <f>ABS(L787-DigInv!$C$34)</f>
        <v>5.1451555912312577</v>
      </c>
      <c r="P787">
        <f t="shared" si="13"/>
        <v>78.099999999999994</v>
      </c>
    </row>
    <row r="788" spans="10:16">
      <c r="J788" s="5"/>
      <c r="L788">
        <f>DigInv!M788</f>
        <v>0.74631032000000097</v>
      </c>
      <c r="M788">
        <f>DigInv!N788</f>
        <v>78.2</v>
      </c>
      <c r="O788">
        <f>ABS(L788-DigInv!$C$34)</f>
        <v>5.1513893512312574</v>
      </c>
      <c r="P788">
        <f t="shared" si="13"/>
        <v>78.2</v>
      </c>
    </row>
    <row r="789" spans="10:16">
      <c r="J789" s="5"/>
      <c r="L789">
        <f>DigInv!M789</f>
        <v>0.75254408000000095</v>
      </c>
      <c r="M789">
        <f>DigInv!N789</f>
        <v>78.3</v>
      </c>
      <c r="O789">
        <f>ABS(L789-DigInv!$C$34)</f>
        <v>5.1576231112312572</v>
      </c>
      <c r="P789">
        <f t="shared" si="13"/>
        <v>78.3</v>
      </c>
    </row>
    <row r="790" spans="10:16">
      <c r="J790" s="5"/>
      <c r="L790">
        <f>DigInv!M790</f>
        <v>0.75551000000000001</v>
      </c>
      <c r="M790">
        <f>DigInv!N790</f>
        <v>78.400000000000006</v>
      </c>
      <c r="O790">
        <f>ABS(L790-DigInv!$C$34)</f>
        <v>5.1605890312312566</v>
      </c>
      <c r="P790">
        <f t="shared" si="13"/>
        <v>78.400000000000006</v>
      </c>
    </row>
    <row r="791" spans="10:16">
      <c r="J791" s="5"/>
      <c r="L791">
        <f>DigInv!M791</f>
        <v>0.75551000000000001</v>
      </c>
      <c r="M791">
        <f>DigInv!N791</f>
        <v>78.5</v>
      </c>
      <c r="O791">
        <f>ABS(L791-DigInv!$C$34)</f>
        <v>5.1605890312312566</v>
      </c>
      <c r="P791">
        <f t="shared" si="13"/>
        <v>78.5</v>
      </c>
    </row>
    <row r="792" spans="10:16">
      <c r="J792" s="5"/>
      <c r="L792">
        <f>DigInv!M792</f>
        <v>0.75551000000000001</v>
      </c>
      <c r="M792">
        <f>DigInv!N792</f>
        <v>78.599999999999994</v>
      </c>
      <c r="O792">
        <f>ABS(L792-DigInv!$C$34)</f>
        <v>5.1605890312312566</v>
      </c>
      <c r="P792">
        <f t="shared" si="13"/>
        <v>78.599999999999994</v>
      </c>
    </row>
    <row r="793" spans="10:16">
      <c r="J793" s="5"/>
      <c r="L793">
        <f>DigInv!M793</f>
        <v>0.76014121700000004</v>
      </c>
      <c r="M793">
        <f>DigInv!N793</f>
        <v>78.7</v>
      </c>
      <c r="O793">
        <f>ABS(L793-DigInv!$C$34)</f>
        <v>5.1652202482312566</v>
      </c>
      <c r="P793">
        <f t="shared" si="13"/>
        <v>78.7</v>
      </c>
    </row>
    <row r="794" spans="10:16">
      <c r="J794" s="5"/>
      <c r="L794">
        <f>DigInv!M794</f>
        <v>0.76700010799999996</v>
      </c>
      <c r="M794">
        <f>DigInv!N794</f>
        <v>78.8</v>
      </c>
      <c r="O794">
        <f>ABS(L794-DigInv!$C$34)</f>
        <v>5.172079139231256</v>
      </c>
      <c r="P794">
        <f t="shared" si="13"/>
        <v>78.8</v>
      </c>
    </row>
    <row r="795" spans="10:16">
      <c r="J795" s="5"/>
      <c r="L795">
        <f>DigInv!M795</f>
        <v>0.77385899899999999</v>
      </c>
      <c r="M795">
        <f>DigInv!N795</f>
        <v>78.900000000000006</v>
      </c>
      <c r="O795">
        <f>ABS(L795-DigInv!$C$34)</f>
        <v>5.1789380302312562</v>
      </c>
      <c r="P795">
        <f t="shared" si="13"/>
        <v>78.900000000000006</v>
      </c>
    </row>
    <row r="796" spans="10:16">
      <c r="J796" s="5"/>
      <c r="L796">
        <f>DigInv!M796</f>
        <v>0.77505100000000005</v>
      </c>
      <c r="M796">
        <f>DigInv!N796</f>
        <v>79</v>
      </c>
      <c r="O796">
        <f>ABS(L796-DigInv!$C$34)</f>
        <v>5.1801300312312568</v>
      </c>
      <c r="P796">
        <f t="shared" si="13"/>
        <v>79</v>
      </c>
    </row>
    <row r="797" spans="10:16">
      <c r="J797" s="5"/>
      <c r="L797">
        <f>DigInv!M797</f>
        <v>0.77505100000000005</v>
      </c>
      <c r="M797">
        <f>DigInv!N797</f>
        <v>79.099999999999994</v>
      </c>
      <c r="O797">
        <f>ABS(L797-DigInv!$C$34)</f>
        <v>5.1801300312312568</v>
      </c>
      <c r="P797">
        <f t="shared" si="13"/>
        <v>79.099999999999994</v>
      </c>
    </row>
    <row r="798" spans="10:16">
      <c r="J798" s="5"/>
      <c r="L798">
        <f>DigInv!M798</f>
        <v>0.77505100000000005</v>
      </c>
      <c r="M798">
        <f>DigInv!N798</f>
        <v>79.2</v>
      </c>
      <c r="O798">
        <f>ABS(L798-DigInv!$C$34)</f>
        <v>5.1801300312312568</v>
      </c>
      <c r="P798">
        <f t="shared" si="13"/>
        <v>79.2</v>
      </c>
    </row>
    <row r="799" spans="10:16">
      <c r="J799" s="5"/>
      <c r="L799">
        <f>DigInv!M799</f>
        <v>0.78178580499999994</v>
      </c>
      <c r="M799">
        <f>DigInv!N799</f>
        <v>79.3</v>
      </c>
      <c r="O799">
        <f>ABS(L799-DigInv!$C$34)</f>
        <v>5.1868648362312566</v>
      </c>
      <c r="P799">
        <f t="shared" si="13"/>
        <v>79.3</v>
      </c>
    </row>
    <row r="800" spans="10:16">
      <c r="J800" s="5"/>
      <c r="L800">
        <f>DigInv!M800</f>
        <v>0.78867768999999999</v>
      </c>
      <c r="M800">
        <f>DigInv!N800</f>
        <v>79.400000000000006</v>
      </c>
      <c r="O800">
        <f>ABS(L800-DigInv!$C$34)</f>
        <v>5.1937567212312565</v>
      </c>
      <c r="P800">
        <f t="shared" si="13"/>
        <v>79.400000000000006</v>
      </c>
    </row>
    <row r="801" spans="10:16">
      <c r="J801" s="5"/>
      <c r="L801">
        <f>DigInv!M801</f>
        <v>0.794686</v>
      </c>
      <c r="M801">
        <f>DigInv!N801</f>
        <v>79.5</v>
      </c>
      <c r="O801">
        <f>ABS(L801-DigInv!$C$34)</f>
        <v>5.1997650312312569</v>
      </c>
      <c r="P801">
        <f t="shared" si="13"/>
        <v>79.5</v>
      </c>
    </row>
    <row r="802" spans="10:16">
      <c r="J802" s="5"/>
      <c r="L802">
        <f>DigInv!M802</f>
        <v>0.794686</v>
      </c>
      <c r="M802">
        <f>DigInv!N802</f>
        <v>79.599999999999994</v>
      </c>
      <c r="O802">
        <f>ABS(L802-DigInv!$C$34)</f>
        <v>5.1997650312312569</v>
      </c>
      <c r="P802">
        <f t="shared" si="13"/>
        <v>79.599999999999994</v>
      </c>
    </row>
    <row r="803" spans="10:16">
      <c r="J803" s="5"/>
      <c r="L803">
        <f>DigInv!M803</f>
        <v>0.794686</v>
      </c>
      <c r="M803">
        <f>DigInv!N803</f>
        <v>79.7</v>
      </c>
      <c r="O803">
        <f>ABS(L803-DigInv!$C$34)</f>
        <v>5.1997650312312569</v>
      </c>
      <c r="P803">
        <f t="shared" si="13"/>
        <v>79.7</v>
      </c>
    </row>
    <row r="804" spans="10:16">
      <c r="J804" s="5"/>
      <c r="L804">
        <f>DigInv!M804</f>
        <v>0.794686</v>
      </c>
      <c r="M804">
        <f>DigInv!N804</f>
        <v>79.8</v>
      </c>
      <c r="O804">
        <f>ABS(L804-DigInv!$C$34)</f>
        <v>5.1997650312312569</v>
      </c>
      <c r="P804">
        <f t="shared" si="13"/>
        <v>79.8</v>
      </c>
    </row>
    <row r="805" spans="10:16">
      <c r="J805" s="5"/>
      <c r="L805">
        <f>DigInv!M805</f>
        <v>0.794686</v>
      </c>
      <c r="M805">
        <f>DigInv!N805</f>
        <v>79.900000000000006</v>
      </c>
      <c r="O805">
        <f>ABS(L805-DigInv!$C$34)</f>
        <v>5.1997650312312569</v>
      </c>
      <c r="P805">
        <f t="shared" si="13"/>
        <v>79.900000000000006</v>
      </c>
    </row>
    <row r="806" spans="10:16">
      <c r="J806" s="5"/>
      <c r="L806">
        <f>DigInv!M806</f>
        <v>0.794686</v>
      </c>
      <c r="M806">
        <f>DigInv!N806</f>
        <v>80</v>
      </c>
      <c r="O806">
        <f>ABS(L806-DigInv!$C$34)</f>
        <v>5.1997650312312569</v>
      </c>
      <c r="P806">
        <f t="shared" si="13"/>
        <v>80</v>
      </c>
    </row>
    <row r="807" spans="10:16">
      <c r="J807" s="5"/>
      <c r="L807">
        <f>DigInv!M807</f>
        <v>0.794686</v>
      </c>
      <c r="M807">
        <f>DigInv!N807</f>
        <v>80.099999999999994</v>
      </c>
      <c r="O807">
        <f>ABS(L807-DigInv!$C$34)</f>
        <v>5.1997650312312569</v>
      </c>
      <c r="P807">
        <f t="shared" si="13"/>
        <v>80.099999999999994</v>
      </c>
    </row>
    <row r="808" spans="10:16">
      <c r="J808" s="5"/>
      <c r="L808">
        <f>DigInv!M808</f>
        <v>0.794686</v>
      </c>
      <c r="M808">
        <f>DigInv!N808</f>
        <v>80.2</v>
      </c>
      <c r="O808">
        <f>ABS(L808-DigInv!$C$34)</f>
        <v>5.1997650312312569</v>
      </c>
      <c r="P808">
        <f t="shared" si="13"/>
        <v>80.2</v>
      </c>
    </row>
    <row r="809" spans="10:16">
      <c r="J809" s="5"/>
      <c r="L809">
        <f>DigInv!M809</f>
        <v>0.794686</v>
      </c>
      <c r="M809">
        <f>DigInv!N809</f>
        <v>80.3</v>
      </c>
      <c r="O809">
        <f>ABS(L809-DigInv!$C$34)</f>
        <v>5.1997650312312569</v>
      </c>
      <c r="P809">
        <f t="shared" si="13"/>
        <v>80.3</v>
      </c>
    </row>
    <row r="810" spans="10:16">
      <c r="J810" s="5"/>
      <c r="L810">
        <f>DigInv!M810</f>
        <v>0.79871418400000005</v>
      </c>
      <c r="M810">
        <f>DigInv!N810</f>
        <v>80.400000000000006</v>
      </c>
      <c r="O810">
        <f>ABS(L810-DigInv!$C$34)</f>
        <v>5.203793215231256</v>
      </c>
      <c r="P810">
        <f t="shared" si="13"/>
        <v>80.400000000000006</v>
      </c>
    </row>
    <row r="811" spans="10:16">
      <c r="J811" s="5"/>
      <c r="L811">
        <f>DigInv!M811</f>
        <v>0.80564502999999998</v>
      </c>
      <c r="M811">
        <f>DigInv!N811</f>
        <v>80.5</v>
      </c>
      <c r="O811">
        <f>ABS(L811-DigInv!$C$34)</f>
        <v>5.2107240612312564</v>
      </c>
      <c r="P811">
        <f t="shared" si="13"/>
        <v>80.5</v>
      </c>
    </row>
    <row r="812" spans="10:16">
      <c r="J812" s="5"/>
      <c r="L812">
        <f>DigInv!M812</f>
        <v>0.81257587600000003</v>
      </c>
      <c r="M812">
        <f>DigInv!N812</f>
        <v>80.599999999999994</v>
      </c>
      <c r="O812">
        <f>ABS(L812-DigInv!$C$34)</f>
        <v>5.2176549072312568</v>
      </c>
      <c r="P812">
        <f t="shared" si="13"/>
        <v>80.599999999999994</v>
      </c>
    </row>
    <row r="813" spans="10:16">
      <c r="J813" s="5"/>
      <c r="L813">
        <f>DigInv!M813</f>
        <v>0.81443200000000004</v>
      </c>
      <c r="M813">
        <f>DigInv!N813</f>
        <v>80.7</v>
      </c>
      <c r="O813">
        <f>ABS(L813-DigInv!$C$34)</f>
        <v>5.2195110312312565</v>
      </c>
      <c r="P813">
        <f t="shared" si="13"/>
        <v>80.7</v>
      </c>
    </row>
    <row r="814" spans="10:16">
      <c r="J814" s="5"/>
      <c r="L814">
        <f>DigInv!M814</f>
        <v>0.81443200000000004</v>
      </c>
      <c r="M814">
        <f>DigInv!N814</f>
        <v>80.8</v>
      </c>
      <c r="O814">
        <f>ABS(L814-DigInv!$C$34)</f>
        <v>5.2195110312312565</v>
      </c>
      <c r="P814">
        <f t="shared" si="13"/>
        <v>80.8</v>
      </c>
    </row>
    <row r="815" spans="10:16">
      <c r="J815" s="5"/>
      <c r="L815">
        <f>DigInv!M815</f>
        <v>0.81443200000000004</v>
      </c>
      <c r="M815">
        <f>DigInv!N815</f>
        <v>80.900000000000006</v>
      </c>
      <c r="O815">
        <f>ABS(L815-DigInv!$C$34)</f>
        <v>5.2195110312312565</v>
      </c>
      <c r="P815">
        <f t="shared" si="13"/>
        <v>80.900000000000006</v>
      </c>
    </row>
    <row r="816" spans="10:16">
      <c r="J816" s="5"/>
      <c r="L816">
        <f>DigInv!M816</f>
        <v>0.81496860999999998</v>
      </c>
      <c r="M816">
        <f>DigInv!N816</f>
        <v>81</v>
      </c>
      <c r="O816">
        <f>ABS(L816-DigInv!$C$34)</f>
        <v>5.2200476412312566</v>
      </c>
      <c r="P816">
        <f t="shared" si="13"/>
        <v>81</v>
      </c>
    </row>
    <row r="817" spans="10:16">
      <c r="J817" s="5"/>
      <c r="L817">
        <f>DigInv!M817</f>
        <v>0.81557619100000001</v>
      </c>
      <c r="M817">
        <f>DigInv!N817</f>
        <v>81.099999999999994</v>
      </c>
      <c r="O817">
        <f>ABS(L817-DigInv!$C$34)</f>
        <v>5.2206552222312563</v>
      </c>
      <c r="P817">
        <f t="shared" si="13"/>
        <v>81.099999999999994</v>
      </c>
    </row>
    <row r="818" spans="10:16">
      <c r="J818" s="5"/>
      <c r="L818">
        <f>DigInv!M818</f>
        <v>0.81616299999999997</v>
      </c>
      <c r="M818">
        <f>DigInv!N818</f>
        <v>81.2</v>
      </c>
      <c r="O818">
        <f>ABS(L818-DigInv!$C$34)</f>
        <v>5.221242031231256</v>
      </c>
      <c r="P818">
        <f t="shared" si="13"/>
        <v>81.2</v>
      </c>
    </row>
    <row r="819" spans="10:16">
      <c r="J819" s="5"/>
      <c r="L819">
        <f>DigInv!M819</f>
        <v>0.81616299999999997</v>
      </c>
      <c r="M819">
        <f>DigInv!N819</f>
        <v>81.3</v>
      </c>
      <c r="O819">
        <f>ABS(L819-DigInv!$C$34)</f>
        <v>5.221242031231256</v>
      </c>
      <c r="P819">
        <f t="shared" si="13"/>
        <v>81.3</v>
      </c>
    </row>
    <row r="820" spans="10:16">
      <c r="J820" s="5"/>
      <c r="L820">
        <f>DigInv!M820</f>
        <v>0.81616299999999997</v>
      </c>
      <c r="M820">
        <f>DigInv!N820</f>
        <v>81.400000000000006</v>
      </c>
      <c r="O820">
        <f>ABS(L820-DigInv!$C$34)</f>
        <v>5.221242031231256</v>
      </c>
      <c r="P820">
        <f t="shared" si="13"/>
        <v>81.400000000000006</v>
      </c>
    </row>
    <row r="821" spans="10:16">
      <c r="J821" s="5"/>
      <c r="L821">
        <f>DigInv!M821</f>
        <v>0.81734242499999998</v>
      </c>
      <c r="M821">
        <f>DigInv!N821</f>
        <v>81.5</v>
      </c>
      <c r="O821">
        <f>ABS(L821-DigInv!$C$34)</f>
        <v>5.2224214562312561</v>
      </c>
      <c r="P821">
        <f t="shared" si="13"/>
        <v>81.5</v>
      </c>
    </row>
    <row r="822" spans="10:16">
      <c r="J822" s="5"/>
      <c r="L822">
        <f>DigInv!M822</f>
        <v>0.82371132000000002</v>
      </c>
      <c r="M822">
        <f>DigInv!N822</f>
        <v>81.599999999999994</v>
      </c>
      <c r="O822">
        <f>ABS(L822-DigInv!$C$34)</f>
        <v>5.2287903512312566</v>
      </c>
      <c r="P822">
        <f t="shared" si="13"/>
        <v>81.599999999999994</v>
      </c>
    </row>
    <row r="823" spans="10:16">
      <c r="J823" s="5"/>
      <c r="L823">
        <f>DigInv!M823</f>
        <v>0.83008021499999995</v>
      </c>
      <c r="M823">
        <f>DigInv!N823</f>
        <v>81.7</v>
      </c>
      <c r="O823">
        <f>ABS(L823-DigInv!$C$34)</f>
        <v>5.2351592462312562</v>
      </c>
      <c r="P823">
        <f t="shared" si="13"/>
        <v>81.7</v>
      </c>
    </row>
    <row r="824" spans="10:16">
      <c r="J824" s="5"/>
      <c r="L824">
        <f>DigInv!M824</f>
        <v>0.83667118600000001</v>
      </c>
      <c r="M824">
        <f>DigInv!N824</f>
        <v>81.8</v>
      </c>
      <c r="O824">
        <f>ABS(L824-DigInv!$C$34)</f>
        <v>5.2417502172312567</v>
      </c>
      <c r="P824">
        <f t="shared" si="13"/>
        <v>81.8</v>
      </c>
    </row>
    <row r="825" spans="10:16">
      <c r="J825" s="5"/>
      <c r="L825">
        <f>DigInv!M825</f>
        <v>0.84370066300000002</v>
      </c>
      <c r="M825">
        <f>DigInv!N825</f>
        <v>81.900000000000006</v>
      </c>
      <c r="O825">
        <f>ABS(L825-DigInv!$C$34)</f>
        <v>5.2487796942312563</v>
      </c>
      <c r="P825">
        <f t="shared" si="13"/>
        <v>81.900000000000006</v>
      </c>
    </row>
    <row r="826" spans="10:16">
      <c r="J826" s="5"/>
      <c r="L826">
        <f>DigInv!M826</f>
        <v>0.85073014000000102</v>
      </c>
      <c r="M826">
        <f>DigInv!N826</f>
        <v>82</v>
      </c>
      <c r="O826">
        <f>ABS(L826-DigInv!$C$34)</f>
        <v>5.2558091712312578</v>
      </c>
      <c r="P826">
        <f t="shared" si="13"/>
        <v>82</v>
      </c>
    </row>
    <row r="827" spans="10:16">
      <c r="J827" s="5"/>
      <c r="L827">
        <f>DigInv!M827</f>
        <v>0.85433499999999996</v>
      </c>
      <c r="M827">
        <f>DigInv!N827</f>
        <v>82.1</v>
      </c>
      <c r="O827">
        <f>ABS(L827-DigInv!$C$34)</f>
        <v>5.2594140312312563</v>
      </c>
      <c r="P827">
        <f t="shared" si="13"/>
        <v>82.1</v>
      </c>
    </row>
    <row r="828" spans="10:16">
      <c r="J828" s="5"/>
      <c r="L828">
        <f>DigInv!M828</f>
        <v>0.85433499999999996</v>
      </c>
      <c r="M828">
        <f>DigInv!N828</f>
        <v>82.2</v>
      </c>
      <c r="O828">
        <f>ABS(L828-DigInv!$C$34)</f>
        <v>5.2594140312312563</v>
      </c>
      <c r="P828">
        <f t="shared" si="13"/>
        <v>82.2</v>
      </c>
    </row>
    <row r="829" spans="10:16">
      <c r="J829" s="5"/>
      <c r="L829">
        <f>DigInv!M829</f>
        <v>0.85433499999999996</v>
      </c>
      <c r="M829">
        <f>DigInv!N829</f>
        <v>82.3</v>
      </c>
      <c r="O829">
        <f>ABS(L829-DigInv!$C$34)</f>
        <v>5.2594140312312563</v>
      </c>
      <c r="P829">
        <f t="shared" si="13"/>
        <v>82.3</v>
      </c>
    </row>
    <row r="830" spans="10:16">
      <c r="J830" s="5"/>
      <c r="L830">
        <f>DigInv!M830</f>
        <v>0.85886069600000103</v>
      </c>
      <c r="M830">
        <f>DigInv!N830</f>
        <v>82.4</v>
      </c>
      <c r="O830">
        <f>ABS(L830-DigInv!$C$34)</f>
        <v>5.2639397272312571</v>
      </c>
      <c r="P830">
        <f t="shared" si="13"/>
        <v>82.4</v>
      </c>
    </row>
    <row r="831" spans="10:16">
      <c r="J831" s="5"/>
      <c r="L831">
        <f>DigInv!M831</f>
        <v>0.86595230000000101</v>
      </c>
      <c r="M831">
        <f>DigInv!N831</f>
        <v>82.5</v>
      </c>
      <c r="O831">
        <f>ABS(L831-DigInv!$C$34)</f>
        <v>5.2710313312312573</v>
      </c>
      <c r="P831">
        <f t="shared" si="13"/>
        <v>82.5</v>
      </c>
    </row>
    <row r="832" spans="10:16">
      <c r="J832" s="5"/>
      <c r="L832">
        <f>DigInv!M832</f>
        <v>0.87304390400000098</v>
      </c>
      <c r="M832">
        <f>DigInv!N832</f>
        <v>82.6</v>
      </c>
      <c r="O832">
        <f>ABS(L832-DigInv!$C$34)</f>
        <v>5.2781229352312575</v>
      </c>
      <c r="P832">
        <f t="shared" si="13"/>
        <v>82.6</v>
      </c>
    </row>
    <row r="833" spans="10:16">
      <c r="J833" s="5"/>
      <c r="L833">
        <f>DigInv!M833</f>
        <v>0.87503039800000004</v>
      </c>
      <c r="M833">
        <f>DigInv!N833</f>
        <v>82.7</v>
      </c>
      <c r="O833">
        <f>ABS(L833-DigInv!$C$34)</f>
        <v>5.2801094292312563</v>
      </c>
      <c r="P833">
        <f t="shared" si="13"/>
        <v>82.7</v>
      </c>
    </row>
    <row r="834" spans="10:16">
      <c r="J834" s="5"/>
      <c r="L834">
        <f>DigInv!M834</f>
        <v>0.87565307199999998</v>
      </c>
      <c r="M834">
        <f>DigInv!N834</f>
        <v>82.8</v>
      </c>
      <c r="O834">
        <f>ABS(L834-DigInv!$C$34)</f>
        <v>5.2807321032312569</v>
      </c>
      <c r="P834">
        <f t="shared" si="13"/>
        <v>82.8</v>
      </c>
    </row>
    <row r="835" spans="10:16">
      <c r="J835" s="5"/>
      <c r="L835">
        <f>DigInv!M835</f>
        <v>0.87627574600000002</v>
      </c>
      <c r="M835">
        <f>DigInv!N835</f>
        <v>82.9</v>
      </c>
      <c r="O835">
        <f>ABS(L835-DigInv!$C$34)</f>
        <v>5.2813547772312566</v>
      </c>
      <c r="P835">
        <f t="shared" si="13"/>
        <v>82.9</v>
      </c>
    </row>
    <row r="836" spans="10:16">
      <c r="J836" s="5"/>
      <c r="L836">
        <f>DigInv!M836</f>
        <v>0.87650835999999999</v>
      </c>
      <c r="M836">
        <f>DigInv!N836</f>
        <v>83</v>
      </c>
      <c r="O836">
        <f>ABS(L836-DigInv!$C$34)</f>
        <v>5.2815873912312563</v>
      </c>
      <c r="P836">
        <f t="shared" si="13"/>
        <v>83</v>
      </c>
    </row>
    <row r="837" spans="10:16">
      <c r="J837" s="5"/>
      <c r="L837">
        <f>DigInv!M837</f>
        <v>0.87671615199999997</v>
      </c>
      <c r="M837">
        <f>DigInv!N837</f>
        <v>83.1</v>
      </c>
      <c r="O837">
        <f>ABS(L837-DigInv!$C$34)</f>
        <v>5.2817951832312566</v>
      </c>
      <c r="P837">
        <f t="shared" si="13"/>
        <v>83.1</v>
      </c>
    </row>
    <row r="838" spans="10:16">
      <c r="J838" s="5"/>
      <c r="L838">
        <f>DigInv!M838</f>
        <v>0.87748231200000104</v>
      </c>
      <c r="M838">
        <f>DigInv!N838</f>
        <v>83.2</v>
      </c>
      <c r="O838">
        <f>ABS(L838-DigInv!$C$34)</f>
        <v>5.2825613432312579</v>
      </c>
      <c r="P838">
        <f t="shared" si="13"/>
        <v>83.2</v>
      </c>
    </row>
    <row r="839" spans="10:16">
      <c r="J839" s="5"/>
      <c r="L839">
        <f>DigInv!M839</f>
        <v>0.88381470299999998</v>
      </c>
      <c r="M839">
        <f>DigInv!N839</f>
        <v>83.3</v>
      </c>
      <c r="O839">
        <f>ABS(L839-DigInv!$C$34)</f>
        <v>5.2888937342312561</v>
      </c>
      <c r="P839">
        <f t="shared" ref="P839:P902" si="14">M839</f>
        <v>83.3</v>
      </c>
    </row>
    <row r="840" spans="10:16">
      <c r="J840" s="5"/>
      <c r="L840">
        <f>DigInv!M840</f>
        <v>0.89014709400000003</v>
      </c>
      <c r="M840">
        <f>DigInv!N840</f>
        <v>83.4</v>
      </c>
      <c r="O840">
        <f>ABS(L840-DigInv!$C$34)</f>
        <v>5.295226125231256</v>
      </c>
      <c r="P840">
        <f t="shared" si="14"/>
        <v>83.4</v>
      </c>
    </row>
    <row r="841" spans="10:16">
      <c r="J841" s="5"/>
      <c r="L841">
        <f>DigInv!M841</f>
        <v>0.89494600000000002</v>
      </c>
      <c r="M841">
        <f>DigInv!N841</f>
        <v>83.5</v>
      </c>
      <c r="O841">
        <f>ABS(L841-DigInv!$C$34)</f>
        <v>5.3000250312312565</v>
      </c>
      <c r="P841">
        <f t="shared" si="14"/>
        <v>83.5</v>
      </c>
    </row>
    <row r="842" spans="10:16">
      <c r="J842" s="5"/>
      <c r="L842">
        <f>DigInv!M842</f>
        <v>0.89494600000000002</v>
      </c>
      <c r="M842">
        <f>DigInv!N842</f>
        <v>83.6</v>
      </c>
      <c r="O842">
        <f>ABS(L842-DigInv!$C$34)</f>
        <v>5.3000250312312565</v>
      </c>
      <c r="P842">
        <f t="shared" si="14"/>
        <v>83.6</v>
      </c>
    </row>
    <row r="843" spans="10:16">
      <c r="J843" s="5"/>
      <c r="L843">
        <f>DigInv!M843</f>
        <v>0.89494600000000002</v>
      </c>
      <c r="M843">
        <f>DigInv!N843</f>
        <v>83.7</v>
      </c>
      <c r="O843">
        <f>ABS(L843-DigInv!$C$34)</f>
        <v>5.3000250312312565</v>
      </c>
      <c r="P843">
        <f t="shared" si="14"/>
        <v>83.7</v>
      </c>
    </row>
    <row r="844" spans="10:16">
      <c r="J844" s="5"/>
      <c r="L844">
        <f>DigInv!M844</f>
        <v>0.89519384800000001</v>
      </c>
      <c r="M844">
        <f>DigInv!N844</f>
        <v>83.8</v>
      </c>
      <c r="O844">
        <f>ABS(L844-DigInv!$C$34)</f>
        <v>5.3002728792312563</v>
      </c>
      <c r="P844">
        <f t="shared" si="14"/>
        <v>83.8</v>
      </c>
    </row>
    <row r="845" spans="10:16">
      <c r="J845" s="5"/>
      <c r="L845">
        <f>DigInv!M845</f>
        <v>0.89582424400000005</v>
      </c>
      <c r="M845">
        <f>DigInv!N845</f>
        <v>83.9</v>
      </c>
      <c r="O845">
        <f>ABS(L845-DigInv!$C$34)</f>
        <v>5.3009032752312564</v>
      </c>
      <c r="P845">
        <f t="shared" si="14"/>
        <v>83.9</v>
      </c>
    </row>
    <row r="846" spans="10:16">
      <c r="J846" s="5"/>
      <c r="L846">
        <f>DigInv!M846</f>
        <v>0.89645463999999997</v>
      </c>
      <c r="M846">
        <f>DigInv!N846</f>
        <v>84</v>
      </c>
      <c r="O846">
        <f>ABS(L846-DigInv!$C$34)</f>
        <v>5.3015336712312564</v>
      </c>
      <c r="P846">
        <f t="shared" si="14"/>
        <v>84</v>
      </c>
    </row>
    <row r="847" spans="10:16">
      <c r="J847" s="5"/>
      <c r="L847">
        <f>DigInv!M847</f>
        <v>0.900342540999999</v>
      </c>
      <c r="M847">
        <f>DigInv!N847</f>
        <v>84.1</v>
      </c>
      <c r="O847">
        <f>ABS(L847-DigInv!$C$34)</f>
        <v>5.3054215722312552</v>
      </c>
      <c r="P847">
        <f t="shared" si="14"/>
        <v>84.1</v>
      </c>
    </row>
    <row r="848" spans="10:16">
      <c r="J848" s="5"/>
      <c r="L848">
        <f>DigInv!M848</f>
        <v>0.906959241999999</v>
      </c>
      <c r="M848">
        <f>DigInv!N848</f>
        <v>84.2</v>
      </c>
      <c r="O848">
        <f>ABS(L848-DigInv!$C$34)</f>
        <v>5.3120382732312557</v>
      </c>
      <c r="P848">
        <f t="shared" si="14"/>
        <v>84.2</v>
      </c>
    </row>
    <row r="849" spans="10:16">
      <c r="J849" s="5"/>
      <c r="L849">
        <f>DigInv!M849</f>
        <v>0.913575942999999</v>
      </c>
      <c r="M849">
        <f>DigInv!N849</f>
        <v>84.3</v>
      </c>
      <c r="O849">
        <f>ABS(L849-DigInv!$C$34)</f>
        <v>5.3186549742312552</v>
      </c>
      <c r="P849">
        <f t="shared" si="14"/>
        <v>84.3</v>
      </c>
    </row>
    <row r="850" spans="10:16">
      <c r="J850" s="5"/>
      <c r="L850">
        <f>DigInv!M850</f>
        <v>0.91559299999999999</v>
      </c>
      <c r="M850">
        <f>DigInv!N850</f>
        <v>84.4</v>
      </c>
      <c r="O850">
        <f>ABS(L850-DigInv!$C$34)</f>
        <v>5.3206720312312568</v>
      </c>
      <c r="P850">
        <f t="shared" si="14"/>
        <v>84.4</v>
      </c>
    </row>
    <row r="851" spans="10:16">
      <c r="J851" s="5"/>
      <c r="L851">
        <f>DigInv!M851</f>
        <v>0.91559299999999999</v>
      </c>
      <c r="M851">
        <f>DigInv!N851</f>
        <v>84.5</v>
      </c>
      <c r="O851">
        <f>ABS(L851-DigInv!$C$34)</f>
        <v>5.3206720312312568</v>
      </c>
      <c r="P851">
        <f t="shared" si="14"/>
        <v>84.5</v>
      </c>
    </row>
    <row r="852" spans="10:16">
      <c r="J852" s="5"/>
      <c r="L852">
        <f>DigInv!M852</f>
        <v>0.91559299999999999</v>
      </c>
      <c r="M852">
        <f>DigInv!N852</f>
        <v>84.6</v>
      </c>
      <c r="O852">
        <f>ABS(L852-DigInv!$C$34)</f>
        <v>5.3206720312312568</v>
      </c>
      <c r="P852">
        <f t="shared" si="14"/>
        <v>84.6</v>
      </c>
    </row>
    <row r="853" spans="10:16">
      <c r="J853" s="5"/>
      <c r="L853">
        <f>DigInv!M853</f>
        <v>0.92180594299999896</v>
      </c>
      <c r="M853">
        <f>DigInv!N853</f>
        <v>84.7</v>
      </c>
      <c r="O853">
        <f>ABS(L853-DigInv!$C$34)</f>
        <v>5.3268849742312554</v>
      </c>
      <c r="P853">
        <f t="shared" si="14"/>
        <v>84.7</v>
      </c>
    </row>
    <row r="854" spans="10:16">
      <c r="J854" s="5"/>
      <c r="L854">
        <f>DigInv!M854</f>
        <v>0.92914851199999904</v>
      </c>
      <c r="M854">
        <f>DigInv!N854</f>
        <v>84.8</v>
      </c>
      <c r="O854">
        <f>ABS(L854-DigInv!$C$34)</f>
        <v>5.3342275432312558</v>
      </c>
      <c r="P854">
        <f t="shared" si="14"/>
        <v>84.8</v>
      </c>
    </row>
    <row r="855" spans="10:16">
      <c r="J855" s="5"/>
      <c r="L855">
        <f>DigInv!M855</f>
        <v>0.936491080999999</v>
      </c>
      <c r="M855">
        <f>DigInv!N855</f>
        <v>84.9</v>
      </c>
      <c r="O855">
        <f>ABS(L855-DigInv!$C$34)</f>
        <v>5.3415701122312553</v>
      </c>
      <c r="P855">
        <f t="shared" si="14"/>
        <v>84.9</v>
      </c>
    </row>
    <row r="856" spans="10:16">
      <c r="J856" s="5"/>
      <c r="L856">
        <f>DigInv!M856</f>
        <v>0.93651200000000001</v>
      </c>
      <c r="M856">
        <f>DigInv!N856</f>
        <v>85</v>
      </c>
      <c r="O856">
        <f>ABS(L856-DigInv!$C$34)</f>
        <v>5.3415910312312569</v>
      </c>
      <c r="P856">
        <f t="shared" si="14"/>
        <v>85</v>
      </c>
    </row>
    <row r="857" spans="10:16">
      <c r="J857" s="5"/>
      <c r="L857">
        <f>DigInv!M857</f>
        <v>0.93651200000000001</v>
      </c>
      <c r="M857">
        <f>DigInv!N857</f>
        <v>85.1</v>
      </c>
      <c r="O857">
        <f>ABS(L857-DigInv!$C$34)</f>
        <v>5.3415910312312569</v>
      </c>
      <c r="P857">
        <f t="shared" si="14"/>
        <v>85.1</v>
      </c>
    </row>
    <row r="858" spans="10:16">
      <c r="J858" s="5"/>
      <c r="L858">
        <f>DigInv!M858</f>
        <v>0.93651200000000001</v>
      </c>
      <c r="M858">
        <f>DigInv!N858</f>
        <v>85.2</v>
      </c>
      <c r="O858">
        <f>ABS(L858-DigInv!$C$34)</f>
        <v>5.3415910312312569</v>
      </c>
      <c r="P858">
        <f t="shared" si="14"/>
        <v>85.2</v>
      </c>
    </row>
    <row r="859" spans="10:16">
      <c r="J859" s="5"/>
      <c r="L859">
        <f>DigInv!M859</f>
        <v>0.93651200000000001</v>
      </c>
      <c r="M859">
        <f>DigInv!N859</f>
        <v>85.3</v>
      </c>
      <c r="O859">
        <f>ABS(L859-DigInv!$C$34)</f>
        <v>5.3415910312312569</v>
      </c>
      <c r="P859">
        <f t="shared" si="14"/>
        <v>85.3</v>
      </c>
    </row>
    <row r="860" spans="10:16">
      <c r="J860" s="5"/>
      <c r="L860">
        <f>DigInv!M860</f>
        <v>0.93651200000000001</v>
      </c>
      <c r="M860">
        <f>DigInv!N860</f>
        <v>85.4</v>
      </c>
      <c r="O860">
        <f>ABS(L860-DigInv!$C$34)</f>
        <v>5.3415910312312569</v>
      </c>
      <c r="P860">
        <f t="shared" si="14"/>
        <v>85.4</v>
      </c>
    </row>
    <row r="861" spans="10:16">
      <c r="J861" s="5"/>
      <c r="L861">
        <f>DigInv!M861</f>
        <v>0.93874157000000003</v>
      </c>
      <c r="M861">
        <f>DigInv!N861</f>
        <v>85.5</v>
      </c>
      <c r="O861">
        <f>ABS(L861-DigInv!$C$34)</f>
        <v>5.3438206012312568</v>
      </c>
      <c r="P861">
        <f t="shared" si="14"/>
        <v>85.5</v>
      </c>
    </row>
    <row r="862" spans="10:16">
      <c r="J862" s="5"/>
      <c r="L862">
        <f>DigInv!M862</f>
        <v>0.94619470400000005</v>
      </c>
      <c r="M862">
        <f>DigInv!N862</f>
        <v>85.6</v>
      </c>
      <c r="O862">
        <f>ABS(L862-DigInv!$C$34)</f>
        <v>5.3512737352312563</v>
      </c>
      <c r="P862">
        <f t="shared" si="14"/>
        <v>85.6</v>
      </c>
    </row>
    <row r="863" spans="10:16">
      <c r="J863" s="5"/>
      <c r="L863">
        <f>DigInv!M863</f>
        <v>0.95364783799999997</v>
      </c>
      <c r="M863">
        <f>DigInv!N863</f>
        <v>85.7</v>
      </c>
      <c r="O863">
        <f>ABS(L863-DigInv!$C$34)</f>
        <v>5.3587268692312566</v>
      </c>
      <c r="P863">
        <f t="shared" si="14"/>
        <v>85.7</v>
      </c>
    </row>
    <row r="864" spans="10:16">
      <c r="J864" s="5"/>
      <c r="L864">
        <f>DigInv!M864</f>
        <v>0.95774599999999999</v>
      </c>
      <c r="M864">
        <f>DigInv!N864</f>
        <v>85.8</v>
      </c>
      <c r="O864">
        <f>ABS(L864-DigInv!$C$34)</f>
        <v>5.3628250312312566</v>
      </c>
      <c r="P864">
        <f t="shared" si="14"/>
        <v>85.8</v>
      </c>
    </row>
    <row r="865" spans="10:16">
      <c r="J865" s="5"/>
      <c r="L865">
        <f>DigInv!M865</f>
        <v>0.95774599999999999</v>
      </c>
      <c r="M865">
        <f>DigInv!N865</f>
        <v>85.9</v>
      </c>
      <c r="O865">
        <f>ABS(L865-DigInv!$C$34)</f>
        <v>5.3628250312312566</v>
      </c>
      <c r="P865">
        <f t="shared" si="14"/>
        <v>85.9</v>
      </c>
    </row>
    <row r="866" spans="10:16">
      <c r="J866" s="5"/>
      <c r="L866">
        <f>DigInv!M866</f>
        <v>0.95774599999999999</v>
      </c>
      <c r="M866">
        <f>DigInv!N866</f>
        <v>86</v>
      </c>
      <c r="O866">
        <f>ABS(L866-DigInv!$C$34)</f>
        <v>5.3628250312312566</v>
      </c>
      <c r="P866">
        <f t="shared" si="14"/>
        <v>86</v>
      </c>
    </row>
    <row r="867" spans="10:16">
      <c r="J867" s="5"/>
      <c r="L867">
        <f>DigInv!M867</f>
        <v>0.96694370100000004</v>
      </c>
      <c r="M867">
        <f>DigInv!N867</f>
        <v>86.1</v>
      </c>
      <c r="O867">
        <f>ABS(L867-DigInv!$C$34)</f>
        <v>5.3720227322312564</v>
      </c>
      <c r="P867">
        <f t="shared" si="14"/>
        <v>86.1</v>
      </c>
    </row>
    <row r="868" spans="10:16">
      <c r="J868" s="5"/>
      <c r="L868">
        <f>DigInv!M868</f>
        <v>0.98224414200000099</v>
      </c>
      <c r="M868">
        <f>DigInv!N868</f>
        <v>86.2</v>
      </c>
      <c r="O868">
        <f>ABS(L868-DigInv!$C$34)</f>
        <v>5.3873231732312572</v>
      </c>
      <c r="P868">
        <f t="shared" si="14"/>
        <v>86.2</v>
      </c>
    </row>
    <row r="869" spans="10:16">
      <c r="J869" s="5"/>
      <c r="L869">
        <f>DigInv!M869</f>
        <v>0.99754458300000004</v>
      </c>
      <c r="M869">
        <f>DigInv!N869</f>
        <v>86.3</v>
      </c>
      <c r="O869">
        <f>ABS(L869-DigInv!$C$34)</f>
        <v>5.4026236142312563</v>
      </c>
      <c r="P869">
        <f t="shared" si="14"/>
        <v>86.3</v>
      </c>
    </row>
    <row r="870" spans="10:16">
      <c r="J870" s="5"/>
      <c r="L870">
        <f>DigInv!M870</f>
        <v>1.0013369999999999</v>
      </c>
      <c r="M870">
        <f>DigInv!N870</f>
        <v>86.4</v>
      </c>
      <c r="O870">
        <f>ABS(L870-DigInv!$C$34)</f>
        <v>5.4064160312312559</v>
      </c>
      <c r="P870">
        <f t="shared" si="14"/>
        <v>86.4</v>
      </c>
    </row>
    <row r="871" spans="10:16">
      <c r="J871" s="5"/>
      <c r="L871">
        <f>DigInv!M871</f>
        <v>1.0013369999999999</v>
      </c>
      <c r="M871">
        <f>DigInv!N871</f>
        <v>86.5</v>
      </c>
      <c r="O871">
        <f>ABS(L871-DigInv!$C$34)</f>
        <v>5.4064160312312559</v>
      </c>
      <c r="P871">
        <f t="shared" si="14"/>
        <v>86.5</v>
      </c>
    </row>
    <row r="872" spans="10:16">
      <c r="J872" s="5"/>
      <c r="L872">
        <f>DigInv!M872</f>
        <v>1.0013369999999999</v>
      </c>
      <c r="M872">
        <f>DigInv!N872</f>
        <v>86.6</v>
      </c>
      <c r="O872">
        <f>ABS(L872-DigInv!$C$34)</f>
        <v>5.4064160312312559</v>
      </c>
      <c r="P872">
        <f t="shared" si="14"/>
        <v>86.6</v>
      </c>
    </row>
    <row r="873" spans="10:16">
      <c r="J873" s="5"/>
      <c r="L873">
        <f>DigInv!M873</f>
        <v>1.0080383799999999</v>
      </c>
      <c r="M873">
        <f>DigInv!N873</f>
        <v>86.7</v>
      </c>
      <c r="O873">
        <f>ABS(L873-DigInv!$C$34)</f>
        <v>5.4131174112312568</v>
      </c>
      <c r="P873">
        <f t="shared" si="14"/>
        <v>86.7</v>
      </c>
    </row>
    <row r="874" spans="10:16">
      <c r="J874" s="5"/>
      <c r="L874">
        <f>DigInv!M874</f>
        <v>1.0154585199999999</v>
      </c>
      <c r="M874">
        <f>DigInv!N874</f>
        <v>86.8</v>
      </c>
      <c r="O874">
        <f>ABS(L874-DigInv!$C$34)</f>
        <v>5.4205375512312566</v>
      </c>
      <c r="P874">
        <f t="shared" si="14"/>
        <v>86.8</v>
      </c>
    </row>
    <row r="875" spans="10:16">
      <c r="J875" s="5"/>
      <c r="L875">
        <f>DigInv!M875</f>
        <v>1.022502118</v>
      </c>
      <c r="M875">
        <f>DigInv!N875</f>
        <v>86.9</v>
      </c>
      <c r="O875">
        <f>ABS(L875-DigInv!$C$34)</f>
        <v>5.4275811492312567</v>
      </c>
      <c r="P875">
        <f t="shared" si="14"/>
        <v>86.9</v>
      </c>
    </row>
    <row r="876" spans="10:16">
      <c r="J876" s="5"/>
      <c r="L876">
        <f>DigInv!M876</f>
        <v>1.0229661400000001</v>
      </c>
      <c r="M876">
        <f>DigInv!N876</f>
        <v>87</v>
      </c>
      <c r="O876">
        <f>ABS(L876-DigInv!$C$34)</f>
        <v>5.4280451712312567</v>
      </c>
      <c r="P876">
        <f t="shared" si="14"/>
        <v>87</v>
      </c>
    </row>
    <row r="877" spans="10:16">
      <c r="J877" s="5"/>
      <c r="L877">
        <f>DigInv!M877</f>
        <v>1.0234301619999999</v>
      </c>
      <c r="M877">
        <f>DigInv!N877</f>
        <v>87.1</v>
      </c>
      <c r="O877">
        <f>ABS(L877-DigInv!$C$34)</f>
        <v>5.4285091932312568</v>
      </c>
      <c r="P877">
        <f t="shared" si="14"/>
        <v>87.1</v>
      </c>
    </row>
    <row r="878" spans="10:16">
      <c r="J878" s="5"/>
      <c r="L878">
        <f>DigInv!M878</f>
        <v>1.0237989999999999</v>
      </c>
      <c r="M878">
        <f>DigInv!N878</f>
        <v>87.2</v>
      </c>
      <c r="O878">
        <f>ABS(L878-DigInv!$C$34)</f>
        <v>5.4288780312312568</v>
      </c>
      <c r="P878">
        <f t="shared" si="14"/>
        <v>87.2</v>
      </c>
    </row>
    <row r="879" spans="10:16">
      <c r="J879" s="5"/>
      <c r="L879">
        <f>DigInv!M879</f>
        <v>1.0237989999999999</v>
      </c>
      <c r="M879">
        <f>DigInv!N879</f>
        <v>87.3</v>
      </c>
      <c r="O879">
        <f>ABS(L879-DigInv!$C$34)</f>
        <v>5.4288780312312568</v>
      </c>
      <c r="P879">
        <f t="shared" si="14"/>
        <v>87.3</v>
      </c>
    </row>
    <row r="880" spans="10:16">
      <c r="J880" s="5"/>
      <c r="L880">
        <f>DigInv!M880</f>
        <v>1.0237989999999999</v>
      </c>
      <c r="M880">
        <f>DigInv!N880</f>
        <v>87.4</v>
      </c>
      <c r="O880">
        <f>ABS(L880-DigInv!$C$34)</f>
        <v>5.4288780312312568</v>
      </c>
      <c r="P880">
        <f t="shared" si="14"/>
        <v>87.4</v>
      </c>
    </row>
    <row r="881" spans="10:16">
      <c r="J881" s="5"/>
      <c r="L881">
        <f>DigInv!M881</f>
        <v>1.025595625</v>
      </c>
      <c r="M881">
        <f>DigInv!N881</f>
        <v>87.5</v>
      </c>
      <c r="O881">
        <f>ABS(L881-DigInv!$C$34)</f>
        <v>5.4306746562312567</v>
      </c>
      <c r="P881">
        <f t="shared" si="14"/>
        <v>87.5</v>
      </c>
    </row>
    <row r="882" spans="10:16">
      <c r="J882" s="5"/>
      <c r="L882">
        <f>DigInv!M882</f>
        <v>1.030640548</v>
      </c>
      <c r="M882">
        <f>DigInv!N882</f>
        <v>87.6</v>
      </c>
      <c r="O882">
        <f>ABS(L882-DigInv!$C$34)</f>
        <v>5.4357195792312565</v>
      </c>
      <c r="P882">
        <f t="shared" si="14"/>
        <v>87.6</v>
      </c>
    </row>
    <row r="883" spans="10:16">
      <c r="J883" s="5"/>
      <c r="L883">
        <f>DigInv!M883</f>
        <v>1.0356854710000001</v>
      </c>
      <c r="M883">
        <f>DigInv!N883</f>
        <v>87.7</v>
      </c>
      <c r="O883">
        <f>ABS(L883-DigInv!$C$34)</f>
        <v>5.4407645022312563</v>
      </c>
      <c r="P883">
        <f t="shared" si="14"/>
        <v>87.7</v>
      </c>
    </row>
    <row r="884" spans="10:16">
      <c r="J884" s="5"/>
      <c r="L884">
        <f>DigInv!M884</f>
        <v>1.0428567820000001</v>
      </c>
      <c r="M884">
        <f>DigInv!N884</f>
        <v>87.8</v>
      </c>
      <c r="O884">
        <f>ABS(L884-DigInv!$C$34)</f>
        <v>5.4479358132312568</v>
      </c>
      <c r="P884">
        <f t="shared" si="14"/>
        <v>87.8</v>
      </c>
    </row>
    <row r="885" spans="10:16">
      <c r="J885" s="5"/>
      <c r="L885">
        <f>DigInv!M885</f>
        <v>1.0520947510000001</v>
      </c>
      <c r="M885">
        <f>DigInv!N885</f>
        <v>87.9</v>
      </c>
      <c r="O885">
        <f>ABS(L885-DigInv!$C$34)</f>
        <v>5.4571737822312567</v>
      </c>
      <c r="P885">
        <f t="shared" si="14"/>
        <v>87.9</v>
      </c>
    </row>
    <row r="886" spans="10:16">
      <c r="J886" s="5"/>
      <c r="L886">
        <f>DigInv!M886</f>
        <v>1.06133272</v>
      </c>
      <c r="M886">
        <f>DigInv!N886</f>
        <v>88</v>
      </c>
      <c r="O886">
        <f>ABS(L886-DigInv!$C$34)</f>
        <v>5.4664117512312567</v>
      </c>
      <c r="P886">
        <f t="shared" si="14"/>
        <v>88</v>
      </c>
    </row>
    <row r="887" spans="10:16">
      <c r="J887" s="5"/>
      <c r="L887">
        <f>DigInv!M887</f>
        <v>1.071447796</v>
      </c>
      <c r="M887">
        <f>DigInv!N887</f>
        <v>88.1</v>
      </c>
      <c r="O887">
        <f>ABS(L887-DigInv!$C$34)</f>
        <v>5.4765268272312566</v>
      </c>
      <c r="P887">
        <f t="shared" si="14"/>
        <v>88.1</v>
      </c>
    </row>
    <row r="888" spans="10:16">
      <c r="J888" s="5"/>
      <c r="L888">
        <f>DigInv!M888</f>
        <v>1.0820185120000001</v>
      </c>
      <c r="M888">
        <f>DigInv!N888</f>
        <v>88.2</v>
      </c>
      <c r="O888">
        <f>ABS(L888-DigInv!$C$34)</f>
        <v>5.4870975432312568</v>
      </c>
      <c r="P888">
        <f t="shared" si="14"/>
        <v>88.2</v>
      </c>
    </row>
    <row r="889" spans="10:16">
      <c r="J889" s="5"/>
      <c r="L889">
        <f>DigInv!M889</f>
        <v>1.092589228</v>
      </c>
      <c r="M889">
        <f>DigInv!N889</f>
        <v>88.3</v>
      </c>
      <c r="O889">
        <f>ABS(L889-DigInv!$C$34)</f>
        <v>5.497668259231256</v>
      </c>
      <c r="P889">
        <f t="shared" si="14"/>
        <v>88.3</v>
      </c>
    </row>
    <row r="890" spans="10:16">
      <c r="J890" s="5"/>
      <c r="L890">
        <f>DigInv!M890</f>
        <v>1.1089819439999999</v>
      </c>
      <c r="M890">
        <f>DigInv!N890</f>
        <v>88.4</v>
      </c>
      <c r="O890">
        <f>ABS(L890-DigInv!$C$34)</f>
        <v>5.5140609752312564</v>
      </c>
      <c r="P890">
        <f t="shared" si="14"/>
        <v>88.4</v>
      </c>
    </row>
    <row r="891" spans="10:16">
      <c r="J891" s="5"/>
      <c r="L891">
        <f>DigInv!M891</f>
        <v>1.12674816</v>
      </c>
      <c r="M891">
        <f>DigInv!N891</f>
        <v>88.5</v>
      </c>
      <c r="O891">
        <f>ABS(L891-DigInv!$C$34)</f>
        <v>5.5318271912312564</v>
      </c>
      <c r="P891">
        <f t="shared" si="14"/>
        <v>88.5</v>
      </c>
    </row>
    <row r="892" spans="10:16">
      <c r="J892" s="5"/>
      <c r="L892">
        <f>DigInv!M892</f>
        <v>1.1445143760000001</v>
      </c>
      <c r="M892">
        <f>DigInv!N892</f>
        <v>88.6</v>
      </c>
      <c r="O892">
        <f>ABS(L892-DigInv!$C$34)</f>
        <v>5.5495934072312565</v>
      </c>
      <c r="P892">
        <f t="shared" si="14"/>
        <v>88.6</v>
      </c>
    </row>
    <row r="893" spans="10:16">
      <c r="J893" s="5"/>
      <c r="L893">
        <f>DigInv!M893</f>
        <v>1.154465225</v>
      </c>
      <c r="M893">
        <f>DigInv!N893</f>
        <v>88.7</v>
      </c>
      <c r="O893">
        <f>ABS(L893-DigInv!$C$34)</f>
        <v>5.5595442562312565</v>
      </c>
      <c r="P893">
        <f t="shared" si="14"/>
        <v>88.7</v>
      </c>
    </row>
    <row r="894" spans="10:16">
      <c r="J894" s="5"/>
      <c r="L894">
        <f>DigInv!M894</f>
        <v>1.1640914</v>
      </c>
      <c r="M894">
        <f>DigInv!N894</f>
        <v>88.8</v>
      </c>
      <c r="O894">
        <f>ABS(L894-DigInv!$C$34)</f>
        <v>5.5691704312312567</v>
      </c>
      <c r="P894">
        <f t="shared" si="14"/>
        <v>88.8</v>
      </c>
    </row>
    <row r="895" spans="10:16">
      <c r="J895" s="5"/>
      <c r="L895">
        <f>DigInv!M895</f>
        <v>1.1746841509999999</v>
      </c>
      <c r="M895">
        <f>DigInv!N895</f>
        <v>88.9</v>
      </c>
      <c r="O895">
        <f>ABS(L895-DigInv!$C$34)</f>
        <v>5.5797631822312566</v>
      </c>
      <c r="P895">
        <f t="shared" si="14"/>
        <v>88.9</v>
      </c>
    </row>
    <row r="896" spans="10:16">
      <c r="J896" s="5"/>
      <c r="L896">
        <f>DigInv!M896</f>
        <v>1.19300951</v>
      </c>
      <c r="M896">
        <f>DigInv!N896</f>
        <v>89</v>
      </c>
      <c r="O896">
        <f>ABS(L896-DigInv!$C$34)</f>
        <v>5.598088541231256</v>
      </c>
      <c r="P896">
        <f t="shared" si="14"/>
        <v>89</v>
      </c>
    </row>
    <row r="897" spans="10:16">
      <c r="J897" s="5"/>
      <c r="L897">
        <f>DigInv!M897</f>
        <v>1.2113348690000001</v>
      </c>
      <c r="M897">
        <f>DigInv!N897</f>
        <v>89.1</v>
      </c>
      <c r="O897">
        <f>ABS(L897-DigInv!$C$34)</f>
        <v>5.6164139002312563</v>
      </c>
      <c r="P897">
        <f t="shared" si="14"/>
        <v>89.1</v>
      </c>
    </row>
    <row r="898" spans="10:16">
      <c r="J898" s="5"/>
      <c r="L898">
        <f>DigInv!M898</f>
        <v>1.2250156080000001</v>
      </c>
      <c r="M898">
        <f>DigInv!N898</f>
        <v>89.2</v>
      </c>
      <c r="O898">
        <f>ABS(L898-DigInv!$C$34)</f>
        <v>5.6300946392312561</v>
      </c>
      <c r="P898">
        <f t="shared" si="14"/>
        <v>89.2</v>
      </c>
    </row>
    <row r="899" spans="10:16">
      <c r="J899" s="5"/>
      <c r="L899">
        <f>DigInv!M899</f>
        <v>1.2256207320000001</v>
      </c>
      <c r="M899">
        <f>DigInv!N899</f>
        <v>89.3</v>
      </c>
      <c r="O899">
        <f>ABS(L899-DigInv!$C$34)</f>
        <v>5.6306997632312568</v>
      </c>
      <c r="P899">
        <f t="shared" si="14"/>
        <v>89.3</v>
      </c>
    </row>
    <row r="900" spans="10:16">
      <c r="J900" s="5"/>
      <c r="L900">
        <f>DigInv!M900</f>
        <v>1.2262258559999999</v>
      </c>
      <c r="M900">
        <f>DigInv!N900</f>
        <v>89.4</v>
      </c>
      <c r="O900">
        <f>ABS(L900-DigInv!$C$34)</f>
        <v>5.6313048872312566</v>
      </c>
      <c r="P900">
        <f t="shared" si="14"/>
        <v>89.4</v>
      </c>
    </row>
    <row r="901" spans="10:16">
      <c r="J901" s="5"/>
      <c r="L901">
        <f>DigInv!M901</f>
        <v>1.2266858350000001</v>
      </c>
      <c r="M901">
        <f>DigInv!N901</f>
        <v>89.5</v>
      </c>
      <c r="O901">
        <f>ABS(L901-DigInv!$C$34)</f>
        <v>5.6317648662312561</v>
      </c>
      <c r="P901">
        <f t="shared" si="14"/>
        <v>89.5</v>
      </c>
    </row>
    <row r="902" spans="10:16">
      <c r="J902" s="5"/>
      <c r="L902">
        <f>DigInv!M902</f>
        <v>1.2269396079999999</v>
      </c>
      <c r="M902">
        <f>DigInv!N902</f>
        <v>89.6</v>
      </c>
      <c r="O902">
        <f>ABS(L902-DigInv!$C$34)</f>
        <v>5.6320186392312568</v>
      </c>
      <c r="P902">
        <f t="shared" si="14"/>
        <v>89.6</v>
      </c>
    </row>
    <row r="903" spans="10:16">
      <c r="J903" s="5"/>
      <c r="L903">
        <f>DigInv!M903</f>
        <v>1.227193381</v>
      </c>
      <c r="M903">
        <f>DigInv!N903</f>
        <v>89.7</v>
      </c>
      <c r="O903">
        <f>ABS(L903-DigInv!$C$34)</f>
        <v>5.6322724122312566</v>
      </c>
      <c r="P903">
        <f t="shared" ref="P903:P966" si="15">M903</f>
        <v>89.7</v>
      </c>
    </row>
    <row r="904" spans="10:16">
      <c r="J904" s="5"/>
      <c r="L904">
        <f>DigInv!M904</f>
        <v>1.232521894</v>
      </c>
      <c r="M904">
        <f>DigInv!N904</f>
        <v>89.8</v>
      </c>
      <c r="O904">
        <f>ABS(L904-DigInv!$C$34)</f>
        <v>5.637600925231256</v>
      </c>
      <c r="P904">
        <f t="shared" si="15"/>
        <v>89.8</v>
      </c>
    </row>
    <row r="905" spans="10:16">
      <c r="J905" s="5"/>
      <c r="L905">
        <f>DigInv!M905</f>
        <v>1.241771797</v>
      </c>
      <c r="M905">
        <f>DigInv!N905</f>
        <v>89.9</v>
      </c>
      <c r="O905">
        <f>ABS(L905-DigInv!$C$34)</f>
        <v>5.6468508282312566</v>
      </c>
      <c r="P905">
        <f t="shared" si="15"/>
        <v>89.9</v>
      </c>
    </row>
    <row r="906" spans="10:16">
      <c r="J906" s="5"/>
      <c r="L906">
        <f>DigInv!M906</f>
        <v>1.2510216999999999</v>
      </c>
      <c r="M906">
        <f>DigInv!N906</f>
        <v>90</v>
      </c>
      <c r="O906">
        <f>ABS(L906-DigInv!$C$34)</f>
        <v>5.6561007312312563</v>
      </c>
      <c r="P906">
        <f t="shared" si="15"/>
        <v>90</v>
      </c>
    </row>
    <row r="907" spans="10:16">
      <c r="J907" s="5"/>
      <c r="L907">
        <f>DigInv!M907</f>
        <v>1.254272201</v>
      </c>
      <c r="M907">
        <f>DigInv!N907</f>
        <v>90.1</v>
      </c>
      <c r="O907">
        <f>ABS(L907-DigInv!$C$34)</f>
        <v>5.6593512322312565</v>
      </c>
      <c r="P907">
        <f t="shared" si="15"/>
        <v>90.1</v>
      </c>
    </row>
    <row r="908" spans="10:16">
      <c r="J908" s="5"/>
      <c r="L908">
        <f>DigInv!M908</f>
        <v>1.2551325019999999</v>
      </c>
      <c r="M908">
        <f>DigInv!N908</f>
        <v>90.2</v>
      </c>
      <c r="O908">
        <f>ABS(L908-DigInv!$C$34)</f>
        <v>5.6602115332312568</v>
      </c>
      <c r="P908">
        <f t="shared" si="15"/>
        <v>90.2</v>
      </c>
    </row>
    <row r="909" spans="10:16">
      <c r="J909" s="5"/>
      <c r="L909">
        <f>DigInv!M909</f>
        <v>1.255992803</v>
      </c>
      <c r="M909">
        <f>DigInv!N909</f>
        <v>90.3</v>
      </c>
      <c r="O909">
        <f>ABS(L909-DigInv!$C$34)</f>
        <v>5.6610718342312563</v>
      </c>
      <c r="P909">
        <f t="shared" si="15"/>
        <v>90.3</v>
      </c>
    </row>
    <row r="910" spans="10:16">
      <c r="J910" s="5"/>
      <c r="L910">
        <f>DigInv!M910</f>
        <v>1.2644081119999999</v>
      </c>
      <c r="M910">
        <f>DigInv!N910</f>
        <v>90.4</v>
      </c>
      <c r="O910">
        <f>ABS(L910-DigInv!$C$34)</f>
        <v>5.6694871432312564</v>
      </c>
      <c r="P910">
        <f t="shared" si="15"/>
        <v>90.4</v>
      </c>
    </row>
    <row r="911" spans="10:16">
      <c r="J911" s="5"/>
      <c r="L911">
        <f>DigInv!M911</f>
        <v>1.2739914649999999</v>
      </c>
      <c r="M911">
        <f>DigInv!N911</f>
        <v>90.5</v>
      </c>
      <c r="O911">
        <f>ABS(L911-DigInv!$C$34)</f>
        <v>5.6790704962312564</v>
      </c>
      <c r="P911">
        <f t="shared" si="15"/>
        <v>90.5</v>
      </c>
    </row>
    <row r="912" spans="10:16">
      <c r="J912" s="5"/>
      <c r="L912">
        <f>DigInv!M912</f>
        <v>1.283585288</v>
      </c>
      <c r="M912">
        <f>DigInv!N912</f>
        <v>90.6</v>
      </c>
      <c r="O912">
        <f>ABS(L912-DigInv!$C$34)</f>
        <v>5.6886643192312567</v>
      </c>
      <c r="P912">
        <f t="shared" si="15"/>
        <v>90.6</v>
      </c>
    </row>
    <row r="913" spans="10:16">
      <c r="J913" s="5"/>
      <c r="L913">
        <f>DigInv!M913</f>
        <v>1.293781136</v>
      </c>
      <c r="M913">
        <f>DigInv!N913</f>
        <v>90.7</v>
      </c>
      <c r="O913">
        <f>ABS(L913-DigInv!$C$34)</f>
        <v>5.6988601672312562</v>
      </c>
      <c r="P913">
        <f t="shared" si="15"/>
        <v>90.7</v>
      </c>
    </row>
    <row r="914" spans="10:16">
      <c r="J914" s="5"/>
      <c r="L914">
        <f>DigInv!M914</f>
        <v>1.303976984</v>
      </c>
      <c r="M914">
        <f>DigInv!N914</f>
        <v>90.8</v>
      </c>
      <c r="O914">
        <f>ABS(L914-DigInv!$C$34)</f>
        <v>5.7090560152312566</v>
      </c>
      <c r="P914">
        <f t="shared" si="15"/>
        <v>90.8</v>
      </c>
    </row>
    <row r="915" spans="10:16">
      <c r="J915" s="5"/>
      <c r="L915">
        <f>DigInv!M915</f>
        <v>1.314080143</v>
      </c>
      <c r="M915">
        <f>DigInv!N915</f>
        <v>90.9</v>
      </c>
      <c r="O915">
        <f>ABS(L915-DigInv!$C$34)</f>
        <v>5.7191591742312564</v>
      </c>
      <c r="P915">
        <f t="shared" si="15"/>
        <v>90.9</v>
      </c>
    </row>
    <row r="916" spans="10:16">
      <c r="J916" s="5"/>
      <c r="L916">
        <f>DigInv!M916</f>
        <v>1.32372457</v>
      </c>
      <c r="M916">
        <f>DigInv!N916</f>
        <v>91</v>
      </c>
      <c r="O916">
        <f>ABS(L916-DigInv!$C$34)</f>
        <v>5.728803601231256</v>
      </c>
      <c r="P916">
        <f t="shared" si="15"/>
        <v>91</v>
      </c>
    </row>
    <row r="917" spans="10:16">
      <c r="J917" s="5"/>
      <c r="L917">
        <f>DigInv!M917</f>
        <v>1.333368997</v>
      </c>
      <c r="M917">
        <f>DigInv!N917</f>
        <v>91.1</v>
      </c>
      <c r="O917">
        <f>ABS(L917-DigInv!$C$34)</f>
        <v>5.7384480282312564</v>
      </c>
      <c r="P917">
        <f t="shared" si="15"/>
        <v>91.1</v>
      </c>
    </row>
    <row r="918" spans="10:16">
      <c r="J918" s="5"/>
      <c r="L918">
        <f>DigInv!M918</f>
        <v>1.3400284</v>
      </c>
      <c r="M918">
        <f>DigInv!N918</f>
        <v>91.2</v>
      </c>
      <c r="O918">
        <f>ABS(L918-DigInv!$C$34)</f>
        <v>5.745107431231256</v>
      </c>
      <c r="P918">
        <f t="shared" si="15"/>
        <v>91.2</v>
      </c>
    </row>
    <row r="919" spans="10:16">
      <c r="J919" s="5"/>
      <c r="L919">
        <f>DigInv!M919</f>
        <v>1.3403179750000001</v>
      </c>
      <c r="M919">
        <f>DigInv!N919</f>
        <v>91.3</v>
      </c>
      <c r="O919">
        <f>ABS(L919-DigInv!$C$34)</f>
        <v>5.745397006231256</v>
      </c>
      <c r="P919">
        <f t="shared" si="15"/>
        <v>91.3</v>
      </c>
    </row>
    <row r="920" spans="10:16">
      <c r="J920" s="5"/>
      <c r="L920">
        <f>DigInv!M920</f>
        <v>1.3406075500000001</v>
      </c>
      <c r="M920">
        <f>DigInv!N920</f>
        <v>91.4</v>
      </c>
      <c r="O920">
        <f>ABS(L920-DigInv!$C$34)</f>
        <v>5.7456865812312561</v>
      </c>
      <c r="P920">
        <f t="shared" si="15"/>
        <v>91.4</v>
      </c>
    </row>
    <row r="921" spans="10:16">
      <c r="J921" s="5"/>
      <c r="L921">
        <f>DigInv!M921</f>
        <v>1.34543809</v>
      </c>
      <c r="M921">
        <f>DigInv!N921</f>
        <v>91.5</v>
      </c>
      <c r="O921">
        <f>ABS(L921-DigInv!$C$34)</f>
        <v>5.7505171212312565</v>
      </c>
      <c r="P921">
        <f t="shared" si="15"/>
        <v>91.5</v>
      </c>
    </row>
    <row r="922" spans="10:16">
      <c r="J922" s="5"/>
      <c r="L922">
        <f>DigInv!M922</f>
        <v>1.3553875360000001</v>
      </c>
      <c r="M922">
        <f>DigInv!N922</f>
        <v>91.6</v>
      </c>
      <c r="O922">
        <f>ABS(L922-DigInv!$C$34)</f>
        <v>5.7604665672312567</v>
      </c>
      <c r="P922">
        <f t="shared" si="15"/>
        <v>91.6</v>
      </c>
    </row>
    <row r="923" spans="10:16">
      <c r="J923" s="5"/>
      <c r="L923">
        <f>DigInv!M923</f>
        <v>1.3653369820000001</v>
      </c>
      <c r="M923">
        <f>DigInv!N923</f>
        <v>91.7</v>
      </c>
      <c r="O923">
        <f>ABS(L923-DigInv!$C$34)</f>
        <v>5.770416013231257</v>
      </c>
      <c r="P923">
        <f t="shared" si="15"/>
        <v>91.7</v>
      </c>
    </row>
    <row r="924" spans="10:16">
      <c r="J924" s="5"/>
      <c r="L924">
        <f>DigInv!M924</f>
        <v>1.3691070000000001</v>
      </c>
      <c r="M924">
        <f>DigInv!N924</f>
        <v>91.8</v>
      </c>
      <c r="O924">
        <f>ABS(L924-DigInv!$C$34)</f>
        <v>5.7741860312312561</v>
      </c>
      <c r="P924">
        <f t="shared" si="15"/>
        <v>91.8</v>
      </c>
    </row>
    <row r="925" spans="10:16">
      <c r="J925" s="5"/>
      <c r="L925">
        <f>DigInv!M925</f>
        <v>1.3691070000000001</v>
      </c>
      <c r="M925">
        <f>DigInv!N925</f>
        <v>91.9</v>
      </c>
      <c r="O925">
        <f>ABS(L925-DigInv!$C$34)</f>
        <v>5.7741860312312561</v>
      </c>
      <c r="P925">
        <f t="shared" si="15"/>
        <v>91.9</v>
      </c>
    </row>
    <row r="926" spans="10:16">
      <c r="J926" s="5"/>
      <c r="L926">
        <f>DigInv!M926</f>
        <v>1.3691070000000001</v>
      </c>
      <c r="M926">
        <f>DigInv!N926</f>
        <v>92</v>
      </c>
      <c r="O926">
        <f>ABS(L926-DigInv!$C$34)</f>
        <v>5.7741860312312561</v>
      </c>
      <c r="P926">
        <f t="shared" si="15"/>
        <v>92</v>
      </c>
    </row>
    <row r="927" spans="10:16">
      <c r="J927" s="5"/>
      <c r="L927">
        <f>DigInv!M927</f>
        <v>1.3691070000000001</v>
      </c>
      <c r="M927">
        <f>DigInv!N927</f>
        <v>92.1</v>
      </c>
      <c r="O927">
        <f>ABS(L927-DigInv!$C$34)</f>
        <v>5.7741860312312561</v>
      </c>
      <c r="P927">
        <f t="shared" si="15"/>
        <v>92.1</v>
      </c>
    </row>
    <row r="928" spans="10:16">
      <c r="J928" s="5"/>
      <c r="L928">
        <f>DigInv!M928</f>
        <v>1.3691070000000001</v>
      </c>
      <c r="M928">
        <f>DigInv!N928</f>
        <v>92.2</v>
      </c>
      <c r="O928">
        <f>ABS(L928-DigInv!$C$34)</f>
        <v>5.7741860312312561</v>
      </c>
      <c r="P928">
        <f t="shared" si="15"/>
        <v>92.2</v>
      </c>
    </row>
    <row r="929" spans="10:16">
      <c r="J929" s="5"/>
      <c r="L929">
        <f>DigInv!M929</f>
        <v>1.3691070000000001</v>
      </c>
      <c r="M929">
        <f>DigInv!N929</f>
        <v>92.3</v>
      </c>
      <c r="O929">
        <f>ABS(L929-DigInv!$C$34)</f>
        <v>5.7741860312312561</v>
      </c>
      <c r="P929">
        <f t="shared" si="15"/>
        <v>92.3</v>
      </c>
    </row>
    <row r="930" spans="10:16">
      <c r="J930" s="5"/>
      <c r="L930">
        <f>DigInv!M930</f>
        <v>1.38953196</v>
      </c>
      <c r="M930">
        <f>DigInv!N930</f>
        <v>92.4</v>
      </c>
      <c r="O930">
        <f>ABS(L930-DigInv!$C$34)</f>
        <v>5.7946109912312567</v>
      </c>
      <c r="P930">
        <f t="shared" si="15"/>
        <v>92.4</v>
      </c>
    </row>
    <row r="931" spans="10:16">
      <c r="J931" s="5"/>
      <c r="L931">
        <f>DigInv!M931</f>
        <v>1.411659</v>
      </c>
      <c r="M931">
        <f>DigInv!N931</f>
        <v>92.5</v>
      </c>
      <c r="O931">
        <f>ABS(L931-DigInv!$C$34)</f>
        <v>5.8167380312312567</v>
      </c>
      <c r="P931">
        <f t="shared" si="15"/>
        <v>92.5</v>
      </c>
    </row>
    <row r="932" spans="10:16">
      <c r="J932" s="5"/>
      <c r="L932">
        <f>DigInv!M932</f>
        <v>1.432718454</v>
      </c>
      <c r="M932">
        <f>DigInv!N932</f>
        <v>92.6</v>
      </c>
      <c r="O932">
        <f>ABS(L932-DigInv!$C$34)</f>
        <v>5.8377974852312562</v>
      </c>
      <c r="P932">
        <f t="shared" si="15"/>
        <v>92.6</v>
      </c>
    </row>
    <row r="933" spans="10:16">
      <c r="J933" s="5"/>
      <c r="L933">
        <f>DigInv!M933</f>
        <v>1.4404330830000001</v>
      </c>
      <c r="M933">
        <f>DigInv!N933</f>
        <v>92.7</v>
      </c>
      <c r="O933">
        <f>ABS(L933-DigInv!$C$34)</f>
        <v>5.8455121142312567</v>
      </c>
      <c r="P933">
        <f t="shared" si="15"/>
        <v>92.7</v>
      </c>
    </row>
    <row r="934" spans="10:16">
      <c r="J934" s="5"/>
      <c r="L934">
        <f>DigInv!M934</f>
        <v>1.4481477119999999</v>
      </c>
      <c r="M934">
        <f>DigInv!N934</f>
        <v>92.8</v>
      </c>
      <c r="O934">
        <f>ABS(L934-DigInv!$C$34)</f>
        <v>5.8532267432312564</v>
      </c>
      <c r="P934">
        <f t="shared" si="15"/>
        <v>92.8</v>
      </c>
    </row>
    <row r="935" spans="10:16">
      <c r="J935" s="5"/>
      <c r="L935">
        <f>DigInv!M935</f>
        <v>1.4583865490000001</v>
      </c>
      <c r="M935">
        <f>DigInv!N935</f>
        <v>92.9</v>
      </c>
      <c r="O935">
        <f>ABS(L935-DigInv!$C$34)</f>
        <v>5.8634655802312565</v>
      </c>
      <c r="P935">
        <f t="shared" si="15"/>
        <v>92.9</v>
      </c>
    </row>
    <row r="936" spans="10:16">
      <c r="J936" s="5"/>
      <c r="L936">
        <f>DigInv!M936</f>
        <v>1.4773163300000001</v>
      </c>
      <c r="M936">
        <f>DigInv!N936</f>
        <v>93</v>
      </c>
      <c r="O936">
        <f>ABS(L936-DigInv!$C$34)</f>
        <v>5.8823953612312563</v>
      </c>
      <c r="P936">
        <f t="shared" si="15"/>
        <v>93</v>
      </c>
    </row>
    <row r="937" spans="10:16">
      <c r="J937" s="5"/>
      <c r="L937">
        <f>DigInv!M937</f>
        <v>1.496246111</v>
      </c>
      <c r="M937">
        <f>DigInv!N937</f>
        <v>93.1</v>
      </c>
      <c r="O937">
        <f>ABS(L937-DigInv!$C$34)</f>
        <v>5.901325142231256</v>
      </c>
      <c r="P937">
        <f t="shared" si="15"/>
        <v>93.1</v>
      </c>
    </row>
    <row r="938" spans="10:16">
      <c r="J938" s="5"/>
      <c r="L938">
        <f>DigInv!M938</f>
        <v>1.508273084</v>
      </c>
      <c r="M938">
        <f>DigInv!N938</f>
        <v>93.2</v>
      </c>
      <c r="O938">
        <f>ABS(L938-DigInv!$C$34)</f>
        <v>5.9133521152312563</v>
      </c>
      <c r="P938">
        <f t="shared" si="15"/>
        <v>93.2</v>
      </c>
    </row>
    <row r="939" spans="10:16">
      <c r="J939" s="5"/>
      <c r="L939">
        <f>DigInv!M939</f>
        <v>1.5088476710000001</v>
      </c>
      <c r="M939">
        <f>DigInv!N939</f>
        <v>93.3</v>
      </c>
      <c r="O939">
        <f>ABS(L939-DigInv!$C$34)</f>
        <v>5.9139267022312563</v>
      </c>
      <c r="P939">
        <f t="shared" si="15"/>
        <v>93.3</v>
      </c>
    </row>
    <row r="940" spans="10:16">
      <c r="J940" s="5"/>
      <c r="L940">
        <f>DigInv!M940</f>
        <v>1.5094222580000001</v>
      </c>
      <c r="M940">
        <f>DigInv!N940</f>
        <v>93.4</v>
      </c>
      <c r="O940">
        <f>ABS(L940-DigInv!$C$34)</f>
        <v>5.9145012892312563</v>
      </c>
      <c r="P940">
        <f t="shared" si="15"/>
        <v>93.4</v>
      </c>
    </row>
    <row r="941" spans="10:16">
      <c r="J941" s="5"/>
      <c r="L941">
        <f>DigInv!M941</f>
        <v>1.5098457000000001</v>
      </c>
      <c r="M941">
        <f>DigInv!N941</f>
        <v>93.5</v>
      </c>
      <c r="O941">
        <f>ABS(L941-DigInv!$C$34)</f>
        <v>5.9149247312312561</v>
      </c>
      <c r="P941">
        <f t="shared" si="15"/>
        <v>93.5</v>
      </c>
    </row>
    <row r="942" spans="10:16">
      <c r="J942" s="5"/>
      <c r="L942">
        <f>DigInv!M942</f>
        <v>1.5101335199999999</v>
      </c>
      <c r="M942">
        <f>DigInv!N942</f>
        <v>93.6</v>
      </c>
      <c r="O942">
        <f>ABS(L942-DigInv!$C$34)</f>
        <v>5.9152125512312566</v>
      </c>
      <c r="P942">
        <f t="shared" si="15"/>
        <v>93.6</v>
      </c>
    </row>
    <row r="943" spans="10:16">
      <c r="J943" s="5"/>
      <c r="L943">
        <f>DigInv!M943</f>
        <v>1.5104213399999999</v>
      </c>
      <c r="M943">
        <f>DigInv!N943</f>
        <v>93.7</v>
      </c>
      <c r="O943">
        <f>ABS(L943-DigInv!$C$34)</f>
        <v>5.9155003712312562</v>
      </c>
      <c r="P943">
        <f t="shared" si="15"/>
        <v>93.7</v>
      </c>
    </row>
    <row r="944" spans="10:16">
      <c r="J944" s="5"/>
      <c r="L944">
        <f>DigInv!M944</f>
        <v>1.5105139999999999</v>
      </c>
      <c r="M944">
        <f>DigInv!N944</f>
        <v>93.8</v>
      </c>
      <c r="O944">
        <f>ABS(L944-DigInv!$C$34)</f>
        <v>5.9155930312312561</v>
      </c>
      <c r="P944">
        <f t="shared" si="15"/>
        <v>93.8</v>
      </c>
    </row>
    <row r="945" spans="10:16">
      <c r="J945" s="5"/>
      <c r="L945">
        <f>DigInv!M945</f>
        <v>1.5105139999999999</v>
      </c>
      <c r="M945">
        <f>DigInv!N945</f>
        <v>93.9</v>
      </c>
      <c r="O945">
        <f>ABS(L945-DigInv!$C$34)</f>
        <v>5.9155930312312561</v>
      </c>
      <c r="P945">
        <f t="shared" si="15"/>
        <v>93.9</v>
      </c>
    </row>
    <row r="946" spans="10:16">
      <c r="J946" s="5"/>
      <c r="L946">
        <f>DigInv!M946</f>
        <v>1.5105139999999999</v>
      </c>
      <c r="M946">
        <f>DigInv!N946</f>
        <v>94</v>
      </c>
      <c r="O946">
        <f>ABS(L946-DigInv!$C$34)</f>
        <v>5.9155930312312561</v>
      </c>
      <c r="P946">
        <f t="shared" si="15"/>
        <v>94</v>
      </c>
    </row>
    <row r="947" spans="10:16">
      <c r="J947" s="5"/>
      <c r="L947">
        <f>DigInv!M947</f>
        <v>1.5267881750000001</v>
      </c>
      <c r="M947">
        <f>DigInv!N947</f>
        <v>94.1</v>
      </c>
      <c r="O947">
        <f>ABS(L947-DigInv!$C$34)</f>
        <v>5.9318672062312565</v>
      </c>
      <c r="P947">
        <f t="shared" si="15"/>
        <v>94.1</v>
      </c>
    </row>
    <row r="948" spans="10:16">
      <c r="J948" s="5"/>
      <c r="L948">
        <f>DigInv!M948</f>
        <v>1.5464178500000001</v>
      </c>
      <c r="M948">
        <f>DigInv!N948</f>
        <v>94.2</v>
      </c>
      <c r="O948">
        <f>ABS(L948-DigInv!$C$34)</f>
        <v>5.9514968812312565</v>
      </c>
      <c r="P948">
        <f t="shared" si="15"/>
        <v>94.2</v>
      </c>
    </row>
    <row r="949" spans="10:16">
      <c r="J949" s="5"/>
      <c r="L949">
        <f>DigInv!M949</f>
        <v>1.5660475250000001</v>
      </c>
      <c r="M949">
        <f>DigInv!N949</f>
        <v>94.3</v>
      </c>
      <c r="O949">
        <f>ABS(L949-DigInv!$C$34)</f>
        <v>5.9711265562312565</v>
      </c>
      <c r="P949">
        <f t="shared" si="15"/>
        <v>94.3</v>
      </c>
    </row>
    <row r="950" spans="10:16">
      <c r="J950" s="5"/>
      <c r="L950">
        <f>DigInv!M950</f>
        <v>1.5664389999999999</v>
      </c>
      <c r="M950">
        <f>DigInv!N950</f>
        <v>94.4</v>
      </c>
      <c r="O950">
        <f>ABS(L950-DigInv!$C$34)</f>
        <v>5.9715180312312564</v>
      </c>
      <c r="P950">
        <f t="shared" si="15"/>
        <v>94.4</v>
      </c>
    </row>
    <row r="951" spans="10:16">
      <c r="J951" s="5"/>
      <c r="L951">
        <f>DigInv!M951</f>
        <v>1.5664389999999999</v>
      </c>
      <c r="M951">
        <f>DigInv!N951</f>
        <v>94.5</v>
      </c>
      <c r="O951">
        <f>ABS(L951-DigInv!$C$34)</f>
        <v>5.9715180312312564</v>
      </c>
      <c r="P951">
        <f t="shared" si="15"/>
        <v>94.5</v>
      </c>
    </row>
    <row r="952" spans="10:16">
      <c r="J952" s="5"/>
      <c r="L952">
        <f>DigInv!M952</f>
        <v>1.56887263</v>
      </c>
      <c r="M952">
        <f>DigInv!N952</f>
        <v>94.6</v>
      </c>
      <c r="O952">
        <f>ABS(L952-DigInv!$C$34)</f>
        <v>5.973951661231256</v>
      </c>
      <c r="P952">
        <f t="shared" si="15"/>
        <v>94.6</v>
      </c>
    </row>
    <row r="953" spans="10:16">
      <c r="J953" s="5"/>
      <c r="L953">
        <f>DigInv!M953</f>
        <v>1.5874422850000001</v>
      </c>
      <c r="M953">
        <f>DigInv!N953</f>
        <v>94.7</v>
      </c>
      <c r="O953">
        <f>ABS(L953-DigInv!$C$34)</f>
        <v>5.9925213162312563</v>
      </c>
      <c r="P953">
        <f t="shared" si="15"/>
        <v>94.7</v>
      </c>
    </row>
    <row r="954" spans="10:16">
      <c r="J954" s="5"/>
      <c r="L954">
        <f>DigInv!M954</f>
        <v>1.6060119399999999</v>
      </c>
      <c r="M954">
        <f>DigInv!N954</f>
        <v>94.8</v>
      </c>
      <c r="O954">
        <f>ABS(L954-DigInv!$C$34)</f>
        <v>6.0110909712312566</v>
      </c>
      <c r="P954">
        <f t="shared" si="15"/>
        <v>94.8</v>
      </c>
    </row>
    <row r="955" spans="10:16">
      <c r="J955" s="5"/>
      <c r="L955">
        <f>DigInv!M955</f>
        <v>1.6222928139999999</v>
      </c>
      <c r="M955">
        <f>DigInv!N955</f>
        <v>94.9</v>
      </c>
      <c r="O955">
        <f>ABS(L955-DigInv!$C$34)</f>
        <v>6.0273718452312561</v>
      </c>
      <c r="P955">
        <f t="shared" si="15"/>
        <v>94.9</v>
      </c>
    </row>
    <row r="956" spans="10:16">
      <c r="J956" s="5"/>
      <c r="L956">
        <f>DigInv!M956</f>
        <v>1.6327476999999999</v>
      </c>
      <c r="M956">
        <f>DigInv!N956</f>
        <v>95</v>
      </c>
      <c r="O956">
        <f>ABS(L956-DigInv!$C$34)</f>
        <v>6.0378267312312559</v>
      </c>
      <c r="P956">
        <f t="shared" si="15"/>
        <v>95</v>
      </c>
    </row>
    <row r="957" spans="10:16">
      <c r="J957" s="5"/>
      <c r="L957">
        <f>DigInv!M957</f>
        <v>1.6432025859999999</v>
      </c>
      <c r="M957">
        <f>DigInv!N957</f>
        <v>95.1</v>
      </c>
      <c r="O957">
        <f>ABS(L957-DigInv!$C$34)</f>
        <v>6.0482816172312566</v>
      </c>
      <c r="P957">
        <f t="shared" si="15"/>
        <v>95.1</v>
      </c>
    </row>
    <row r="958" spans="10:16">
      <c r="J958" s="5"/>
      <c r="L958">
        <f>DigInv!M958</f>
        <v>1.66512572</v>
      </c>
      <c r="M958">
        <f>DigInv!N958</f>
        <v>95.2</v>
      </c>
      <c r="O958">
        <f>ABS(L958-DigInv!$C$34)</f>
        <v>6.0702047512312562</v>
      </c>
      <c r="P958">
        <f t="shared" si="15"/>
        <v>95.2</v>
      </c>
    </row>
    <row r="959" spans="10:16">
      <c r="J959" s="5"/>
      <c r="L959">
        <f>DigInv!M959</f>
        <v>1.702063205</v>
      </c>
      <c r="M959">
        <f>DigInv!N959</f>
        <v>95.3</v>
      </c>
      <c r="O959">
        <f>ABS(L959-DigInv!$C$34)</f>
        <v>6.1071422362312564</v>
      </c>
      <c r="P959">
        <f t="shared" si="15"/>
        <v>95.3</v>
      </c>
    </row>
    <row r="960" spans="10:16">
      <c r="J960" s="5"/>
      <c r="L960">
        <f>DigInv!M960</f>
        <v>1.7390006899999999</v>
      </c>
      <c r="M960">
        <f>DigInv!N960</f>
        <v>95.4</v>
      </c>
      <c r="O960">
        <f>ABS(L960-DigInv!$C$34)</f>
        <v>6.1440797212312566</v>
      </c>
      <c r="P960">
        <f t="shared" si="15"/>
        <v>95.4</v>
      </c>
    </row>
    <row r="961" spans="10:16">
      <c r="J961" s="5"/>
      <c r="L961">
        <f>DigInv!M961</f>
        <v>1.75946417</v>
      </c>
      <c r="M961">
        <f>DigInv!N961</f>
        <v>95.5</v>
      </c>
      <c r="O961">
        <f>ABS(L961-DigInv!$C$34)</f>
        <v>6.1645432012312567</v>
      </c>
      <c r="P961">
        <f t="shared" si="15"/>
        <v>95.5</v>
      </c>
    </row>
    <row r="962" spans="10:16">
      <c r="J962" s="5"/>
      <c r="L962">
        <f>DigInv!M962</f>
        <v>1.768194944</v>
      </c>
      <c r="M962">
        <f>DigInv!N962</f>
        <v>95.6</v>
      </c>
      <c r="O962">
        <f>ABS(L962-DigInv!$C$34)</f>
        <v>6.1732739752312566</v>
      </c>
      <c r="P962">
        <f t="shared" si="15"/>
        <v>95.6</v>
      </c>
    </row>
    <row r="963" spans="10:16">
      <c r="J963" s="5"/>
      <c r="L963">
        <f>DigInv!M963</f>
        <v>1.776925718</v>
      </c>
      <c r="M963">
        <f>DigInv!N963</f>
        <v>95.7</v>
      </c>
      <c r="O963">
        <f>ABS(L963-DigInv!$C$34)</f>
        <v>6.1820047492312566</v>
      </c>
      <c r="P963">
        <f t="shared" si="15"/>
        <v>95.7</v>
      </c>
    </row>
    <row r="964" spans="10:16">
      <c r="J964" s="5"/>
      <c r="L964">
        <f>DigInv!M964</f>
        <v>1.7863995319999999</v>
      </c>
      <c r="M964">
        <f>DigInv!N964</f>
        <v>95.8</v>
      </c>
      <c r="O964">
        <f>ABS(L964-DigInv!$C$34)</f>
        <v>6.1914785632312563</v>
      </c>
      <c r="P964">
        <f t="shared" si="15"/>
        <v>95.8</v>
      </c>
    </row>
    <row r="965" spans="10:16">
      <c r="J965" s="5"/>
      <c r="L965">
        <f>DigInv!M965</f>
        <v>1.7961411860000001</v>
      </c>
      <c r="M965">
        <f>DigInv!N965</f>
        <v>95.9</v>
      </c>
      <c r="O965">
        <f>ABS(L965-DigInv!$C$34)</f>
        <v>6.2012202172312563</v>
      </c>
      <c r="P965">
        <f t="shared" si="15"/>
        <v>95.9</v>
      </c>
    </row>
    <row r="966" spans="10:16">
      <c r="J966" s="5"/>
      <c r="L966">
        <f>DigInv!M966</f>
        <v>1.80588284</v>
      </c>
      <c r="M966">
        <f>DigInv!N966</f>
        <v>96</v>
      </c>
      <c r="O966">
        <f>ABS(L966-DigInv!$C$34)</f>
        <v>6.2109618712312562</v>
      </c>
      <c r="P966">
        <f t="shared" si="15"/>
        <v>96</v>
      </c>
    </row>
    <row r="967" spans="10:16">
      <c r="J967" s="5"/>
      <c r="L967">
        <f>DigInv!M967</f>
        <v>1.815093617</v>
      </c>
      <c r="M967">
        <f>DigInv!N967</f>
        <v>96.1</v>
      </c>
      <c r="O967">
        <f>ABS(L967-DigInv!$C$34)</f>
        <v>6.2201726482312569</v>
      </c>
      <c r="P967">
        <f t="shared" ref="P967:P1006" si="16">M967</f>
        <v>96.1</v>
      </c>
    </row>
    <row r="968" spans="10:16">
      <c r="J968" s="5"/>
      <c r="L968">
        <f>DigInv!M968</f>
        <v>1.8242361140000001</v>
      </c>
      <c r="M968">
        <f>DigInv!N968</f>
        <v>96.2</v>
      </c>
      <c r="O968">
        <f>ABS(L968-DigInv!$C$34)</f>
        <v>6.2293151452312561</v>
      </c>
      <c r="P968">
        <f t="shared" si="16"/>
        <v>96.2</v>
      </c>
    </row>
    <row r="969" spans="10:16">
      <c r="J969" s="5"/>
      <c r="L969">
        <f>DigInv!M969</f>
        <v>1.8337212000000001</v>
      </c>
      <c r="M969">
        <f>DigInv!N969</f>
        <v>96.3</v>
      </c>
      <c r="O969">
        <f>ABS(L969-DigInv!$C$34)</f>
        <v>6.2388002312312567</v>
      </c>
      <c r="P969">
        <f t="shared" si="16"/>
        <v>96.3</v>
      </c>
    </row>
    <row r="970" spans="10:16">
      <c r="J970" s="5"/>
      <c r="L970">
        <f>DigInv!M970</f>
        <v>1.8521136</v>
      </c>
      <c r="M970">
        <f>DigInv!N970</f>
        <v>96.4</v>
      </c>
      <c r="O970">
        <f>ABS(L970-DigInv!$C$34)</f>
        <v>6.2571926312312565</v>
      </c>
      <c r="P970">
        <f t="shared" si="16"/>
        <v>96.4</v>
      </c>
    </row>
    <row r="971" spans="10:16">
      <c r="J971" s="5"/>
      <c r="L971">
        <f>DigInv!M971</f>
        <v>1.870506</v>
      </c>
      <c r="M971">
        <f>DigInv!N971</f>
        <v>96.5</v>
      </c>
      <c r="O971">
        <f>ABS(L971-DigInv!$C$34)</f>
        <v>6.2755850312312562</v>
      </c>
      <c r="P971">
        <f t="shared" si="16"/>
        <v>96.5</v>
      </c>
    </row>
    <row r="972" spans="10:16">
      <c r="J972" s="5"/>
      <c r="L972">
        <f>DigInv!M972</f>
        <v>1.8914317439999999</v>
      </c>
      <c r="M972">
        <f>DigInv!N972</f>
        <v>96.6</v>
      </c>
      <c r="O972">
        <f>ABS(L972-DigInv!$C$34)</f>
        <v>6.2965107752312566</v>
      </c>
      <c r="P972">
        <f t="shared" si="16"/>
        <v>96.6</v>
      </c>
    </row>
    <row r="973" spans="10:16">
      <c r="J973" s="5"/>
      <c r="L973">
        <f>DigInv!M973</f>
        <v>1.9232969280000001</v>
      </c>
      <c r="M973">
        <f>DigInv!N973</f>
        <v>96.7</v>
      </c>
      <c r="O973">
        <f>ABS(L973-DigInv!$C$34)</f>
        <v>6.3283759592312565</v>
      </c>
      <c r="P973">
        <f t="shared" si="16"/>
        <v>96.7</v>
      </c>
    </row>
    <row r="974" spans="10:16">
      <c r="J974" s="5"/>
      <c r="L974">
        <f>DigInv!M974</f>
        <v>1.955162112</v>
      </c>
      <c r="M974">
        <f>DigInv!N974</f>
        <v>96.8</v>
      </c>
      <c r="O974">
        <f>ABS(L974-DigInv!$C$34)</f>
        <v>6.3602411432312564</v>
      </c>
      <c r="P974">
        <f t="shared" si="16"/>
        <v>96.8</v>
      </c>
    </row>
    <row r="975" spans="10:16">
      <c r="J975" s="5"/>
      <c r="L975">
        <f>DigInv!M975</f>
        <v>1.976224</v>
      </c>
      <c r="M975">
        <f>DigInv!N975</f>
        <v>96.9</v>
      </c>
      <c r="O975">
        <f>ABS(L975-DigInv!$C$34)</f>
        <v>6.3813030312312566</v>
      </c>
      <c r="P975">
        <f t="shared" si="16"/>
        <v>96.9</v>
      </c>
    </row>
    <row r="976" spans="10:16">
      <c r="J976" s="5"/>
      <c r="L976">
        <f>DigInv!M976</f>
        <v>1.976224</v>
      </c>
      <c r="M976">
        <f>DigInv!N976</f>
        <v>97</v>
      </c>
      <c r="O976">
        <f>ABS(L976-DigInv!$C$34)</f>
        <v>6.3813030312312566</v>
      </c>
      <c r="P976">
        <f t="shared" si="16"/>
        <v>97</v>
      </c>
    </row>
    <row r="977" spans="10:16">
      <c r="J977" s="5"/>
      <c r="L977">
        <f>DigInv!M977</f>
        <v>1.976224</v>
      </c>
      <c r="M977">
        <f>DigInv!N977</f>
        <v>97.1</v>
      </c>
      <c r="O977">
        <f>ABS(L977-DigInv!$C$34)</f>
        <v>6.3813030312312566</v>
      </c>
      <c r="P977">
        <f t="shared" si="16"/>
        <v>97.1</v>
      </c>
    </row>
    <row r="978" spans="10:16">
      <c r="J978" s="5"/>
      <c r="L978">
        <f>DigInv!M978</f>
        <v>1.9909521880000001</v>
      </c>
      <c r="M978">
        <f>DigInv!N978</f>
        <v>97.2</v>
      </c>
      <c r="O978">
        <f>ABS(L978-DigInv!$C$34)</f>
        <v>6.3960312192312561</v>
      </c>
      <c r="P978">
        <f t="shared" si="16"/>
        <v>97.2</v>
      </c>
    </row>
    <row r="979" spans="10:16">
      <c r="J979" s="5"/>
      <c r="L979">
        <f>DigInv!M979</f>
        <v>2.0210079670000001</v>
      </c>
      <c r="M979">
        <f>DigInv!N979</f>
        <v>97.3</v>
      </c>
      <c r="O979">
        <f>ABS(L979-DigInv!$C$34)</f>
        <v>6.4260869982312565</v>
      </c>
      <c r="P979">
        <f t="shared" si="16"/>
        <v>97.3</v>
      </c>
    </row>
    <row r="980" spans="10:16">
      <c r="J980" s="5"/>
      <c r="L980">
        <f>DigInv!M980</f>
        <v>2.0510637460000001</v>
      </c>
      <c r="M980">
        <f>DigInv!N980</f>
        <v>97.4</v>
      </c>
      <c r="O980">
        <f>ABS(L980-DigInv!$C$34)</f>
        <v>6.456142777231257</v>
      </c>
      <c r="P980">
        <f t="shared" si="16"/>
        <v>97.4</v>
      </c>
    </row>
    <row r="981" spans="10:16">
      <c r="J981" s="5"/>
      <c r="L981">
        <f>DigInv!M981</f>
        <v>2.06771065</v>
      </c>
      <c r="M981">
        <f>DigInv!N981</f>
        <v>97.5</v>
      </c>
      <c r="O981">
        <f>ABS(L981-DigInv!$C$34)</f>
        <v>6.4727896812312569</v>
      </c>
      <c r="P981">
        <f t="shared" si="16"/>
        <v>97.5</v>
      </c>
    </row>
    <row r="982" spans="10:16">
      <c r="J982" s="5"/>
      <c r="L982">
        <f>DigInv!M982</f>
        <v>2.0768485839999999</v>
      </c>
      <c r="M982">
        <f>DigInv!N982</f>
        <v>97.6</v>
      </c>
      <c r="O982">
        <f>ABS(L982-DigInv!$C$34)</f>
        <v>6.4819276152312568</v>
      </c>
      <c r="P982">
        <f t="shared" si="16"/>
        <v>97.6</v>
      </c>
    </row>
    <row r="983" spans="10:16">
      <c r="J983" s="5"/>
      <c r="L983">
        <f>DigInv!M983</f>
        <v>2.0859865179999999</v>
      </c>
      <c r="M983">
        <f>DigInv!N983</f>
        <v>97.7</v>
      </c>
      <c r="O983">
        <f>ABS(L983-DigInv!$C$34)</f>
        <v>6.4910655492312568</v>
      </c>
      <c r="P983">
        <f t="shared" si="16"/>
        <v>97.7</v>
      </c>
    </row>
    <row r="984" spans="10:16">
      <c r="J984" s="5"/>
      <c r="L984">
        <f>DigInv!M984</f>
        <v>2.0951997900000001</v>
      </c>
      <c r="M984">
        <f>DigInv!N984</f>
        <v>97.8</v>
      </c>
      <c r="O984">
        <f>ABS(L984-DigInv!$C$34)</f>
        <v>6.500278821231257</v>
      </c>
      <c r="P984">
        <f t="shared" si="16"/>
        <v>97.8</v>
      </c>
    </row>
    <row r="985" spans="10:16">
      <c r="J985" s="5"/>
      <c r="L985">
        <f>DigInv!M985</f>
        <v>2.1044328449999998</v>
      </c>
      <c r="M985">
        <f>DigInv!N985</f>
        <v>97.9</v>
      </c>
      <c r="O985">
        <f>ABS(L985-DigInv!$C$34)</f>
        <v>6.5095118762312563</v>
      </c>
      <c r="P985">
        <f t="shared" si="16"/>
        <v>97.9</v>
      </c>
    </row>
    <row r="986" spans="10:16">
      <c r="J986" s="5"/>
      <c r="L986">
        <f>DigInv!M986</f>
        <v>2.1136659</v>
      </c>
      <c r="M986">
        <f>DigInv!N986</f>
        <v>98</v>
      </c>
      <c r="O986">
        <f>ABS(L986-DigInv!$C$34)</f>
        <v>6.5187449312312564</v>
      </c>
      <c r="P986">
        <f t="shared" si="16"/>
        <v>98</v>
      </c>
    </row>
    <row r="987" spans="10:16">
      <c r="J987" s="5"/>
      <c r="L987">
        <f>DigInv!M987</f>
        <v>2.1206848960000002</v>
      </c>
      <c r="M987">
        <f>DigInv!N987</f>
        <v>98.1</v>
      </c>
      <c r="O987">
        <f>ABS(L987-DigInv!$C$34)</f>
        <v>6.5257639272312566</v>
      </c>
      <c r="P987">
        <f t="shared" si="16"/>
        <v>98.1</v>
      </c>
    </row>
    <row r="988" spans="10:16">
      <c r="J988" s="5"/>
      <c r="L988">
        <f>DigInv!M988</f>
        <v>2.1275701119999999</v>
      </c>
      <c r="M988">
        <f>DigInv!N988</f>
        <v>98.2</v>
      </c>
      <c r="O988">
        <f>ABS(L988-DigInv!$C$34)</f>
        <v>6.5326491432312563</v>
      </c>
      <c r="P988">
        <f t="shared" si="16"/>
        <v>98.2</v>
      </c>
    </row>
    <row r="989" spans="10:16">
      <c r="J989" s="5"/>
      <c r="L989">
        <f>DigInv!M989</f>
        <v>2.1358440999999999</v>
      </c>
      <c r="M989">
        <f>DigInv!N989</f>
        <v>98.3</v>
      </c>
      <c r="O989">
        <f>ABS(L989-DigInv!$C$34)</f>
        <v>6.5409231312312563</v>
      </c>
      <c r="P989">
        <f t="shared" si="16"/>
        <v>98.3</v>
      </c>
    </row>
    <row r="990" spans="10:16">
      <c r="J990" s="5"/>
      <c r="L990">
        <f>DigInv!M990</f>
        <v>2.1575008000000002</v>
      </c>
      <c r="M990">
        <f>DigInv!N990</f>
        <v>98.4</v>
      </c>
      <c r="O990">
        <f>ABS(L990-DigInv!$C$34)</f>
        <v>6.5625798312312567</v>
      </c>
      <c r="P990">
        <f t="shared" si="16"/>
        <v>98.4</v>
      </c>
    </row>
    <row r="991" spans="10:16">
      <c r="J991" s="5"/>
      <c r="L991">
        <f>DigInv!M991</f>
        <v>2.1791575000000001</v>
      </c>
      <c r="M991">
        <f>DigInv!N991</f>
        <v>98.5</v>
      </c>
      <c r="O991">
        <f>ABS(L991-DigInv!$C$34)</f>
        <v>6.584236531231257</v>
      </c>
      <c r="P991">
        <f t="shared" si="16"/>
        <v>98.5</v>
      </c>
    </row>
    <row r="992" spans="10:16">
      <c r="J992" s="5"/>
      <c r="L992">
        <f>DigInv!M992</f>
        <v>2.200415848</v>
      </c>
      <c r="M992">
        <f>DigInv!N992</f>
        <v>98.6</v>
      </c>
      <c r="O992">
        <f>ABS(L992-DigInv!$C$34)</f>
        <v>6.6054948792312569</v>
      </c>
      <c r="P992">
        <f t="shared" si="16"/>
        <v>98.6</v>
      </c>
    </row>
    <row r="993" spans="10:16">
      <c r="J993" s="5"/>
      <c r="L993">
        <f>DigInv!M993</f>
        <v>2.2204467160000001</v>
      </c>
      <c r="M993">
        <f>DigInv!N993</f>
        <v>98.7</v>
      </c>
      <c r="O993">
        <f>ABS(L993-DigInv!$C$34)</f>
        <v>6.6255257472312561</v>
      </c>
      <c r="P993">
        <f t="shared" si="16"/>
        <v>98.7</v>
      </c>
    </row>
    <row r="994" spans="10:16">
      <c r="J994" s="5"/>
      <c r="L994">
        <f>DigInv!M994</f>
        <v>2.2404775840000002</v>
      </c>
      <c r="M994">
        <f>DigInv!N994</f>
        <v>98.8</v>
      </c>
      <c r="O994">
        <f>ABS(L994-DigInv!$C$34)</f>
        <v>6.6455566152312571</v>
      </c>
      <c r="P994">
        <f t="shared" si="16"/>
        <v>98.8</v>
      </c>
    </row>
    <row r="995" spans="10:16">
      <c r="J995" s="5"/>
      <c r="L995">
        <f>DigInv!M995</f>
        <v>2.3167367319999999</v>
      </c>
      <c r="M995">
        <f>DigInv!N995</f>
        <v>98.9</v>
      </c>
      <c r="O995">
        <f>ABS(L995-DigInv!$C$34)</f>
        <v>6.7218157632312563</v>
      </c>
      <c r="P995">
        <f t="shared" si="16"/>
        <v>98.9</v>
      </c>
    </row>
    <row r="996" spans="10:16">
      <c r="J996" s="5"/>
      <c r="L996">
        <f>DigInv!M996</f>
        <v>2.4787541200000001</v>
      </c>
      <c r="M996">
        <f>DigInv!N996</f>
        <v>99</v>
      </c>
      <c r="O996">
        <f>ABS(L996-DigInv!$C$34)</f>
        <v>6.8838331512312561</v>
      </c>
      <c r="P996">
        <f t="shared" si="16"/>
        <v>99</v>
      </c>
    </row>
    <row r="997" spans="10:16">
      <c r="J997" s="5"/>
      <c r="L997">
        <f>DigInv!M997</f>
        <v>2.6407715079999998</v>
      </c>
      <c r="M997">
        <f>DigInv!N997</f>
        <v>99.1</v>
      </c>
      <c r="O997">
        <f>ABS(L997-DigInv!$C$34)</f>
        <v>7.0458505392312567</v>
      </c>
      <c r="P997">
        <f t="shared" si="16"/>
        <v>99.1</v>
      </c>
    </row>
    <row r="998" spans="10:16">
      <c r="J998" s="5"/>
      <c r="L998">
        <f>DigInv!M998</f>
        <v>2.7204758080000002</v>
      </c>
      <c r="M998">
        <f>DigInv!N998</f>
        <v>99.2</v>
      </c>
      <c r="O998">
        <f>ABS(L998-DigInv!$C$34)</f>
        <v>7.1255548392312562</v>
      </c>
      <c r="P998">
        <f t="shared" si="16"/>
        <v>99.2</v>
      </c>
    </row>
    <row r="999" spans="10:16">
      <c r="J999" s="5"/>
      <c r="L999">
        <f>DigInv!M999</f>
        <v>2.7320145820000001</v>
      </c>
      <c r="M999">
        <f>DigInv!N999</f>
        <v>99.3</v>
      </c>
      <c r="O999">
        <f>ABS(L999-DigInv!$C$34)</f>
        <v>7.1370936132312561</v>
      </c>
      <c r="P999">
        <f t="shared" si="16"/>
        <v>99.3</v>
      </c>
    </row>
    <row r="1000" spans="10:16">
      <c r="J1000" s="5"/>
      <c r="L1000">
        <f>DigInv!M1000</f>
        <v>2.7435533560000001</v>
      </c>
      <c r="M1000">
        <f>DigInv!N1000</f>
        <v>99.4</v>
      </c>
      <c r="O1000">
        <f>ABS(L1000-DigInv!$C$34)</f>
        <v>7.148632387231256</v>
      </c>
      <c r="P1000">
        <f t="shared" si="16"/>
        <v>99.4</v>
      </c>
    </row>
    <row r="1001" spans="10:16">
      <c r="J1001" s="5"/>
      <c r="L1001">
        <f>DigInv!M1001</f>
        <v>2.829333745</v>
      </c>
      <c r="M1001">
        <f>DigInv!N1001</f>
        <v>99.5</v>
      </c>
      <c r="O1001">
        <f>ABS(L1001-DigInv!$C$34)</f>
        <v>7.234412776231256</v>
      </c>
      <c r="P1001">
        <f t="shared" si="16"/>
        <v>99.5</v>
      </c>
    </row>
    <row r="1002" spans="10:16">
      <c r="J1002" s="5"/>
      <c r="L1002">
        <f>DigInv!M1002</f>
        <v>2.9472349960000002</v>
      </c>
      <c r="M1002">
        <f>DigInv!N1002</f>
        <v>99.6</v>
      </c>
      <c r="O1002">
        <f>ABS(L1002-DigInv!$C$34)</f>
        <v>7.352314027231257</v>
      </c>
      <c r="P1002">
        <f t="shared" si="16"/>
        <v>99.6</v>
      </c>
    </row>
    <row r="1003" spans="10:16">
      <c r="J1003" s="5"/>
      <c r="L1003">
        <f>DigInv!M1003</f>
        <v>3.0651362469999999</v>
      </c>
      <c r="M1003">
        <f>DigInv!N1003</f>
        <v>99.7</v>
      </c>
      <c r="O1003">
        <f>ABS(L1003-DigInv!$C$34)</f>
        <v>7.4702152782312563</v>
      </c>
      <c r="P1003">
        <f t="shared" si="16"/>
        <v>99.7</v>
      </c>
    </row>
    <row r="1004" spans="10:16">
      <c r="J1004" s="5"/>
      <c r="L1004">
        <f>DigInv!M1004</f>
        <v>3.1698879500000001</v>
      </c>
      <c r="M1004">
        <f>DigInv!N1004</f>
        <v>99.8</v>
      </c>
      <c r="O1004">
        <f>ABS(L1004-DigInv!$C$34)</f>
        <v>7.5749669812312561</v>
      </c>
      <c r="P1004">
        <f t="shared" si="16"/>
        <v>99.8</v>
      </c>
    </row>
    <row r="1005" spans="10:16">
      <c r="J1005" s="5"/>
      <c r="L1005">
        <f>DigInv!M1005</f>
        <v>3.2723009749999998</v>
      </c>
      <c r="M1005">
        <f>DigInv!N1005</f>
        <v>99.9</v>
      </c>
      <c r="O1005">
        <f>ABS(L1005-DigInv!$C$34)</f>
        <v>7.6773800062312567</v>
      </c>
      <c r="P1005">
        <f t="shared" si="16"/>
        <v>99.9</v>
      </c>
    </row>
    <row r="1006" spans="10:16">
      <c r="J1006" s="5"/>
      <c r="L1006">
        <f>DigInv!M1006</f>
        <v>3.374714</v>
      </c>
      <c r="M1006">
        <f>DigInv!N1006</f>
        <v>100</v>
      </c>
      <c r="O1006">
        <f>ABS(L1006-DigInv!$C$34)</f>
        <v>7.7797930312312564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zoomScaleNormal="100" workbookViewId="0">
      <selection activeCell="J34" sqref="J34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e">
        <f>#REF!</f>
        <v>#REF!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7" t="s">
        <v>18</v>
      </c>
      <c r="J5" s="58"/>
      <c r="M5" s="27" t="s">
        <v>11</v>
      </c>
      <c r="N5" s="28" t="s">
        <v>44</v>
      </c>
    </row>
    <row r="6" spans="1:14">
      <c r="B6" t="s">
        <v>62</v>
      </c>
      <c r="C6">
        <v>12.266165415190001</v>
      </c>
      <c r="I6" s="10" t="s">
        <v>36</v>
      </c>
      <c r="M6">
        <v>-3.3768419999999999</v>
      </c>
      <c r="N6">
        <v>0</v>
      </c>
    </row>
    <row r="7" spans="1:14">
      <c r="B7" t="s">
        <v>63</v>
      </c>
      <c r="C7">
        <v>-5.3962566053069198E-2</v>
      </c>
      <c r="M7">
        <v>-3.1789388459999999</v>
      </c>
      <c r="N7">
        <v>0.1</v>
      </c>
    </row>
    <row r="8" spans="1:14">
      <c r="I8" s="9"/>
      <c r="J8" s="9"/>
      <c r="M8">
        <v>-2.9810356919999998</v>
      </c>
      <c r="N8">
        <v>0.2</v>
      </c>
    </row>
    <row r="9" spans="1:14">
      <c r="H9" s="9" t="s">
        <v>34</v>
      </c>
      <c r="I9" s="57" t="s">
        <v>37</v>
      </c>
      <c r="J9" s="58"/>
      <c r="M9">
        <v>-2.8361230000000002</v>
      </c>
      <c r="N9">
        <v>0.3</v>
      </c>
    </row>
    <row r="10" spans="1:14">
      <c r="I10" s="12" t="s">
        <v>3</v>
      </c>
      <c r="J10" s="13" t="s">
        <v>36</v>
      </c>
      <c r="M10">
        <v>-2.8361230000000002</v>
      </c>
      <c r="N10">
        <v>0.4</v>
      </c>
    </row>
    <row r="11" spans="1:14">
      <c r="B11" s="29"/>
      <c r="C11" s="30"/>
      <c r="I11" s="14"/>
      <c r="J11" s="15"/>
      <c r="M11">
        <v>-2.8361230000000002</v>
      </c>
      <c r="N11">
        <v>0.5</v>
      </c>
    </row>
    <row r="12" spans="1:14">
      <c r="B12" s="29"/>
      <c r="C12" s="30"/>
      <c r="I12" s="14"/>
      <c r="J12" s="15"/>
      <c r="M12">
        <v>-2.8310479719999999</v>
      </c>
      <c r="N12">
        <v>0.6</v>
      </c>
    </row>
    <row r="13" spans="1:14">
      <c r="B13" s="29"/>
      <c r="C13" s="30"/>
      <c r="I13" s="14"/>
      <c r="J13" s="15"/>
      <c r="M13">
        <v>-2.821571134</v>
      </c>
      <c r="N13">
        <v>0.7</v>
      </c>
    </row>
    <row r="14" spans="1:14">
      <c r="B14" s="29"/>
      <c r="C14" s="30"/>
      <c r="I14" s="14"/>
      <c r="J14" s="15"/>
      <c r="M14">
        <v>-2.8120942960000002</v>
      </c>
      <c r="N14">
        <v>0.8</v>
      </c>
    </row>
    <row r="15" spans="1:14">
      <c r="B15" s="29"/>
      <c r="C15" s="30"/>
      <c r="I15" s="14"/>
      <c r="J15" s="15"/>
      <c r="M15">
        <v>-2.8070289279999998</v>
      </c>
      <c r="N15">
        <v>0.9</v>
      </c>
    </row>
    <row r="16" spans="1:14">
      <c r="B16" s="29"/>
      <c r="C16" s="30"/>
      <c r="I16" s="14"/>
      <c r="J16" s="15"/>
      <c r="M16">
        <v>-2.8030439199999999</v>
      </c>
      <c r="N16">
        <v>1</v>
      </c>
    </row>
    <row r="17" spans="1:14">
      <c r="B17" s="29"/>
      <c r="C17" s="30"/>
      <c r="I17" s="14"/>
      <c r="J17" s="15"/>
      <c r="M17">
        <v>-2.7980566379999998</v>
      </c>
      <c r="N17">
        <v>1.1000000000000001</v>
      </c>
    </row>
    <row r="18" spans="1:14">
      <c r="B18" s="29"/>
      <c r="C18" s="30"/>
      <c r="I18" s="14"/>
      <c r="J18" s="15"/>
      <c r="M18">
        <v>-2.7799626960000001</v>
      </c>
      <c r="N18">
        <v>1.2</v>
      </c>
    </row>
    <row r="19" spans="1:14">
      <c r="B19" s="29"/>
      <c r="C19" s="30"/>
      <c r="I19" s="14"/>
      <c r="J19" s="15"/>
      <c r="M19">
        <v>-2.761868754</v>
      </c>
      <c r="N19">
        <v>1.3</v>
      </c>
    </row>
    <row r="20" spans="1:14">
      <c r="B20" s="29"/>
      <c r="C20" s="30"/>
      <c r="I20" s="14"/>
      <c r="J20" s="15"/>
      <c r="M20">
        <v>-2.7280026319999999</v>
      </c>
      <c r="N20">
        <v>1.4</v>
      </c>
    </row>
    <row r="21" spans="1:14">
      <c r="B21" s="29"/>
      <c r="C21" s="30"/>
      <c r="I21" s="14"/>
      <c r="J21" s="15"/>
      <c r="M21">
        <v>-2.66335532</v>
      </c>
      <c r="N21">
        <v>1.5</v>
      </c>
    </row>
    <row r="22" spans="1:14">
      <c r="B22" s="29"/>
      <c r="C22" s="30"/>
      <c r="I22" s="16"/>
      <c r="J22" s="17"/>
      <c r="M22">
        <v>-2.598708008</v>
      </c>
      <c r="N22">
        <v>1.6</v>
      </c>
    </row>
    <row r="23" spans="1:14">
      <c r="B23" s="29"/>
      <c r="C23" s="30"/>
      <c r="M23">
        <v>-2.534177246</v>
      </c>
      <c r="N23">
        <v>1.7</v>
      </c>
    </row>
    <row r="24" spans="1:14">
      <c r="B24" s="31"/>
      <c r="C24" s="11"/>
      <c r="M24">
        <v>-2.4697220839999998</v>
      </c>
      <c r="N24">
        <v>1.8</v>
      </c>
    </row>
    <row r="25" spans="1:14">
      <c r="H25" s="9" t="s">
        <v>35</v>
      </c>
      <c r="I25" s="57" t="s">
        <v>42</v>
      </c>
      <c r="J25" s="58"/>
      <c r="M25">
        <v>-2.405266922</v>
      </c>
      <c r="N25">
        <v>1.9</v>
      </c>
    </row>
    <row r="26" spans="1:14">
      <c r="I26" t="s">
        <v>1</v>
      </c>
      <c r="J26" t="s">
        <v>17</v>
      </c>
      <c r="M26">
        <v>-2.3969426399999998</v>
      </c>
      <c r="N26">
        <v>2</v>
      </c>
    </row>
    <row r="27" spans="1:14">
      <c r="A27" s="34">
        <v>4</v>
      </c>
      <c r="B27" s="2" t="s">
        <v>2</v>
      </c>
      <c r="C27" s="32">
        <f>C6+(C7*('Normative data'!C6-71.20708447))</f>
        <v>16.108682414348852</v>
      </c>
      <c r="I27" t="s">
        <v>62</v>
      </c>
      <c r="J27">
        <v>12426.3302809098</v>
      </c>
      <c r="M27">
        <v>-2.396687172</v>
      </c>
      <c r="N27">
        <v>2.1</v>
      </c>
    </row>
    <row r="28" spans="1:14">
      <c r="B28" s="2" t="s">
        <v>6</v>
      </c>
      <c r="C28" s="2"/>
      <c r="D28" s="2"/>
      <c r="E28" s="2"/>
      <c r="F28" s="2"/>
      <c r="I28" t="s">
        <v>66</v>
      </c>
      <c r="J28">
        <v>-3071.3826801369401</v>
      </c>
      <c r="M28">
        <v>-2.3960220479999998</v>
      </c>
      <c r="N28">
        <v>2.2000000000000002</v>
      </c>
    </row>
    <row r="29" spans="1:14">
      <c r="B29" s="2" t="s">
        <v>7</v>
      </c>
      <c r="C29" s="2"/>
      <c r="D29" s="2"/>
      <c r="E29" s="2"/>
      <c r="F29" s="2"/>
      <c r="I29" t="s">
        <v>67</v>
      </c>
      <c r="J29">
        <v>252.938866623953</v>
      </c>
      <c r="M29">
        <v>-2.392883232</v>
      </c>
      <c r="N29">
        <v>2.2999999999999998</v>
      </c>
    </row>
    <row r="30" spans="1:14">
      <c r="B30" s="2" t="s">
        <v>8</v>
      </c>
      <c r="I30" t="s">
        <v>68</v>
      </c>
      <c r="J30">
        <v>-6.9378657214228303</v>
      </c>
      <c r="M30">
        <v>-2.3897444160000001</v>
      </c>
      <c r="N30">
        <v>2.4</v>
      </c>
    </row>
    <row r="31" spans="1:14">
      <c r="I31" s="14"/>
      <c r="J31" s="15"/>
      <c r="M31">
        <v>-2.3856358499999999</v>
      </c>
      <c r="N31">
        <v>2.5</v>
      </c>
    </row>
    <row r="32" spans="1:14">
      <c r="I32" s="35"/>
      <c r="J32" s="17"/>
      <c r="M32">
        <v>-2.380130844</v>
      </c>
      <c r="N32">
        <v>2.6</v>
      </c>
    </row>
    <row r="33" spans="2:14">
      <c r="B33" t="s">
        <v>9</v>
      </c>
      <c r="C33" t="e">
        <f>'Normative data'!#REF!-RAVLT_Rec!C27</f>
        <v>#REF!</v>
      </c>
      <c r="M33">
        <v>-2.374625838</v>
      </c>
      <c r="N33">
        <v>2.7</v>
      </c>
    </row>
    <row r="34" spans="2:14">
      <c r="B34" t="s">
        <v>12</v>
      </c>
      <c r="C34" t="e">
        <f>C33/SD_PERC_RAVLTR!I38</f>
        <v>#REF!</v>
      </c>
      <c r="I34" t="s">
        <v>41</v>
      </c>
      <c r="J34" t="e">
        <f>SD_PERC_RAVLTR!I38</f>
        <v>#NUM!</v>
      </c>
      <c r="M34">
        <v>-2.3710105920000002</v>
      </c>
      <c r="N34">
        <v>2.8</v>
      </c>
    </row>
    <row r="35" spans="2:14">
      <c r="M35">
        <v>-2.3682945059999998</v>
      </c>
      <c r="N35">
        <v>2.9</v>
      </c>
    </row>
    <row r="36" spans="2:14">
      <c r="M36">
        <v>-2.3655784199999998</v>
      </c>
      <c r="N36">
        <v>3</v>
      </c>
    </row>
    <row r="37" spans="2:14">
      <c r="M37">
        <v>-2.3411788599999999</v>
      </c>
      <c r="N37">
        <v>3.1</v>
      </c>
    </row>
    <row r="38" spans="2:14">
      <c r="M38">
        <v>-2.3155259199999998</v>
      </c>
      <c r="N38">
        <v>3.2</v>
      </c>
    </row>
    <row r="39" spans="2:14">
      <c r="M39">
        <v>-2.2820020780000001</v>
      </c>
      <c r="N39">
        <v>3.3</v>
      </c>
    </row>
    <row r="40" spans="2:14">
      <c r="M40">
        <v>-2.2194164440000002</v>
      </c>
      <c r="N40">
        <v>3.4</v>
      </c>
    </row>
    <row r="41" spans="2:14">
      <c r="M41">
        <v>-2.1568308100000002</v>
      </c>
      <c r="N41">
        <v>3.5</v>
      </c>
    </row>
    <row r="42" spans="2:14">
      <c r="M42">
        <v>-2.0952219759999999</v>
      </c>
      <c r="N42">
        <v>3.6</v>
      </c>
    </row>
    <row r="43" spans="2:14">
      <c r="M43">
        <v>-2.0346676420000001</v>
      </c>
      <c r="N43">
        <v>3.7</v>
      </c>
    </row>
    <row r="44" spans="2:14">
      <c r="M44">
        <v>-1.974113308</v>
      </c>
      <c r="N44">
        <v>3.8</v>
      </c>
    </row>
    <row r="45" spans="2:14">
      <c r="M45">
        <v>-1.9506278859999999</v>
      </c>
      <c r="N45">
        <v>3.9</v>
      </c>
    </row>
    <row r="46" spans="2:14">
      <c r="M46">
        <v>-1.93958896</v>
      </c>
      <c r="N46">
        <v>4</v>
      </c>
    </row>
    <row r="47" spans="2:14">
      <c r="M47">
        <v>-1.9287051040000001</v>
      </c>
      <c r="N47">
        <v>4.0999999999999996</v>
      </c>
    </row>
    <row r="48" spans="2:14">
      <c r="M48">
        <v>-1.927125448</v>
      </c>
      <c r="N48">
        <v>4.2</v>
      </c>
    </row>
    <row r="49" spans="13:14">
      <c r="M49">
        <v>-1.9255457920000001</v>
      </c>
      <c r="N49">
        <v>4.3</v>
      </c>
    </row>
    <row r="50" spans="13:14">
      <c r="M50">
        <v>-1.924391808</v>
      </c>
      <c r="N50">
        <v>4.4000000000000004</v>
      </c>
    </row>
    <row r="51" spans="13:14">
      <c r="M51">
        <v>-1.9243101899999999</v>
      </c>
      <c r="N51">
        <v>4.5</v>
      </c>
    </row>
    <row r="52" spans="13:14">
      <c r="M52">
        <v>-1.9242285720000001</v>
      </c>
      <c r="N52">
        <v>4.5999999999999996</v>
      </c>
    </row>
    <row r="53" spans="13:14">
      <c r="M53">
        <v>-1.923711038</v>
      </c>
      <c r="N53">
        <v>4.7</v>
      </c>
    </row>
    <row r="54" spans="13:14">
      <c r="M54">
        <v>-1.9228395920000001</v>
      </c>
      <c r="N54">
        <v>4.8</v>
      </c>
    </row>
    <row r="55" spans="13:14">
      <c r="M55">
        <v>-1.921968146</v>
      </c>
      <c r="N55">
        <v>4.9000000000000004</v>
      </c>
    </row>
    <row r="56" spans="13:14">
      <c r="M56">
        <v>-1.9049777000000001</v>
      </c>
      <c r="N56">
        <v>5</v>
      </c>
    </row>
    <row r="57" spans="13:14">
      <c r="M57">
        <v>-1.8844410739999999</v>
      </c>
      <c r="N57">
        <v>5.0999999999999996</v>
      </c>
    </row>
    <row r="58" spans="13:14">
      <c r="M58">
        <v>-1.8644885440000001</v>
      </c>
      <c r="N58">
        <v>5.2</v>
      </c>
    </row>
    <row r="59" spans="13:14">
      <c r="M59">
        <v>-1.8506325159999999</v>
      </c>
      <c r="N59">
        <v>5.3</v>
      </c>
    </row>
    <row r="60" spans="13:14">
      <c r="M60">
        <v>-1.8367764879999999</v>
      </c>
      <c r="N60">
        <v>5.4</v>
      </c>
    </row>
    <row r="61" spans="13:14">
      <c r="M61">
        <v>-1.8215513000000001</v>
      </c>
      <c r="N61">
        <v>5.5</v>
      </c>
    </row>
    <row r="62" spans="13:14">
      <c r="M62">
        <v>-1.80384056</v>
      </c>
      <c r="N62">
        <v>5.6</v>
      </c>
    </row>
    <row r="63" spans="13:14">
      <c r="M63">
        <v>-1.78612982</v>
      </c>
      <c r="N63">
        <v>5.7</v>
      </c>
    </row>
    <row r="64" spans="13:14">
      <c r="M64">
        <v>-1.779452</v>
      </c>
      <c r="N64">
        <v>5.8</v>
      </c>
    </row>
    <row r="65" spans="13:14">
      <c r="M65">
        <v>-1.779452</v>
      </c>
      <c r="N65">
        <v>5.9</v>
      </c>
    </row>
    <row r="66" spans="13:14">
      <c r="M66">
        <v>-1.779452</v>
      </c>
      <c r="N66">
        <v>6</v>
      </c>
    </row>
    <row r="67" spans="13:14">
      <c r="M67">
        <v>-1.7430902859999999</v>
      </c>
      <c r="N67">
        <v>6.1</v>
      </c>
    </row>
    <row r="68" spans="13:14">
      <c r="M68">
        <v>-1.7022670120000001</v>
      </c>
      <c r="N68">
        <v>6.2</v>
      </c>
    </row>
    <row r="69" spans="13:14">
      <c r="M69">
        <v>-1.6670591239999999</v>
      </c>
      <c r="N69">
        <v>6.3</v>
      </c>
    </row>
    <row r="70" spans="13:14">
      <c r="M70">
        <v>-1.661670872</v>
      </c>
      <c r="N70">
        <v>6.4</v>
      </c>
    </row>
    <row r="71" spans="13:14">
      <c r="M71">
        <v>-1.65628262</v>
      </c>
      <c r="N71">
        <v>6.5</v>
      </c>
    </row>
    <row r="72" spans="13:14">
      <c r="M72">
        <v>-1.6414735279999999</v>
      </c>
      <c r="N72">
        <v>6.6</v>
      </c>
    </row>
    <row r="73" spans="13:14">
      <c r="M73">
        <v>-1.613982536</v>
      </c>
      <c r="N73">
        <v>6.7</v>
      </c>
    </row>
    <row r="74" spans="13:14">
      <c r="M74">
        <v>-1.586491544</v>
      </c>
      <c r="N74">
        <v>6.8</v>
      </c>
    </row>
    <row r="75" spans="13:14">
      <c r="M75">
        <v>-1.5712674820000001</v>
      </c>
      <c r="N75">
        <v>6.9</v>
      </c>
    </row>
    <row r="76" spans="13:14">
      <c r="M76">
        <v>-1.5614524599999999</v>
      </c>
      <c r="N76">
        <v>7</v>
      </c>
    </row>
    <row r="77" spans="13:14">
      <c r="M77">
        <v>-1.551637438</v>
      </c>
      <c r="N77">
        <v>7.1</v>
      </c>
    </row>
    <row r="78" spans="13:14">
      <c r="M78">
        <v>-1.53237544</v>
      </c>
      <c r="N78">
        <v>7.2</v>
      </c>
    </row>
    <row r="79" spans="13:14">
      <c r="M79">
        <v>-1.5127377099999999</v>
      </c>
      <c r="N79">
        <v>7.3</v>
      </c>
    </row>
    <row r="80" spans="13:14">
      <c r="M80">
        <v>-1.4968487319999999</v>
      </c>
      <c r="N80">
        <v>7.4</v>
      </c>
    </row>
    <row r="81" spans="13:14">
      <c r="M81">
        <v>-1.4935448499999999</v>
      </c>
      <c r="N81">
        <v>7.5</v>
      </c>
    </row>
    <row r="82" spans="13:14">
      <c r="M82">
        <v>-1.4902409679999999</v>
      </c>
      <c r="N82">
        <v>7.6</v>
      </c>
    </row>
    <row r="83" spans="13:14">
      <c r="M83">
        <v>-1.4866984839999999</v>
      </c>
      <c r="N83">
        <v>7.7</v>
      </c>
    </row>
    <row r="84" spans="13:14">
      <c r="M84">
        <v>-1.4829147760000001</v>
      </c>
      <c r="N84">
        <v>7.8</v>
      </c>
    </row>
    <row r="85" spans="13:14">
      <c r="M85">
        <v>-1.479131068</v>
      </c>
      <c r="N85">
        <v>7.9</v>
      </c>
    </row>
    <row r="86" spans="13:14">
      <c r="M86">
        <v>-1.4660026399999999</v>
      </c>
      <c r="N86">
        <v>8</v>
      </c>
    </row>
    <row r="87" spans="13:14">
      <c r="M87">
        <v>-1.450004048</v>
      </c>
      <c r="N87">
        <v>8.1</v>
      </c>
    </row>
    <row r="88" spans="13:14">
      <c r="M88">
        <v>-1.434351092</v>
      </c>
      <c r="N88">
        <v>8.1999999999999993</v>
      </c>
    </row>
    <row r="89" spans="13:14">
      <c r="M89">
        <v>-1.428894398</v>
      </c>
      <c r="N89">
        <v>8.3000000000000007</v>
      </c>
    </row>
    <row r="90" spans="13:14">
      <c r="M90">
        <v>-1.4234377039999999</v>
      </c>
      <c r="N90">
        <v>8.4</v>
      </c>
    </row>
    <row r="91" spans="13:14">
      <c r="M91">
        <v>-1.419621</v>
      </c>
      <c r="N91">
        <v>8.5</v>
      </c>
    </row>
    <row r="92" spans="13:14">
      <c r="M92">
        <v>-1.419621</v>
      </c>
      <c r="N92">
        <v>8.6</v>
      </c>
    </row>
    <row r="93" spans="13:14">
      <c r="M93">
        <v>-1.419621</v>
      </c>
      <c r="N93">
        <v>8.6999999999999993</v>
      </c>
    </row>
    <row r="94" spans="13:14">
      <c r="M94">
        <v>-1.419621</v>
      </c>
      <c r="N94">
        <v>8.8000000000000007</v>
      </c>
    </row>
    <row r="95" spans="13:14">
      <c r="M95">
        <v>-1.419621</v>
      </c>
      <c r="N95">
        <v>8.9</v>
      </c>
    </row>
    <row r="96" spans="13:14">
      <c r="M96">
        <v>-1.419621</v>
      </c>
      <c r="N96">
        <v>9</v>
      </c>
    </row>
    <row r="97" spans="13:14">
      <c r="M97">
        <v>-1.419621</v>
      </c>
      <c r="N97">
        <v>9.1</v>
      </c>
    </row>
    <row r="98" spans="13:14">
      <c r="M98">
        <v>-1.419621</v>
      </c>
      <c r="N98">
        <v>9.1999999999999993</v>
      </c>
    </row>
    <row r="99" spans="13:14">
      <c r="M99">
        <v>-1.4177923640000001</v>
      </c>
      <c r="N99">
        <v>9.3000000000000007</v>
      </c>
    </row>
    <row r="100" spans="13:14">
      <c r="M100">
        <v>-1.4001797119999999</v>
      </c>
      <c r="N100">
        <v>9.4</v>
      </c>
    </row>
    <row r="101" spans="13:14">
      <c r="M101">
        <v>-1.38256706</v>
      </c>
      <c r="N101">
        <v>9.5</v>
      </c>
    </row>
    <row r="102" spans="13:14">
      <c r="M102">
        <v>-1.3667592639999999</v>
      </c>
      <c r="N102">
        <v>9.6</v>
      </c>
    </row>
    <row r="103" spans="13:14">
      <c r="M103">
        <v>-1.3540037979999999</v>
      </c>
      <c r="N103">
        <v>9.6999999999999993</v>
      </c>
    </row>
    <row r="104" spans="13:14">
      <c r="M104">
        <v>-1.3412483319999999</v>
      </c>
      <c r="N104">
        <v>9.8000000000000007</v>
      </c>
    </row>
    <row r="105" spans="13:14">
      <c r="M105">
        <v>-1.3366480000000001</v>
      </c>
      <c r="N105">
        <v>9.9</v>
      </c>
    </row>
    <row r="106" spans="13:14">
      <c r="M106">
        <v>-1.3366480000000001</v>
      </c>
      <c r="N106">
        <v>10</v>
      </c>
    </row>
    <row r="107" spans="13:14">
      <c r="M107">
        <v>-1.3366480000000001</v>
      </c>
      <c r="N107">
        <v>10.1</v>
      </c>
    </row>
    <row r="108" spans="13:14">
      <c r="M108">
        <v>-1.3341838960000001</v>
      </c>
      <c r="N108">
        <v>10.199999999999999</v>
      </c>
    </row>
    <row r="109" spans="13:14">
      <c r="M109">
        <v>-1.3314674440000001</v>
      </c>
      <c r="N109">
        <v>10.3</v>
      </c>
    </row>
    <row r="110" spans="13:14">
      <c r="M110">
        <v>-1.32384904</v>
      </c>
      <c r="N110">
        <v>10.4</v>
      </c>
    </row>
    <row r="111" spans="13:14">
      <c r="M111">
        <v>-1.29309955</v>
      </c>
      <c r="N111">
        <v>10.5</v>
      </c>
    </row>
    <row r="112" spans="13:14">
      <c r="M112">
        <v>-1.2623500599999999</v>
      </c>
      <c r="N112">
        <v>10.6</v>
      </c>
    </row>
    <row r="113" spans="13:14">
      <c r="M113">
        <v>-1.245114286</v>
      </c>
      <c r="N113">
        <v>10.7</v>
      </c>
    </row>
    <row r="114" spans="13:14">
      <c r="M114">
        <v>-1.2448957839999999</v>
      </c>
      <c r="N114">
        <v>10.8</v>
      </c>
    </row>
    <row r="115" spans="13:14">
      <c r="M115">
        <v>-1.2446772820000001</v>
      </c>
      <c r="N115">
        <v>10.9</v>
      </c>
    </row>
    <row r="116" spans="13:14">
      <c r="M116">
        <v>-1.2446140000000001</v>
      </c>
      <c r="N116">
        <v>11</v>
      </c>
    </row>
    <row r="117" spans="13:14">
      <c r="M117">
        <v>-1.2446140000000001</v>
      </c>
      <c r="N117">
        <v>11.1</v>
      </c>
    </row>
    <row r="118" spans="13:14">
      <c r="M118">
        <v>-1.2446140000000001</v>
      </c>
      <c r="N118">
        <v>11.2</v>
      </c>
    </row>
    <row r="119" spans="13:14">
      <c r="M119">
        <v>-1.2246057379999999</v>
      </c>
      <c r="N119">
        <v>11.3</v>
      </c>
    </row>
    <row r="120" spans="13:14">
      <c r="M120">
        <v>-1.204150364</v>
      </c>
      <c r="N120">
        <v>11.4</v>
      </c>
    </row>
    <row r="121" spans="13:14">
      <c r="M121">
        <v>-1.188725</v>
      </c>
      <c r="N121">
        <v>11.5</v>
      </c>
    </row>
    <row r="122" spans="13:14">
      <c r="M122">
        <v>-1.188725</v>
      </c>
      <c r="N122">
        <v>11.6</v>
      </c>
    </row>
    <row r="123" spans="13:14">
      <c r="M123">
        <v>-1.188725</v>
      </c>
      <c r="N123">
        <v>11.7</v>
      </c>
    </row>
    <row r="124" spans="13:14">
      <c r="M124">
        <v>-1.1790407439999999</v>
      </c>
      <c r="N124">
        <v>11.8</v>
      </c>
    </row>
    <row r="125" spans="13:14">
      <c r="M125">
        <v>-1.1601873519999999</v>
      </c>
      <c r="N125">
        <v>11.9</v>
      </c>
    </row>
    <row r="126" spans="13:14">
      <c r="M126">
        <v>-1.1413339600000001</v>
      </c>
      <c r="N126">
        <v>12</v>
      </c>
    </row>
    <row r="127" spans="13:14">
      <c r="M127">
        <v>-1.134546622</v>
      </c>
      <c r="N127">
        <v>12.1</v>
      </c>
    </row>
    <row r="128" spans="13:14">
      <c r="M128">
        <v>-1.131134404</v>
      </c>
      <c r="N128">
        <v>12.2</v>
      </c>
    </row>
    <row r="129" spans="13:14">
      <c r="M129">
        <v>-1.1271134620000001</v>
      </c>
      <c r="N129">
        <v>12.3</v>
      </c>
    </row>
    <row r="130" spans="13:14">
      <c r="M130">
        <v>-1.1113238560000001</v>
      </c>
      <c r="N130">
        <v>12.4</v>
      </c>
    </row>
    <row r="131" spans="13:14">
      <c r="M131">
        <v>-1.09553425</v>
      </c>
      <c r="N131">
        <v>12.5</v>
      </c>
    </row>
    <row r="132" spans="13:14">
      <c r="M132">
        <v>-1.082306736</v>
      </c>
      <c r="N132">
        <v>12.6</v>
      </c>
    </row>
    <row r="133" spans="13:14">
      <c r="M133">
        <v>-1.074600972</v>
      </c>
      <c r="N133">
        <v>12.7</v>
      </c>
    </row>
    <row r="134" spans="13:14">
      <c r="M134">
        <v>-1.066895208</v>
      </c>
      <c r="N134">
        <v>12.8</v>
      </c>
    </row>
    <row r="135" spans="13:14">
      <c r="M135">
        <v>-1.0636950000000001</v>
      </c>
      <c r="N135">
        <v>12.9</v>
      </c>
    </row>
    <row r="136" spans="13:14">
      <c r="M136">
        <v>-1.0636950000000001</v>
      </c>
      <c r="N136">
        <v>13</v>
      </c>
    </row>
    <row r="137" spans="13:14">
      <c r="M137">
        <v>-1.0636950000000001</v>
      </c>
      <c r="N137">
        <v>13.1</v>
      </c>
    </row>
    <row r="138" spans="13:14">
      <c r="M138">
        <v>-1.0636950000000001</v>
      </c>
      <c r="N138">
        <v>13.2</v>
      </c>
    </row>
    <row r="139" spans="13:14">
      <c r="M139">
        <v>-1.0636950000000001</v>
      </c>
      <c r="N139">
        <v>13.3</v>
      </c>
    </row>
    <row r="140" spans="13:14">
      <c r="M140">
        <v>-1.063691612</v>
      </c>
      <c r="N140">
        <v>13.4</v>
      </c>
    </row>
    <row r="141" spans="13:14">
      <c r="M141">
        <v>-1.0636634300000001</v>
      </c>
      <c r="N141">
        <v>13.5</v>
      </c>
    </row>
    <row r="142" spans="13:14">
      <c r="M142">
        <v>-1.063635248</v>
      </c>
      <c r="N142">
        <v>13.6</v>
      </c>
    </row>
    <row r="143" spans="13:14">
      <c r="M143">
        <v>-1.063618</v>
      </c>
      <c r="N143">
        <v>13.7</v>
      </c>
    </row>
    <row r="144" spans="13:14">
      <c r="M144">
        <v>-1.063618</v>
      </c>
      <c r="N144">
        <v>13.8</v>
      </c>
    </row>
    <row r="145" spans="13:14">
      <c r="M145">
        <v>-1.063618</v>
      </c>
      <c r="N145">
        <v>13.9</v>
      </c>
    </row>
    <row r="146" spans="13:14">
      <c r="M146">
        <v>-1.063618</v>
      </c>
      <c r="N146">
        <v>14</v>
      </c>
    </row>
    <row r="147" spans="13:14">
      <c r="M147">
        <v>-1.063618</v>
      </c>
      <c r="N147">
        <v>14.1</v>
      </c>
    </row>
    <row r="148" spans="13:14">
      <c r="M148">
        <v>-1.063618</v>
      </c>
      <c r="N148">
        <v>14.2</v>
      </c>
    </row>
    <row r="149" spans="13:14">
      <c r="M149">
        <v>-1.063618</v>
      </c>
      <c r="N149">
        <v>14.3</v>
      </c>
    </row>
    <row r="150" spans="13:14">
      <c r="M150">
        <v>-1.063618</v>
      </c>
      <c r="N150">
        <v>14.4</v>
      </c>
    </row>
    <row r="151" spans="13:14">
      <c r="M151">
        <v>-1.063618</v>
      </c>
      <c r="N151">
        <v>14.5</v>
      </c>
    </row>
    <row r="152" spans="13:14">
      <c r="M152">
        <v>-1.063618</v>
      </c>
      <c r="N152">
        <v>14.6</v>
      </c>
    </row>
    <row r="153" spans="13:14">
      <c r="M153">
        <v>-1.063618</v>
      </c>
      <c r="N153">
        <v>14.7</v>
      </c>
    </row>
    <row r="154" spans="13:14">
      <c r="M154">
        <v>-1.0607764479999999</v>
      </c>
      <c r="N154">
        <v>14.8</v>
      </c>
    </row>
    <row r="155" spans="13:14">
      <c r="M155">
        <v>-1.054585924</v>
      </c>
      <c r="N155">
        <v>14.9</v>
      </c>
    </row>
    <row r="156" spans="13:14">
      <c r="M156">
        <v>-1.0483954</v>
      </c>
      <c r="N156">
        <v>15</v>
      </c>
    </row>
    <row r="157" spans="13:14">
      <c r="M157">
        <v>-1.0428701419999999</v>
      </c>
      <c r="N157">
        <v>15.1</v>
      </c>
    </row>
    <row r="158" spans="13:14">
      <c r="M158">
        <v>-1.0375949840000001</v>
      </c>
      <c r="N158">
        <v>15.2</v>
      </c>
    </row>
    <row r="159" spans="13:14">
      <c r="M159">
        <v>-1.0323198259999999</v>
      </c>
      <c r="N159">
        <v>15.3</v>
      </c>
    </row>
    <row r="160" spans="13:14">
      <c r="M160">
        <v>-1.0277195240000001</v>
      </c>
      <c r="N160">
        <v>15.4</v>
      </c>
    </row>
    <row r="161" spans="13:14">
      <c r="M161">
        <v>-1.02312293</v>
      </c>
      <c r="N161">
        <v>15.5</v>
      </c>
    </row>
    <row r="162" spans="13:14">
      <c r="M162">
        <v>-1.018643744</v>
      </c>
      <c r="N162">
        <v>15.6</v>
      </c>
    </row>
    <row r="163" spans="13:14">
      <c r="M163">
        <v>-1.014494768</v>
      </c>
      <c r="N163">
        <v>15.7</v>
      </c>
    </row>
    <row r="164" spans="13:14">
      <c r="M164">
        <v>-1.0103457920000001</v>
      </c>
      <c r="N164">
        <v>15.8</v>
      </c>
    </row>
    <row r="165" spans="13:14">
      <c r="M165">
        <v>-1.0063091420000001</v>
      </c>
      <c r="N165">
        <v>15.9</v>
      </c>
    </row>
    <row r="166" spans="13:14">
      <c r="M166">
        <v>-1.00237208</v>
      </c>
      <c r="N166">
        <v>16</v>
      </c>
    </row>
    <row r="167" spans="13:14">
      <c r="M167">
        <v>-0.99843501800000001</v>
      </c>
      <c r="N167">
        <v>16.100000000000001</v>
      </c>
    </row>
    <row r="168" spans="13:14">
      <c r="M168">
        <v>-0.994468464</v>
      </c>
      <c r="N168">
        <v>16.2</v>
      </c>
    </row>
    <row r="169" spans="13:14">
      <c r="M169">
        <v>-0.99049443599999998</v>
      </c>
      <c r="N169">
        <v>16.3</v>
      </c>
    </row>
    <row r="170" spans="13:14">
      <c r="M170">
        <v>-0.98650048800000001</v>
      </c>
      <c r="N170">
        <v>16.399999999999999</v>
      </c>
    </row>
    <row r="171" spans="13:14">
      <c r="M171">
        <v>-0.98222268000000001</v>
      </c>
      <c r="N171">
        <v>16.5</v>
      </c>
    </row>
    <row r="172" spans="13:14">
      <c r="M172">
        <v>-0.97794487200000002</v>
      </c>
      <c r="N172">
        <v>16.600000000000001</v>
      </c>
    </row>
    <row r="173" spans="13:14">
      <c r="M173">
        <v>-0.97509299999999999</v>
      </c>
      <c r="N173">
        <v>16.7</v>
      </c>
    </row>
    <row r="174" spans="13:14">
      <c r="M174">
        <v>-0.97509299999999999</v>
      </c>
      <c r="N174">
        <v>16.8</v>
      </c>
    </row>
    <row r="175" spans="13:14">
      <c r="M175">
        <v>-0.97509299999999999</v>
      </c>
      <c r="N175">
        <v>16.899999999999999</v>
      </c>
    </row>
    <row r="176" spans="13:14">
      <c r="M176">
        <v>-0.97216897999999996</v>
      </c>
      <c r="N176">
        <v>17</v>
      </c>
    </row>
    <row r="177" spans="13:14">
      <c r="M177">
        <v>-0.96730447399999997</v>
      </c>
      <c r="N177">
        <v>17.100000000000001</v>
      </c>
    </row>
    <row r="178" spans="13:14">
      <c r="M178">
        <v>-0.96243996799999998</v>
      </c>
      <c r="N178">
        <v>17.2</v>
      </c>
    </row>
    <row r="179" spans="13:14">
      <c r="M179">
        <v>-0.96180200000000005</v>
      </c>
      <c r="N179">
        <v>17.3</v>
      </c>
    </row>
    <row r="180" spans="13:14">
      <c r="M180">
        <v>-0.96180200000000005</v>
      </c>
      <c r="N180">
        <v>17.399999999999999</v>
      </c>
    </row>
    <row r="181" spans="13:14">
      <c r="M181">
        <v>-0.96101729999999996</v>
      </c>
      <c r="N181">
        <v>17.5</v>
      </c>
    </row>
    <row r="182" spans="13:14">
      <c r="M182">
        <v>-0.95527329599999999</v>
      </c>
      <c r="N182">
        <v>17.600000000000001</v>
      </c>
    </row>
    <row r="183" spans="13:14">
      <c r="M183">
        <v>-0.94952929200000002</v>
      </c>
      <c r="N183">
        <v>17.7</v>
      </c>
    </row>
    <row r="184" spans="13:14">
      <c r="M184">
        <v>-0.94610799999999995</v>
      </c>
      <c r="N184">
        <v>17.8</v>
      </c>
    </row>
    <row r="185" spans="13:14">
      <c r="M185">
        <v>-0.94610799999999995</v>
      </c>
      <c r="N185">
        <v>17.899999999999999</v>
      </c>
    </row>
    <row r="186" spans="13:14">
      <c r="M186">
        <v>-0.94610799999999995</v>
      </c>
      <c r="N186">
        <v>18</v>
      </c>
    </row>
    <row r="187" spans="13:14">
      <c r="M187">
        <v>-0.94610799999999995</v>
      </c>
      <c r="N187">
        <v>18.100000000000001</v>
      </c>
    </row>
    <row r="188" spans="13:14">
      <c r="M188">
        <v>-0.94610799999999995</v>
      </c>
      <c r="N188">
        <v>18.2</v>
      </c>
    </row>
    <row r="189" spans="13:14">
      <c r="M189">
        <v>-0.94610799999999995</v>
      </c>
      <c r="N189">
        <v>18.3</v>
      </c>
    </row>
    <row r="190" spans="13:14">
      <c r="M190">
        <v>-0.94610799999999995</v>
      </c>
      <c r="N190">
        <v>18.399999999999999</v>
      </c>
    </row>
    <row r="191" spans="13:14">
      <c r="M191">
        <v>-0.94610799999999995</v>
      </c>
      <c r="N191">
        <v>18.5</v>
      </c>
    </row>
    <row r="192" spans="13:14">
      <c r="M192">
        <v>-0.94562608400000003</v>
      </c>
      <c r="N192">
        <v>18.600000000000001</v>
      </c>
    </row>
    <row r="193" spans="13:14">
      <c r="M193">
        <v>-0.94330527799999997</v>
      </c>
      <c r="N193">
        <v>18.7</v>
      </c>
    </row>
    <row r="194" spans="13:14">
      <c r="M194">
        <v>-0.94098447200000002</v>
      </c>
      <c r="N194">
        <v>18.8</v>
      </c>
    </row>
    <row r="195" spans="13:14">
      <c r="M195">
        <v>-0.93835794800000005</v>
      </c>
      <c r="N195">
        <v>18.899999999999999</v>
      </c>
    </row>
    <row r="196" spans="13:14">
      <c r="M196">
        <v>-0.93539408000000002</v>
      </c>
      <c r="N196">
        <v>19</v>
      </c>
    </row>
    <row r="197" spans="13:14">
      <c r="M197">
        <v>-0.93243021199999998</v>
      </c>
      <c r="N197">
        <v>19.100000000000001</v>
      </c>
    </row>
    <row r="198" spans="13:14">
      <c r="M198">
        <v>-0.93046132000000004</v>
      </c>
      <c r="N198">
        <v>19.2</v>
      </c>
    </row>
    <row r="199" spans="13:14">
      <c r="M199">
        <v>-0.92883627999999996</v>
      </c>
      <c r="N199">
        <v>19.3</v>
      </c>
    </row>
    <row r="200" spans="13:14">
      <c r="M200">
        <v>-0.92713795200000004</v>
      </c>
      <c r="N200">
        <v>19.399999999999999</v>
      </c>
    </row>
    <row r="201" spans="13:14">
      <c r="M201">
        <v>-0.91880706000000001</v>
      </c>
      <c r="N201">
        <v>19.5</v>
      </c>
    </row>
    <row r="202" spans="13:14">
      <c r="M202">
        <v>-0.91047616799999997</v>
      </c>
      <c r="N202">
        <v>19.600000000000001</v>
      </c>
    </row>
    <row r="203" spans="13:14">
      <c r="M203">
        <v>-0.90446700000000002</v>
      </c>
      <c r="N203">
        <v>19.7</v>
      </c>
    </row>
    <row r="204" spans="13:14">
      <c r="M204">
        <v>-0.90446700000000002</v>
      </c>
      <c r="N204">
        <v>19.8</v>
      </c>
    </row>
    <row r="205" spans="13:14">
      <c r="M205">
        <v>-0.90446700000000002</v>
      </c>
      <c r="N205">
        <v>19.899999999999999</v>
      </c>
    </row>
    <row r="206" spans="13:14">
      <c r="M206">
        <v>-0.90446700000000002</v>
      </c>
      <c r="N206">
        <v>20</v>
      </c>
    </row>
    <row r="207" spans="13:14">
      <c r="M207">
        <v>-0.90446700000000002</v>
      </c>
      <c r="N207">
        <v>20.100000000000001</v>
      </c>
    </row>
    <row r="208" spans="13:14">
      <c r="M208">
        <v>-0.90446700000000002</v>
      </c>
      <c r="N208">
        <v>20.2</v>
      </c>
    </row>
    <row r="209" spans="13:14">
      <c r="M209">
        <v>-0.90446700000000002</v>
      </c>
      <c r="N209">
        <v>20.3</v>
      </c>
    </row>
    <row r="210" spans="13:14">
      <c r="M210">
        <v>-0.90446700000000002</v>
      </c>
      <c r="N210">
        <v>20.399999999999999</v>
      </c>
    </row>
    <row r="211" spans="13:14">
      <c r="M211">
        <v>-0.90365192999999999</v>
      </c>
      <c r="N211">
        <v>20.5</v>
      </c>
    </row>
    <row r="212" spans="13:14">
      <c r="M212">
        <v>-0.89370807600000002</v>
      </c>
      <c r="N212">
        <v>20.6</v>
      </c>
    </row>
    <row r="213" spans="13:14">
      <c r="M213">
        <v>-0.88376422200000004</v>
      </c>
      <c r="N213">
        <v>20.7</v>
      </c>
    </row>
    <row r="214" spans="13:14">
      <c r="M214">
        <v>-0.87729800000000002</v>
      </c>
      <c r="N214">
        <v>20.8</v>
      </c>
    </row>
    <row r="215" spans="13:14">
      <c r="M215">
        <v>-0.87729800000000002</v>
      </c>
      <c r="N215">
        <v>20.9</v>
      </c>
    </row>
    <row r="216" spans="13:14">
      <c r="M216">
        <v>-0.87729800000000002</v>
      </c>
      <c r="N216">
        <v>21</v>
      </c>
    </row>
    <row r="217" spans="13:14">
      <c r="M217">
        <v>-0.87729800000000002</v>
      </c>
      <c r="N217">
        <v>21.1</v>
      </c>
    </row>
    <row r="218" spans="13:14">
      <c r="M218">
        <v>-0.87729800000000002</v>
      </c>
      <c r="N218">
        <v>21.2</v>
      </c>
    </row>
    <row r="219" spans="13:14">
      <c r="M219">
        <v>-0.87729800000000002</v>
      </c>
      <c r="N219">
        <v>21.3</v>
      </c>
    </row>
    <row r="220" spans="13:14">
      <c r="M220">
        <v>-0.855169124</v>
      </c>
      <c r="N220">
        <v>21.4</v>
      </c>
    </row>
    <row r="221" spans="13:14">
      <c r="M221">
        <v>-0.83017169000000002</v>
      </c>
      <c r="N221">
        <v>21.5</v>
      </c>
    </row>
    <row r="222" spans="13:14">
      <c r="M222">
        <v>-0.80425350399999995</v>
      </c>
      <c r="N222">
        <v>21.6</v>
      </c>
    </row>
    <row r="223" spans="13:14">
      <c r="M223">
        <v>-0.77323829799999999</v>
      </c>
      <c r="N223">
        <v>21.7</v>
      </c>
    </row>
    <row r="224" spans="13:14">
      <c r="M224">
        <v>-0.74222309200000003</v>
      </c>
      <c r="N224">
        <v>21.8</v>
      </c>
    </row>
    <row r="225" spans="13:14">
      <c r="M225">
        <v>-0.72425799999999996</v>
      </c>
      <c r="N225">
        <v>21.9</v>
      </c>
    </row>
    <row r="226" spans="13:14">
      <c r="M226">
        <v>-0.72425799999999996</v>
      </c>
      <c r="N226">
        <v>22</v>
      </c>
    </row>
    <row r="227" spans="13:14">
      <c r="M227">
        <v>-0.72425799999999996</v>
      </c>
      <c r="N227">
        <v>22.1</v>
      </c>
    </row>
    <row r="228" spans="13:14">
      <c r="M228">
        <v>-0.71252563599999996</v>
      </c>
      <c r="N228">
        <v>22.2</v>
      </c>
    </row>
    <row r="229" spans="13:14">
      <c r="M229">
        <v>-0.695485774</v>
      </c>
      <c r="N229">
        <v>22.3</v>
      </c>
    </row>
    <row r="230" spans="13:14">
      <c r="M230">
        <v>-0.67844591200000004</v>
      </c>
      <c r="N230">
        <v>22.4</v>
      </c>
    </row>
    <row r="231" spans="13:14">
      <c r="M231">
        <v>-0.67504240000000004</v>
      </c>
      <c r="N231">
        <v>22.5</v>
      </c>
    </row>
    <row r="232" spans="13:14">
      <c r="M232">
        <v>-0.672262264</v>
      </c>
      <c r="N232">
        <v>22.6</v>
      </c>
    </row>
    <row r="233" spans="13:14">
      <c r="M233">
        <v>-0.66814208399999997</v>
      </c>
      <c r="N233">
        <v>22.7</v>
      </c>
    </row>
    <row r="234" spans="13:14">
      <c r="M234">
        <v>-0.659380776</v>
      </c>
      <c r="N234">
        <v>22.8</v>
      </c>
    </row>
    <row r="235" spans="13:14">
      <c r="M235">
        <v>-0.65061946800000003</v>
      </c>
      <c r="N235">
        <v>22.9</v>
      </c>
    </row>
    <row r="236" spans="13:14">
      <c r="M236">
        <v>-0.64228547999999996</v>
      </c>
      <c r="N236">
        <v>23</v>
      </c>
    </row>
    <row r="237" spans="13:14">
      <c r="M237">
        <v>-0.63439305599999996</v>
      </c>
      <c r="N237">
        <v>23.1</v>
      </c>
    </row>
    <row r="238" spans="13:14">
      <c r="M238">
        <v>-0.62650063199999995</v>
      </c>
      <c r="N238">
        <v>23.2</v>
      </c>
    </row>
    <row r="239" spans="13:14">
      <c r="M239">
        <v>-0.61910555</v>
      </c>
      <c r="N239">
        <v>23.3</v>
      </c>
    </row>
    <row r="240" spans="13:14">
      <c r="M240">
        <v>-0.61186790000000002</v>
      </c>
      <c r="N240">
        <v>23.4</v>
      </c>
    </row>
    <row r="241" spans="13:14">
      <c r="M241">
        <v>-0.60464311999999998</v>
      </c>
      <c r="N241">
        <v>23.5</v>
      </c>
    </row>
    <row r="242" spans="13:14">
      <c r="M242">
        <v>-0.59787651200000003</v>
      </c>
      <c r="N242">
        <v>23.6</v>
      </c>
    </row>
    <row r="243" spans="13:14">
      <c r="M243">
        <v>-0.59110990399999996</v>
      </c>
      <c r="N243">
        <v>23.7</v>
      </c>
    </row>
    <row r="244" spans="13:14">
      <c r="M244">
        <v>-0.58633999999999997</v>
      </c>
      <c r="N244">
        <v>23.8</v>
      </c>
    </row>
    <row r="245" spans="13:14">
      <c r="M245">
        <v>-0.58633999999999997</v>
      </c>
      <c r="N245">
        <v>23.9</v>
      </c>
    </row>
    <row r="246" spans="13:14">
      <c r="M246">
        <v>-0.58633999999999997</v>
      </c>
      <c r="N246">
        <v>24</v>
      </c>
    </row>
    <row r="247" spans="13:14">
      <c r="M247">
        <v>-0.58633999999999997</v>
      </c>
      <c r="N247">
        <v>24.1</v>
      </c>
    </row>
    <row r="248" spans="13:14">
      <c r="M248">
        <v>-0.58633999999999997</v>
      </c>
      <c r="N248">
        <v>24.2</v>
      </c>
    </row>
    <row r="249" spans="13:14">
      <c r="M249">
        <v>-0.58633999999999997</v>
      </c>
      <c r="N249">
        <v>24.3</v>
      </c>
    </row>
    <row r="250" spans="13:14">
      <c r="M250">
        <v>-0.58633999999999997</v>
      </c>
      <c r="N250">
        <v>24.4</v>
      </c>
    </row>
    <row r="251" spans="13:14">
      <c r="M251">
        <v>-0.58633999999999997</v>
      </c>
      <c r="N251">
        <v>24.5</v>
      </c>
    </row>
    <row r="252" spans="13:14">
      <c r="M252">
        <v>-0.58616914399999998</v>
      </c>
      <c r="N252">
        <v>24.6</v>
      </c>
    </row>
    <row r="253" spans="13:14">
      <c r="M253">
        <v>-0.58443210800000001</v>
      </c>
      <c r="N253">
        <v>24.7</v>
      </c>
    </row>
    <row r="254" spans="13:14">
      <c r="M254">
        <v>-0.58269507200000004</v>
      </c>
      <c r="N254">
        <v>24.8</v>
      </c>
    </row>
    <row r="255" spans="13:14">
      <c r="M255">
        <v>-0.58159400000000006</v>
      </c>
      <c r="N255">
        <v>24.9</v>
      </c>
    </row>
    <row r="256" spans="13:14">
      <c r="M256">
        <v>-0.58159400000000006</v>
      </c>
      <c r="N256">
        <v>25</v>
      </c>
    </row>
    <row r="257" spans="13:14">
      <c r="M257">
        <v>-0.58159400000000006</v>
      </c>
      <c r="N257">
        <v>25.1</v>
      </c>
    </row>
    <row r="258" spans="13:14">
      <c r="M258">
        <v>-0.58159400000000006</v>
      </c>
      <c r="N258">
        <v>25.2</v>
      </c>
    </row>
    <row r="259" spans="13:14">
      <c r="M259">
        <v>-0.58159400000000006</v>
      </c>
      <c r="N259">
        <v>25.3</v>
      </c>
    </row>
    <row r="260" spans="13:14">
      <c r="M260">
        <v>-0.58159400000000006</v>
      </c>
      <c r="N260">
        <v>25.4</v>
      </c>
    </row>
    <row r="261" spans="13:14">
      <c r="M261">
        <v>-0.58159400000000006</v>
      </c>
      <c r="N261">
        <v>25.5</v>
      </c>
    </row>
    <row r="262" spans="13:14">
      <c r="M262">
        <v>-0.58159400000000006</v>
      </c>
      <c r="N262">
        <v>25.6</v>
      </c>
    </row>
    <row r="263" spans="13:14">
      <c r="M263">
        <v>-0.58159400000000006</v>
      </c>
      <c r="N263">
        <v>25.7</v>
      </c>
    </row>
    <row r="264" spans="13:14">
      <c r="M264">
        <v>-0.58159400000000006</v>
      </c>
      <c r="N264">
        <v>25.8</v>
      </c>
    </row>
    <row r="265" spans="13:14">
      <c r="M265">
        <v>-0.58159400000000006</v>
      </c>
      <c r="N265">
        <v>25.9</v>
      </c>
    </row>
    <row r="266" spans="13:14">
      <c r="M266">
        <v>-0.58159400000000006</v>
      </c>
      <c r="N266">
        <v>26</v>
      </c>
    </row>
    <row r="267" spans="13:14">
      <c r="M267">
        <v>-0.58159400000000006</v>
      </c>
      <c r="N267">
        <v>26.1</v>
      </c>
    </row>
    <row r="268" spans="13:14">
      <c r="M268">
        <v>-0.58159400000000006</v>
      </c>
      <c r="N268">
        <v>26.2</v>
      </c>
    </row>
    <row r="269" spans="13:14">
      <c r="M269">
        <v>-0.57826528399999999</v>
      </c>
      <c r="N269">
        <v>26.3</v>
      </c>
    </row>
    <row r="270" spans="13:14">
      <c r="M270">
        <v>-0.57354315199999995</v>
      </c>
      <c r="N270">
        <v>26.4</v>
      </c>
    </row>
    <row r="271" spans="13:14">
      <c r="M271">
        <v>-0.56882102000000001</v>
      </c>
      <c r="N271">
        <v>26.5</v>
      </c>
    </row>
    <row r="272" spans="13:14">
      <c r="M272">
        <v>-0.56869199999999998</v>
      </c>
      <c r="N272">
        <v>26.6</v>
      </c>
    </row>
    <row r="273" spans="13:14">
      <c r="M273">
        <v>-0.56869199999999998</v>
      </c>
      <c r="N273">
        <v>26.7</v>
      </c>
    </row>
    <row r="274" spans="13:14">
      <c r="M274">
        <v>-0.56717593600000005</v>
      </c>
      <c r="N274">
        <v>26.8</v>
      </c>
    </row>
    <row r="275" spans="13:14">
      <c r="M275">
        <v>-0.56087048799999994</v>
      </c>
      <c r="N275">
        <v>26.9</v>
      </c>
    </row>
    <row r="276" spans="13:14">
      <c r="M276">
        <v>-0.55456503999999995</v>
      </c>
      <c r="N276">
        <v>27</v>
      </c>
    </row>
    <row r="277" spans="13:14">
      <c r="M277">
        <v>-0.55146399999999995</v>
      </c>
      <c r="N277">
        <v>27.1</v>
      </c>
    </row>
    <row r="278" spans="13:14">
      <c r="M278">
        <v>-0.55146399999999995</v>
      </c>
      <c r="N278">
        <v>27.2</v>
      </c>
    </row>
    <row r="279" spans="13:14">
      <c r="M279">
        <v>-0.55146399999999995</v>
      </c>
      <c r="N279">
        <v>27.3</v>
      </c>
    </row>
    <row r="280" spans="13:14">
      <c r="M280">
        <v>-0.546536032</v>
      </c>
      <c r="N280">
        <v>27.4</v>
      </c>
    </row>
    <row r="281" spans="13:14">
      <c r="M281">
        <v>-0.54018520000000003</v>
      </c>
      <c r="N281">
        <v>27.5</v>
      </c>
    </row>
    <row r="282" spans="13:14">
      <c r="M282">
        <v>-0.53383263999999997</v>
      </c>
      <c r="N282">
        <v>27.6</v>
      </c>
    </row>
    <row r="283" spans="13:14">
      <c r="M283">
        <v>-0.52744228000000004</v>
      </c>
      <c r="N283">
        <v>27.7</v>
      </c>
    </row>
    <row r="284" spans="13:14">
      <c r="M284">
        <v>-0.52105192</v>
      </c>
      <c r="N284">
        <v>27.8</v>
      </c>
    </row>
    <row r="285" spans="13:14">
      <c r="M285">
        <v>-0.51455690799999998</v>
      </c>
      <c r="N285">
        <v>27.9</v>
      </c>
    </row>
    <row r="286" spans="13:14">
      <c r="M286">
        <v>-0.50783056000000004</v>
      </c>
      <c r="N286">
        <v>28</v>
      </c>
    </row>
    <row r="287" spans="13:14">
      <c r="M287">
        <v>-0.50110421199999999</v>
      </c>
      <c r="N287">
        <v>28.1</v>
      </c>
    </row>
    <row r="288" spans="13:14">
      <c r="M288">
        <v>-0.49827399999999999</v>
      </c>
      <c r="N288">
        <v>28.2</v>
      </c>
    </row>
    <row r="289" spans="13:14">
      <c r="M289">
        <v>-0.49827399999999999</v>
      </c>
      <c r="N289">
        <v>28.3</v>
      </c>
    </row>
    <row r="290" spans="13:14">
      <c r="M290">
        <v>-0.49827399999999999</v>
      </c>
      <c r="N290">
        <v>28.4</v>
      </c>
    </row>
    <row r="291" spans="13:14">
      <c r="M291">
        <v>-0.49827399999999999</v>
      </c>
      <c r="N291">
        <v>28.5</v>
      </c>
    </row>
    <row r="292" spans="13:14">
      <c r="M292">
        <v>-0.49827399999999999</v>
      </c>
      <c r="N292">
        <v>28.6</v>
      </c>
    </row>
    <row r="293" spans="13:14">
      <c r="M293">
        <v>-0.49827399999999999</v>
      </c>
      <c r="N293">
        <v>28.7</v>
      </c>
    </row>
    <row r="294" spans="13:14">
      <c r="M294">
        <v>-0.49827399999999999</v>
      </c>
      <c r="N294">
        <v>28.8</v>
      </c>
    </row>
    <row r="295" spans="13:14">
      <c r="M295">
        <v>-0.49827399999999999</v>
      </c>
      <c r="N295">
        <v>28.9</v>
      </c>
    </row>
    <row r="296" spans="13:14">
      <c r="M296">
        <v>-0.49553868000000001</v>
      </c>
      <c r="N296">
        <v>29</v>
      </c>
    </row>
    <row r="297" spans="13:14">
      <c r="M297">
        <v>-0.488387772</v>
      </c>
      <c r="N297">
        <v>29.1</v>
      </c>
    </row>
    <row r="298" spans="13:14">
      <c r="M298">
        <v>-0.48123686399999999</v>
      </c>
      <c r="N298">
        <v>29.2</v>
      </c>
    </row>
    <row r="299" spans="13:14">
      <c r="M299">
        <v>-0.47873599999999999</v>
      </c>
      <c r="N299">
        <v>29.3</v>
      </c>
    </row>
    <row r="300" spans="13:14">
      <c r="M300">
        <v>-0.47873599999999999</v>
      </c>
      <c r="N300">
        <v>29.4</v>
      </c>
    </row>
    <row r="301" spans="13:14">
      <c r="M301">
        <v>-0.47873599999999999</v>
      </c>
      <c r="N301">
        <v>29.5</v>
      </c>
    </row>
    <row r="302" spans="13:14">
      <c r="M302">
        <v>-0.47873599999999999</v>
      </c>
      <c r="N302">
        <v>29.6</v>
      </c>
    </row>
    <row r="303" spans="13:14">
      <c r="M303">
        <v>-0.47873599999999999</v>
      </c>
      <c r="N303">
        <v>29.7</v>
      </c>
    </row>
    <row r="304" spans="13:14">
      <c r="M304">
        <v>-0.47873599999999999</v>
      </c>
      <c r="N304">
        <v>29.8</v>
      </c>
    </row>
    <row r="305" spans="13:14">
      <c r="M305">
        <v>-0.47873599999999999</v>
      </c>
      <c r="N305">
        <v>29.9</v>
      </c>
    </row>
    <row r="306" spans="13:14">
      <c r="M306">
        <v>-0.47873599999999999</v>
      </c>
      <c r="N306">
        <v>30</v>
      </c>
    </row>
    <row r="307" spans="13:14">
      <c r="M307">
        <v>-0.47873599999999999</v>
      </c>
      <c r="N307">
        <v>30.1</v>
      </c>
    </row>
    <row r="308" spans="13:14">
      <c r="M308">
        <v>-0.47873599999999999</v>
      </c>
      <c r="N308">
        <v>30.2</v>
      </c>
    </row>
    <row r="309" spans="13:14">
      <c r="M309">
        <v>-0.47873599999999999</v>
      </c>
      <c r="N309">
        <v>30.3</v>
      </c>
    </row>
    <row r="310" spans="13:14">
      <c r="M310">
        <v>-0.47317880000000001</v>
      </c>
      <c r="N310">
        <v>30.4</v>
      </c>
    </row>
    <row r="311" spans="13:14">
      <c r="M311">
        <v>-0.46547450000000001</v>
      </c>
      <c r="N311">
        <v>30.5</v>
      </c>
    </row>
    <row r="312" spans="13:14">
      <c r="M312">
        <v>-0.45777020000000002</v>
      </c>
      <c r="N312">
        <v>30.6</v>
      </c>
    </row>
    <row r="313" spans="13:14">
      <c r="M313">
        <v>-0.45282289199999998</v>
      </c>
      <c r="N313">
        <v>30.7</v>
      </c>
    </row>
    <row r="314" spans="13:14">
      <c r="M314">
        <v>-0.447906048</v>
      </c>
      <c r="N314">
        <v>30.8</v>
      </c>
    </row>
    <row r="315" spans="13:14">
      <c r="M315">
        <v>-0.44425199999999998</v>
      </c>
      <c r="N315">
        <v>30.9</v>
      </c>
    </row>
    <row r="316" spans="13:14">
      <c r="M316">
        <v>-0.44425199999999998</v>
      </c>
      <c r="N316">
        <v>31</v>
      </c>
    </row>
    <row r="317" spans="13:14">
      <c r="M317">
        <v>-0.44425199999999998</v>
      </c>
      <c r="N317">
        <v>31.1</v>
      </c>
    </row>
    <row r="318" spans="13:14">
      <c r="M318">
        <v>-0.43251023999999999</v>
      </c>
      <c r="N318">
        <v>31.2</v>
      </c>
    </row>
    <row r="319" spans="13:14">
      <c r="M319">
        <v>-0.41012750999999997</v>
      </c>
      <c r="N319">
        <v>31.3</v>
      </c>
    </row>
    <row r="320" spans="13:14">
      <c r="M320">
        <v>-0.38774478000000001</v>
      </c>
      <c r="N320">
        <v>31.4</v>
      </c>
    </row>
    <row r="321" spans="13:14">
      <c r="M321">
        <v>-0.38309700000000002</v>
      </c>
      <c r="N321">
        <v>31.5</v>
      </c>
    </row>
    <row r="322" spans="13:14">
      <c r="M322">
        <v>-0.38309700000000002</v>
      </c>
      <c r="N322">
        <v>31.6</v>
      </c>
    </row>
    <row r="323" spans="13:14">
      <c r="M323">
        <v>-0.38309700000000002</v>
      </c>
      <c r="N323">
        <v>31.7</v>
      </c>
    </row>
    <row r="324" spans="13:14">
      <c r="M324">
        <v>-0.38309700000000002</v>
      </c>
      <c r="N324">
        <v>31.8</v>
      </c>
    </row>
    <row r="325" spans="13:14">
      <c r="M325">
        <v>-0.38309700000000002</v>
      </c>
      <c r="N325">
        <v>31.9</v>
      </c>
    </row>
    <row r="326" spans="13:14">
      <c r="M326">
        <v>-0.38309700000000002</v>
      </c>
      <c r="N326">
        <v>32</v>
      </c>
    </row>
    <row r="327" spans="13:14">
      <c r="M327">
        <v>-0.38309700000000002</v>
      </c>
      <c r="N327">
        <v>32.1</v>
      </c>
    </row>
    <row r="328" spans="13:14">
      <c r="M328">
        <v>-0.38309700000000002</v>
      </c>
      <c r="N328">
        <v>32.200000000000003</v>
      </c>
    </row>
    <row r="329" spans="13:14">
      <c r="M329">
        <v>-0.37897134999999998</v>
      </c>
      <c r="N329">
        <v>32.299999999999997</v>
      </c>
    </row>
    <row r="330" spans="13:14">
      <c r="M330">
        <v>-0.37204480000000001</v>
      </c>
      <c r="N330">
        <v>32.4</v>
      </c>
    </row>
    <row r="331" spans="13:14">
      <c r="M331">
        <v>-0.36511824999999998</v>
      </c>
      <c r="N331">
        <v>32.5</v>
      </c>
    </row>
    <row r="332" spans="13:14">
      <c r="M332">
        <v>-0.35140559999999998</v>
      </c>
      <c r="N332">
        <v>32.6</v>
      </c>
    </row>
    <row r="333" spans="13:14">
      <c r="M333">
        <v>-0.33661920000000001</v>
      </c>
      <c r="N333">
        <v>32.700000000000003</v>
      </c>
    </row>
    <row r="334" spans="13:14">
      <c r="M334">
        <v>-0.32225126399999998</v>
      </c>
      <c r="N334">
        <v>32.799999999999997</v>
      </c>
    </row>
    <row r="335" spans="13:14">
      <c r="M335">
        <v>-0.310655652</v>
      </c>
      <c r="N335">
        <v>32.9</v>
      </c>
    </row>
    <row r="336" spans="13:14">
      <c r="M336">
        <v>-0.29906004000000003</v>
      </c>
      <c r="N336">
        <v>33</v>
      </c>
    </row>
    <row r="337" spans="13:14">
      <c r="M337">
        <v>-0.29209000000000002</v>
      </c>
      <c r="N337">
        <v>33.1</v>
      </c>
    </row>
    <row r="338" spans="13:14">
      <c r="M338">
        <v>-0.29209000000000002</v>
      </c>
      <c r="N338">
        <v>33.200000000000003</v>
      </c>
    </row>
    <row r="339" spans="13:14">
      <c r="M339">
        <v>-0.29209000000000002</v>
      </c>
      <c r="N339">
        <v>33.299999999999997</v>
      </c>
    </row>
    <row r="340" spans="13:14">
      <c r="M340">
        <v>-0.29209000000000002</v>
      </c>
      <c r="N340">
        <v>33.4</v>
      </c>
    </row>
    <row r="341" spans="13:14">
      <c r="M341">
        <v>-0.29209000000000002</v>
      </c>
      <c r="N341">
        <v>33.5</v>
      </c>
    </row>
    <row r="342" spans="13:14">
      <c r="M342">
        <v>-0.29209000000000002</v>
      </c>
      <c r="N342">
        <v>33.6</v>
      </c>
    </row>
    <row r="343" spans="13:14">
      <c r="M343">
        <v>-0.29209000000000002</v>
      </c>
      <c r="N343">
        <v>33.700000000000003</v>
      </c>
    </row>
    <row r="344" spans="13:14">
      <c r="M344">
        <v>-0.29209000000000002</v>
      </c>
      <c r="N344">
        <v>33.799999999999997</v>
      </c>
    </row>
    <row r="345" spans="13:14">
      <c r="M345">
        <v>-0.29147580000000001</v>
      </c>
      <c r="N345">
        <v>33.9</v>
      </c>
    </row>
    <row r="346" spans="13:14">
      <c r="M346">
        <v>-0.28843800000000003</v>
      </c>
      <c r="N346">
        <v>34</v>
      </c>
    </row>
    <row r="347" spans="13:14">
      <c r="M347">
        <v>-0.28540019999999999</v>
      </c>
      <c r="N347">
        <v>34.1</v>
      </c>
    </row>
    <row r="348" spans="13:14">
      <c r="M348">
        <v>-0.27966234400000001</v>
      </c>
      <c r="N348">
        <v>34.200000000000003</v>
      </c>
    </row>
    <row r="349" spans="13:14">
      <c r="M349">
        <v>-0.270879076</v>
      </c>
      <c r="N349">
        <v>34.299999999999997</v>
      </c>
    </row>
    <row r="350" spans="13:14">
      <c r="M350">
        <v>-0.26209580799999999</v>
      </c>
      <c r="N350">
        <v>34.4</v>
      </c>
    </row>
    <row r="351" spans="13:14">
      <c r="M351">
        <v>-0.25979200000000002</v>
      </c>
      <c r="N351">
        <v>34.5</v>
      </c>
    </row>
    <row r="352" spans="13:14">
      <c r="M352">
        <v>-0.25979200000000002</v>
      </c>
      <c r="N352">
        <v>34.6</v>
      </c>
    </row>
    <row r="353" spans="13:14">
      <c r="M353">
        <v>-0.25979200000000002</v>
      </c>
      <c r="N353">
        <v>34.700000000000003</v>
      </c>
    </row>
    <row r="354" spans="13:14">
      <c r="M354">
        <v>-0.25979200000000002</v>
      </c>
      <c r="N354">
        <v>34.799999999999997</v>
      </c>
    </row>
    <row r="355" spans="13:14">
      <c r="M355">
        <v>-0.25979200000000002</v>
      </c>
      <c r="N355">
        <v>34.9</v>
      </c>
    </row>
    <row r="356" spans="13:14">
      <c r="M356">
        <v>-0.25953270000000001</v>
      </c>
      <c r="N356">
        <v>35</v>
      </c>
    </row>
    <row r="357" spans="13:14">
      <c r="M357">
        <v>-0.25858366199999999</v>
      </c>
      <c r="N357">
        <v>35.1</v>
      </c>
    </row>
    <row r="358" spans="13:14">
      <c r="M358">
        <v>-0.25763462399999998</v>
      </c>
      <c r="N358">
        <v>35.200000000000003</v>
      </c>
    </row>
    <row r="359" spans="13:14">
      <c r="M359">
        <v>-0.25719900000000001</v>
      </c>
      <c r="N359">
        <v>35.299999999999997</v>
      </c>
    </row>
    <row r="360" spans="13:14">
      <c r="M360">
        <v>-0.25719900000000001</v>
      </c>
      <c r="N360">
        <v>35.4</v>
      </c>
    </row>
    <row r="361" spans="13:14">
      <c r="M361">
        <v>-0.25719900000000001</v>
      </c>
      <c r="N361">
        <v>35.5</v>
      </c>
    </row>
    <row r="362" spans="13:14">
      <c r="M362">
        <v>-0.24983392800000001</v>
      </c>
      <c r="N362">
        <v>35.6</v>
      </c>
    </row>
    <row r="363" spans="13:14">
      <c r="M363">
        <v>-0.24072711599999999</v>
      </c>
      <c r="N363">
        <v>35.700000000000003</v>
      </c>
    </row>
    <row r="364" spans="13:14">
      <c r="M364">
        <v>-0.23218246000000001</v>
      </c>
      <c r="N364">
        <v>35.799999999999997</v>
      </c>
    </row>
    <row r="365" spans="13:14">
      <c r="M365">
        <v>-0.23042383</v>
      </c>
      <c r="N365">
        <v>35.9</v>
      </c>
    </row>
    <row r="366" spans="13:14">
      <c r="M366">
        <v>-0.22866520000000001</v>
      </c>
      <c r="N366">
        <v>36</v>
      </c>
    </row>
    <row r="367" spans="13:14">
      <c r="M367">
        <v>-0.22512795399999999</v>
      </c>
      <c r="N367">
        <v>36.1</v>
      </c>
    </row>
    <row r="368" spans="13:14">
      <c r="M368">
        <v>-0.21820286799999999</v>
      </c>
      <c r="N368">
        <v>36.200000000000003</v>
      </c>
    </row>
    <row r="369" spans="13:14">
      <c r="M369">
        <v>-0.211277782</v>
      </c>
      <c r="N369">
        <v>36.299999999999997</v>
      </c>
    </row>
    <row r="370" spans="13:14">
      <c r="M370">
        <v>-0.208591</v>
      </c>
      <c r="N370">
        <v>36.4</v>
      </c>
    </row>
    <row r="371" spans="13:14">
      <c r="M371">
        <v>-0.208591</v>
      </c>
      <c r="N371">
        <v>36.5</v>
      </c>
    </row>
    <row r="372" spans="13:14">
      <c r="M372">
        <v>-0.208591</v>
      </c>
      <c r="N372">
        <v>36.6</v>
      </c>
    </row>
    <row r="373" spans="13:14">
      <c r="M373">
        <v>-0.20449548200000001</v>
      </c>
      <c r="N373">
        <v>36.700000000000003</v>
      </c>
    </row>
    <row r="374" spans="13:14">
      <c r="M374">
        <v>-0.19984032800000001</v>
      </c>
      <c r="N374">
        <v>36.799999999999997</v>
      </c>
    </row>
    <row r="375" spans="13:14">
      <c r="M375">
        <v>-0.19543184599999999</v>
      </c>
      <c r="N375">
        <v>36.9</v>
      </c>
    </row>
    <row r="376" spans="13:14">
      <c r="M376">
        <v>-0.19244858000000001</v>
      </c>
      <c r="N376">
        <v>37</v>
      </c>
    </row>
    <row r="377" spans="13:14">
      <c r="M377">
        <v>-0.189465314</v>
      </c>
      <c r="N377">
        <v>37.1</v>
      </c>
    </row>
    <row r="378" spans="13:14">
      <c r="M378">
        <v>-0.18739663200000001</v>
      </c>
      <c r="N378">
        <v>37.200000000000003</v>
      </c>
    </row>
    <row r="379" spans="13:14">
      <c r="M379">
        <v>-0.186615588</v>
      </c>
      <c r="N379">
        <v>37.299999999999997</v>
      </c>
    </row>
    <row r="380" spans="13:14">
      <c r="M380">
        <v>-0.18583454399999999</v>
      </c>
      <c r="N380">
        <v>37.4</v>
      </c>
    </row>
    <row r="381" spans="13:14">
      <c r="M381">
        <v>-0.185587</v>
      </c>
      <c r="N381">
        <v>37.5</v>
      </c>
    </row>
    <row r="382" spans="13:14">
      <c r="M382">
        <v>-0.185587</v>
      </c>
      <c r="N382">
        <v>37.6</v>
      </c>
    </row>
    <row r="383" spans="13:14">
      <c r="M383">
        <v>-0.185587</v>
      </c>
      <c r="N383">
        <v>37.700000000000003</v>
      </c>
    </row>
    <row r="384" spans="13:14">
      <c r="M384">
        <v>-0.185587</v>
      </c>
      <c r="N384">
        <v>37.799999999999997</v>
      </c>
    </row>
    <row r="385" spans="13:14">
      <c r="M385">
        <v>-0.185587</v>
      </c>
      <c r="N385">
        <v>37.9</v>
      </c>
    </row>
    <row r="386" spans="13:14">
      <c r="M386">
        <v>-0.18397284</v>
      </c>
      <c r="N386">
        <v>38</v>
      </c>
    </row>
    <row r="387" spans="13:14">
      <c r="M387">
        <v>-0.17658805799999999</v>
      </c>
      <c r="N387">
        <v>38.1</v>
      </c>
    </row>
    <row r="388" spans="13:14">
      <c r="M388">
        <v>-0.16920327600000001</v>
      </c>
      <c r="N388">
        <v>38.200000000000003</v>
      </c>
    </row>
    <row r="389" spans="13:14">
      <c r="M389">
        <v>-0.16541</v>
      </c>
      <c r="N389">
        <v>38.299999999999997</v>
      </c>
    </row>
    <row r="390" spans="13:14">
      <c r="M390">
        <v>-0.16541</v>
      </c>
      <c r="N390">
        <v>38.4</v>
      </c>
    </row>
    <row r="391" spans="13:14">
      <c r="M391">
        <v>-0.16541</v>
      </c>
      <c r="N391">
        <v>38.5</v>
      </c>
    </row>
    <row r="392" spans="13:14">
      <c r="M392">
        <v>-0.16541</v>
      </c>
      <c r="N392">
        <v>38.6</v>
      </c>
    </row>
    <row r="393" spans="13:14">
      <c r="M393">
        <v>-0.16541</v>
      </c>
      <c r="N393">
        <v>38.700000000000003</v>
      </c>
    </row>
    <row r="394" spans="13:14">
      <c r="M394">
        <v>-0.16541</v>
      </c>
      <c r="N394">
        <v>38.799999999999997</v>
      </c>
    </row>
    <row r="395" spans="13:14">
      <c r="M395">
        <v>-0.16541</v>
      </c>
      <c r="N395">
        <v>38.9</v>
      </c>
    </row>
    <row r="396" spans="13:14">
      <c r="M396">
        <v>-0.16541</v>
      </c>
      <c r="N396">
        <v>39</v>
      </c>
    </row>
    <row r="397" spans="13:14">
      <c r="M397">
        <v>-0.16541</v>
      </c>
      <c r="N397">
        <v>39.1</v>
      </c>
    </row>
    <row r="398" spans="13:14">
      <c r="M398">
        <v>-0.16541</v>
      </c>
      <c r="N398">
        <v>39.200000000000003</v>
      </c>
    </row>
    <row r="399" spans="13:14">
      <c r="M399">
        <v>-0.16541</v>
      </c>
      <c r="N399">
        <v>39.299999999999997</v>
      </c>
    </row>
    <row r="400" spans="13:14">
      <c r="M400">
        <v>-0.16541</v>
      </c>
      <c r="N400">
        <v>39.4</v>
      </c>
    </row>
    <row r="401" spans="13:14">
      <c r="M401">
        <v>-0.16541</v>
      </c>
      <c r="N401">
        <v>39.5</v>
      </c>
    </row>
    <row r="402" spans="13:14">
      <c r="M402">
        <v>-0.16541</v>
      </c>
      <c r="N402">
        <v>39.6</v>
      </c>
    </row>
    <row r="403" spans="13:14">
      <c r="M403">
        <v>-0.16466768400000001</v>
      </c>
      <c r="N403">
        <v>39.700000000000003</v>
      </c>
    </row>
    <row r="404" spans="13:14">
      <c r="M404">
        <v>-0.163768056</v>
      </c>
      <c r="N404">
        <v>39.799999999999997</v>
      </c>
    </row>
    <row r="405" spans="13:14">
      <c r="M405">
        <v>-0.162184892</v>
      </c>
      <c r="N405">
        <v>39.9</v>
      </c>
    </row>
    <row r="406" spans="13:14">
      <c r="M406">
        <v>-0.15392719999999999</v>
      </c>
      <c r="N406">
        <v>40</v>
      </c>
    </row>
    <row r="407" spans="13:14">
      <c r="M407">
        <v>-0.145669508</v>
      </c>
      <c r="N407">
        <v>40.1</v>
      </c>
    </row>
    <row r="408" spans="13:14">
      <c r="M408">
        <v>-0.13988378000000001</v>
      </c>
      <c r="N408">
        <v>40.200000000000003</v>
      </c>
    </row>
    <row r="409" spans="13:14">
      <c r="M409">
        <v>-0.13848017000000001</v>
      </c>
      <c r="N409">
        <v>40.299999999999997</v>
      </c>
    </row>
    <row r="410" spans="13:14">
      <c r="M410">
        <v>-0.13707655999999999</v>
      </c>
      <c r="N410">
        <v>40.4</v>
      </c>
    </row>
    <row r="411" spans="13:14">
      <c r="M411">
        <v>-0.13655500000000001</v>
      </c>
      <c r="N411">
        <v>40.5</v>
      </c>
    </row>
    <row r="412" spans="13:14">
      <c r="M412">
        <v>-0.13655500000000001</v>
      </c>
      <c r="N412">
        <v>40.6</v>
      </c>
    </row>
    <row r="413" spans="13:14">
      <c r="M413">
        <v>-0.13655500000000001</v>
      </c>
      <c r="N413">
        <v>40.700000000000003</v>
      </c>
    </row>
    <row r="414" spans="13:14">
      <c r="M414">
        <v>-0.13655500000000001</v>
      </c>
      <c r="N414">
        <v>40.799999999999997</v>
      </c>
    </row>
    <row r="415" spans="13:14">
      <c r="M415">
        <v>-0.13655500000000001</v>
      </c>
      <c r="N415">
        <v>40.9</v>
      </c>
    </row>
    <row r="416" spans="13:14">
      <c r="M416">
        <v>-0.13655500000000001</v>
      </c>
      <c r="N416">
        <v>41</v>
      </c>
    </row>
    <row r="417" spans="13:14">
      <c r="M417">
        <v>-0.13655500000000001</v>
      </c>
      <c r="N417">
        <v>41.1</v>
      </c>
    </row>
    <row r="418" spans="13:14">
      <c r="M418">
        <v>-0.13655500000000001</v>
      </c>
      <c r="N418">
        <v>41.2</v>
      </c>
    </row>
    <row r="419" spans="13:14">
      <c r="M419">
        <v>-0.13356832599999999</v>
      </c>
      <c r="N419">
        <v>41.3</v>
      </c>
    </row>
    <row r="420" spans="13:14">
      <c r="M420">
        <v>-0.12664982799999999</v>
      </c>
      <c r="N420">
        <v>41.4</v>
      </c>
    </row>
    <row r="421" spans="13:14">
      <c r="M421">
        <v>-0.11973133</v>
      </c>
      <c r="N421">
        <v>41.5</v>
      </c>
    </row>
    <row r="422" spans="13:14">
      <c r="M422">
        <v>-0.11173328</v>
      </c>
      <c r="N422">
        <v>41.6</v>
      </c>
    </row>
    <row r="423" spans="13:14">
      <c r="M423">
        <v>-0.10327136000000001</v>
      </c>
      <c r="N423">
        <v>41.7</v>
      </c>
    </row>
    <row r="424" spans="13:14">
      <c r="M424">
        <v>-9.4809439999999995E-2</v>
      </c>
      <c r="N424">
        <v>41.8</v>
      </c>
    </row>
    <row r="425" spans="13:14">
      <c r="M425">
        <v>-9.4532000000000005E-2</v>
      </c>
      <c r="N425">
        <v>41.9</v>
      </c>
    </row>
    <row r="426" spans="13:14">
      <c r="M426">
        <v>-9.4532000000000005E-2</v>
      </c>
      <c r="N426">
        <v>42</v>
      </c>
    </row>
    <row r="427" spans="13:14">
      <c r="M427">
        <v>-9.0403312000000804E-2</v>
      </c>
      <c r="N427">
        <v>42.1</v>
      </c>
    </row>
    <row r="428" spans="13:14">
      <c r="M428">
        <v>-7.2832384000000097E-2</v>
      </c>
      <c r="N428">
        <v>42.2</v>
      </c>
    </row>
    <row r="429" spans="13:14">
      <c r="M429">
        <v>-5.5261456000000798E-2</v>
      </c>
      <c r="N429">
        <v>42.3</v>
      </c>
    </row>
    <row r="430" spans="13:14">
      <c r="M430">
        <v>-4.6524000000000003E-2</v>
      </c>
      <c r="N430">
        <v>42.4</v>
      </c>
    </row>
    <row r="431" spans="13:14">
      <c r="M431">
        <v>-4.6524000000000003E-2</v>
      </c>
      <c r="N431">
        <v>42.5</v>
      </c>
    </row>
    <row r="432" spans="13:14">
      <c r="M432">
        <v>-4.6524000000000003E-2</v>
      </c>
      <c r="N432">
        <v>42.6</v>
      </c>
    </row>
    <row r="433" spans="13:14">
      <c r="M433">
        <v>-4.50279899999999E-2</v>
      </c>
      <c r="N433">
        <v>42.7</v>
      </c>
    </row>
    <row r="434" spans="13:14">
      <c r="M434">
        <v>-4.3086359999999997E-2</v>
      </c>
      <c r="N434">
        <v>42.8</v>
      </c>
    </row>
    <row r="435" spans="13:14">
      <c r="M435">
        <v>-4.0942303999999798E-2</v>
      </c>
      <c r="N435">
        <v>42.9</v>
      </c>
    </row>
    <row r="436" spans="13:14">
      <c r="M436">
        <v>-3.3708680000000102E-2</v>
      </c>
      <c r="N436">
        <v>43</v>
      </c>
    </row>
    <row r="437" spans="13:14">
      <c r="M437">
        <v>-2.6475055999999799E-2</v>
      </c>
      <c r="N437">
        <v>43.1</v>
      </c>
    </row>
    <row r="438" spans="13:14">
      <c r="M438">
        <v>-2.1454999999999998E-2</v>
      </c>
      <c r="N438">
        <v>43.2</v>
      </c>
    </row>
    <row r="439" spans="13:14">
      <c r="M439">
        <v>-2.1454999999999998E-2</v>
      </c>
      <c r="N439">
        <v>43.3</v>
      </c>
    </row>
    <row r="440" spans="13:14">
      <c r="M440">
        <v>-2.1454999999999998E-2</v>
      </c>
      <c r="N440">
        <v>43.4</v>
      </c>
    </row>
    <row r="441" spans="13:14">
      <c r="M441">
        <v>-2.1454999999999998E-2</v>
      </c>
      <c r="N441">
        <v>43.5</v>
      </c>
    </row>
    <row r="442" spans="13:14">
      <c r="M442">
        <v>-2.1454999999999998E-2</v>
      </c>
      <c r="N442">
        <v>43.6</v>
      </c>
    </row>
    <row r="443" spans="13:14">
      <c r="M443">
        <v>-2.1454999999999998E-2</v>
      </c>
      <c r="N443">
        <v>43.7</v>
      </c>
    </row>
    <row r="444" spans="13:14">
      <c r="M444">
        <v>-2.1454999999999998E-2</v>
      </c>
      <c r="N444">
        <v>43.8</v>
      </c>
    </row>
    <row r="445" spans="13:14">
      <c r="M445">
        <v>-2.1454999999999998E-2</v>
      </c>
      <c r="N445">
        <v>43.9</v>
      </c>
    </row>
    <row r="446" spans="13:14">
      <c r="M446">
        <v>-2.1454999999999998E-2</v>
      </c>
      <c r="N446">
        <v>44</v>
      </c>
    </row>
    <row r="447" spans="13:14">
      <c r="M447">
        <v>-2.1454999999999998E-2</v>
      </c>
      <c r="N447">
        <v>44.1</v>
      </c>
    </row>
    <row r="448" spans="13:14">
      <c r="M448">
        <v>-2.1454999999999998E-2</v>
      </c>
      <c r="N448">
        <v>44.2</v>
      </c>
    </row>
    <row r="449" spans="13:14">
      <c r="M449">
        <v>-1.7896531999999899E-2</v>
      </c>
      <c r="N449">
        <v>44.3</v>
      </c>
    </row>
    <row r="450" spans="13:14">
      <c r="M450">
        <v>-8.4588560000002401E-3</v>
      </c>
      <c r="N450">
        <v>44.4</v>
      </c>
    </row>
    <row r="451" spans="13:14">
      <c r="M451">
        <v>9.7882000000011691E-4</v>
      </c>
      <c r="N451">
        <v>44.5</v>
      </c>
    </row>
    <row r="452" spans="13:14">
      <c r="M452">
        <v>5.5242159999999499E-3</v>
      </c>
      <c r="N452">
        <v>44.6</v>
      </c>
    </row>
    <row r="453" spans="13:14">
      <c r="M453">
        <v>7.3747120000000202E-3</v>
      </c>
      <c r="N453">
        <v>44.7</v>
      </c>
    </row>
    <row r="454" spans="13:14">
      <c r="M454">
        <v>9.2252079999999501E-3</v>
      </c>
      <c r="N454">
        <v>44.8</v>
      </c>
    </row>
    <row r="455" spans="13:14">
      <c r="M455">
        <v>1.65172320000001E-2</v>
      </c>
      <c r="N455">
        <v>44.9</v>
      </c>
    </row>
    <row r="456" spans="13:14">
      <c r="M456">
        <v>2.43306000000004E-2</v>
      </c>
      <c r="N456">
        <v>45</v>
      </c>
    </row>
    <row r="457" spans="13:14">
      <c r="M457">
        <v>3.0734999999999998E-2</v>
      </c>
      <c r="N457">
        <v>45.1</v>
      </c>
    </row>
    <row r="458" spans="13:14">
      <c r="M458">
        <v>3.0734999999999998E-2</v>
      </c>
      <c r="N458">
        <v>45.2</v>
      </c>
    </row>
    <row r="459" spans="13:14">
      <c r="M459">
        <v>3.0734999999999998E-2</v>
      </c>
      <c r="N459">
        <v>45.3</v>
      </c>
    </row>
    <row r="460" spans="13:14">
      <c r="M460">
        <v>3.0734999999999998E-2</v>
      </c>
      <c r="N460">
        <v>45.4</v>
      </c>
    </row>
    <row r="461" spans="13:14">
      <c r="M461">
        <v>3.0734999999999998E-2</v>
      </c>
      <c r="N461">
        <v>45.5</v>
      </c>
    </row>
    <row r="462" spans="13:14">
      <c r="M462">
        <v>3.0734999999999998E-2</v>
      </c>
      <c r="N462">
        <v>45.6</v>
      </c>
    </row>
    <row r="463" spans="13:14">
      <c r="M463">
        <v>3.7762101999999999E-2</v>
      </c>
      <c r="N463">
        <v>45.7</v>
      </c>
    </row>
    <row r="464" spans="13:14">
      <c r="M464">
        <v>4.7578588000000401E-2</v>
      </c>
      <c r="N464">
        <v>45.8</v>
      </c>
    </row>
    <row r="465" spans="13:14">
      <c r="M465">
        <v>5.7395073999999997E-2</v>
      </c>
      <c r="N465">
        <v>45.9</v>
      </c>
    </row>
    <row r="466" spans="13:14">
      <c r="M466">
        <v>5.7556000000000003E-2</v>
      </c>
      <c r="N466">
        <v>46</v>
      </c>
    </row>
    <row r="467" spans="13:14">
      <c r="M467">
        <v>5.7556000000000003E-2</v>
      </c>
      <c r="N467">
        <v>46.1</v>
      </c>
    </row>
    <row r="468" spans="13:14">
      <c r="M468">
        <v>5.7556000000000003E-2</v>
      </c>
      <c r="N468">
        <v>46.2</v>
      </c>
    </row>
    <row r="469" spans="13:14">
      <c r="M469">
        <v>5.7556000000000003E-2</v>
      </c>
      <c r="N469">
        <v>46.3</v>
      </c>
    </row>
    <row r="470" spans="13:14">
      <c r="M470">
        <v>5.7556000000000003E-2</v>
      </c>
      <c r="N470">
        <v>46.4</v>
      </c>
    </row>
    <row r="471" spans="13:14">
      <c r="M471">
        <v>6.2672129999999895E-2</v>
      </c>
      <c r="N471">
        <v>46.5</v>
      </c>
    </row>
    <row r="472" spans="13:14">
      <c r="M472">
        <v>7.2527412000000305E-2</v>
      </c>
      <c r="N472">
        <v>46.6</v>
      </c>
    </row>
    <row r="473" spans="13:14">
      <c r="M473">
        <v>8.2382693999999895E-2</v>
      </c>
      <c r="N473">
        <v>46.7</v>
      </c>
    </row>
    <row r="474" spans="13:14">
      <c r="M474">
        <v>8.4483000000000003E-2</v>
      </c>
      <c r="N474">
        <v>46.8</v>
      </c>
    </row>
    <row r="475" spans="13:14">
      <c r="M475">
        <v>8.4483000000000003E-2</v>
      </c>
      <c r="N475">
        <v>46.9</v>
      </c>
    </row>
    <row r="476" spans="13:14">
      <c r="M476">
        <v>8.4483000000000003E-2</v>
      </c>
      <c r="N476">
        <v>47</v>
      </c>
    </row>
    <row r="477" spans="13:14">
      <c r="M477">
        <v>8.4483000000000003E-2</v>
      </c>
      <c r="N477">
        <v>47.1</v>
      </c>
    </row>
    <row r="478" spans="13:14">
      <c r="M478">
        <v>8.4483000000000003E-2</v>
      </c>
      <c r="N478">
        <v>47.2</v>
      </c>
    </row>
    <row r="479" spans="13:14">
      <c r="M479">
        <v>9.0672218000001206E-2</v>
      </c>
      <c r="N479">
        <v>47.3</v>
      </c>
    </row>
    <row r="480" spans="13:14">
      <c r="M480">
        <v>0.109869284</v>
      </c>
      <c r="N480">
        <v>47.4</v>
      </c>
    </row>
    <row r="481" spans="13:14">
      <c r="M481">
        <v>0.129066350000001</v>
      </c>
      <c r="N481">
        <v>47.5</v>
      </c>
    </row>
    <row r="482" spans="13:14">
      <c r="M482">
        <v>0.136934</v>
      </c>
      <c r="N482">
        <v>47.6</v>
      </c>
    </row>
    <row r="483" spans="13:14">
      <c r="M483">
        <v>0.136934</v>
      </c>
      <c r="N483">
        <v>47.7</v>
      </c>
    </row>
    <row r="484" spans="13:14">
      <c r="M484">
        <v>0.136934</v>
      </c>
      <c r="N484">
        <v>47.8</v>
      </c>
    </row>
    <row r="485" spans="13:14">
      <c r="M485">
        <v>0.144633594000001</v>
      </c>
      <c r="N485">
        <v>47.9</v>
      </c>
    </row>
    <row r="486" spans="13:14">
      <c r="M486">
        <v>0.15360828000000001</v>
      </c>
      <c r="N486">
        <v>48</v>
      </c>
    </row>
    <row r="487" spans="13:14">
      <c r="M487">
        <v>0.16145499999999999</v>
      </c>
      <c r="N487">
        <v>48.1</v>
      </c>
    </row>
    <row r="488" spans="13:14">
      <c r="M488">
        <v>0.16145499999999999</v>
      </c>
      <c r="N488">
        <v>48.2</v>
      </c>
    </row>
    <row r="489" spans="13:14">
      <c r="M489">
        <v>0.16145499999999999</v>
      </c>
      <c r="N489">
        <v>48.3</v>
      </c>
    </row>
    <row r="490" spans="13:14">
      <c r="M490">
        <v>0.16145499999999999</v>
      </c>
      <c r="N490">
        <v>48.4</v>
      </c>
    </row>
    <row r="491" spans="13:14">
      <c r="M491">
        <v>0.16145499999999999</v>
      </c>
      <c r="N491">
        <v>48.5</v>
      </c>
    </row>
    <row r="492" spans="13:14">
      <c r="M492">
        <v>0.16145499999999999</v>
      </c>
      <c r="N492">
        <v>48.6</v>
      </c>
    </row>
    <row r="493" spans="13:14">
      <c r="M493">
        <v>0.16145499999999999</v>
      </c>
      <c r="N493">
        <v>48.7</v>
      </c>
    </row>
    <row r="494" spans="13:14">
      <c r="M494">
        <v>0.16145499999999999</v>
      </c>
      <c r="N494">
        <v>48.8</v>
      </c>
    </row>
    <row r="495" spans="13:14">
      <c r="M495">
        <v>0.16145499999999999</v>
      </c>
      <c r="N495">
        <v>48.9</v>
      </c>
    </row>
    <row r="496" spans="13:14">
      <c r="M496">
        <v>0.16145499999999999</v>
      </c>
      <c r="N496">
        <v>49</v>
      </c>
    </row>
    <row r="497" spans="13:14">
      <c r="M497">
        <v>0.16145499999999999</v>
      </c>
      <c r="N497">
        <v>49.1</v>
      </c>
    </row>
    <row r="498" spans="13:14">
      <c r="M498">
        <v>0.16145499999999999</v>
      </c>
      <c r="N498">
        <v>49.2</v>
      </c>
    </row>
    <row r="499" spans="13:14">
      <c r="M499">
        <v>0.16145499999999999</v>
      </c>
      <c r="N499">
        <v>49.3</v>
      </c>
    </row>
    <row r="500" spans="13:14">
      <c r="M500">
        <v>0.16145499999999999</v>
      </c>
      <c r="N500">
        <v>49.4</v>
      </c>
    </row>
    <row r="501" spans="13:14">
      <c r="M501">
        <v>0.16145499999999999</v>
      </c>
      <c r="N501">
        <v>49.5</v>
      </c>
    </row>
    <row r="502" spans="13:14">
      <c r="M502">
        <v>0.16145499999999999</v>
      </c>
      <c r="N502">
        <v>49.6</v>
      </c>
    </row>
    <row r="503" spans="13:14">
      <c r="M503">
        <v>0.16145499999999999</v>
      </c>
      <c r="N503">
        <v>49.7</v>
      </c>
    </row>
    <row r="504" spans="13:14">
      <c r="M504">
        <v>0.16145499999999999</v>
      </c>
      <c r="N504">
        <v>49.8</v>
      </c>
    </row>
    <row r="505" spans="13:14">
      <c r="M505">
        <v>0.16145499999999999</v>
      </c>
      <c r="N505">
        <v>49.9</v>
      </c>
    </row>
    <row r="506" spans="13:14">
      <c r="M506">
        <v>0.16145499999999999</v>
      </c>
      <c r="N506">
        <v>50</v>
      </c>
    </row>
    <row r="507" spans="13:14">
      <c r="M507">
        <v>0.16924567600000001</v>
      </c>
      <c r="N507">
        <v>50.1</v>
      </c>
    </row>
    <row r="508" spans="13:14">
      <c r="M508">
        <v>0.17703635200000001</v>
      </c>
      <c r="N508">
        <v>50.2</v>
      </c>
    </row>
    <row r="509" spans="13:14">
      <c r="M509">
        <v>0.182881238</v>
      </c>
      <c r="N509">
        <v>50.3</v>
      </c>
    </row>
    <row r="510" spans="13:14">
      <c r="M510">
        <v>0.18340498399999999</v>
      </c>
      <c r="N510">
        <v>50.4</v>
      </c>
    </row>
    <row r="511" spans="13:14">
      <c r="M511">
        <v>0.18392873000000001</v>
      </c>
      <c r="N511">
        <v>50.5</v>
      </c>
    </row>
    <row r="512" spans="13:14">
      <c r="M512">
        <v>0.184172</v>
      </c>
      <c r="N512">
        <v>50.6</v>
      </c>
    </row>
    <row r="513" spans="13:14">
      <c r="M513">
        <v>0.184172</v>
      </c>
      <c r="N513">
        <v>50.7</v>
      </c>
    </row>
    <row r="514" spans="13:14">
      <c r="M514">
        <v>0.184172</v>
      </c>
      <c r="N514">
        <v>50.8</v>
      </c>
    </row>
    <row r="515" spans="13:14">
      <c r="M515">
        <v>0.184172</v>
      </c>
      <c r="N515">
        <v>50.9</v>
      </c>
    </row>
    <row r="516" spans="13:14">
      <c r="M516">
        <v>0.184172</v>
      </c>
      <c r="N516">
        <v>51</v>
      </c>
    </row>
    <row r="517" spans="13:14">
      <c r="M517">
        <v>0.184172</v>
      </c>
      <c r="N517">
        <v>51.1</v>
      </c>
    </row>
    <row r="518" spans="13:14">
      <c r="M518">
        <v>0.184172</v>
      </c>
      <c r="N518">
        <v>51.2</v>
      </c>
    </row>
    <row r="519" spans="13:14">
      <c r="M519">
        <v>0.184172</v>
      </c>
      <c r="N519">
        <v>51.3</v>
      </c>
    </row>
    <row r="520" spans="13:14">
      <c r="M520">
        <v>0.184172</v>
      </c>
      <c r="N520">
        <v>51.4</v>
      </c>
    </row>
    <row r="521" spans="13:14">
      <c r="M521">
        <v>0.184172</v>
      </c>
      <c r="N521">
        <v>51.5</v>
      </c>
    </row>
    <row r="522" spans="13:14">
      <c r="M522">
        <v>0.184172</v>
      </c>
      <c r="N522">
        <v>51.6</v>
      </c>
    </row>
    <row r="523" spans="13:14">
      <c r="M523">
        <v>0.184172</v>
      </c>
      <c r="N523">
        <v>51.7</v>
      </c>
    </row>
    <row r="524" spans="13:14">
      <c r="M524">
        <v>0.184172</v>
      </c>
      <c r="N524">
        <v>51.8</v>
      </c>
    </row>
    <row r="525" spans="13:14">
      <c r="M525">
        <v>0.184172</v>
      </c>
      <c r="N525">
        <v>51.9</v>
      </c>
    </row>
    <row r="526" spans="13:14">
      <c r="M526">
        <v>0.19073296000000001</v>
      </c>
      <c r="N526">
        <v>52</v>
      </c>
    </row>
    <row r="527" spans="13:14">
      <c r="M527">
        <v>0.19823705799999999</v>
      </c>
      <c r="N527">
        <v>52.1</v>
      </c>
    </row>
    <row r="528" spans="13:14">
      <c r="M528">
        <v>0.204675</v>
      </c>
      <c r="N528">
        <v>52.2</v>
      </c>
    </row>
    <row r="529" spans="13:14">
      <c r="M529">
        <v>0.204675</v>
      </c>
      <c r="N529">
        <v>52.3</v>
      </c>
    </row>
    <row r="530" spans="13:14">
      <c r="M530">
        <v>0.204675</v>
      </c>
      <c r="N530">
        <v>52.4</v>
      </c>
    </row>
    <row r="531" spans="13:14">
      <c r="M531">
        <v>0.204675</v>
      </c>
      <c r="N531">
        <v>52.5</v>
      </c>
    </row>
    <row r="532" spans="13:14">
      <c r="M532">
        <v>0.204675</v>
      </c>
      <c r="N532">
        <v>52.6</v>
      </c>
    </row>
    <row r="533" spans="13:14">
      <c r="M533">
        <v>0.204675</v>
      </c>
      <c r="N533">
        <v>52.7</v>
      </c>
    </row>
    <row r="534" spans="13:14">
      <c r="M534">
        <v>0.20487265599999999</v>
      </c>
      <c r="N534">
        <v>52.8</v>
      </c>
    </row>
    <row r="535" spans="13:14">
      <c r="M535">
        <v>0.20516435799999999</v>
      </c>
      <c r="N535">
        <v>52.9</v>
      </c>
    </row>
    <row r="536" spans="13:14">
      <c r="M536">
        <v>0.20545606</v>
      </c>
      <c r="N536">
        <v>53</v>
      </c>
    </row>
    <row r="537" spans="13:14">
      <c r="M537">
        <v>0.21142493000000001</v>
      </c>
      <c r="N537">
        <v>53.1</v>
      </c>
    </row>
    <row r="538" spans="13:14">
      <c r="M538">
        <v>0.21772195999999999</v>
      </c>
      <c r="N538">
        <v>53.2</v>
      </c>
    </row>
    <row r="539" spans="13:14">
      <c r="M539">
        <v>0.22267700000000001</v>
      </c>
      <c r="N539">
        <v>53.3</v>
      </c>
    </row>
    <row r="540" spans="13:14">
      <c r="M540">
        <v>0.22267700000000001</v>
      </c>
      <c r="N540">
        <v>53.4</v>
      </c>
    </row>
    <row r="541" spans="13:14">
      <c r="M541">
        <v>0.22267700000000001</v>
      </c>
      <c r="N541">
        <v>53.5</v>
      </c>
    </row>
    <row r="542" spans="13:14">
      <c r="M542">
        <v>0.223787032</v>
      </c>
      <c r="N542">
        <v>53.6</v>
      </c>
    </row>
    <row r="543" spans="13:14">
      <c r="M543">
        <v>0.22609539400000001</v>
      </c>
      <c r="N543">
        <v>53.7</v>
      </c>
    </row>
    <row r="544" spans="13:14">
      <c r="M544">
        <v>0.22840375600000001</v>
      </c>
      <c r="N544">
        <v>53.8</v>
      </c>
    </row>
    <row r="545" spans="13:14">
      <c r="M545">
        <v>0.22898399999999999</v>
      </c>
      <c r="N545">
        <v>53.9</v>
      </c>
    </row>
    <row r="546" spans="13:14">
      <c r="M546">
        <v>0.22898399999999999</v>
      </c>
      <c r="N546">
        <v>54</v>
      </c>
    </row>
    <row r="547" spans="13:14">
      <c r="M547">
        <v>0.22898399999999999</v>
      </c>
      <c r="N547">
        <v>54.1</v>
      </c>
    </row>
    <row r="548" spans="13:14">
      <c r="M548">
        <v>0.22898399999999999</v>
      </c>
      <c r="N548">
        <v>54.2</v>
      </c>
    </row>
    <row r="549" spans="13:14">
      <c r="M549">
        <v>0.22898399999999999</v>
      </c>
      <c r="N549">
        <v>54.3</v>
      </c>
    </row>
    <row r="550" spans="13:14">
      <c r="M550">
        <v>0.22898399999999999</v>
      </c>
      <c r="N550">
        <v>54.4</v>
      </c>
    </row>
    <row r="551" spans="13:14">
      <c r="M551">
        <v>0.22898399999999999</v>
      </c>
      <c r="N551">
        <v>54.5</v>
      </c>
    </row>
    <row r="552" spans="13:14">
      <c r="M552">
        <v>0.22898399999999999</v>
      </c>
      <c r="N552">
        <v>54.6</v>
      </c>
    </row>
    <row r="553" spans="13:14">
      <c r="M553">
        <v>0.23081331199999999</v>
      </c>
      <c r="N553">
        <v>54.7</v>
      </c>
    </row>
    <row r="554" spans="13:14">
      <c r="M554">
        <v>0.23412780799999999</v>
      </c>
      <c r="N554">
        <v>54.8</v>
      </c>
    </row>
    <row r="555" spans="13:14">
      <c r="M555">
        <v>0.23744230399999999</v>
      </c>
      <c r="N555">
        <v>54.9</v>
      </c>
    </row>
    <row r="556" spans="13:14">
      <c r="M556">
        <v>0.23804</v>
      </c>
      <c r="N556">
        <v>55</v>
      </c>
    </row>
    <row r="557" spans="13:14">
      <c r="M557">
        <v>0.23804</v>
      </c>
      <c r="N557">
        <v>55.1</v>
      </c>
    </row>
    <row r="558" spans="13:14">
      <c r="M558">
        <v>0.23804</v>
      </c>
      <c r="N558">
        <v>55.2</v>
      </c>
    </row>
    <row r="559" spans="13:14">
      <c r="M559">
        <v>0.23804</v>
      </c>
      <c r="N559">
        <v>55.3</v>
      </c>
    </row>
    <row r="560" spans="13:14">
      <c r="M560">
        <v>0.23804</v>
      </c>
      <c r="N560">
        <v>55.4</v>
      </c>
    </row>
    <row r="561" spans="13:14">
      <c r="M561">
        <v>0.23804</v>
      </c>
      <c r="N561">
        <v>55.5</v>
      </c>
    </row>
    <row r="562" spans="13:14">
      <c r="M562">
        <v>0.23804</v>
      </c>
      <c r="N562">
        <v>55.6</v>
      </c>
    </row>
    <row r="563" spans="13:14">
      <c r="M563">
        <v>0.23804</v>
      </c>
      <c r="N563">
        <v>55.7</v>
      </c>
    </row>
    <row r="564" spans="13:14">
      <c r="M564">
        <v>0.24094312400000001</v>
      </c>
      <c r="N564">
        <v>55.8</v>
      </c>
    </row>
    <row r="565" spans="13:14">
      <c r="M565">
        <v>0.245603402</v>
      </c>
      <c r="N565">
        <v>55.9</v>
      </c>
    </row>
    <row r="566" spans="13:14">
      <c r="M566">
        <v>0.25026367999999999</v>
      </c>
      <c r="N566">
        <v>56</v>
      </c>
    </row>
    <row r="567" spans="13:14">
      <c r="M567">
        <v>0.25077300000000002</v>
      </c>
      <c r="N567">
        <v>56.1</v>
      </c>
    </row>
    <row r="568" spans="13:14">
      <c r="M568">
        <v>0.25077300000000002</v>
      </c>
      <c r="N568">
        <v>56.2</v>
      </c>
    </row>
    <row r="569" spans="13:14">
      <c r="M569">
        <v>0.25077300000000002</v>
      </c>
      <c r="N569">
        <v>56.3</v>
      </c>
    </row>
    <row r="570" spans="13:14">
      <c r="M570">
        <v>0.25077300000000002</v>
      </c>
      <c r="N570">
        <v>56.4</v>
      </c>
    </row>
    <row r="571" spans="13:14">
      <c r="M571">
        <v>0.25077300000000002</v>
      </c>
      <c r="N571">
        <v>56.5</v>
      </c>
    </row>
    <row r="572" spans="13:14">
      <c r="M572">
        <v>0.253607676000001</v>
      </c>
      <c r="N572">
        <v>56.6</v>
      </c>
    </row>
    <row r="573" spans="13:14">
      <c r="M573">
        <v>0.26025826200000002</v>
      </c>
      <c r="N573">
        <v>56.7</v>
      </c>
    </row>
    <row r="574" spans="13:14">
      <c r="M574">
        <v>0.26690884800000098</v>
      </c>
      <c r="N574">
        <v>56.8</v>
      </c>
    </row>
    <row r="575" spans="13:14">
      <c r="M575">
        <v>0.26894400000000002</v>
      </c>
      <c r="N575">
        <v>56.9</v>
      </c>
    </row>
    <row r="576" spans="13:14">
      <c r="M576">
        <v>0.26894400000000002</v>
      </c>
      <c r="N576">
        <v>57</v>
      </c>
    </row>
    <row r="577" spans="13:14">
      <c r="M577">
        <v>0.26894400000000002</v>
      </c>
      <c r="N577">
        <v>57.1</v>
      </c>
    </row>
    <row r="578" spans="13:14">
      <c r="M578">
        <v>0.27102608</v>
      </c>
      <c r="N578">
        <v>57.2</v>
      </c>
    </row>
    <row r="579" spans="13:14">
      <c r="M579">
        <v>0.27319096999999998</v>
      </c>
      <c r="N579">
        <v>57.3</v>
      </c>
    </row>
    <row r="580" spans="13:14">
      <c r="M580">
        <v>0.27520045999999998</v>
      </c>
      <c r="N580">
        <v>57.4</v>
      </c>
    </row>
    <row r="581" spans="13:14">
      <c r="M581">
        <v>0.27668825000000002</v>
      </c>
      <c r="N581">
        <v>57.5</v>
      </c>
    </row>
    <row r="582" spans="13:14">
      <c r="M582">
        <v>0.27817604000000001</v>
      </c>
      <c r="N582">
        <v>57.6</v>
      </c>
    </row>
    <row r="583" spans="13:14">
      <c r="M583">
        <v>0.27892400000000001</v>
      </c>
      <c r="N583">
        <v>57.7</v>
      </c>
    </row>
    <row r="584" spans="13:14">
      <c r="M584">
        <v>0.27892400000000001</v>
      </c>
      <c r="N584">
        <v>57.8</v>
      </c>
    </row>
    <row r="585" spans="13:14">
      <c r="M585">
        <v>0.27892400000000001</v>
      </c>
      <c r="N585">
        <v>57.9</v>
      </c>
    </row>
    <row r="586" spans="13:14">
      <c r="M586">
        <v>0.27993087999999999</v>
      </c>
      <c r="N586">
        <v>58</v>
      </c>
    </row>
    <row r="587" spans="13:14">
      <c r="M587">
        <v>0.28124701600000002</v>
      </c>
      <c r="N587">
        <v>58.1</v>
      </c>
    </row>
    <row r="588" spans="13:14">
      <c r="M588">
        <v>0.28251999999999999</v>
      </c>
      <c r="N588">
        <v>58.2</v>
      </c>
    </row>
    <row r="589" spans="13:14">
      <c r="M589">
        <v>0.28251999999999999</v>
      </c>
      <c r="N589">
        <v>58.3</v>
      </c>
    </row>
    <row r="590" spans="13:14">
      <c r="M590">
        <v>0.28251999999999999</v>
      </c>
      <c r="N590">
        <v>58.4</v>
      </c>
    </row>
    <row r="591" spans="13:14">
      <c r="M591">
        <v>0.28505450999999998</v>
      </c>
      <c r="N591">
        <v>58.5</v>
      </c>
    </row>
    <row r="592" spans="13:14">
      <c r="M592">
        <v>0.293487516</v>
      </c>
      <c r="N592">
        <v>58.6</v>
      </c>
    </row>
    <row r="593" spans="13:14">
      <c r="M593">
        <v>0.30192052200000002</v>
      </c>
      <c r="N593">
        <v>58.7</v>
      </c>
    </row>
    <row r="594" spans="13:14">
      <c r="M594">
        <v>0.30556100000000003</v>
      </c>
      <c r="N594">
        <v>58.8</v>
      </c>
    </row>
    <row r="595" spans="13:14">
      <c r="M595">
        <v>0.30556100000000003</v>
      </c>
      <c r="N595">
        <v>58.9</v>
      </c>
    </row>
    <row r="596" spans="13:14">
      <c r="M596">
        <v>0.30556100000000003</v>
      </c>
      <c r="N596">
        <v>59</v>
      </c>
    </row>
    <row r="597" spans="13:14">
      <c r="M597">
        <v>0.31407575599999998</v>
      </c>
      <c r="N597">
        <v>59.1</v>
      </c>
    </row>
    <row r="598" spans="13:14">
      <c r="M598">
        <v>0.32426007200000001</v>
      </c>
      <c r="N598">
        <v>59.2</v>
      </c>
    </row>
    <row r="599" spans="13:14">
      <c r="M599">
        <v>0.33448945600000002</v>
      </c>
      <c r="N599">
        <v>59.3</v>
      </c>
    </row>
    <row r="600" spans="13:14">
      <c r="M600">
        <v>0.34510784799999999</v>
      </c>
      <c r="N600">
        <v>59.4</v>
      </c>
    </row>
    <row r="601" spans="13:14">
      <c r="M601">
        <v>0.35572623999999903</v>
      </c>
      <c r="N601">
        <v>59.5</v>
      </c>
    </row>
    <row r="602" spans="13:14">
      <c r="M602">
        <v>0.36239900000000003</v>
      </c>
      <c r="N602">
        <v>59.6</v>
      </c>
    </row>
    <row r="603" spans="13:14">
      <c r="M603">
        <v>0.36239900000000003</v>
      </c>
      <c r="N603">
        <v>59.7</v>
      </c>
    </row>
    <row r="604" spans="13:14">
      <c r="M604">
        <v>0.36239900000000003</v>
      </c>
      <c r="N604">
        <v>59.8</v>
      </c>
    </row>
    <row r="605" spans="13:14">
      <c r="M605">
        <v>0.36239900000000003</v>
      </c>
      <c r="N605">
        <v>59.9</v>
      </c>
    </row>
    <row r="606" spans="13:14">
      <c r="M606">
        <v>0.36239900000000003</v>
      </c>
      <c r="N606">
        <v>60</v>
      </c>
    </row>
    <row r="607" spans="13:14">
      <c r="M607">
        <v>0.36239900000000003</v>
      </c>
      <c r="N607">
        <v>60.1</v>
      </c>
    </row>
    <row r="608" spans="13:14">
      <c r="M608">
        <v>0.37240116400000001</v>
      </c>
      <c r="N608">
        <v>60.2</v>
      </c>
    </row>
    <row r="609" spans="13:14">
      <c r="M609">
        <v>0.38342764599999901</v>
      </c>
      <c r="N609">
        <v>60.3</v>
      </c>
    </row>
    <row r="610" spans="13:14">
      <c r="M610">
        <v>0.39252599999999999</v>
      </c>
      <c r="N610">
        <v>60.4</v>
      </c>
    </row>
    <row r="611" spans="13:14">
      <c r="M611">
        <v>0.39252599999999999</v>
      </c>
      <c r="N611">
        <v>60.5</v>
      </c>
    </row>
    <row r="612" spans="13:14">
      <c r="M612">
        <v>0.39252599999999999</v>
      </c>
      <c r="N612">
        <v>60.6</v>
      </c>
    </row>
    <row r="613" spans="13:14">
      <c r="M613">
        <v>0.39252599999999999</v>
      </c>
      <c r="N613">
        <v>60.7</v>
      </c>
    </row>
    <row r="614" spans="13:14">
      <c r="M614">
        <v>0.39252599999999999</v>
      </c>
      <c r="N614">
        <v>60.8</v>
      </c>
    </row>
    <row r="615" spans="13:14">
      <c r="M615">
        <v>0.39252599999999999</v>
      </c>
      <c r="N615">
        <v>60.9</v>
      </c>
    </row>
    <row r="616" spans="13:14">
      <c r="M616">
        <v>0.39252599999999999</v>
      </c>
      <c r="N616">
        <v>61</v>
      </c>
    </row>
    <row r="617" spans="13:14">
      <c r="M617">
        <v>0.39252599999999999</v>
      </c>
      <c r="N617">
        <v>61.1</v>
      </c>
    </row>
    <row r="618" spans="13:14">
      <c r="M618">
        <v>0.39252599999999999</v>
      </c>
      <c r="N618">
        <v>61.2</v>
      </c>
    </row>
    <row r="619" spans="13:14">
      <c r="M619">
        <v>0.403651924</v>
      </c>
      <c r="N619">
        <v>61.3</v>
      </c>
    </row>
    <row r="620" spans="13:14">
      <c r="M620">
        <v>0.41502647199999998</v>
      </c>
      <c r="N620">
        <v>61.4</v>
      </c>
    </row>
    <row r="621" spans="13:14">
      <c r="M621">
        <v>0.42360399999999998</v>
      </c>
      <c r="N621">
        <v>61.5</v>
      </c>
    </row>
    <row r="622" spans="13:14">
      <c r="M622">
        <v>0.42360399999999998</v>
      </c>
      <c r="N622">
        <v>61.6</v>
      </c>
    </row>
    <row r="623" spans="13:14">
      <c r="M623">
        <v>0.42360399999999998</v>
      </c>
      <c r="N623">
        <v>61.7</v>
      </c>
    </row>
    <row r="624" spans="13:14">
      <c r="M624">
        <v>0.42360399999999998</v>
      </c>
      <c r="N624">
        <v>61.8</v>
      </c>
    </row>
    <row r="625" spans="13:14">
      <c r="M625">
        <v>0.42360399999999998</v>
      </c>
      <c r="N625">
        <v>61.9</v>
      </c>
    </row>
    <row r="626" spans="13:14">
      <c r="M626">
        <v>0.42360399999999998</v>
      </c>
      <c r="N626">
        <v>62</v>
      </c>
    </row>
    <row r="627" spans="13:14">
      <c r="M627">
        <v>0.42360399999999998</v>
      </c>
      <c r="N627">
        <v>62.1</v>
      </c>
    </row>
    <row r="628" spans="13:14">
      <c r="M628">
        <v>0.42360399999999998</v>
      </c>
      <c r="N628">
        <v>62.2</v>
      </c>
    </row>
    <row r="629" spans="13:14">
      <c r="M629">
        <v>0.42417566200000001</v>
      </c>
      <c r="N629">
        <v>62.3</v>
      </c>
    </row>
    <row r="630" spans="13:14">
      <c r="M630">
        <v>0.43579945599999997</v>
      </c>
      <c r="N630">
        <v>62.4</v>
      </c>
    </row>
    <row r="631" spans="13:14">
      <c r="M631">
        <v>0.44742324999999999</v>
      </c>
      <c r="N631">
        <v>62.5</v>
      </c>
    </row>
    <row r="632" spans="13:14">
      <c r="M632">
        <v>0.45536300000000002</v>
      </c>
      <c r="N632">
        <v>62.6</v>
      </c>
    </row>
    <row r="633" spans="13:14">
      <c r="M633">
        <v>0.45536300000000002</v>
      </c>
      <c r="N633">
        <v>62.7</v>
      </c>
    </row>
    <row r="634" spans="13:14">
      <c r="M634">
        <v>0.45536300000000002</v>
      </c>
      <c r="N634">
        <v>62.8</v>
      </c>
    </row>
    <row r="635" spans="13:14">
      <c r="M635">
        <v>0.45536300000000002</v>
      </c>
      <c r="N635">
        <v>62.9</v>
      </c>
    </row>
    <row r="636" spans="13:14">
      <c r="M636">
        <v>0.45536300000000002</v>
      </c>
      <c r="N636">
        <v>63</v>
      </c>
    </row>
    <row r="637" spans="13:14">
      <c r="M637">
        <v>0.45536300000000002</v>
      </c>
      <c r="N637">
        <v>63.1</v>
      </c>
    </row>
    <row r="638" spans="13:14">
      <c r="M638">
        <v>0.46535760799999998</v>
      </c>
      <c r="N638">
        <v>63.2</v>
      </c>
    </row>
    <row r="639" spans="13:14">
      <c r="M639">
        <v>0.47708205199999998</v>
      </c>
      <c r="N639">
        <v>63.3</v>
      </c>
    </row>
    <row r="640" spans="13:14">
      <c r="M640">
        <v>0.48739700000000002</v>
      </c>
      <c r="N640">
        <v>63.4</v>
      </c>
    </row>
    <row r="641" spans="13:14">
      <c r="M641">
        <v>0.48739700000000002</v>
      </c>
      <c r="N641">
        <v>63.5</v>
      </c>
    </row>
    <row r="642" spans="13:14">
      <c r="M642">
        <v>0.48739700000000002</v>
      </c>
      <c r="N642">
        <v>63.6</v>
      </c>
    </row>
    <row r="643" spans="13:14">
      <c r="M643">
        <v>0.49190692000000003</v>
      </c>
      <c r="N643">
        <v>63.7</v>
      </c>
    </row>
    <row r="644" spans="13:14">
      <c r="M644">
        <v>0.50353108000000002</v>
      </c>
      <c r="N644">
        <v>63.8</v>
      </c>
    </row>
    <row r="645" spans="13:14">
      <c r="M645">
        <v>0.51515524000000001</v>
      </c>
      <c r="N645">
        <v>63.9</v>
      </c>
    </row>
    <row r="646" spans="13:14">
      <c r="M646">
        <v>0.51915699999999998</v>
      </c>
      <c r="N646">
        <v>64</v>
      </c>
    </row>
    <row r="647" spans="13:14">
      <c r="M647">
        <v>0.51915699999999998</v>
      </c>
      <c r="N647">
        <v>64.099999999999994</v>
      </c>
    </row>
    <row r="648" spans="13:14">
      <c r="M648">
        <v>0.51915699999999998</v>
      </c>
      <c r="N648">
        <v>64.2</v>
      </c>
    </row>
    <row r="649" spans="13:14">
      <c r="M649">
        <v>0.51915699999999998</v>
      </c>
      <c r="N649">
        <v>64.3</v>
      </c>
    </row>
    <row r="650" spans="13:14">
      <c r="M650">
        <v>0.51915699999999998</v>
      </c>
      <c r="N650">
        <v>64.400000000000006</v>
      </c>
    </row>
    <row r="651" spans="13:14">
      <c r="M651">
        <v>0.51915699999999998</v>
      </c>
      <c r="N651">
        <v>64.5</v>
      </c>
    </row>
    <row r="652" spans="13:14">
      <c r="M652">
        <v>0.51915699999999998</v>
      </c>
      <c r="N652">
        <v>64.599999999999994</v>
      </c>
    </row>
    <row r="653" spans="13:14">
      <c r="M653">
        <v>0.51915699999999998</v>
      </c>
      <c r="N653">
        <v>64.7</v>
      </c>
    </row>
    <row r="654" spans="13:14">
      <c r="M654">
        <v>0.51915699999999998</v>
      </c>
      <c r="N654">
        <v>64.8</v>
      </c>
    </row>
    <row r="655" spans="13:14">
      <c r="M655">
        <v>0.51915699999999998</v>
      </c>
      <c r="N655">
        <v>64.900000000000006</v>
      </c>
    </row>
    <row r="656" spans="13:14">
      <c r="M656">
        <v>0.51915699999999998</v>
      </c>
      <c r="N656">
        <v>65</v>
      </c>
    </row>
    <row r="657" spans="13:14">
      <c r="M657">
        <v>0.52734767200000099</v>
      </c>
      <c r="N657">
        <v>65.099999999999994</v>
      </c>
    </row>
    <row r="658" spans="13:14">
      <c r="M658">
        <v>0.53861754399999995</v>
      </c>
      <c r="N658">
        <v>65.2</v>
      </c>
    </row>
    <row r="659" spans="13:14">
      <c r="M659">
        <v>0.54988741600000102</v>
      </c>
      <c r="N659">
        <v>65.3</v>
      </c>
    </row>
    <row r="660" spans="13:14">
      <c r="M660">
        <v>0.56050791200000005</v>
      </c>
      <c r="N660">
        <v>65.400000000000006</v>
      </c>
    </row>
    <row r="661" spans="13:14">
      <c r="M661">
        <v>0.57112484000000097</v>
      </c>
      <c r="N661">
        <v>65.5</v>
      </c>
    </row>
    <row r="662" spans="13:14">
      <c r="M662">
        <v>0.57895700000000005</v>
      </c>
      <c r="N662">
        <v>65.599999999999994</v>
      </c>
    </row>
    <row r="663" spans="13:14">
      <c r="M663">
        <v>0.57895700000000005</v>
      </c>
      <c r="N663">
        <v>65.7</v>
      </c>
    </row>
    <row r="664" spans="13:14">
      <c r="M664">
        <v>0.57895700000000005</v>
      </c>
      <c r="N664">
        <v>65.8</v>
      </c>
    </row>
    <row r="665" spans="13:14">
      <c r="M665">
        <v>0.57895700000000005</v>
      </c>
      <c r="N665">
        <v>65.900000000000006</v>
      </c>
    </row>
    <row r="666" spans="13:14">
      <c r="M666">
        <v>0.57895700000000005</v>
      </c>
      <c r="N666">
        <v>66</v>
      </c>
    </row>
    <row r="667" spans="13:14">
      <c r="M667">
        <v>0.57895700000000005</v>
      </c>
      <c r="N667">
        <v>66.099999999999994</v>
      </c>
    </row>
    <row r="668" spans="13:14">
      <c r="M668">
        <v>0.57920987199999996</v>
      </c>
      <c r="N668">
        <v>66.2</v>
      </c>
    </row>
    <row r="669" spans="13:14">
      <c r="M669">
        <v>0.57952682799999999</v>
      </c>
      <c r="N669">
        <v>66.3</v>
      </c>
    </row>
    <row r="670" spans="13:14">
      <c r="M670">
        <v>0.58043456800000004</v>
      </c>
      <c r="N670">
        <v>66.400000000000006</v>
      </c>
    </row>
    <row r="671" spans="13:14">
      <c r="M671">
        <v>0.58976097999999999</v>
      </c>
      <c r="N671">
        <v>66.5</v>
      </c>
    </row>
    <row r="672" spans="13:14">
      <c r="M672">
        <v>0.59908739200000005</v>
      </c>
      <c r="N672">
        <v>66.599999999999994</v>
      </c>
    </row>
    <row r="673" spans="13:14">
      <c r="M673">
        <v>0.60530499999999998</v>
      </c>
      <c r="N673">
        <v>66.7</v>
      </c>
    </row>
    <row r="674" spans="13:14">
      <c r="M674">
        <v>0.60530499999999998</v>
      </c>
      <c r="N674">
        <v>66.8</v>
      </c>
    </row>
    <row r="675" spans="13:14">
      <c r="M675">
        <v>0.60530499999999998</v>
      </c>
      <c r="N675">
        <v>66.900000000000006</v>
      </c>
    </row>
    <row r="676" spans="13:14">
      <c r="M676">
        <v>0.610326060000001</v>
      </c>
      <c r="N676">
        <v>67</v>
      </c>
    </row>
    <row r="677" spans="13:14">
      <c r="M677">
        <v>0.618679278</v>
      </c>
      <c r="N677">
        <v>67.099999999999994</v>
      </c>
    </row>
    <row r="678" spans="13:14">
      <c r="M678">
        <v>0.62703249600000099</v>
      </c>
      <c r="N678">
        <v>67.2</v>
      </c>
    </row>
    <row r="679" spans="13:14">
      <c r="M679">
        <v>0.62812800000000002</v>
      </c>
      <c r="N679">
        <v>67.3</v>
      </c>
    </row>
    <row r="680" spans="13:14">
      <c r="M680">
        <v>0.62812800000000002</v>
      </c>
      <c r="N680">
        <v>67.400000000000006</v>
      </c>
    </row>
    <row r="681" spans="13:14">
      <c r="M681">
        <v>0.62812800000000002</v>
      </c>
      <c r="N681">
        <v>67.5</v>
      </c>
    </row>
    <row r="682" spans="13:14">
      <c r="M682">
        <v>0.62812800000000002</v>
      </c>
      <c r="N682">
        <v>67.599999999999994</v>
      </c>
    </row>
    <row r="683" spans="13:14">
      <c r="M683">
        <v>0.62812800000000002</v>
      </c>
      <c r="N683">
        <v>67.7</v>
      </c>
    </row>
    <row r="684" spans="13:14">
      <c r="M684">
        <v>0.63036753599999995</v>
      </c>
      <c r="N684">
        <v>67.8</v>
      </c>
    </row>
    <row r="685" spans="13:14">
      <c r="M685">
        <v>0.63590584800000005</v>
      </c>
      <c r="N685">
        <v>67.900000000000006</v>
      </c>
    </row>
    <row r="686" spans="13:14">
      <c r="M686">
        <v>0.64144416000000004</v>
      </c>
      <c r="N686">
        <v>68</v>
      </c>
    </row>
    <row r="687" spans="13:14">
      <c r="M687">
        <v>0.64410181200000005</v>
      </c>
      <c r="N687">
        <v>68.099999999999994</v>
      </c>
    </row>
    <row r="688" spans="13:14">
      <c r="M688">
        <v>0.64535426399999996</v>
      </c>
      <c r="N688">
        <v>68.2</v>
      </c>
    </row>
    <row r="689" spans="13:14">
      <c r="M689">
        <v>0.64660671599999997</v>
      </c>
      <c r="N689">
        <v>68.3</v>
      </c>
    </row>
    <row r="690" spans="13:14">
      <c r="M690">
        <v>0.64668199999999998</v>
      </c>
      <c r="N690">
        <v>68.400000000000006</v>
      </c>
    </row>
    <row r="691" spans="13:14">
      <c r="M691">
        <v>0.64668199999999998</v>
      </c>
      <c r="N691">
        <v>68.5</v>
      </c>
    </row>
    <row r="692" spans="13:14">
      <c r="M692">
        <v>0.64668199999999998</v>
      </c>
      <c r="N692">
        <v>68.599999999999994</v>
      </c>
    </row>
    <row r="693" spans="13:14">
      <c r="M693">
        <v>0.64668199999999998</v>
      </c>
      <c r="N693">
        <v>68.7</v>
      </c>
    </row>
    <row r="694" spans="13:14">
      <c r="M694">
        <v>0.64668199999999998</v>
      </c>
      <c r="N694">
        <v>68.8</v>
      </c>
    </row>
    <row r="695" spans="13:14">
      <c r="M695">
        <v>0.64668199999999998</v>
      </c>
      <c r="N695">
        <v>68.900000000000006</v>
      </c>
    </row>
    <row r="696" spans="13:14">
      <c r="M696">
        <v>0.64668199999999998</v>
      </c>
      <c r="N696">
        <v>69</v>
      </c>
    </row>
    <row r="697" spans="13:14">
      <c r="M697">
        <v>0.64668199999999998</v>
      </c>
      <c r="N697">
        <v>69.099999999999994</v>
      </c>
    </row>
    <row r="698" spans="13:14">
      <c r="M698">
        <v>0.64668199999999998</v>
      </c>
      <c r="N698">
        <v>69.2</v>
      </c>
    </row>
    <row r="699" spans="13:14">
      <c r="M699">
        <v>0.64668199999999998</v>
      </c>
      <c r="N699">
        <v>69.3</v>
      </c>
    </row>
    <row r="700" spans="13:14">
      <c r="M700">
        <v>0.64668519999999996</v>
      </c>
      <c r="N700">
        <v>69.400000000000006</v>
      </c>
    </row>
    <row r="701" spans="13:14">
      <c r="M701">
        <v>0.64697800000000005</v>
      </c>
      <c r="N701">
        <v>69.5</v>
      </c>
    </row>
    <row r="702" spans="13:14">
      <c r="M702">
        <v>0.64727080000000004</v>
      </c>
      <c r="N702">
        <v>69.599999999999994</v>
      </c>
    </row>
    <row r="703" spans="13:14">
      <c r="M703">
        <v>0.64880310399999996</v>
      </c>
      <c r="N703">
        <v>69.7</v>
      </c>
    </row>
    <row r="704" spans="13:14">
      <c r="M704">
        <v>0.65354353600000004</v>
      </c>
      <c r="N704">
        <v>69.8</v>
      </c>
    </row>
    <row r="705" spans="13:14">
      <c r="M705">
        <v>0.658283968000001</v>
      </c>
      <c r="N705">
        <v>69.900000000000006</v>
      </c>
    </row>
    <row r="706" spans="13:14">
      <c r="M706">
        <v>0.66043399999999997</v>
      </c>
      <c r="N706">
        <v>70</v>
      </c>
    </row>
    <row r="707" spans="13:14">
      <c r="M707">
        <v>0.66043399999999997</v>
      </c>
      <c r="N707">
        <v>70.099999999999994</v>
      </c>
    </row>
    <row r="708" spans="13:14">
      <c r="M708">
        <v>0.66043399999999997</v>
      </c>
      <c r="N708">
        <v>70.2</v>
      </c>
    </row>
    <row r="709" spans="13:14">
      <c r="M709">
        <v>0.66043399999999997</v>
      </c>
      <c r="N709">
        <v>70.3</v>
      </c>
    </row>
    <row r="710" spans="13:14">
      <c r="M710">
        <v>0.66043399999999997</v>
      </c>
      <c r="N710">
        <v>70.400000000000006</v>
      </c>
    </row>
    <row r="711" spans="13:14">
      <c r="M711">
        <v>0.66043399999999997</v>
      </c>
      <c r="N711">
        <v>70.5</v>
      </c>
    </row>
    <row r="712" spans="13:14">
      <c r="M712">
        <v>0.66043399999999997</v>
      </c>
      <c r="N712">
        <v>70.599999999999994</v>
      </c>
    </row>
    <row r="713" spans="13:14">
      <c r="M713">
        <v>0.66043399999999997</v>
      </c>
      <c r="N713">
        <v>70.7</v>
      </c>
    </row>
    <row r="714" spans="13:14">
      <c r="M714">
        <v>0.66121799999999997</v>
      </c>
      <c r="N714">
        <v>70.8</v>
      </c>
    </row>
    <row r="715" spans="13:14">
      <c r="M715">
        <v>0.66345975000000001</v>
      </c>
      <c r="N715">
        <v>70.900000000000006</v>
      </c>
    </row>
    <row r="716" spans="13:14">
      <c r="M716">
        <v>0.66570149999999995</v>
      </c>
      <c r="N716">
        <v>71</v>
      </c>
    </row>
    <row r="717" spans="13:14">
      <c r="M717">
        <v>0.66655900000000001</v>
      </c>
      <c r="N717">
        <v>71.099999999999994</v>
      </c>
    </row>
    <row r="718" spans="13:14">
      <c r="M718">
        <v>0.66655900000000001</v>
      </c>
      <c r="N718">
        <v>71.2</v>
      </c>
    </row>
    <row r="719" spans="13:14">
      <c r="M719">
        <v>0.66655900000000001</v>
      </c>
      <c r="N719">
        <v>71.3</v>
      </c>
    </row>
    <row r="720" spans="13:14">
      <c r="M720">
        <v>0.66739556799999999</v>
      </c>
      <c r="N720">
        <v>71.400000000000006</v>
      </c>
    </row>
    <row r="721" spans="13:14">
      <c r="M721">
        <v>0.66834057999999996</v>
      </c>
      <c r="N721">
        <v>71.5</v>
      </c>
    </row>
    <row r="722" spans="13:14">
      <c r="M722">
        <v>0.66914099999999999</v>
      </c>
      <c r="N722">
        <v>71.599999999999994</v>
      </c>
    </row>
    <row r="723" spans="13:14">
      <c r="M723">
        <v>0.66914099999999999</v>
      </c>
      <c r="N723">
        <v>71.7</v>
      </c>
    </row>
    <row r="724" spans="13:14">
      <c r="M724">
        <v>0.66914099999999999</v>
      </c>
      <c r="N724">
        <v>71.8</v>
      </c>
    </row>
    <row r="725" spans="13:14">
      <c r="M725">
        <v>0.66914099999999999</v>
      </c>
      <c r="N725">
        <v>71.900000000000006</v>
      </c>
    </row>
    <row r="726" spans="13:14">
      <c r="M726">
        <v>0.66914099999999999</v>
      </c>
      <c r="N726">
        <v>72</v>
      </c>
    </row>
    <row r="727" spans="13:14">
      <c r="M727">
        <v>0.66914099999999999</v>
      </c>
      <c r="N727">
        <v>72.099999999999994</v>
      </c>
    </row>
    <row r="728" spans="13:14">
      <c r="M728">
        <v>0.66914099999999999</v>
      </c>
      <c r="N728">
        <v>72.2</v>
      </c>
    </row>
    <row r="729" spans="13:14">
      <c r="M729">
        <v>0.66914099999999999</v>
      </c>
      <c r="N729">
        <v>72.3</v>
      </c>
    </row>
    <row r="730" spans="13:14">
      <c r="M730">
        <v>0.66914099999999999</v>
      </c>
      <c r="N730">
        <v>72.400000000000006</v>
      </c>
    </row>
    <row r="731" spans="13:14">
      <c r="M731">
        <v>0.66914099999999999</v>
      </c>
      <c r="N731">
        <v>72.5</v>
      </c>
    </row>
    <row r="732" spans="13:14">
      <c r="M732">
        <v>0.66914099999999999</v>
      </c>
      <c r="N732">
        <v>72.599999999999994</v>
      </c>
    </row>
    <row r="733" spans="13:14">
      <c r="M733">
        <v>0.66937150199999995</v>
      </c>
      <c r="N733">
        <v>72.7</v>
      </c>
    </row>
    <row r="734" spans="13:14">
      <c r="M734">
        <v>0.67040032800000005</v>
      </c>
      <c r="N734">
        <v>72.8</v>
      </c>
    </row>
    <row r="735" spans="13:14">
      <c r="M735">
        <v>0.67142915400000003</v>
      </c>
      <c r="N735">
        <v>72.900000000000006</v>
      </c>
    </row>
    <row r="736" spans="13:14">
      <c r="M736">
        <v>0.67195199999999999</v>
      </c>
      <c r="N736">
        <v>73</v>
      </c>
    </row>
    <row r="737" spans="13:14">
      <c r="M737">
        <v>0.67195199999999999</v>
      </c>
      <c r="N737">
        <v>73.099999999999994</v>
      </c>
    </row>
    <row r="738" spans="13:14">
      <c r="M738">
        <v>0.67195199999999999</v>
      </c>
      <c r="N738">
        <v>73.2</v>
      </c>
    </row>
    <row r="739" spans="13:14">
      <c r="M739">
        <v>0.67195199999999999</v>
      </c>
      <c r="N739">
        <v>73.3</v>
      </c>
    </row>
    <row r="740" spans="13:14">
      <c r="M740">
        <v>0.67195199999999999</v>
      </c>
      <c r="N740">
        <v>73.400000000000006</v>
      </c>
    </row>
    <row r="741" spans="13:14">
      <c r="M741">
        <v>0.67196113000000002</v>
      </c>
      <c r="N741">
        <v>73.5</v>
      </c>
    </row>
    <row r="742" spans="13:14">
      <c r="M742">
        <v>0.67229528800000005</v>
      </c>
      <c r="N742">
        <v>73.599999999999994</v>
      </c>
    </row>
    <row r="743" spans="13:14">
      <c r="M743">
        <v>0.67262944599999996</v>
      </c>
      <c r="N743">
        <v>73.7</v>
      </c>
    </row>
    <row r="744" spans="13:14">
      <c r="M744">
        <v>0.67286500000000005</v>
      </c>
      <c r="N744">
        <v>73.8</v>
      </c>
    </row>
    <row r="745" spans="13:14">
      <c r="M745">
        <v>0.67286500000000005</v>
      </c>
      <c r="N745">
        <v>73.900000000000006</v>
      </c>
    </row>
    <row r="746" spans="13:14">
      <c r="M746">
        <v>0.67286500000000005</v>
      </c>
      <c r="N746">
        <v>74</v>
      </c>
    </row>
    <row r="747" spans="13:14">
      <c r="M747">
        <v>0.67689827400000002</v>
      </c>
      <c r="N747">
        <v>74.099999999999994</v>
      </c>
    </row>
    <row r="748" spans="13:14">
      <c r="M748">
        <v>0.68406418800000002</v>
      </c>
      <c r="N748">
        <v>74.2</v>
      </c>
    </row>
    <row r="749" spans="13:14">
      <c r="M749">
        <v>0.69123010200000001</v>
      </c>
      <c r="N749">
        <v>74.3</v>
      </c>
    </row>
    <row r="750" spans="13:14">
      <c r="M750">
        <v>0.69244399999999995</v>
      </c>
      <c r="N750">
        <v>74.400000000000006</v>
      </c>
    </row>
    <row r="751" spans="13:14">
      <c r="M751">
        <v>0.69244399999999995</v>
      </c>
      <c r="N751">
        <v>74.5</v>
      </c>
    </row>
    <row r="752" spans="13:14">
      <c r="M752">
        <v>0.69346481599999998</v>
      </c>
      <c r="N752">
        <v>74.599999999999994</v>
      </c>
    </row>
    <row r="753" spans="13:14">
      <c r="M753">
        <v>0.70384311200000005</v>
      </c>
      <c r="N753">
        <v>74.7</v>
      </c>
    </row>
    <row r="754" spans="13:14">
      <c r="M754">
        <v>0.714221407999999</v>
      </c>
      <c r="N754">
        <v>74.8</v>
      </c>
    </row>
    <row r="755" spans="13:14">
      <c r="M755">
        <v>0.7208</v>
      </c>
      <c r="N755">
        <v>74.900000000000006</v>
      </c>
    </row>
    <row r="756" spans="13:14">
      <c r="M756">
        <v>0.7208</v>
      </c>
      <c r="N756">
        <v>75</v>
      </c>
    </row>
    <row r="757" spans="13:14">
      <c r="M757">
        <v>0.7208</v>
      </c>
      <c r="N757">
        <v>75.099999999999994</v>
      </c>
    </row>
    <row r="758" spans="13:14">
      <c r="M758">
        <v>0.7208</v>
      </c>
      <c r="N758">
        <v>75.2</v>
      </c>
    </row>
    <row r="759" spans="13:14">
      <c r="M759">
        <v>0.7208</v>
      </c>
      <c r="N759">
        <v>75.3</v>
      </c>
    </row>
    <row r="760" spans="13:14">
      <c r="M760">
        <v>0.7208</v>
      </c>
      <c r="N760">
        <v>75.400000000000006</v>
      </c>
    </row>
    <row r="761" spans="13:14">
      <c r="M761">
        <v>0.7208</v>
      </c>
      <c r="N761">
        <v>75.5</v>
      </c>
    </row>
    <row r="762" spans="13:14">
      <c r="M762">
        <v>0.7208</v>
      </c>
      <c r="N762">
        <v>75.599999999999994</v>
      </c>
    </row>
    <row r="763" spans="13:14">
      <c r="M763">
        <v>0.72270414400000005</v>
      </c>
      <c r="N763">
        <v>75.7</v>
      </c>
    </row>
    <row r="764" spans="13:14">
      <c r="M764">
        <v>0.73394473599999999</v>
      </c>
      <c r="N764">
        <v>75.8</v>
      </c>
    </row>
    <row r="765" spans="13:14">
      <c r="M765">
        <v>0.74518532799999904</v>
      </c>
      <c r="N765">
        <v>75.900000000000006</v>
      </c>
    </row>
    <row r="766" spans="13:14">
      <c r="M766">
        <v>0.75677840000000096</v>
      </c>
      <c r="N766">
        <v>76</v>
      </c>
    </row>
    <row r="767" spans="13:14">
      <c r="M767">
        <v>0.76882528999999999</v>
      </c>
      <c r="N767">
        <v>76.099999999999994</v>
      </c>
    </row>
    <row r="768" spans="13:14">
      <c r="M768">
        <v>0.78087218000000003</v>
      </c>
      <c r="N768">
        <v>76.2</v>
      </c>
    </row>
    <row r="769" spans="13:14">
      <c r="M769">
        <v>0.78442699999999999</v>
      </c>
      <c r="N769">
        <v>76.3</v>
      </c>
    </row>
    <row r="770" spans="13:14">
      <c r="M770">
        <v>0.78442699999999999</v>
      </c>
      <c r="N770">
        <v>76.400000000000006</v>
      </c>
    </row>
    <row r="771" spans="13:14">
      <c r="M771">
        <v>0.78442699999999999</v>
      </c>
      <c r="N771">
        <v>76.5</v>
      </c>
    </row>
    <row r="772" spans="13:14">
      <c r="M772">
        <v>0.78442699999999999</v>
      </c>
      <c r="N772">
        <v>76.599999999999994</v>
      </c>
    </row>
    <row r="773" spans="13:14">
      <c r="M773">
        <v>0.78442699999999999</v>
      </c>
      <c r="N773">
        <v>76.7</v>
      </c>
    </row>
    <row r="774" spans="13:14">
      <c r="M774">
        <v>0.78442699999999999</v>
      </c>
      <c r="N774">
        <v>76.8</v>
      </c>
    </row>
    <row r="775" spans="13:14">
      <c r="M775">
        <v>0.78442699999999999</v>
      </c>
      <c r="N775">
        <v>76.900000000000006</v>
      </c>
    </row>
    <row r="776" spans="13:14">
      <c r="M776">
        <v>0.78442699999999999</v>
      </c>
      <c r="N776">
        <v>77</v>
      </c>
    </row>
    <row r="777" spans="13:14">
      <c r="M777">
        <v>0.78442699999999999</v>
      </c>
      <c r="N777">
        <v>77.099999999999994</v>
      </c>
    </row>
    <row r="778" spans="13:14">
      <c r="M778">
        <v>0.78442699999999999</v>
      </c>
      <c r="N778">
        <v>77.2</v>
      </c>
    </row>
    <row r="779" spans="13:14">
      <c r="M779">
        <v>0.78442699999999999</v>
      </c>
      <c r="N779">
        <v>77.3</v>
      </c>
    </row>
    <row r="780" spans="13:14">
      <c r="M780">
        <v>0.79433973599999996</v>
      </c>
      <c r="N780">
        <v>77.400000000000006</v>
      </c>
    </row>
    <row r="781" spans="13:14">
      <c r="M781">
        <v>0.80711460000000101</v>
      </c>
      <c r="N781">
        <v>77.5</v>
      </c>
    </row>
    <row r="782" spans="13:14">
      <c r="M782">
        <v>0.81933100000000003</v>
      </c>
      <c r="N782">
        <v>77.599999999999994</v>
      </c>
    </row>
    <row r="783" spans="13:14">
      <c r="M783">
        <v>0.81933100000000003</v>
      </c>
      <c r="N783">
        <v>77.7</v>
      </c>
    </row>
    <row r="784" spans="13:14">
      <c r="M784">
        <v>0.81933100000000003</v>
      </c>
      <c r="N784">
        <v>77.8</v>
      </c>
    </row>
    <row r="785" spans="13:14">
      <c r="M785">
        <v>0.81933100000000003</v>
      </c>
      <c r="N785">
        <v>77.900000000000006</v>
      </c>
    </row>
    <row r="786" spans="13:14">
      <c r="M786">
        <v>0.81933100000000003</v>
      </c>
      <c r="N786">
        <v>78</v>
      </c>
    </row>
    <row r="787" spans="13:14">
      <c r="M787">
        <v>0.81933100000000003</v>
      </c>
      <c r="N787">
        <v>78.099999999999994</v>
      </c>
    </row>
    <row r="788" spans="13:14">
      <c r="M788">
        <v>0.82708659600000001</v>
      </c>
      <c r="N788">
        <v>78.2</v>
      </c>
    </row>
    <row r="789" spans="13:14">
      <c r="M789">
        <v>0.84047597400000096</v>
      </c>
      <c r="N789">
        <v>78.3</v>
      </c>
    </row>
    <row r="790" spans="13:14">
      <c r="M790">
        <v>0.85386535200000102</v>
      </c>
      <c r="N790">
        <v>78.400000000000006</v>
      </c>
    </row>
    <row r="791" spans="13:14">
      <c r="M791">
        <v>0.85591399999999995</v>
      </c>
      <c r="N791">
        <v>78.5</v>
      </c>
    </row>
    <row r="792" spans="13:14">
      <c r="M792">
        <v>0.85591399999999995</v>
      </c>
      <c r="N792">
        <v>78.599999999999994</v>
      </c>
    </row>
    <row r="793" spans="13:14">
      <c r="M793">
        <v>0.85591399999999995</v>
      </c>
      <c r="N793">
        <v>78.7</v>
      </c>
    </row>
    <row r="794" spans="13:14">
      <c r="M794">
        <v>0.85591399999999995</v>
      </c>
      <c r="N794">
        <v>78.8</v>
      </c>
    </row>
    <row r="795" spans="13:14">
      <c r="M795">
        <v>0.85591399999999995</v>
      </c>
      <c r="N795">
        <v>78.900000000000006</v>
      </c>
    </row>
    <row r="796" spans="13:14">
      <c r="M796">
        <v>0.85591399999999995</v>
      </c>
      <c r="N796">
        <v>79</v>
      </c>
    </row>
    <row r="797" spans="13:14">
      <c r="M797">
        <v>0.85591399999999995</v>
      </c>
      <c r="N797">
        <v>79.099999999999994</v>
      </c>
    </row>
    <row r="798" spans="13:14">
      <c r="M798">
        <v>0.85591399999999995</v>
      </c>
      <c r="N798">
        <v>79.2</v>
      </c>
    </row>
    <row r="799" spans="13:14">
      <c r="M799">
        <v>0.85750146000000005</v>
      </c>
      <c r="N799">
        <v>79.3</v>
      </c>
    </row>
    <row r="800" spans="13:14">
      <c r="M800">
        <v>0.85994267999999996</v>
      </c>
      <c r="N800">
        <v>79.400000000000006</v>
      </c>
    </row>
    <row r="801" spans="13:14">
      <c r="M801">
        <v>0.86238389999999998</v>
      </c>
      <c r="N801">
        <v>79.5</v>
      </c>
    </row>
    <row r="802" spans="13:14">
      <c r="M802">
        <v>0.86258400000000002</v>
      </c>
      <c r="N802">
        <v>79.599999999999994</v>
      </c>
    </row>
    <row r="803" spans="13:14">
      <c r="M803">
        <v>0.86258400000000002</v>
      </c>
      <c r="N803">
        <v>79.7</v>
      </c>
    </row>
    <row r="804" spans="13:14">
      <c r="M804">
        <v>0.86470213200000101</v>
      </c>
      <c r="N804">
        <v>79.8</v>
      </c>
    </row>
    <row r="805" spans="13:14">
      <c r="M805">
        <v>0.87610266600000097</v>
      </c>
      <c r="N805">
        <v>79.900000000000006</v>
      </c>
    </row>
    <row r="806" spans="13:14">
      <c r="M806">
        <v>0.88750320000000005</v>
      </c>
      <c r="N806">
        <v>80</v>
      </c>
    </row>
    <row r="807" spans="13:14">
      <c r="M807">
        <v>0.893733</v>
      </c>
      <c r="N807">
        <v>80.099999999999994</v>
      </c>
    </row>
    <row r="808" spans="13:14">
      <c r="M808">
        <v>0.893733</v>
      </c>
      <c r="N808">
        <v>80.2</v>
      </c>
    </row>
    <row r="809" spans="13:14">
      <c r="M809">
        <v>0.893733</v>
      </c>
      <c r="N809">
        <v>80.3</v>
      </c>
    </row>
    <row r="810" spans="13:14">
      <c r="M810">
        <v>0.893733</v>
      </c>
      <c r="N810">
        <v>80.400000000000006</v>
      </c>
    </row>
    <row r="811" spans="13:14">
      <c r="M811">
        <v>0.893733</v>
      </c>
      <c r="N811">
        <v>80.5</v>
      </c>
    </row>
    <row r="812" spans="13:14">
      <c r="M812">
        <v>0.893733</v>
      </c>
      <c r="N812">
        <v>80.599999999999994</v>
      </c>
    </row>
    <row r="813" spans="13:14">
      <c r="M813">
        <v>0.90600697200000102</v>
      </c>
      <c r="N813">
        <v>80.7</v>
      </c>
    </row>
    <row r="814" spans="13:14">
      <c r="M814">
        <v>0.91841656800000004</v>
      </c>
      <c r="N814">
        <v>80.8</v>
      </c>
    </row>
    <row r="815" spans="13:14">
      <c r="M815">
        <v>0.92806604199999998</v>
      </c>
      <c r="N815">
        <v>80.900000000000006</v>
      </c>
    </row>
    <row r="816" spans="13:14">
      <c r="M816">
        <v>0.92972878000000003</v>
      </c>
      <c r="N816">
        <v>81</v>
      </c>
    </row>
    <row r="817" spans="13:14">
      <c r="M817">
        <v>0.93139151799999997</v>
      </c>
      <c r="N817">
        <v>81.099999999999994</v>
      </c>
    </row>
    <row r="818" spans="13:14">
      <c r="M818">
        <v>0.93218199999999996</v>
      </c>
      <c r="N818">
        <v>81.2</v>
      </c>
    </row>
    <row r="819" spans="13:14">
      <c r="M819">
        <v>0.93218199999999996</v>
      </c>
      <c r="N819">
        <v>81.3</v>
      </c>
    </row>
    <row r="820" spans="13:14">
      <c r="M820">
        <v>0.93218199999999996</v>
      </c>
      <c r="N820">
        <v>81.400000000000006</v>
      </c>
    </row>
    <row r="821" spans="13:14">
      <c r="M821">
        <v>0.94328378000000102</v>
      </c>
      <c r="N821">
        <v>81.5</v>
      </c>
    </row>
    <row r="822" spans="13:14">
      <c r="M822">
        <v>0.95729499200000001</v>
      </c>
      <c r="N822">
        <v>81.599999999999994</v>
      </c>
    </row>
    <row r="823" spans="13:14">
      <c r="M823">
        <v>0.97046399999999999</v>
      </c>
      <c r="N823">
        <v>81.7</v>
      </c>
    </row>
    <row r="824" spans="13:14">
      <c r="M824">
        <v>0.97046399999999999</v>
      </c>
      <c r="N824">
        <v>81.8</v>
      </c>
    </row>
    <row r="825" spans="13:14">
      <c r="M825">
        <v>0.97046399999999999</v>
      </c>
      <c r="N825">
        <v>81.900000000000006</v>
      </c>
    </row>
    <row r="826" spans="13:14">
      <c r="M826">
        <v>0.97491779999999995</v>
      </c>
      <c r="N826">
        <v>82</v>
      </c>
    </row>
    <row r="827" spans="13:14">
      <c r="M827">
        <v>0.98850189000000199</v>
      </c>
      <c r="N827">
        <v>82.1</v>
      </c>
    </row>
    <row r="828" spans="13:14">
      <c r="M828">
        <v>1.0020859799999999</v>
      </c>
      <c r="N828">
        <v>82.2</v>
      </c>
    </row>
    <row r="829" spans="13:14">
      <c r="M829">
        <v>1.007579</v>
      </c>
      <c r="N829">
        <v>82.3</v>
      </c>
    </row>
    <row r="830" spans="13:14">
      <c r="M830">
        <v>1.007579</v>
      </c>
      <c r="N830">
        <v>82.4</v>
      </c>
    </row>
    <row r="831" spans="13:14">
      <c r="M831">
        <v>1.007579</v>
      </c>
      <c r="N831">
        <v>82.5</v>
      </c>
    </row>
    <row r="832" spans="13:14">
      <c r="M832">
        <v>1.007579</v>
      </c>
      <c r="N832">
        <v>82.6</v>
      </c>
    </row>
    <row r="833" spans="13:14">
      <c r="M833">
        <v>1.007579</v>
      </c>
      <c r="N833">
        <v>82.7</v>
      </c>
    </row>
    <row r="834" spans="13:14">
      <c r="M834">
        <v>1.0084642159999999</v>
      </c>
      <c r="N834">
        <v>82.8</v>
      </c>
    </row>
    <row r="835" spans="13:14">
      <c r="M835">
        <v>1.015213988</v>
      </c>
      <c r="N835">
        <v>82.9</v>
      </c>
    </row>
    <row r="836" spans="13:14">
      <c r="M836">
        <v>1.02196376</v>
      </c>
      <c r="N836">
        <v>83</v>
      </c>
    </row>
    <row r="837" spans="13:14">
      <c r="M837">
        <v>1.0260210000000001</v>
      </c>
      <c r="N837">
        <v>83.1</v>
      </c>
    </row>
    <row r="838" spans="13:14">
      <c r="M838">
        <v>1.0260210000000001</v>
      </c>
      <c r="N838">
        <v>83.2</v>
      </c>
    </row>
    <row r="839" spans="13:14">
      <c r="M839">
        <v>1.0260210000000001</v>
      </c>
      <c r="N839">
        <v>83.3</v>
      </c>
    </row>
    <row r="840" spans="13:14">
      <c r="M840">
        <v>1.0260210000000001</v>
      </c>
      <c r="N840">
        <v>83.4</v>
      </c>
    </row>
    <row r="841" spans="13:14">
      <c r="M841">
        <v>1.0260210000000001</v>
      </c>
      <c r="N841">
        <v>83.5</v>
      </c>
    </row>
    <row r="842" spans="13:14">
      <c r="M842">
        <v>1.0260210000000001</v>
      </c>
      <c r="N842">
        <v>83.6</v>
      </c>
    </row>
    <row r="843" spans="13:14">
      <c r="M843">
        <v>1.0316024399999999</v>
      </c>
      <c r="N843">
        <v>83.7</v>
      </c>
    </row>
    <row r="844" spans="13:14">
      <c r="M844">
        <v>1.0375755600000001</v>
      </c>
      <c r="N844">
        <v>83.8</v>
      </c>
    </row>
    <row r="845" spans="13:14">
      <c r="M845">
        <v>1.042341</v>
      </c>
      <c r="N845">
        <v>83.9</v>
      </c>
    </row>
    <row r="846" spans="13:14">
      <c r="M846">
        <v>1.042341</v>
      </c>
      <c r="N846">
        <v>84</v>
      </c>
    </row>
    <row r="847" spans="13:14">
      <c r="M847">
        <v>1.042341</v>
      </c>
      <c r="N847">
        <v>84.1</v>
      </c>
    </row>
    <row r="848" spans="13:14">
      <c r="M848">
        <v>1.0439509199999999</v>
      </c>
      <c r="N848">
        <v>84.2</v>
      </c>
    </row>
    <row r="849" spans="13:14">
      <c r="M849">
        <v>1.0473766799999999</v>
      </c>
      <c r="N849">
        <v>84.3</v>
      </c>
    </row>
    <row r="850" spans="13:14">
      <c r="M850">
        <v>1.05080244</v>
      </c>
      <c r="N850">
        <v>84.4</v>
      </c>
    </row>
    <row r="851" spans="13:14">
      <c r="M851">
        <v>1.05464913</v>
      </c>
      <c r="N851">
        <v>84.5</v>
      </c>
    </row>
    <row r="852" spans="13:14">
      <c r="M852">
        <v>1.0586454839999999</v>
      </c>
      <c r="N852">
        <v>84.6</v>
      </c>
    </row>
    <row r="853" spans="13:14">
      <c r="M853">
        <v>1.0626199999999999</v>
      </c>
      <c r="N853">
        <v>84.7</v>
      </c>
    </row>
    <row r="854" spans="13:14">
      <c r="M854">
        <v>1.0626199999999999</v>
      </c>
      <c r="N854">
        <v>84.8</v>
      </c>
    </row>
    <row r="855" spans="13:14">
      <c r="M855">
        <v>1.0626199999999999</v>
      </c>
      <c r="N855">
        <v>84.9</v>
      </c>
    </row>
    <row r="856" spans="13:14">
      <c r="M856">
        <v>1.0637011999999999</v>
      </c>
      <c r="N856">
        <v>85</v>
      </c>
    </row>
    <row r="857" spans="13:14">
      <c r="M857">
        <v>1.067658392</v>
      </c>
      <c r="N857">
        <v>85.1</v>
      </c>
    </row>
    <row r="858" spans="13:14">
      <c r="M858">
        <v>1.0716155839999999</v>
      </c>
      <c r="N858">
        <v>85.2</v>
      </c>
    </row>
    <row r="859" spans="13:14">
      <c r="M859">
        <v>1.0734319999999999</v>
      </c>
      <c r="N859">
        <v>85.3</v>
      </c>
    </row>
    <row r="860" spans="13:14">
      <c r="M860">
        <v>1.0734319999999999</v>
      </c>
      <c r="N860">
        <v>85.4</v>
      </c>
    </row>
    <row r="861" spans="13:14">
      <c r="M861">
        <v>1.0734319999999999</v>
      </c>
      <c r="N861">
        <v>85.5</v>
      </c>
    </row>
    <row r="862" spans="13:14">
      <c r="M862">
        <v>1.0734319999999999</v>
      </c>
      <c r="N862">
        <v>85.6</v>
      </c>
    </row>
    <row r="863" spans="13:14">
      <c r="M863">
        <v>1.0734319999999999</v>
      </c>
      <c r="N863">
        <v>85.7</v>
      </c>
    </row>
    <row r="864" spans="13:14">
      <c r="M864">
        <v>1.0736452480000001</v>
      </c>
      <c r="N864">
        <v>85.8</v>
      </c>
    </row>
    <row r="865" spans="13:14">
      <c r="M865">
        <v>1.0764327039999999</v>
      </c>
      <c r="N865">
        <v>85.9</v>
      </c>
    </row>
    <row r="866" spans="13:14">
      <c r="M866">
        <v>1.07922016</v>
      </c>
      <c r="N866">
        <v>86</v>
      </c>
    </row>
    <row r="867" spans="13:14">
      <c r="M867">
        <v>1.0833737080000001</v>
      </c>
      <c r="N867">
        <v>86.1</v>
      </c>
    </row>
    <row r="868" spans="13:14">
      <c r="M868">
        <v>1.0901293359999999</v>
      </c>
      <c r="N868">
        <v>86.2</v>
      </c>
    </row>
    <row r="869" spans="13:14">
      <c r="M869">
        <v>1.096884964</v>
      </c>
      <c r="N869">
        <v>86.3</v>
      </c>
    </row>
    <row r="870" spans="13:14">
      <c r="M870">
        <v>1.0995060000000001</v>
      </c>
      <c r="N870">
        <v>86.4</v>
      </c>
    </row>
    <row r="871" spans="13:14">
      <c r="M871">
        <v>1.0995060000000001</v>
      </c>
      <c r="N871">
        <v>86.5</v>
      </c>
    </row>
    <row r="872" spans="13:14">
      <c r="M872">
        <v>1.0995060000000001</v>
      </c>
      <c r="N872">
        <v>86.6</v>
      </c>
    </row>
    <row r="873" spans="13:14">
      <c r="M873">
        <v>1.100996538</v>
      </c>
      <c r="N873">
        <v>86.7</v>
      </c>
    </row>
    <row r="874" spans="13:14">
      <c r="M874">
        <v>1.102690752</v>
      </c>
      <c r="N874">
        <v>86.8</v>
      </c>
    </row>
    <row r="875" spans="13:14">
      <c r="M875">
        <v>1.1042283660000001</v>
      </c>
      <c r="N875">
        <v>86.9</v>
      </c>
    </row>
    <row r="876" spans="13:14">
      <c r="M876">
        <v>1.1048611800000001</v>
      </c>
      <c r="N876">
        <v>87</v>
      </c>
    </row>
    <row r="877" spans="13:14">
      <c r="M877">
        <v>1.1054939939999999</v>
      </c>
      <c r="N877">
        <v>87.1</v>
      </c>
    </row>
    <row r="878" spans="13:14">
      <c r="M878">
        <v>1.105864</v>
      </c>
      <c r="N878">
        <v>87.2</v>
      </c>
    </row>
    <row r="879" spans="13:14">
      <c r="M879">
        <v>1.105864</v>
      </c>
      <c r="N879">
        <v>87.3</v>
      </c>
    </row>
    <row r="880" spans="13:14">
      <c r="M880">
        <v>1.105864</v>
      </c>
      <c r="N880">
        <v>87.4</v>
      </c>
    </row>
    <row r="881" spans="13:14">
      <c r="M881">
        <v>1.1092285</v>
      </c>
      <c r="N881">
        <v>87.5</v>
      </c>
    </row>
    <row r="882" spans="13:14">
      <c r="M882">
        <v>1.114154128</v>
      </c>
      <c r="N882">
        <v>87.6</v>
      </c>
    </row>
    <row r="883" spans="13:14">
      <c r="M883">
        <v>1.1190797560000001</v>
      </c>
      <c r="N883">
        <v>87.7</v>
      </c>
    </row>
    <row r="884" spans="13:14">
      <c r="M884">
        <v>1.1193219999999999</v>
      </c>
      <c r="N884">
        <v>87.8</v>
      </c>
    </row>
    <row r="885" spans="13:14">
      <c r="M885">
        <v>1.1193219999999999</v>
      </c>
      <c r="N885">
        <v>87.9</v>
      </c>
    </row>
    <row r="886" spans="13:14">
      <c r="M886">
        <v>1.1193219999999999</v>
      </c>
      <c r="N886">
        <v>88</v>
      </c>
    </row>
    <row r="887" spans="13:14">
      <c r="M887">
        <v>1.1193219999999999</v>
      </c>
      <c r="N887">
        <v>88.1</v>
      </c>
    </row>
    <row r="888" spans="13:14">
      <c r="M888">
        <v>1.1193219999999999</v>
      </c>
      <c r="N888">
        <v>88.2</v>
      </c>
    </row>
    <row r="889" spans="13:14">
      <c r="M889">
        <v>1.1214823860000001</v>
      </c>
      <c r="N889">
        <v>88.3</v>
      </c>
    </row>
    <row r="890" spans="13:14">
      <c r="M890">
        <v>1.1259245280000001</v>
      </c>
      <c r="N890">
        <v>88.4</v>
      </c>
    </row>
    <row r="891" spans="13:14">
      <c r="M891">
        <v>1.1303666699999999</v>
      </c>
      <c r="N891">
        <v>88.5</v>
      </c>
    </row>
    <row r="892" spans="13:14">
      <c r="M892">
        <v>1.131459</v>
      </c>
      <c r="N892">
        <v>88.6</v>
      </c>
    </row>
    <row r="893" spans="13:14">
      <c r="M893">
        <v>1.131459</v>
      </c>
      <c r="N893">
        <v>88.7</v>
      </c>
    </row>
    <row r="894" spans="13:14">
      <c r="M894">
        <v>1.1314625920000001</v>
      </c>
      <c r="N894">
        <v>88.8</v>
      </c>
    </row>
    <row r="895" spans="13:14">
      <c r="M895">
        <v>1.131626926</v>
      </c>
      <c r="N895">
        <v>88.9</v>
      </c>
    </row>
    <row r="896" spans="13:14">
      <c r="M896">
        <v>1.13179126</v>
      </c>
      <c r="N896">
        <v>89</v>
      </c>
    </row>
    <row r="897" spans="13:14">
      <c r="M897">
        <v>1.1319079999999999</v>
      </c>
      <c r="N897">
        <v>89.1</v>
      </c>
    </row>
    <row r="898" spans="13:14">
      <c r="M898">
        <v>1.1319079999999999</v>
      </c>
      <c r="N898">
        <v>89.2</v>
      </c>
    </row>
    <row r="899" spans="13:14">
      <c r="M899">
        <v>1.1319079999999999</v>
      </c>
      <c r="N899">
        <v>89.3</v>
      </c>
    </row>
    <row r="900" spans="13:14">
      <c r="M900">
        <v>1.1322545959999999</v>
      </c>
      <c r="N900">
        <v>89.4</v>
      </c>
    </row>
    <row r="901" spans="13:14">
      <c r="M901">
        <v>1.13287643</v>
      </c>
      <c r="N901">
        <v>89.5</v>
      </c>
    </row>
    <row r="902" spans="13:14">
      <c r="M902">
        <v>1.133498264</v>
      </c>
      <c r="N902">
        <v>89.6</v>
      </c>
    </row>
    <row r="903" spans="13:14">
      <c r="M903">
        <v>1.133607</v>
      </c>
      <c r="N903">
        <v>89.7</v>
      </c>
    </row>
    <row r="904" spans="13:14">
      <c r="M904">
        <v>1.133607</v>
      </c>
      <c r="N904">
        <v>89.8</v>
      </c>
    </row>
    <row r="905" spans="13:14">
      <c r="M905">
        <v>1.133712026</v>
      </c>
      <c r="N905">
        <v>89.9</v>
      </c>
    </row>
    <row r="906" spans="13:14">
      <c r="M906">
        <v>1.1348426</v>
      </c>
      <c r="N906">
        <v>90</v>
      </c>
    </row>
    <row r="907" spans="13:14">
      <c r="M907">
        <v>1.1359731740000001</v>
      </c>
      <c r="N907">
        <v>90.1</v>
      </c>
    </row>
    <row r="908" spans="13:14">
      <c r="M908">
        <v>1.1425227440000001</v>
      </c>
      <c r="N908">
        <v>90.2</v>
      </c>
    </row>
    <row r="909" spans="13:14">
      <c r="M909">
        <v>1.1586787160000001</v>
      </c>
      <c r="N909">
        <v>90.3</v>
      </c>
    </row>
    <row r="910" spans="13:14">
      <c r="M910">
        <v>1.174834688</v>
      </c>
      <c r="N910">
        <v>90.4</v>
      </c>
    </row>
    <row r="911" spans="13:14">
      <c r="M911">
        <v>1.1846615199999999</v>
      </c>
      <c r="N911">
        <v>90.5</v>
      </c>
    </row>
    <row r="912" spans="13:14">
      <c r="M912">
        <v>1.1907459039999999</v>
      </c>
      <c r="N912">
        <v>90.6</v>
      </c>
    </row>
    <row r="913" spans="13:14">
      <c r="M913">
        <v>1.1968302879999999</v>
      </c>
      <c r="N913">
        <v>90.7</v>
      </c>
    </row>
    <row r="914" spans="13:14">
      <c r="M914">
        <v>1.2099276400000001</v>
      </c>
      <c r="N914">
        <v>90.8</v>
      </c>
    </row>
    <row r="915" spans="13:14">
      <c r="M915">
        <v>1.2238374700000001</v>
      </c>
      <c r="N915">
        <v>90.9</v>
      </c>
    </row>
    <row r="916" spans="13:14">
      <c r="M916">
        <v>1.2354670000000001</v>
      </c>
      <c r="N916">
        <v>91</v>
      </c>
    </row>
    <row r="917" spans="13:14">
      <c r="M917">
        <v>1.2354670000000001</v>
      </c>
      <c r="N917">
        <v>91.1</v>
      </c>
    </row>
    <row r="918" spans="13:14">
      <c r="M918">
        <v>1.2354670000000001</v>
      </c>
      <c r="N918">
        <v>91.2</v>
      </c>
    </row>
    <row r="919" spans="13:14">
      <c r="M919">
        <v>1.2419127679999999</v>
      </c>
      <c r="N919">
        <v>91.3</v>
      </c>
    </row>
    <row r="920" spans="13:14">
      <c r="M920">
        <v>1.256844104</v>
      </c>
      <c r="N920">
        <v>91.4</v>
      </c>
    </row>
    <row r="921" spans="13:14">
      <c r="M921">
        <v>1.2717754400000001</v>
      </c>
      <c r="N921">
        <v>91.5</v>
      </c>
    </row>
    <row r="922" spans="13:14">
      <c r="M922">
        <v>1.2872809839999999</v>
      </c>
      <c r="N922">
        <v>91.6</v>
      </c>
    </row>
    <row r="923" spans="13:14">
      <c r="M923">
        <v>1.3030332579999999</v>
      </c>
      <c r="N923">
        <v>91.7</v>
      </c>
    </row>
    <row r="924" spans="13:14">
      <c r="M924">
        <v>1.3187855319999999</v>
      </c>
      <c r="N924">
        <v>91.8</v>
      </c>
    </row>
    <row r="925" spans="13:14">
      <c r="M925">
        <v>1.319302</v>
      </c>
      <c r="N925">
        <v>91.9</v>
      </c>
    </row>
    <row r="926" spans="13:14">
      <c r="M926">
        <v>1.319302</v>
      </c>
      <c r="N926">
        <v>92</v>
      </c>
    </row>
    <row r="927" spans="13:14">
      <c r="M927">
        <v>1.32224535</v>
      </c>
      <c r="N927">
        <v>92.1</v>
      </c>
    </row>
    <row r="928" spans="13:14">
      <c r="M928">
        <v>1.3347716999999999</v>
      </c>
      <c r="N928">
        <v>92.2</v>
      </c>
    </row>
    <row r="929" spans="13:14">
      <c r="M929">
        <v>1.34729805</v>
      </c>
      <c r="N929">
        <v>92.3</v>
      </c>
    </row>
    <row r="930" spans="13:14">
      <c r="M930">
        <v>1.3535269999999999</v>
      </c>
      <c r="N930">
        <v>92.4</v>
      </c>
    </row>
    <row r="931" spans="13:14">
      <c r="M931">
        <v>1.3535269999999999</v>
      </c>
      <c r="N931">
        <v>92.5</v>
      </c>
    </row>
    <row r="932" spans="13:14">
      <c r="M932">
        <v>1.3535269999999999</v>
      </c>
      <c r="N932">
        <v>92.6</v>
      </c>
    </row>
    <row r="933" spans="13:14">
      <c r="M933">
        <v>1.367918306</v>
      </c>
      <c r="N933">
        <v>92.7</v>
      </c>
    </row>
    <row r="934" spans="13:14">
      <c r="M934">
        <v>1.386596384</v>
      </c>
      <c r="N934">
        <v>92.8</v>
      </c>
    </row>
    <row r="935" spans="13:14">
      <c r="M935">
        <v>1.404622174</v>
      </c>
      <c r="N935">
        <v>92.9</v>
      </c>
    </row>
    <row r="936" spans="13:14">
      <c r="M936">
        <v>1.4062475800000001</v>
      </c>
      <c r="N936">
        <v>93</v>
      </c>
    </row>
    <row r="937" spans="13:14">
      <c r="M937">
        <v>1.4078729860000001</v>
      </c>
      <c r="N937">
        <v>93.1</v>
      </c>
    </row>
    <row r="938" spans="13:14">
      <c r="M938">
        <v>1.4090009999999999</v>
      </c>
      <c r="N938">
        <v>93.2</v>
      </c>
    </row>
    <row r="939" spans="13:14">
      <c r="M939">
        <v>1.4090009999999999</v>
      </c>
      <c r="N939">
        <v>93.3</v>
      </c>
    </row>
    <row r="940" spans="13:14">
      <c r="M940">
        <v>1.4090009999999999</v>
      </c>
      <c r="N940">
        <v>93.4</v>
      </c>
    </row>
    <row r="941" spans="13:14">
      <c r="M941">
        <v>1.41835209</v>
      </c>
      <c r="N941">
        <v>93.5</v>
      </c>
    </row>
    <row r="942" spans="13:14">
      <c r="M942">
        <v>1.4346497039999999</v>
      </c>
      <c r="N942">
        <v>93.6</v>
      </c>
    </row>
    <row r="943" spans="13:14">
      <c r="M943">
        <v>1.4509473180000001</v>
      </c>
      <c r="N943">
        <v>93.7</v>
      </c>
    </row>
    <row r="944" spans="13:14">
      <c r="M944">
        <v>1.45353</v>
      </c>
      <c r="N944">
        <v>93.8</v>
      </c>
    </row>
    <row r="945" spans="13:14">
      <c r="M945">
        <v>1.45353</v>
      </c>
      <c r="N945">
        <v>93.9</v>
      </c>
    </row>
    <row r="946" spans="13:14">
      <c r="M946">
        <v>1.45522884</v>
      </c>
      <c r="N946">
        <v>94</v>
      </c>
    </row>
    <row r="947" spans="13:14">
      <c r="M947">
        <v>1.4707732259999999</v>
      </c>
      <c r="N947">
        <v>94.1</v>
      </c>
    </row>
    <row r="948" spans="13:14">
      <c r="M948">
        <v>1.4863176119999999</v>
      </c>
      <c r="N948">
        <v>94.2</v>
      </c>
    </row>
    <row r="949" spans="13:14">
      <c r="M949">
        <v>1.4960009999999999</v>
      </c>
      <c r="N949">
        <v>94.3</v>
      </c>
    </row>
    <row r="950" spans="13:14">
      <c r="M950">
        <v>1.4960009999999999</v>
      </c>
      <c r="N950">
        <v>94.4</v>
      </c>
    </row>
    <row r="951" spans="13:14">
      <c r="M951">
        <v>1.4960009999999999</v>
      </c>
      <c r="N951">
        <v>94.5</v>
      </c>
    </row>
    <row r="952" spans="13:14">
      <c r="M952">
        <v>1.4960009999999999</v>
      </c>
      <c r="N952">
        <v>94.6</v>
      </c>
    </row>
    <row r="953" spans="13:14">
      <c r="M953">
        <v>1.4960009999999999</v>
      </c>
      <c r="N953">
        <v>94.7</v>
      </c>
    </row>
    <row r="954" spans="13:14">
      <c r="M954">
        <v>1.4960009999999999</v>
      </c>
      <c r="N954">
        <v>94.8</v>
      </c>
    </row>
    <row r="955" spans="13:14">
      <c r="M955">
        <v>1.4960009999999999</v>
      </c>
      <c r="N955">
        <v>94.9</v>
      </c>
    </row>
    <row r="956" spans="13:14">
      <c r="M956">
        <v>1.4960009999999999</v>
      </c>
      <c r="N956">
        <v>95</v>
      </c>
    </row>
    <row r="957" spans="13:14">
      <c r="M957">
        <v>1.4960009999999999</v>
      </c>
      <c r="N957">
        <v>95.1</v>
      </c>
    </row>
    <row r="958" spans="13:14">
      <c r="M958">
        <v>1.4960009999999999</v>
      </c>
      <c r="N958">
        <v>95.2</v>
      </c>
    </row>
    <row r="959" spans="13:14">
      <c r="M959">
        <v>1.4960009999999999</v>
      </c>
      <c r="N959">
        <v>95.3</v>
      </c>
    </row>
    <row r="960" spans="13:14">
      <c r="M960">
        <v>1.496545808</v>
      </c>
      <c r="N960">
        <v>95.4</v>
      </c>
    </row>
    <row r="961" spans="13:14">
      <c r="M961">
        <v>1.4977616600000001</v>
      </c>
      <c r="N961">
        <v>95.5</v>
      </c>
    </row>
    <row r="962" spans="13:14">
      <c r="M962">
        <v>1.498977512</v>
      </c>
      <c r="N962">
        <v>95.6</v>
      </c>
    </row>
    <row r="963" spans="13:14">
      <c r="M963">
        <v>1.508600682</v>
      </c>
      <c r="N963">
        <v>95.7</v>
      </c>
    </row>
    <row r="964" spans="13:14">
      <c r="M964">
        <v>1.521561108</v>
      </c>
      <c r="N964">
        <v>95.8</v>
      </c>
    </row>
    <row r="965" spans="13:14">
      <c r="M965">
        <v>1.534521534</v>
      </c>
      <c r="N965">
        <v>95.9</v>
      </c>
    </row>
    <row r="966" spans="13:14">
      <c r="M966">
        <v>1.534734</v>
      </c>
      <c r="N966">
        <v>96</v>
      </c>
    </row>
    <row r="967" spans="13:14">
      <c r="M967">
        <v>1.534734</v>
      </c>
      <c r="N967">
        <v>96.1</v>
      </c>
    </row>
    <row r="968" spans="13:14">
      <c r="M968">
        <v>1.534734</v>
      </c>
      <c r="N968">
        <v>96.2</v>
      </c>
    </row>
    <row r="969" spans="13:14">
      <c r="M969">
        <v>1.534734</v>
      </c>
      <c r="N969">
        <v>96.3</v>
      </c>
    </row>
    <row r="970" spans="13:14">
      <c r="M970">
        <v>1.534734</v>
      </c>
      <c r="N970">
        <v>96.4</v>
      </c>
    </row>
    <row r="971" spans="13:14">
      <c r="M971">
        <v>1.53569179</v>
      </c>
      <c r="N971">
        <v>96.5</v>
      </c>
    </row>
    <row r="972" spans="13:14">
      <c r="M972">
        <v>1.5375367959999999</v>
      </c>
      <c r="N972">
        <v>96.6</v>
      </c>
    </row>
    <row r="973" spans="13:14">
      <c r="M973">
        <v>1.5393818020000001</v>
      </c>
      <c r="N973">
        <v>96.7</v>
      </c>
    </row>
    <row r="974" spans="13:14">
      <c r="M974">
        <v>1.5478770159999999</v>
      </c>
      <c r="N974">
        <v>96.8</v>
      </c>
    </row>
    <row r="975" spans="13:14">
      <c r="M975">
        <v>1.5581733280000001</v>
      </c>
      <c r="N975">
        <v>96.9</v>
      </c>
    </row>
    <row r="976" spans="13:14">
      <c r="M976">
        <v>1.5679069999999999</v>
      </c>
      <c r="N976">
        <v>97</v>
      </c>
    </row>
    <row r="977" spans="13:14">
      <c r="M977">
        <v>1.5679069999999999</v>
      </c>
      <c r="N977">
        <v>97.1</v>
      </c>
    </row>
    <row r="978" spans="13:14">
      <c r="M978">
        <v>1.5679069999999999</v>
      </c>
      <c r="N978">
        <v>97.2</v>
      </c>
    </row>
    <row r="979" spans="13:14">
      <c r="M979">
        <v>1.5679069999999999</v>
      </c>
      <c r="N979">
        <v>97.3</v>
      </c>
    </row>
    <row r="980" spans="13:14">
      <c r="M980">
        <v>1.5679069999999999</v>
      </c>
      <c r="N980">
        <v>97.4</v>
      </c>
    </row>
    <row r="981" spans="13:14">
      <c r="M981">
        <v>1.5679069999999999</v>
      </c>
      <c r="N981">
        <v>97.5</v>
      </c>
    </row>
    <row r="982" spans="13:14">
      <c r="M982">
        <v>1.5690595759999999</v>
      </c>
      <c r="N982">
        <v>97.6</v>
      </c>
    </row>
    <row r="983" spans="13:14">
      <c r="M983">
        <v>1.571012552</v>
      </c>
      <c r="N983">
        <v>97.7</v>
      </c>
    </row>
    <row r="984" spans="13:14">
      <c r="M984">
        <v>1.5729655279999999</v>
      </c>
      <c r="N984">
        <v>97.8</v>
      </c>
    </row>
    <row r="985" spans="13:14">
      <c r="M985">
        <v>1.5810399340000001</v>
      </c>
      <c r="N985">
        <v>97.9</v>
      </c>
    </row>
    <row r="986" spans="13:14">
      <c r="M986">
        <v>1.5901280799999999</v>
      </c>
      <c r="N986">
        <v>98</v>
      </c>
    </row>
    <row r="987" spans="13:14">
      <c r="M987">
        <v>1.598074</v>
      </c>
      <c r="N987">
        <v>98.1</v>
      </c>
    </row>
    <row r="988" spans="13:14">
      <c r="M988">
        <v>1.598074</v>
      </c>
      <c r="N988">
        <v>98.2</v>
      </c>
    </row>
    <row r="989" spans="13:14">
      <c r="M989">
        <v>1.598074</v>
      </c>
      <c r="N989">
        <v>98.3</v>
      </c>
    </row>
    <row r="990" spans="13:14">
      <c r="M990">
        <v>1.599865648</v>
      </c>
      <c r="N990">
        <v>98.4</v>
      </c>
    </row>
    <row r="991" spans="13:14">
      <c r="M991">
        <v>1.6044194199999999</v>
      </c>
      <c r="N991">
        <v>98.5</v>
      </c>
    </row>
    <row r="992" spans="13:14">
      <c r="M992">
        <v>1.6089731920000001</v>
      </c>
      <c r="N992">
        <v>98.6</v>
      </c>
    </row>
    <row r="993" spans="13:14">
      <c r="M993">
        <v>1.6105160000000001</v>
      </c>
      <c r="N993">
        <v>98.7</v>
      </c>
    </row>
    <row r="994" spans="13:14">
      <c r="M994">
        <v>1.6105160000000001</v>
      </c>
      <c r="N994">
        <v>98.8</v>
      </c>
    </row>
    <row r="995" spans="13:14">
      <c r="M995">
        <v>1.6105160000000001</v>
      </c>
      <c r="N995">
        <v>98.9</v>
      </c>
    </row>
    <row r="996" spans="13:14">
      <c r="M996">
        <v>1.6105160000000001</v>
      </c>
      <c r="N996">
        <v>99</v>
      </c>
    </row>
    <row r="997" spans="13:14">
      <c r="M997">
        <v>1.6105160000000001</v>
      </c>
      <c r="N997">
        <v>99.1</v>
      </c>
    </row>
    <row r="998" spans="13:14">
      <c r="M998">
        <v>1.6105160000000001</v>
      </c>
      <c r="N998">
        <v>99.2</v>
      </c>
    </row>
    <row r="999" spans="13:14">
      <c r="M999">
        <v>1.6105160000000001</v>
      </c>
      <c r="N999">
        <v>99.3</v>
      </c>
    </row>
    <row r="1000" spans="13:14">
      <c r="M1000">
        <v>1.6105160000000001</v>
      </c>
      <c r="N1000">
        <v>99.4</v>
      </c>
    </row>
    <row r="1001" spans="13:14">
      <c r="M1001">
        <v>1.6109311399999999</v>
      </c>
      <c r="N1001">
        <v>99.5</v>
      </c>
    </row>
    <row r="1002" spans="13:14">
      <c r="M1002">
        <v>1.6118249120000001</v>
      </c>
      <c r="N1002">
        <v>99.6</v>
      </c>
    </row>
    <row r="1003" spans="13:14">
      <c r="M1003">
        <v>1.6127186840000001</v>
      </c>
      <c r="N1003">
        <v>99.7</v>
      </c>
    </row>
    <row r="1004" spans="13:14">
      <c r="M1004">
        <v>1.6140774360000001</v>
      </c>
      <c r="N1004">
        <v>99.8</v>
      </c>
    </row>
    <row r="1005" spans="13:14">
      <c r="M1005">
        <v>1.6156062179999999</v>
      </c>
      <c r="N1005">
        <v>99.9</v>
      </c>
    </row>
    <row r="1006" spans="13:14">
      <c r="M1006">
        <v>1.617135</v>
      </c>
      <c r="N1006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zoomScaleNormal="100" workbookViewId="0">
      <selection activeCell="I2" sqref="I2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e">
        <f>#REF!</f>
        <v>#REF!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7" t="s">
        <v>18</v>
      </c>
      <c r="J5" s="58"/>
      <c r="M5" s="27" t="s">
        <v>11</v>
      </c>
      <c r="N5" s="28" t="s">
        <v>44</v>
      </c>
    </row>
    <row r="6" spans="1:14">
      <c r="B6" t="s">
        <v>62</v>
      </c>
      <c r="C6" s="59">
        <v>6.4113081810649701</v>
      </c>
      <c r="I6" s="10" t="s">
        <v>36</v>
      </c>
      <c r="M6">
        <v>-4.7534243088228996</v>
      </c>
      <c r="N6">
        <v>0</v>
      </c>
    </row>
    <row r="7" spans="1:14">
      <c r="B7" t="s">
        <v>63</v>
      </c>
      <c r="C7" s="59">
        <v>-0.127511627902648</v>
      </c>
      <c r="M7">
        <v>-3.0902323061678101</v>
      </c>
      <c r="N7">
        <v>0.1</v>
      </c>
    </row>
    <row r="8" spans="1:14">
      <c r="B8" t="s">
        <v>64</v>
      </c>
      <c r="C8" s="59">
        <v>-1.4132709985465199</v>
      </c>
      <c r="I8" s="9"/>
      <c r="J8" s="9"/>
      <c r="M8">
        <v>-2.8781617390954799</v>
      </c>
      <c r="N8">
        <v>0.2</v>
      </c>
    </row>
    <row r="9" spans="1:14">
      <c r="B9" t="s">
        <v>65</v>
      </c>
      <c r="C9" s="59">
        <v>0.15760790988855899</v>
      </c>
      <c r="H9" s="9" t="s">
        <v>34</v>
      </c>
      <c r="I9" s="57" t="s">
        <v>37</v>
      </c>
      <c r="J9" s="58"/>
      <c r="M9">
        <v>-2.74778138544499</v>
      </c>
      <c r="N9">
        <v>0.3</v>
      </c>
    </row>
    <row r="10" spans="1:14">
      <c r="I10" s="12" t="s">
        <v>3</v>
      </c>
      <c r="J10" s="13" t="s">
        <v>36</v>
      </c>
      <c r="M10">
        <v>-2.6520698079021998</v>
      </c>
      <c r="N10">
        <v>0.4</v>
      </c>
    </row>
    <row r="11" spans="1:14">
      <c r="B11" s="29"/>
      <c r="C11" s="30"/>
      <c r="I11" s="14"/>
      <c r="J11" s="15"/>
      <c r="M11">
        <v>-2.5758293035488999</v>
      </c>
      <c r="N11">
        <v>0.5</v>
      </c>
    </row>
    <row r="12" spans="1:14">
      <c r="B12" s="29"/>
      <c r="C12" s="30"/>
      <c r="I12" s="14"/>
      <c r="J12" s="15"/>
      <c r="M12">
        <v>-2.5121443279304598</v>
      </c>
      <c r="N12">
        <v>0.6</v>
      </c>
    </row>
    <row r="13" spans="1:14">
      <c r="B13" s="29"/>
      <c r="C13" s="30"/>
      <c r="I13" s="14"/>
      <c r="J13" s="15"/>
      <c r="M13">
        <v>-2.4572633902054402</v>
      </c>
      <c r="N13">
        <v>0.7</v>
      </c>
    </row>
    <row r="14" spans="1:14">
      <c r="B14" s="29"/>
      <c r="C14" s="30"/>
      <c r="I14" s="14"/>
      <c r="J14" s="15"/>
      <c r="M14">
        <v>-2.4089155458154599</v>
      </c>
      <c r="N14">
        <v>0.8</v>
      </c>
    </row>
    <row r="15" spans="1:14">
      <c r="B15" s="29"/>
      <c r="C15" s="30"/>
      <c r="I15" s="14"/>
      <c r="J15" s="15"/>
      <c r="M15">
        <v>-2.3656181268642902</v>
      </c>
      <c r="N15">
        <v>0.9</v>
      </c>
    </row>
    <row r="16" spans="1:14">
      <c r="B16" s="29"/>
      <c r="C16" s="30"/>
      <c r="I16" s="14"/>
      <c r="J16" s="15"/>
      <c r="M16">
        <v>-2.3263478740408399</v>
      </c>
      <c r="N16">
        <v>1</v>
      </c>
    </row>
    <row r="17" spans="1:14">
      <c r="B17" s="29"/>
      <c r="C17" s="30"/>
      <c r="I17" s="14"/>
      <c r="J17" s="15"/>
      <c r="M17">
        <v>-2.2903678778552701</v>
      </c>
      <c r="N17">
        <v>1.1000000000000001</v>
      </c>
    </row>
    <row r="18" spans="1:14">
      <c r="B18" s="29"/>
      <c r="C18" s="30"/>
      <c r="I18" s="14"/>
      <c r="J18" s="15"/>
      <c r="M18">
        <v>-2.2571292444862201</v>
      </c>
      <c r="N18">
        <v>1.2</v>
      </c>
    </row>
    <row r="19" spans="1:14">
      <c r="B19" s="29"/>
      <c r="C19" s="30"/>
      <c r="I19" s="14"/>
      <c r="J19" s="15"/>
      <c r="M19">
        <v>-2.2262117693171799</v>
      </c>
      <c r="N19">
        <v>1.3</v>
      </c>
    </row>
    <row r="20" spans="1:14">
      <c r="B20" s="29"/>
      <c r="C20" s="30"/>
      <c r="I20" s="14"/>
      <c r="J20" s="15"/>
      <c r="M20">
        <v>-2.19728637664105</v>
      </c>
      <c r="N20">
        <v>1.4</v>
      </c>
    </row>
    <row r="21" spans="1:14">
      <c r="B21" s="29"/>
      <c r="C21" s="30"/>
      <c r="I21" s="14"/>
      <c r="J21" s="15"/>
      <c r="M21">
        <v>-2.1700903775845601</v>
      </c>
      <c r="N21">
        <v>1.5</v>
      </c>
    </row>
    <row r="22" spans="1:14">
      <c r="B22" s="29"/>
      <c r="C22" s="30"/>
      <c r="I22" s="16"/>
      <c r="J22" s="17"/>
      <c r="M22">
        <v>-2.1444106209118399</v>
      </c>
      <c r="N22">
        <v>1.6</v>
      </c>
    </row>
    <row r="23" spans="1:14">
      <c r="B23" s="29"/>
      <c r="C23" s="30"/>
      <c r="M23">
        <v>-2.1200716897421499</v>
      </c>
      <c r="N23">
        <v>1.7</v>
      </c>
    </row>
    <row r="24" spans="1:14">
      <c r="B24" s="31"/>
      <c r="C24" s="11"/>
      <c r="M24">
        <v>-2.0969274291643401</v>
      </c>
      <c r="N24">
        <v>1.8</v>
      </c>
    </row>
    <row r="25" spans="1:14">
      <c r="H25" s="9" t="s">
        <v>35</v>
      </c>
      <c r="I25" s="57" t="s">
        <v>42</v>
      </c>
      <c r="J25" s="58"/>
      <c r="M25">
        <v>-2.0748547343933099</v>
      </c>
      <c r="N25">
        <v>1.9</v>
      </c>
    </row>
    <row r="26" spans="1:14">
      <c r="I26" s="12" t="s">
        <v>1</v>
      </c>
      <c r="J26" s="13" t="s">
        <v>17</v>
      </c>
      <c r="M26">
        <v>-2.0537489106318199</v>
      </c>
      <c r="N26">
        <v>2</v>
      </c>
    </row>
    <row r="27" spans="1:14">
      <c r="A27" s="34">
        <v>4</v>
      </c>
      <c r="B27" s="2" t="s">
        <v>2</v>
      </c>
      <c r="C27" s="32">
        <f>C6+(C7*('Normative data'!C6-71.28))+(RAVLT_Delayed!C8*'Normative data'!C7)+(C9*'Normative data'!C8)</f>
        <v>15.50033701796572</v>
      </c>
      <c r="I27" s="59" t="s">
        <v>62</v>
      </c>
      <c r="J27" s="59">
        <v>-59.699209533753702</v>
      </c>
      <c r="M27">
        <v>-2.0335201492530501</v>
      </c>
      <c r="N27">
        <v>2.1</v>
      </c>
    </row>
    <row r="28" spans="1:14">
      <c r="B28" s="2" t="s">
        <v>6</v>
      </c>
      <c r="C28" s="2"/>
      <c r="D28" s="2"/>
      <c r="E28" s="2"/>
      <c r="F28" s="2"/>
      <c r="I28" s="59" t="s">
        <v>66</v>
      </c>
      <c r="J28" s="59">
        <v>29.103683438862699</v>
      </c>
      <c r="M28">
        <v>-2.0140908120181402</v>
      </c>
      <c r="N28">
        <v>2.2000000000000002</v>
      </c>
    </row>
    <row r="29" spans="1:14">
      <c r="B29" s="2" t="s">
        <v>7</v>
      </c>
      <c r="C29" s="2"/>
      <c r="D29" s="2"/>
      <c r="E29" s="2"/>
      <c r="F29" s="2"/>
      <c r="I29" s="59" t="s">
        <v>67</v>
      </c>
      <c r="J29" s="59">
        <v>-4.0759444790063197</v>
      </c>
      <c r="M29">
        <v>-1.9953933101678201</v>
      </c>
      <c r="N29">
        <v>2.2999999999999998</v>
      </c>
    </row>
    <row r="30" spans="1:14">
      <c r="B30" s="2" t="s">
        <v>8</v>
      </c>
      <c r="I30" s="59" t="s">
        <v>68</v>
      </c>
      <c r="J30" s="59">
        <v>0.185485232496539</v>
      </c>
      <c r="M30">
        <v>-1.9773684281819499</v>
      </c>
      <c r="N30">
        <v>2.4</v>
      </c>
    </row>
    <row r="31" spans="1:14">
      <c r="I31" s="61"/>
      <c r="J31" s="62"/>
      <c r="M31">
        <v>-1.9599639845400501</v>
      </c>
      <c r="N31">
        <v>2.5</v>
      </c>
    </row>
    <row r="32" spans="1:14">
      <c r="I32" s="35"/>
      <c r="J32" s="17"/>
      <c r="M32">
        <v>-1.9431337511050699</v>
      </c>
      <c r="N32">
        <v>2.6</v>
      </c>
    </row>
    <row r="33" spans="2:14">
      <c r="B33" t="s">
        <v>9</v>
      </c>
      <c r="C33">
        <f>'Normative data'!C13-RAVLT_Delayed!C27</f>
        <v>-15.50033701796572</v>
      </c>
      <c r="M33">
        <v>-1.9268365732639099</v>
      </c>
      <c r="N33">
        <v>2.7</v>
      </c>
    </row>
    <row r="34" spans="2:14">
      <c r="B34" t="s">
        <v>12</v>
      </c>
      <c r="C34">
        <f>C33/SD_PERC_RAVLTD!I38</f>
        <v>-1.5280479807326928</v>
      </c>
      <c r="I34" t="s">
        <v>41</v>
      </c>
      <c r="J34">
        <f>SD_PERC_RAVLTD!I38</f>
        <v>10.14388109104622</v>
      </c>
      <c r="M34">
        <v>-1.9110356475491199</v>
      </c>
      <c r="N34">
        <v>2.8</v>
      </c>
    </row>
    <row r="35" spans="2:14">
      <c r="M35">
        <v>-1.8956979239918399</v>
      </c>
      <c r="N35">
        <v>2.9</v>
      </c>
    </row>
    <row r="36" spans="2:14">
      <c r="M36">
        <v>-1.88079360815125</v>
      </c>
      <c r="N36">
        <v>3</v>
      </c>
    </row>
    <row r="37" spans="2:14">
      <c r="M37">
        <v>-1.86629574345811</v>
      </c>
      <c r="N37">
        <v>3.1</v>
      </c>
    </row>
    <row r="38" spans="2:14">
      <c r="M38">
        <v>-1.8521798587690499</v>
      </c>
      <c r="N38">
        <v>3.2</v>
      </c>
    </row>
    <row r="39" spans="2:14">
      <c r="M39">
        <v>-1.83842366924778</v>
      </c>
      <c r="N39">
        <v>3.3</v>
      </c>
    </row>
    <row r="40" spans="2:14">
      <c r="M40">
        <v>-1.8250068211463999</v>
      </c>
      <c r="N40">
        <v>3.4</v>
      </c>
    </row>
    <row r="41" spans="2:14">
      <c r="M41">
        <v>-1.8119106729526</v>
      </c>
      <c r="N41">
        <v>3.5</v>
      </c>
    </row>
    <row r="42" spans="2:14">
      <c r="M42">
        <v>-1.79911810683797</v>
      </c>
      <c r="N42">
        <v>3.6</v>
      </c>
    </row>
    <row r="43" spans="2:14">
      <c r="M43">
        <v>-1.7866133654934699</v>
      </c>
      <c r="N43">
        <v>3.7</v>
      </c>
    </row>
    <row r="44" spans="2:14">
      <c r="M44">
        <v>-1.7743819103449601</v>
      </c>
      <c r="N44">
        <v>3.8</v>
      </c>
    </row>
    <row r="45" spans="2:14">
      <c r="M45">
        <v>-1.7624102978623899</v>
      </c>
      <c r="N45">
        <v>3.9</v>
      </c>
    </row>
    <row r="46" spans="2:14">
      <c r="M46">
        <v>-1.7506860712521699</v>
      </c>
      <c r="N46">
        <v>4</v>
      </c>
    </row>
    <row r="47" spans="2:14">
      <c r="M47">
        <v>-1.7391976652852501</v>
      </c>
      <c r="N47">
        <v>4.0999999999999996</v>
      </c>
    </row>
    <row r="48" spans="2:14">
      <c r="M48">
        <v>-1.72793432238842</v>
      </c>
      <c r="N48">
        <v>4.2</v>
      </c>
    </row>
    <row r="49" spans="13:14">
      <c r="M49">
        <v>-1.7168860184310399</v>
      </c>
      <c r="N49">
        <v>4.3</v>
      </c>
    </row>
    <row r="50" spans="13:14">
      <c r="M50">
        <v>-1.7060433968889599</v>
      </c>
      <c r="N50">
        <v>4.4000000000000004</v>
      </c>
    </row>
    <row r="51" spans="13:14">
      <c r="M51">
        <v>-1.69539771027214</v>
      </c>
      <c r="N51">
        <v>4.5</v>
      </c>
    </row>
    <row r="52" spans="13:14">
      <c r="M52">
        <v>-1.6849407678719099</v>
      </c>
      <c r="N52">
        <v>4.5999999999999996</v>
      </c>
    </row>
    <row r="53" spans="13:14">
      <c r="M53">
        <v>-1.6746648890243301</v>
      </c>
      <c r="N53">
        <v>4.7</v>
      </c>
    </row>
    <row r="54" spans="13:14">
      <c r="M54">
        <v>-1.6645628612027199</v>
      </c>
      <c r="N54">
        <v>4.8</v>
      </c>
    </row>
    <row r="55" spans="13:14">
      <c r="M55">
        <v>-1.6546279023510799</v>
      </c>
      <c r="N55">
        <v>4.9000000000000004</v>
      </c>
    </row>
    <row r="56" spans="13:14">
      <c r="M56">
        <v>-1.64485362695147</v>
      </c>
      <c r="N56">
        <v>5</v>
      </c>
    </row>
    <row r="57" spans="13:14">
      <c r="M57">
        <v>-1.63523401538865</v>
      </c>
      <c r="N57">
        <v>5.0999999999999996</v>
      </c>
    </row>
    <row r="58" spans="13:14">
      <c r="M58">
        <v>-1.6257633862332299</v>
      </c>
      <c r="N58">
        <v>5.2</v>
      </c>
    </row>
    <row r="59" spans="13:14">
      <c r="M59">
        <v>-1.61643637111502</v>
      </c>
      <c r="N59">
        <v>5.3</v>
      </c>
    </row>
    <row r="60" spans="13:14">
      <c r="M60">
        <v>-1.60724789190022</v>
      </c>
      <c r="N60">
        <v>5.4</v>
      </c>
    </row>
    <row r="61" spans="13:14">
      <c r="M61">
        <v>-1.59819313992282</v>
      </c>
      <c r="N61">
        <v>5.5</v>
      </c>
    </row>
    <row r="62" spans="13:14">
      <c r="M62">
        <v>-1.5892675570513899</v>
      </c>
      <c r="N62">
        <v>5.6</v>
      </c>
    </row>
    <row r="63" spans="13:14">
      <c r="M63">
        <v>-1.58046681839936</v>
      </c>
      <c r="N63">
        <v>5.7</v>
      </c>
    </row>
    <row r="64" spans="13:14">
      <c r="M64">
        <v>-1.5717868165098601</v>
      </c>
      <c r="N64">
        <v>5.8</v>
      </c>
    </row>
    <row r="65" spans="13:14">
      <c r="M65">
        <v>-1.5632236468662799</v>
      </c>
      <c r="N65">
        <v>5.9</v>
      </c>
    </row>
    <row r="66" spans="13:14">
      <c r="M66">
        <v>-1.5547735945968499</v>
      </c>
      <c r="N66">
        <v>6</v>
      </c>
    </row>
    <row r="67" spans="13:14">
      <c r="M67">
        <v>-1.54643312225675</v>
      </c>
      <c r="N67">
        <v>6.1</v>
      </c>
    </row>
    <row r="68" spans="13:14">
      <c r="M68">
        <v>-1.53819885858406</v>
      </c>
      <c r="N68">
        <v>6.2</v>
      </c>
    </row>
    <row r="69" spans="13:14">
      <c r="M69">
        <v>-1.5300675881378301</v>
      </c>
      <c r="N69">
        <v>6.3</v>
      </c>
    </row>
    <row r="70" spans="13:14">
      <c r="M70">
        <v>-1.5220362417358599</v>
      </c>
      <c r="N70">
        <v>6.4</v>
      </c>
    </row>
    <row r="71" spans="13:14">
      <c r="M71">
        <v>-1.51410188761928</v>
      </c>
      <c r="N71">
        <v>6.5</v>
      </c>
    </row>
    <row r="72" spans="13:14">
      <c r="M72">
        <v>-1.50626172327824</v>
      </c>
      <c r="N72">
        <v>6.6</v>
      </c>
    </row>
    <row r="73" spans="13:14">
      <c r="M73">
        <v>-1.4985130678799801</v>
      </c>
      <c r="N73">
        <v>6.7</v>
      </c>
    </row>
    <row r="74" spans="13:14">
      <c r="M74">
        <v>-1.4908533552466601</v>
      </c>
      <c r="N74">
        <v>6.8</v>
      </c>
    </row>
    <row r="75" spans="13:14">
      <c r="M75">
        <v>-1.48328012733562</v>
      </c>
      <c r="N75">
        <v>6.9</v>
      </c>
    </row>
    <row r="76" spans="13:14">
      <c r="M76">
        <v>-1.47579102817917</v>
      </c>
      <c r="N76">
        <v>7</v>
      </c>
    </row>
    <row r="77" spans="13:14">
      <c r="M77">
        <v>-1.46838379824566</v>
      </c>
      <c r="N77">
        <v>7.1</v>
      </c>
    </row>
    <row r="78" spans="13:14">
      <c r="M78">
        <v>-1.46105626918691</v>
      </c>
      <c r="N78">
        <v>7.2</v>
      </c>
    </row>
    <row r="79" spans="13:14">
      <c r="M79">
        <v>-1.4538063589405701</v>
      </c>
      <c r="N79">
        <v>7.3</v>
      </c>
    </row>
    <row r="80" spans="13:14">
      <c r="M80">
        <v>-1.4466320671589801</v>
      </c>
      <c r="N80">
        <v>7.4</v>
      </c>
    </row>
    <row r="81" spans="13:14">
      <c r="M81">
        <v>-1.4395314709384599</v>
      </c>
      <c r="N81">
        <v>7.5</v>
      </c>
    </row>
    <row r="82" spans="13:14">
      <c r="M82">
        <v>-1.4325027208258101</v>
      </c>
      <c r="N82">
        <v>7.6</v>
      </c>
    </row>
    <row r="83" spans="13:14">
      <c r="M83">
        <v>-1.42554403708045</v>
      </c>
      <c r="N83">
        <v>7.7</v>
      </c>
    </row>
    <row r="84" spans="13:14">
      <c r="M84">
        <v>-1.41865370617274</v>
      </c>
      <c r="N84">
        <v>7.8</v>
      </c>
    </row>
    <row r="85" spans="13:14">
      <c r="M85">
        <v>-1.4118300775008099</v>
      </c>
      <c r="N85">
        <v>7.9</v>
      </c>
    </row>
    <row r="86" spans="13:14">
      <c r="M86">
        <v>-1.40507156030963</v>
      </c>
      <c r="N86">
        <v>8</v>
      </c>
    </row>
    <row r="87" spans="13:14">
      <c r="M87">
        <v>-1.3983766207974999</v>
      </c>
      <c r="N87">
        <v>8.1</v>
      </c>
    </row>
    <row r="88" spans="13:14">
      <c r="M88">
        <v>-1.3917437793963301</v>
      </c>
      <c r="N88">
        <v>8.1999999999999993</v>
      </c>
    </row>
    <row r="89" spans="13:14">
      <c r="M89">
        <v>-1.38517160821344</v>
      </c>
      <c r="N89">
        <v>8.3000000000000007</v>
      </c>
    </row>
    <row r="90" spans="13:14">
      <c r="M90">
        <v>-1.3786587286232801</v>
      </c>
      <c r="N90">
        <v>8.4</v>
      </c>
    </row>
    <row r="91" spans="13:14">
      <c r="M91">
        <v>-1.3722038089987301</v>
      </c>
      <c r="N91">
        <v>8.5</v>
      </c>
    </row>
    <row r="92" spans="13:14">
      <c r="M92">
        <v>-1.36580556257227</v>
      </c>
      <c r="N92">
        <v>8.6</v>
      </c>
    </row>
    <row r="93" spans="13:14">
      <c r="M93">
        <v>-1.35946274541826</v>
      </c>
      <c r="N93">
        <v>8.6999999999999993</v>
      </c>
    </row>
    <row r="94" spans="13:14">
      <c r="M94">
        <v>-1.3531741545480001</v>
      </c>
      <c r="N94">
        <v>8.8000000000000007</v>
      </c>
    </row>
    <row r="95" spans="13:14">
      <c r="M95">
        <v>-1.34693862611028</v>
      </c>
      <c r="N95">
        <v>8.9</v>
      </c>
    </row>
    <row r="96" spans="13:14">
      <c r="M96">
        <v>-1.3407550336902201</v>
      </c>
      <c r="N96">
        <v>9</v>
      </c>
    </row>
    <row r="97" spans="13:14">
      <c r="M97">
        <v>-1.33462228670019</v>
      </c>
      <c r="N97">
        <v>9.1</v>
      </c>
    </row>
    <row r="98" spans="13:14">
      <c r="M98">
        <v>-1.3285393288568099</v>
      </c>
      <c r="N98">
        <v>9.1999999999999993</v>
      </c>
    </row>
    <row r="99" spans="13:14">
      <c r="M99">
        <v>-1.3225051367384399</v>
      </c>
      <c r="N99">
        <v>9.3000000000000007</v>
      </c>
    </row>
    <row r="100" spans="13:14">
      <c r="M100">
        <v>-1.3165187184182601</v>
      </c>
      <c r="N100">
        <v>9.4</v>
      </c>
    </row>
    <row r="101" spans="13:14">
      <c r="M101">
        <v>-1.3105791121681301</v>
      </c>
      <c r="N101">
        <v>9.5</v>
      </c>
    </row>
    <row r="102" spans="13:14">
      <c r="M102">
        <v>-1.3046853852287901</v>
      </c>
      <c r="N102">
        <v>9.6</v>
      </c>
    </row>
    <row r="103" spans="13:14">
      <c r="M103">
        <v>-1.29883663264251</v>
      </c>
      <c r="N103">
        <v>9.6999999999999993</v>
      </c>
    </row>
    <row r="104" spans="13:14">
      <c r="M104">
        <v>-1.2930319761442399</v>
      </c>
      <c r="N104">
        <v>9.8000000000000007</v>
      </c>
    </row>
    <row r="105" spans="13:14">
      <c r="M105">
        <v>-1.28727056310794</v>
      </c>
      <c r="N105">
        <v>9.9</v>
      </c>
    </row>
    <row r="106" spans="13:14">
      <c r="M106">
        <v>-1.2815515655445999</v>
      </c>
      <c r="N106">
        <v>10</v>
      </c>
    </row>
    <row r="107" spans="13:14">
      <c r="M107">
        <v>-1.2758741791491299</v>
      </c>
      <c r="N107">
        <v>10.1</v>
      </c>
    </row>
    <row r="108" spans="13:14">
      <c r="M108">
        <v>-1.27023762239315</v>
      </c>
      <c r="N108">
        <v>10.199999999999999</v>
      </c>
    </row>
    <row r="109" spans="13:14">
      <c r="M109">
        <v>-1.2646411356610801</v>
      </c>
      <c r="N109">
        <v>10.3</v>
      </c>
    </row>
    <row r="110" spans="13:14">
      <c r="M110">
        <v>-1.2590839804270699</v>
      </c>
      <c r="N110">
        <v>10.4</v>
      </c>
    </row>
    <row r="111" spans="13:14">
      <c r="M111">
        <v>-1.25356543847045</v>
      </c>
      <c r="N111">
        <v>10.5</v>
      </c>
    </row>
    <row r="112" spans="13:14">
      <c r="M112">
        <v>-1.24808481112755</v>
      </c>
      <c r="N112">
        <v>10.6</v>
      </c>
    </row>
    <row r="113" spans="13:14">
      <c r="M113">
        <v>-1.24264141857788</v>
      </c>
      <c r="N113">
        <v>10.7</v>
      </c>
    </row>
    <row r="114" spans="13:14">
      <c r="M114">
        <v>-1.23723459916283</v>
      </c>
      <c r="N114">
        <v>10.8</v>
      </c>
    </row>
    <row r="115" spans="13:14">
      <c r="M115">
        <v>-1.23186370873498</v>
      </c>
      <c r="N115">
        <v>10.9</v>
      </c>
    </row>
    <row r="116" spans="13:14">
      <c r="M116">
        <v>-1.22652812003661</v>
      </c>
      <c r="N116">
        <v>11</v>
      </c>
    </row>
    <row r="117" spans="13:14">
      <c r="M117">
        <v>-1.22122722210557</v>
      </c>
      <c r="N117">
        <v>11.1</v>
      </c>
    </row>
    <row r="118" spans="13:14">
      <c r="M118">
        <v>-1.2159604197073199</v>
      </c>
      <c r="N118">
        <v>11.2</v>
      </c>
    </row>
    <row r="119" spans="13:14">
      <c r="M119">
        <v>-1.2107271327916</v>
      </c>
      <c r="N119">
        <v>11.3</v>
      </c>
    </row>
    <row r="120" spans="13:14">
      <c r="M120">
        <v>-1.20552679597252</v>
      </c>
      <c r="N120">
        <v>11.4</v>
      </c>
    </row>
    <row r="121" spans="13:14">
      <c r="M121">
        <v>-1.20035885803086</v>
      </c>
      <c r="N121">
        <v>11.5</v>
      </c>
    </row>
    <row r="122" spans="13:14">
      <c r="M122">
        <v>-1.1952227814374301</v>
      </c>
      <c r="N122">
        <v>11.6</v>
      </c>
    </row>
    <row r="123" spans="13:14">
      <c r="M123">
        <v>-1.1901180418964199</v>
      </c>
      <c r="N123">
        <v>11.7</v>
      </c>
    </row>
    <row r="124" spans="13:14">
      <c r="M124">
        <v>-1.1850441279078101</v>
      </c>
      <c r="N124">
        <v>11.8</v>
      </c>
    </row>
    <row r="125" spans="13:14">
      <c r="M125">
        <v>-1.1800005403477301</v>
      </c>
      <c r="N125">
        <v>11.9</v>
      </c>
    </row>
    <row r="126" spans="13:14">
      <c r="M126">
        <v>-1.1749867920660899</v>
      </c>
      <c r="N126">
        <v>12</v>
      </c>
    </row>
    <row r="127" spans="13:14">
      <c r="M127">
        <v>-1.17000240750048</v>
      </c>
      <c r="N127">
        <v>12.1</v>
      </c>
    </row>
    <row r="128" spans="13:14">
      <c r="M128">
        <v>-1.1650469223055999</v>
      </c>
      <c r="N128">
        <v>12.2</v>
      </c>
    </row>
    <row r="129" spans="13:14">
      <c r="M129">
        <v>-1.1601198829975199</v>
      </c>
      <c r="N129">
        <v>12.3</v>
      </c>
    </row>
    <row r="130" spans="13:14">
      <c r="M130">
        <v>-1.15522084661195</v>
      </c>
      <c r="N130">
        <v>12.4</v>
      </c>
    </row>
    <row r="131" spans="13:14">
      <c r="M131">
        <v>-1.1503493803760101</v>
      </c>
      <c r="N131">
        <v>12.5</v>
      </c>
    </row>
    <row r="132" spans="13:14">
      <c r="M132">
        <v>-1.1455050613927</v>
      </c>
      <c r="N132">
        <v>12.6</v>
      </c>
    </row>
    <row r="133" spans="13:14">
      <c r="M133">
        <v>-1.14068747633762</v>
      </c>
      <c r="N133">
        <v>12.7</v>
      </c>
    </row>
    <row r="134" spans="13:14">
      <c r="M134">
        <v>-1.13589622116731</v>
      </c>
      <c r="N134">
        <v>12.8</v>
      </c>
    </row>
    <row r="135" spans="13:14">
      <c r="M135">
        <v>-1.1311309008386301</v>
      </c>
      <c r="N135">
        <v>12.9</v>
      </c>
    </row>
    <row r="136" spans="13:14">
      <c r="M136">
        <v>-1.1263911290388</v>
      </c>
      <c r="N136">
        <v>13</v>
      </c>
    </row>
    <row r="137" spans="13:14">
      <c r="M137">
        <v>-1.1216765279254901</v>
      </c>
      <c r="N137">
        <v>13.1</v>
      </c>
    </row>
    <row r="138" spans="13:14">
      <c r="M138">
        <v>-1.1169867278766099</v>
      </c>
      <c r="N138">
        <v>13.2</v>
      </c>
    </row>
    <row r="139" spans="13:14">
      <c r="M139">
        <v>-1.11232136724931</v>
      </c>
      <c r="N139">
        <v>13.3</v>
      </c>
    </row>
    <row r="140" spans="13:14">
      <c r="M140">
        <v>-1.1076800921478001</v>
      </c>
      <c r="N140">
        <v>13.4</v>
      </c>
    </row>
    <row r="141" spans="13:14">
      <c r="M141">
        <v>-1.1030625561995999</v>
      </c>
      <c r="N141">
        <v>13.5</v>
      </c>
    </row>
    <row r="142" spans="13:14">
      <c r="M142">
        <v>-1.09846842033986</v>
      </c>
      <c r="N142">
        <v>13.6</v>
      </c>
    </row>
    <row r="143" spans="13:14">
      <c r="M143">
        <v>-1.0938973526034399</v>
      </c>
      <c r="N143">
        <v>13.7</v>
      </c>
    </row>
    <row r="144" spans="13:14">
      <c r="M144">
        <v>-1.0893490279242799</v>
      </c>
      <c r="N144">
        <v>13.8</v>
      </c>
    </row>
    <row r="145" spans="13:14">
      <c r="M145">
        <v>-1.08482312794196</v>
      </c>
      <c r="N145">
        <v>13.9</v>
      </c>
    </row>
    <row r="146" spans="13:14">
      <c r="M146">
        <v>-1.0803193408149601</v>
      </c>
      <c r="N146">
        <v>14</v>
      </c>
    </row>
    <row r="147" spans="13:14">
      <c r="M147">
        <v>-1.0758373610404299</v>
      </c>
      <c r="N147">
        <v>14.1</v>
      </c>
    </row>
    <row r="148" spans="13:14">
      <c r="M148">
        <v>-1.07137688928021</v>
      </c>
      <c r="N148">
        <v>14.2</v>
      </c>
    </row>
    <row r="149" spans="13:14">
      <c r="M149">
        <v>-1.0669376321927699</v>
      </c>
      <c r="N149">
        <v>14.3</v>
      </c>
    </row>
    <row r="150" spans="13:14">
      <c r="M150">
        <v>-1.0625193022708701</v>
      </c>
      <c r="N150">
        <v>14.4</v>
      </c>
    </row>
    <row r="151" spans="13:14">
      <c r="M151">
        <v>-1.0581216176847801</v>
      </c>
      <c r="N151">
        <v>14.5</v>
      </c>
    </row>
    <row r="152" spans="13:14">
      <c r="M152">
        <v>-1.0537443021306701</v>
      </c>
      <c r="N152">
        <v>14.6</v>
      </c>
    </row>
    <row r="153" spans="13:14">
      <c r="M153">
        <v>-1.0493870846841</v>
      </c>
      <c r="N153">
        <v>14.7</v>
      </c>
    </row>
    <row r="154" spans="13:14">
      <c r="M154">
        <v>-1.04504969965839</v>
      </c>
      <c r="N154">
        <v>14.8</v>
      </c>
    </row>
    <row r="155" spans="13:14">
      <c r="M155">
        <v>-1.0407318864675399</v>
      </c>
      <c r="N155">
        <v>14.9</v>
      </c>
    </row>
    <row r="156" spans="13:14">
      <c r="M156">
        <v>-1.03643338949379</v>
      </c>
      <c r="N156">
        <v>15</v>
      </c>
    </row>
    <row r="157" spans="13:14">
      <c r="M157">
        <v>-1.03215395795931</v>
      </c>
      <c r="N157">
        <v>15.1</v>
      </c>
    </row>
    <row r="158" spans="13:14">
      <c r="M158">
        <v>-1.02789334580214</v>
      </c>
      <c r="N158">
        <v>15.2</v>
      </c>
    </row>
    <row r="159" spans="13:14">
      <c r="M159">
        <v>-1.0236513115560899</v>
      </c>
      <c r="N159">
        <v>15.3</v>
      </c>
    </row>
    <row r="160" spans="13:14">
      <c r="M160">
        <v>-1.01942761823437</v>
      </c>
      <c r="N160">
        <v>15.4</v>
      </c>
    </row>
    <row r="161" spans="13:14">
      <c r="M161">
        <v>-1.0152220332170301</v>
      </c>
      <c r="N161">
        <v>15.5</v>
      </c>
    </row>
    <row r="162" spans="13:14">
      <c r="M162">
        <v>-1.0110343281418199</v>
      </c>
      <c r="N162">
        <v>15.6</v>
      </c>
    </row>
    <row r="163" spans="13:14">
      <c r="M163">
        <v>-1.00686427879852</v>
      </c>
      <c r="N163">
        <v>15.7</v>
      </c>
    </row>
    <row r="164" spans="13:14">
      <c r="M164">
        <v>-1.00271166502655</v>
      </c>
      <c r="N164">
        <v>15.8</v>
      </c>
    </row>
    <row r="165" spans="13:14">
      <c r="M165">
        <v>-0.99857627061566001</v>
      </c>
      <c r="N165">
        <v>15.9</v>
      </c>
    </row>
    <row r="166" spans="13:14">
      <c r="M166">
        <v>-0.99445788320975304</v>
      </c>
      <c r="N166">
        <v>16</v>
      </c>
    </row>
    <row r="167" spans="13:14">
      <c r="M167">
        <v>-0.99035629421357496</v>
      </c>
      <c r="N167">
        <v>16.100000000000001</v>
      </c>
    </row>
    <row r="168" spans="13:14">
      <c r="M168">
        <v>-0.98627129870223795</v>
      </c>
      <c r="N168">
        <v>16.2</v>
      </c>
    </row>
    <row r="169" spans="13:14">
      <c r="M169">
        <v>-0.98220269533347004</v>
      </c>
      <c r="N169">
        <v>16.3</v>
      </c>
    </row>
    <row r="170" spans="13:14">
      <c r="M170">
        <v>-0.97815028626247102</v>
      </c>
      <c r="N170">
        <v>16.399999999999999</v>
      </c>
    </row>
    <row r="171" spans="13:14">
      <c r="M171">
        <v>-0.97411387705930896</v>
      </c>
      <c r="N171">
        <v>16.5</v>
      </c>
    </row>
    <row r="172" spans="13:14">
      <c r="M172">
        <v>-0.97009327662873701</v>
      </c>
      <c r="N172">
        <v>16.600000000000001</v>
      </c>
    </row>
    <row r="173" spans="13:14">
      <c r="M173">
        <v>-0.96608829713237299</v>
      </c>
      <c r="N173">
        <v>16.7</v>
      </c>
    </row>
    <row r="174" spans="13:14">
      <c r="M174">
        <v>-0.96209875391314204</v>
      </c>
      <c r="N174">
        <v>16.8</v>
      </c>
    </row>
    <row r="175" spans="13:14">
      <c r="M175">
        <v>-0.95812446542190299</v>
      </c>
      <c r="N175">
        <v>16.899999999999999</v>
      </c>
    </row>
    <row r="176" spans="13:14">
      <c r="M176">
        <v>-0.95416525314619405</v>
      </c>
      <c r="N176">
        <v>17</v>
      </c>
    </row>
    <row r="177" spans="13:14">
      <c r="M177">
        <v>-0.950220941541015</v>
      </c>
      <c r="N177">
        <v>17.100000000000001</v>
      </c>
    </row>
    <row r="178" spans="13:14">
      <c r="M178">
        <v>-0.94629135796157604</v>
      </c>
      <c r="N178">
        <v>17.2</v>
      </c>
    </row>
    <row r="179" spans="13:14">
      <c r="M179">
        <v>-0.94237633259794995</v>
      </c>
      <c r="N179">
        <v>17.3</v>
      </c>
    </row>
    <row r="180" spans="13:14">
      <c r="M180">
        <v>-0.93847569841156797</v>
      </c>
      <c r="N180">
        <v>17.399999999999999</v>
      </c>
    </row>
    <row r="181" spans="13:14">
      <c r="M181">
        <v>-0.93458929107347999</v>
      </c>
      <c r="N181">
        <v>17.5</v>
      </c>
    </row>
    <row r="182" spans="13:14">
      <c r="M182">
        <v>-0.93071694890433898</v>
      </c>
      <c r="N182">
        <v>17.600000000000001</v>
      </c>
    </row>
    <row r="183" spans="13:14">
      <c r="M183">
        <v>-0.92685851281604403</v>
      </c>
      <c r="N183">
        <v>17.7</v>
      </c>
    </row>
    <row r="184" spans="13:14">
      <c r="M184">
        <v>-0.92301382625497996</v>
      </c>
      <c r="N184">
        <v>17.8</v>
      </c>
    </row>
    <row r="185" spans="13:14">
      <c r="M185">
        <v>-0.91918273514682003</v>
      </c>
      <c r="N185">
        <v>17.899999999999999</v>
      </c>
    </row>
    <row r="186" spans="13:14">
      <c r="M186">
        <v>-0.91536508784281401</v>
      </c>
      <c r="N186">
        <v>18</v>
      </c>
    </row>
    <row r="187" spans="13:14">
      <c r="M187">
        <v>-0.91156073506754098</v>
      </c>
      <c r="N187">
        <v>18.100000000000001</v>
      </c>
    </row>
    <row r="188" spans="13:14">
      <c r="M188">
        <v>-0.90776952986805504</v>
      </c>
      <c r="N188">
        <v>18.2</v>
      </c>
    </row>
    <row r="189" spans="13:14">
      <c r="M189">
        <v>-0.90399132756440204</v>
      </c>
      <c r="N189">
        <v>18.3</v>
      </c>
    </row>
    <row r="190" spans="13:14">
      <c r="M190">
        <v>-0.90022598570143297</v>
      </c>
      <c r="N190">
        <v>18.399999999999999</v>
      </c>
    </row>
    <row r="191" spans="13:14">
      <c r="M191">
        <v>-0.89647336400191602</v>
      </c>
      <c r="N191">
        <v>18.5</v>
      </c>
    </row>
    <row r="192" spans="13:14">
      <c r="M192">
        <v>-0.89273332432085595</v>
      </c>
      <c r="N192">
        <v>18.600000000000001</v>
      </c>
    </row>
    <row r="193" spans="13:14">
      <c r="M193">
        <v>-0.88900573060102495</v>
      </c>
      <c r="N193">
        <v>18.7</v>
      </c>
    </row>
    <row r="194" spans="13:14">
      <c r="M194">
        <v>-0.88529044882964103</v>
      </c>
      <c r="N194">
        <v>18.8</v>
      </c>
    </row>
    <row r="195" spans="13:14">
      <c r="M195">
        <v>-0.88158734699617503</v>
      </c>
      <c r="N195">
        <v>18.899999999999999</v>
      </c>
    </row>
    <row r="196" spans="13:14">
      <c r="M196">
        <v>-0.87789629505122802</v>
      </c>
      <c r="N196">
        <v>19</v>
      </c>
    </row>
    <row r="197" spans="13:14">
      <c r="M197">
        <v>-0.87421716486648304</v>
      </c>
      <c r="N197">
        <v>19.100000000000001</v>
      </c>
    </row>
    <row r="198" spans="13:14">
      <c r="M198">
        <v>-0.87054983019565402</v>
      </c>
      <c r="N198">
        <v>19.2</v>
      </c>
    </row>
    <row r="199" spans="13:14">
      <c r="M199">
        <v>-0.86689416663643803</v>
      </c>
      <c r="N199">
        <v>19.3</v>
      </c>
    </row>
    <row r="200" spans="13:14">
      <c r="M200">
        <v>-0.86325005159342105</v>
      </c>
      <c r="N200">
        <v>19.399999999999999</v>
      </c>
    </row>
    <row r="201" spans="13:14">
      <c r="M201">
        <v>-0.85961736424191104</v>
      </c>
      <c r="N201">
        <v>19.5</v>
      </c>
    </row>
    <row r="202" spans="13:14">
      <c r="M202">
        <v>-0.85599598549268197</v>
      </c>
      <c r="N202">
        <v>19.600000000000001</v>
      </c>
    </row>
    <row r="203" spans="13:14">
      <c r="M203">
        <v>-0.85238579795757496</v>
      </c>
      <c r="N203">
        <v>19.7</v>
      </c>
    </row>
    <row r="204" spans="13:14">
      <c r="M204">
        <v>-0.84878668591596695</v>
      </c>
      <c r="N204">
        <v>19.8</v>
      </c>
    </row>
    <row r="205" spans="13:14">
      <c r="M205">
        <v>-0.84519853528205002</v>
      </c>
      <c r="N205">
        <v>19.899999999999999</v>
      </c>
    </row>
    <row r="206" spans="13:14">
      <c r="M206">
        <v>-0.84162123357291396</v>
      </c>
      <c r="N206">
        <v>20</v>
      </c>
    </row>
    <row r="207" spans="13:14">
      <c r="M207">
        <v>-0.83805466987740695</v>
      </c>
      <c r="N207">
        <v>20.100000000000001</v>
      </c>
    </row>
    <row r="208" spans="13:14">
      <c r="M208">
        <v>-0.83449873482574</v>
      </c>
      <c r="N208">
        <v>20.2</v>
      </c>
    </row>
    <row r="209" spans="13:14">
      <c r="M209">
        <v>-0.83095332055983795</v>
      </c>
      <c r="N209">
        <v>20.3</v>
      </c>
    </row>
    <row r="210" spans="13:14">
      <c r="M210">
        <v>-0.82741832070438204</v>
      </c>
      <c r="N210">
        <v>20.399999999999999</v>
      </c>
    </row>
    <row r="211" spans="13:14">
      <c r="M211">
        <v>-0.823893630338557</v>
      </c>
      <c r="N211">
        <v>20.5</v>
      </c>
    </row>
    <row r="212" spans="13:14">
      <c r="M212">
        <v>-0.82037914596846095</v>
      </c>
      <c r="N212">
        <v>20.6</v>
      </c>
    </row>
    <row r="213" spans="13:14">
      <c r="M213">
        <v>-0.81687476550016302</v>
      </c>
      <c r="N213">
        <v>20.7</v>
      </c>
    </row>
    <row r="214" spans="13:14">
      <c r="M214">
        <v>-0.81338038821340397</v>
      </c>
      <c r="N214">
        <v>20.8</v>
      </c>
    </row>
    <row r="215" spans="13:14">
      <c r="M215">
        <v>-0.80989591473589795</v>
      </c>
      <c r="N215">
        <v>20.9</v>
      </c>
    </row>
    <row r="216" spans="13:14">
      <c r="M216">
        <v>-0.80642124701824003</v>
      </c>
      <c r="N216">
        <v>21</v>
      </c>
    </row>
    <row r="217" spans="13:14">
      <c r="M217">
        <v>-0.80295628830939403</v>
      </c>
      <c r="N217">
        <v>21.1</v>
      </c>
    </row>
    <row r="218" spans="13:14">
      <c r="M218">
        <v>-0.79950094313273701</v>
      </c>
      <c r="N218">
        <v>21.2</v>
      </c>
    </row>
    <row r="219" spans="13:14">
      <c r="M219">
        <v>-0.79605511726266298</v>
      </c>
      <c r="N219">
        <v>21.3</v>
      </c>
    </row>
    <row r="220" spans="13:14">
      <c r="M220">
        <v>-0.79261871770171199</v>
      </c>
      <c r="N220">
        <v>21.4</v>
      </c>
    </row>
    <row r="221" spans="13:14">
      <c r="M221">
        <v>-0.789191652658222</v>
      </c>
      <c r="N221">
        <v>21.5</v>
      </c>
    </row>
    <row r="222" spans="13:14">
      <c r="M222">
        <v>-0.78577383152448399</v>
      </c>
      <c r="N222">
        <v>21.6</v>
      </c>
    </row>
    <row r="223" spans="13:14">
      <c r="M223">
        <v>-0.78236516485538699</v>
      </c>
      <c r="N223">
        <v>21.7</v>
      </c>
    </row>
    <row r="224" spans="13:14">
      <c r="M224">
        <v>-0.77896556434754505</v>
      </c>
      <c r="N224">
        <v>21.8</v>
      </c>
    </row>
    <row r="225" spans="13:14">
      <c r="M225">
        <v>-0.77557494281888395</v>
      </c>
      <c r="N225">
        <v>21.9</v>
      </c>
    </row>
    <row r="226" spans="13:14">
      <c r="M226">
        <v>-0.77219321418868503</v>
      </c>
      <c r="N226">
        <v>22</v>
      </c>
    </row>
    <row r="227" spans="13:14">
      <c r="M227">
        <v>-0.76882029345806202</v>
      </c>
      <c r="N227">
        <v>22.1</v>
      </c>
    </row>
    <row r="228" spans="13:14">
      <c r="M228">
        <v>-0.765456096690878</v>
      </c>
      <c r="N228">
        <v>22.2</v>
      </c>
    </row>
    <row r="229" spans="13:14">
      <c r="M229">
        <v>-0.76210054099506697</v>
      </c>
      <c r="N229">
        <v>22.3</v>
      </c>
    </row>
    <row r="230" spans="13:14">
      <c r="M230">
        <v>-0.75875354450437105</v>
      </c>
      <c r="N230">
        <v>22.4</v>
      </c>
    </row>
    <row r="231" spans="13:14">
      <c r="M231">
        <v>-0.75541502636046898</v>
      </c>
      <c r="N231">
        <v>22.5</v>
      </c>
    </row>
    <row r="232" spans="13:14">
      <c r="M232">
        <v>-0.752084906695491</v>
      </c>
      <c r="N232">
        <v>22.6</v>
      </c>
    </row>
    <row r="233" spans="13:14">
      <c r="M233">
        <v>-0.74876310661490897</v>
      </c>
      <c r="N233">
        <v>22.7</v>
      </c>
    </row>
    <row r="234" spans="13:14">
      <c r="M234">
        <v>-0.74544954818078901</v>
      </c>
      <c r="N234">
        <v>22.8</v>
      </c>
    </row>
    <row r="235" spans="13:14">
      <c r="M235">
        <v>-0.74214415439540904</v>
      </c>
      <c r="N235">
        <v>22.9</v>
      </c>
    </row>
    <row r="236" spans="13:14">
      <c r="M236">
        <v>-0.73884684918521404</v>
      </c>
      <c r="N236">
        <v>23</v>
      </c>
    </row>
    <row r="237" spans="13:14">
      <c r="M237">
        <v>-0.73555755738511097</v>
      </c>
      <c r="N237">
        <v>23.1</v>
      </c>
    </row>
    <row r="238" spans="13:14">
      <c r="M238">
        <v>-0.73227620472309995</v>
      </c>
      <c r="N238">
        <v>23.2</v>
      </c>
    </row>
    <row r="239" spans="13:14">
      <c r="M239">
        <v>-0.72900271780521897</v>
      </c>
      <c r="N239">
        <v>23.3</v>
      </c>
    </row>
    <row r="240" spans="13:14">
      <c r="M240">
        <v>-0.72573702410080498</v>
      </c>
      <c r="N240">
        <v>23.4</v>
      </c>
    </row>
    <row r="241" spans="13:14">
      <c r="M241">
        <v>-0.72247905192806305</v>
      </c>
      <c r="N241">
        <v>23.5</v>
      </c>
    </row>
    <row r="242" spans="13:14">
      <c r="M242">
        <v>-0.71922873043992397</v>
      </c>
      <c r="N242">
        <v>23.6</v>
      </c>
    </row>
    <row r="243" spans="13:14">
      <c r="M243">
        <v>-0.71598598961020499</v>
      </c>
      <c r="N243">
        <v>23.7</v>
      </c>
    </row>
    <row r="244" spans="13:14">
      <c r="M244">
        <v>-0.71275076022004302</v>
      </c>
      <c r="N244">
        <v>23.8</v>
      </c>
    </row>
    <row r="245" spans="13:14">
      <c r="M245">
        <v>-0.70952297384460805</v>
      </c>
      <c r="N245">
        <v>23.9</v>
      </c>
    </row>
    <row r="246" spans="13:14">
      <c r="M246">
        <v>-0.70630256284008797</v>
      </c>
      <c r="N246">
        <v>24</v>
      </c>
    </row>
    <row r="247" spans="13:14">
      <c r="M247">
        <v>-0.70308946033092901</v>
      </c>
      <c r="N247">
        <v>24.1</v>
      </c>
    </row>
    <row r="248" spans="13:14">
      <c r="M248">
        <v>-0.69988360019734097</v>
      </c>
      <c r="N248">
        <v>24.2</v>
      </c>
    </row>
    <row r="249" spans="13:14">
      <c r="M249">
        <v>-0.69668491706305102</v>
      </c>
      <c r="N249">
        <v>24.3</v>
      </c>
    </row>
    <row r="250" spans="13:14">
      <c r="M250">
        <v>-0.69349334628328896</v>
      </c>
      <c r="N250">
        <v>24.4</v>
      </c>
    </row>
    <row r="251" spans="13:14">
      <c r="M251">
        <v>-0.69030882393303405</v>
      </c>
      <c r="N251">
        <v>24.5</v>
      </c>
    </row>
    <row r="252" spans="13:14">
      <c r="M252">
        <v>-0.68713128679546898</v>
      </c>
      <c r="N252">
        <v>24.6</v>
      </c>
    </row>
    <row r="253" spans="13:14">
      <c r="M253">
        <v>-0.68396067235068203</v>
      </c>
      <c r="N253">
        <v>24.7</v>
      </c>
    </row>
    <row r="254" spans="13:14">
      <c r="M254">
        <v>-0.68079691876457504</v>
      </c>
      <c r="N254">
        <v>24.8</v>
      </c>
    </row>
    <row r="255" spans="13:14">
      <c r="M255">
        <v>-0.67763996487799605</v>
      </c>
      <c r="N255">
        <v>24.9</v>
      </c>
    </row>
    <row r="256" spans="13:14">
      <c r="M256">
        <v>-0.67448975019608204</v>
      </c>
      <c r="N256">
        <v>25</v>
      </c>
    </row>
    <row r="257" spans="13:14">
      <c r="M257">
        <v>-0.67134621487780499</v>
      </c>
      <c r="N257">
        <v>25.1</v>
      </c>
    </row>
    <row r="258" spans="13:14">
      <c r="M258">
        <v>-0.66820929972572296</v>
      </c>
      <c r="N258">
        <v>25.2</v>
      </c>
    </row>
    <row r="259" spans="13:14">
      <c r="M259">
        <v>-0.665078946175923</v>
      </c>
      <c r="N259">
        <v>25.3</v>
      </c>
    </row>
    <row r="260" spans="13:14">
      <c r="M260">
        <v>-0.66195509628816196</v>
      </c>
      <c r="N260">
        <v>25.4</v>
      </c>
    </row>
    <row r="261" spans="13:14">
      <c r="M261">
        <v>-0.65883769273618797</v>
      </c>
      <c r="N261">
        <v>25.5</v>
      </c>
    </row>
    <row r="262" spans="13:14">
      <c r="M262">
        <v>-0.65572667879825297</v>
      </c>
      <c r="N262">
        <v>25.6</v>
      </c>
    </row>
    <row r="263" spans="13:14">
      <c r="M263">
        <v>-0.65262199834780099</v>
      </c>
      <c r="N263">
        <v>25.7</v>
      </c>
    </row>
    <row r="264" spans="13:14">
      <c r="M264">
        <v>-0.64952359584432495</v>
      </c>
      <c r="N264">
        <v>25.8</v>
      </c>
    </row>
    <row r="265" spans="13:14">
      <c r="M265">
        <v>-0.64643141632440704</v>
      </c>
      <c r="N265">
        <v>25.9</v>
      </c>
    </row>
    <row r="266" spans="13:14">
      <c r="M266">
        <v>-0.64334540539291696</v>
      </c>
      <c r="N266">
        <v>26</v>
      </c>
    </row>
    <row r="267" spans="13:14">
      <c r="M267">
        <v>-0.64026550921437397</v>
      </c>
      <c r="N267">
        <v>26.1</v>
      </c>
    </row>
    <row r="268" spans="13:14">
      <c r="M268">
        <v>-0.637191674504475</v>
      </c>
      <c r="N268">
        <v>26.2</v>
      </c>
    </row>
    <row r="269" spans="13:14">
      <c r="M269">
        <v>-0.63412384852176995</v>
      </c>
      <c r="N269">
        <v>26.3</v>
      </c>
    </row>
    <row r="270" spans="13:14">
      <c r="M270">
        <v>-0.63106197905949901</v>
      </c>
      <c r="N270">
        <v>26.4</v>
      </c>
    </row>
    <row r="271" spans="13:14">
      <c r="M271">
        <v>-0.62800601443756998</v>
      </c>
      <c r="N271">
        <v>26.5</v>
      </c>
    </row>
    <row r="272" spans="13:14">
      <c r="M272">
        <v>-0.62495590349468699</v>
      </c>
      <c r="N272">
        <v>26.6</v>
      </c>
    </row>
    <row r="273" spans="13:14">
      <c r="M273">
        <v>-0.62191159558062403</v>
      </c>
      <c r="N273">
        <v>26.7</v>
      </c>
    </row>
    <row r="274" spans="13:14">
      <c r="M274">
        <v>-0.61887304054862902</v>
      </c>
      <c r="N274">
        <v>26.8</v>
      </c>
    </row>
    <row r="275" spans="13:14">
      <c r="M275">
        <v>-0.61584018874797197</v>
      </c>
      <c r="N275">
        <v>26.9</v>
      </c>
    </row>
    <row r="276" spans="13:14">
      <c r="M276">
        <v>-0.61281299101662701</v>
      </c>
      <c r="N276">
        <v>27</v>
      </c>
    </row>
    <row r="277" spans="13:14">
      <c r="M277">
        <v>-0.60979139867408005</v>
      </c>
      <c r="N277">
        <v>27.1</v>
      </c>
    </row>
    <row r="278" spans="13:14">
      <c r="M278">
        <v>-0.60677536351426498</v>
      </c>
      <c r="N278">
        <v>27.2</v>
      </c>
    </row>
    <row r="279" spans="13:14">
      <c r="M279">
        <v>-0.60376483779862999</v>
      </c>
      <c r="N279">
        <v>27.3</v>
      </c>
    </row>
    <row r="280" spans="13:14">
      <c r="M280">
        <v>-0.60075977424931903</v>
      </c>
      <c r="N280">
        <v>27.4</v>
      </c>
    </row>
    <row r="281" spans="13:14">
      <c r="M281">
        <v>-0.59776012604247797</v>
      </c>
      <c r="N281">
        <v>27.5</v>
      </c>
    </row>
    <row r="282" spans="13:14">
      <c r="M282">
        <v>-0.59476584680167799</v>
      </c>
      <c r="N282">
        <v>27.6</v>
      </c>
    </row>
    <row r="283" spans="13:14">
      <c r="M283">
        <v>-0.591776890591446</v>
      </c>
      <c r="N283">
        <v>27.7</v>
      </c>
    </row>
    <row r="284" spans="13:14">
      <c r="M284">
        <v>-0.58879321191092004</v>
      </c>
      <c r="N284">
        <v>27.8</v>
      </c>
    </row>
    <row r="285" spans="13:14">
      <c r="M285">
        <v>-0.58581476568759905</v>
      </c>
      <c r="N285">
        <v>27.9</v>
      </c>
    </row>
    <row r="286" spans="13:14">
      <c r="M286">
        <v>-0.58284150727121598</v>
      </c>
      <c r="N286">
        <v>28</v>
      </c>
    </row>
    <row r="287" spans="13:14">
      <c r="M287">
        <v>-0.57987339242770397</v>
      </c>
      <c r="N287">
        <v>28.1</v>
      </c>
    </row>
    <row r="288" spans="13:14">
      <c r="M288">
        <v>-0.576910377333271</v>
      </c>
      <c r="N288">
        <v>28.2</v>
      </c>
    </row>
    <row r="289" spans="13:14">
      <c r="M289">
        <v>-0.57395241856857304</v>
      </c>
      <c r="N289">
        <v>28.3</v>
      </c>
    </row>
    <row r="290" spans="13:14">
      <c r="M290">
        <v>-0.57099947311298704</v>
      </c>
      <c r="N290">
        <v>28.4</v>
      </c>
    </row>
    <row r="291" spans="13:14">
      <c r="M291">
        <v>-0.56805149833898305</v>
      </c>
      <c r="N291">
        <v>28.5</v>
      </c>
    </row>
    <row r="292" spans="13:14">
      <c r="M292">
        <v>-0.56510845200658399</v>
      </c>
      <c r="N292">
        <v>28.6</v>
      </c>
    </row>
    <row r="293" spans="13:14">
      <c r="M293">
        <v>-0.56217029225792603</v>
      </c>
      <c r="N293">
        <v>28.7</v>
      </c>
    </row>
    <row r="294" spans="13:14">
      <c r="M294">
        <v>-0.55923697761190705</v>
      </c>
      <c r="N294">
        <v>28.8</v>
      </c>
    </row>
    <row r="295" spans="13:14">
      <c r="M295">
        <v>-0.556308466958918</v>
      </c>
      <c r="N295">
        <v>28.9</v>
      </c>
    </row>
    <row r="296" spans="13:14">
      <c r="M296">
        <v>-0.55338471955567303</v>
      </c>
      <c r="N296">
        <v>29</v>
      </c>
    </row>
    <row r="297" spans="13:14">
      <c r="M297">
        <v>-0.550465695020113</v>
      </c>
      <c r="N297">
        <v>29.1</v>
      </c>
    </row>
    <row r="298" spans="13:14">
      <c r="M298">
        <v>-0.54755135332640104</v>
      </c>
      <c r="N298">
        <v>29.2</v>
      </c>
    </row>
    <row r="299" spans="13:14">
      <c r="M299">
        <v>-0.54464165479999904</v>
      </c>
      <c r="N299">
        <v>29.3</v>
      </c>
    </row>
    <row r="300" spans="13:14">
      <c r="M300">
        <v>-0.54173656011281701</v>
      </c>
      <c r="N300">
        <v>29.4</v>
      </c>
    </row>
    <row r="301" spans="13:14">
      <c r="M301">
        <v>-0.53883603027844995</v>
      </c>
      <c r="N301">
        <v>29.5</v>
      </c>
    </row>
    <row r="302" spans="13:14">
      <c r="M302">
        <v>-0.53594002664748996</v>
      </c>
      <c r="N302">
        <v>29.6</v>
      </c>
    </row>
    <row r="303" spans="13:14">
      <c r="M303">
        <v>-0.53304851090290895</v>
      </c>
      <c r="N303">
        <v>29.7</v>
      </c>
    </row>
    <row r="304" spans="13:14">
      <c r="M304">
        <v>-0.53016144505551899</v>
      </c>
      <c r="N304">
        <v>29.8</v>
      </c>
    </row>
    <row r="305" spans="13:14">
      <c r="M305">
        <v>-0.52727879143950795</v>
      </c>
      <c r="N305">
        <v>29.9</v>
      </c>
    </row>
    <row r="306" spans="13:14">
      <c r="M306">
        <v>-0.524400512708041</v>
      </c>
      <c r="N306">
        <v>30</v>
      </c>
    </row>
    <row r="307" spans="13:14">
      <c r="M307">
        <v>-0.52152657182893203</v>
      </c>
      <c r="N307">
        <v>30.1</v>
      </c>
    </row>
    <row r="308" spans="13:14">
      <c r="M308">
        <v>-0.51865693208039099</v>
      </c>
      <c r="N308">
        <v>30.2</v>
      </c>
    </row>
    <row r="309" spans="13:14">
      <c r="M309">
        <v>-0.515791557046827</v>
      </c>
      <c r="N309">
        <v>30.3</v>
      </c>
    </row>
    <row r="310" spans="13:14">
      <c r="M310">
        <v>-0.51293041061472799</v>
      </c>
      <c r="N310">
        <v>30.4</v>
      </c>
    </row>
    <row r="311" spans="13:14">
      <c r="M311">
        <v>-0.51007345696859496</v>
      </c>
      <c r="N311">
        <v>30.5</v>
      </c>
    </row>
    <row r="312" spans="13:14">
      <c r="M312">
        <v>-0.50722066058694604</v>
      </c>
      <c r="N312">
        <v>30.6</v>
      </c>
    </row>
    <row r="313" spans="13:14">
      <c r="M313">
        <v>-0.50437198623838098</v>
      </c>
      <c r="N313">
        <v>30.7</v>
      </c>
    </row>
    <row r="314" spans="13:14">
      <c r="M314">
        <v>-0.50152739897770804</v>
      </c>
      <c r="N314">
        <v>30.8</v>
      </c>
    </row>
    <row r="315" spans="13:14">
      <c r="M315">
        <v>-0.49868686414212199</v>
      </c>
      <c r="N315">
        <v>30.9</v>
      </c>
    </row>
    <row r="316" spans="13:14">
      <c r="M316">
        <v>-0.49585034734745298</v>
      </c>
      <c r="N316">
        <v>31</v>
      </c>
    </row>
    <row r="317" spans="13:14">
      <c r="M317">
        <v>-0.49301781448446502</v>
      </c>
      <c r="N317">
        <v>31.1</v>
      </c>
    </row>
    <row r="318" spans="13:14">
      <c r="M318">
        <v>-0.49018923171520901</v>
      </c>
      <c r="N318">
        <v>31.2</v>
      </c>
    </row>
    <row r="319" spans="13:14">
      <c r="M319">
        <v>-0.48736456546944101</v>
      </c>
      <c r="N319">
        <v>31.3</v>
      </c>
    </row>
    <row r="320" spans="13:14">
      <c r="M320">
        <v>-0.48454378244107899</v>
      </c>
      <c r="N320">
        <v>31.4</v>
      </c>
    </row>
    <row r="321" spans="13:14">
      <c r="M321">
        <v>-0.48172684958473</v>
      </c>
      <c r="N321">
        <v>31.5</v>
      </c>
    </row>
    <row r="322" spans="13:14">
      <c r="M322">
        <v>-0.47891373411225602</v>
      </c>
      <c r="N322">
        <v>31.6</v>
      </c>
    </row>
    <row r="323" spans="13:14">
      <c r="M323">
        <v>-0.47610440348939498</v>
      </c>
      <c r="N323">
        <v>31.7</v>
      </c>
    </row>
    <row r="324" spans="13:14">
      <c r="M324">
        <v>-0.47329882543243701</v>
      </c>
      <c r="N324">
        <v>31.8</v>
      </c>
    </row>
    <row r="325" spans="13:14">
      <c r="M325">
        <v>-0.470496967904941</v>
      </c>
      <c r="N325">
        <v>31.9</v>
      </c>
    </row>
    <row r="326" spans="13:14">
      <c r="M326">
        <v>-0.46769879911450801</v>
      </c>
      <c r="N326">
        <v>32</v>
      </c>
    </row>
    <row r="327" spans="13:14">
      <c r="M327">
        <v>-0.46490428750959401</v>
      </c>
      <c r="N327">
        <v>32.1</v>
      </c>
    </row>
    <row r="328" spans="13:14">
      <c r="M328">
        <v>-0.462113401776377</v>
      </c>
      <c r="N328">
        <v>32.200000000000003</v>
      </c>
    </row>
    <row r="329" spans="13:14">
      <c r="M329">
        <v>-0.45932611083566299</v>
      </c>
      <c r="N329">
        <v>32.299999999999997</v>
      </c>
    </row>
    <row r="330" spans="13:14">
      <c r="M330">
        <v>-0.45654238383984003</v>
      </c>
      <c r="N330">
        <v>32.4</v>
      </c>
    </row>
    <row r="331" spans="13:14">
      <c r="M331">
        <v>-0.45376219016987901</v>
      </c>
      <c r="N331">
        <v>32.5</v>
      </c>
    </row>
    <row r="332" spans="13:14">
      <c r="M332">
        <v>-0.45098549943237098</v>
      </c>
      <c r="N332">
        <v>32.6</v>
      </c>
    </row>
    <row r="333" spans="13:14">
      <c r="M333">
        <v>-0.44821228145660902</v>
      </c>
      <c r="N333">
        <v>32.700000000000003</v>
      </c>
    </row>
    <row r="334" spans="13:14">
      <c r="M334">
        <v>-0.44544250629172</v>
      </c>
      <c r="N334">
        <v>32.799999999999997</v>
      </c>
    </row>
    <row r="335" spans="13:14">
      <c r="M335">
        <v>-0.44267614420382101</v>
      </c>
      <c r="N335">
        <v>32.9</v>
      </c>
    </row>
    <row r="336" spans="13:14">
      <c r="M336">
        <v>-0.43991316567323402</v>
      </c>
      <c r="N336">
        <v>33</v>
      </c>
    </row>
    <row r="337" spans="13:14">
      <c r="M337">
        <v>-0.43715354139172202</v>
      </c>
      <c r="N337">
        <v>33.1</v>
      </c>
    </row>
    <row r="338" spans="13:14">
      <c r="M338">
        <v>-0.43439724225978099</v>
      </c>
      <c r="N338">
        <v>33.200000000000003</v>
      </c>
    </row>
    <row r="339" spans="13:14">
      <c r="M339">
        <v>-0.43164423938395602</v>
      </c>
      <c r="N339">
        <v>33.299999999999997</v>
      </c>
    </row>
    <row r="340" spans="13:14">
      <c r="M340">
        <v>-0.42889450407420099</v>
      </c>
      <c r="N340">
        <v>33.4</v>
      </c>
    </row>
    <row r="341" spans="13:14">
      <c r="M341">
        <v>-0.42614800784127799</v>
      </c>
      <c r="N341">
        <v>33.5</v>
      </c>
    </row>
    <row r="342" spans="13:14">
      <c r="M342">
        <v>-0.42340472239418298</v>
      </c>
      <c r="N342">
        <v>33.6</v>
      </c>
    </row>
    <row r="343" spans="13:14">
      <c r="M343">
        <v>-0.42066461963761498</v>
      </c>
      <c r="N343">
        <v>33.700000000000003</v>
      </c>
    </row>
    <row r="344" spans="13:14">
      <c r="M344">
        <v>-0.41792767166948203</v>
      </c>
      <c r="N344">
        <v>33.799999999999997</v>
      </c>
    </row>
    <row r="345" spans="13:14">
      <c r="M345">
        <v>-0.41519385077842702</v>
      </c>
      <c r="N345">
        <v>33.9</v>
      </c>
    </row>
    <row r="346" spans="13:14">
      <c r="M346">
        <v>-0.41246312944140501</v>
      </c>
      <c r="N346">
        <v>34</v>
      </c>
    </row>
    <row r="347" spans="13:14">
      <c r="M347">
        <v>-0.40973548032128099</v>
      </c>
      <c r="N347">
        <v>34.1</v>
      </c>
    </row>
    <row r="348" spans="13:14">
      <c r="M348">
        <v>-0.40701087626446603</v>
      </c>
      <c r="N348">
        <v>34.200000000000003</v>
      </c>
    </row>
    <row r="349" spans="13:14">
      <c r="M349">
        <v>-0.40428929029857902</v>
      </c>
      <c r="N349">
        <v>34.299999999999997</v>
      </c>
    </row>
    <row r="350" spans="13:14">
      <c r="M350">
        <v>-0.40157069563014802</v>
      </c>
      <c r="N350">
        <v>34.4</v>
      </c>
    </row>
    <row r="351" spans="13:14">
      <c r="M351">
        <v>-0.39885506564233703</v>
      </c>
      <c r="N351">
        <v>34.5</v>
      </c>
    </row>
    <row r="352" spans="13:14">
      <c r="M352">
        <v>-0.39614237389269802</v>
      </c>
      <c r="N352">
        <v>34.6</v>
      </c>
    </row>
    <row r="353" spans="13:14">
      <c r="M353">
        <v>-0.39343259411096598</v>
      </c>
      <c r="N353">
        <v>34.700000000000003</v>
      </c>
    </row>
    <row r="354" spans="13:14">
      <c r="M354">
        <v>-0.39072570019686997</v>
      </c>
      <c r="N354">
        <v>34.799999999999997</v>
      </c>
    </row>
    <row r="355" spans="13:14">
      <c r="M355">
        <v>-0.38802166621797701</v>
      </c>
      <c r="N355">
        <v>34.9</v>
      </c>
    </row>
    <row r="356" spans="13:14">
      <c r="M356">
        <v>-0.38532046640756801</v>
      </c>
      <c r="N356">
        <v>35</v>
      </c>
    </row>
    <row r="357" spans="13:14">
      <c r="M357">
        <v>-0.38262207516253399</v>
      </c>
      <c r="N357">
        <v>35.1</v>
      </c>
    </row>
    <row r="358" spans="13:14">
      <c r="M358">
        <v>-0.379926467041307</v>
      </c>
      <c r="N358">
        <v>35.200000000000003</v>
      </c>
    </row>
    <row r="359" spans="13:14">
      <c r="M359">
        <v>-0.377233616761812</v>
      </c>
      <c r="N359">
        <v>35.299999999999997</v>
      </c>
    </row>
    <row r="360" spans="13:14">
      <c r="M360">
        <v>-0.37454349919944302</v>
      </c>
      <c r="N360">
        <v>35.4</v>
      </c>
    </row>
    <row r="361" spans="13:14">
      <c r="M361">
        <v>-0.37185608938507497</v>
      </c>
      <c r="N361">
        <v>35.5</v>
      </c>
    </row>
    <row r="362" spans="13:14">
      <c r="M362">
        <v>-0.36917136250309002</v>
      </c>
      <c r="N362">
        <v>35.6</v>
      </c>
    </row>
    <row r="363" spans="13:14">
      <c r="M363">
        <v>-0.36648929388943402</v>
      </c>
      <c r="N363">
        <v>35.700000000000003</v>
      </c>
    </row>
    <row r="364" spans="13:14">
      <c r="M364">
        <v>-0.36380985902969598</v>
      </c>
      <c r="N364">
        <v>35.799999999999997</v>
      </c>
    </row>
    <row r="365" spans="13:14">
      <c r="M365">
        <v>-0.36113303355721199</v>
      </c>
      <c r="N365">
        <v>35.9</v>
      </c>
    </row>
    <row r="366" spans="13:14">
      <c r="M366">
        <v>-0.35845879325119401</v>
      </c>
      <c r="N366">
        <v>36</v>
      </c>
    </row>
    <row r="367" spans="13:14">
      <c r="M367">
        <v>-0.35578711403487501</v>
      </c>
      <c r="N367">
        <v>36.1</v>
      </c>
    </row>
    <row r="368" spans="13:14">
      <c r="M368">
        <v>-0.35311797197368899</v>
      </c>
      <c r="N368">
        <v>36.200000000000003</v>
      </c>
    </row>
    <row r="369" spans="13:14">
      <c r="M369">
        <v>-0.350451343273461</v>
      </c>
      <c r="N369">
        <v>36.299999999999997</v>
      </c>
    </row>
    <row r="370" spans="13:14">
      <c r="M370">
        <v>-0.34778720427862703</v>
      </c>
      <c r="N370">
        <v>36.4</v>
      </c>
    </row>
    <row r="371" spans="13:14">
      <c r="M371">
        <v>-0.34512553147047198</v>
      </c>
      <c r="N371">
        <v>36.5</v>
      </c>
    </row>
    <row r="372" spans="13:14">
      <c r="M372">
        <v>-0.34246630146539098</v>
      </c>
      <c r="N372">
        <v>36.6</v>
      </c>
    </row>
    <row r="373" spans="13:14">
      <c r="M373">
        <v>-0.33980949101316699</v>
      </c>
      <c r="N373">
        <v>36.700000000000003</v>
      </c>
    </row>
    <row r="374" spans="13:14">
      <c r="M374">
        <v>-0.33715507699527703</v>
      </c>
      <c r="N374">
        <v>36.799999999999997</v>
      </c>
    </row>
    <row r="375" spans="13:14">
      <c r="M375">
        <v>-0.334503036423212</v>
      </c>
      <c r="N375">
        <v>36.9</v>
      </c>
    </row>
    <row r="376" spans="13:14">
      <c r="M376">
        <v>-0.33185334643681702</v>
      </c>
      <c r="N376">
        <v>37</v>
      </c>
    </row>
    <row r="377" spans="13:14">
      <c r="M377">
        <v>-0.32920598430265102</v>
      </c>
      <c r="N377">
        <v>37.1</v>
      </c>
    </row>
    <row r="378" spans="13:14">
      <c r="M378">
        <v>-0.32656092741237303</v>
      </c>
      <c r="N378">
        <v>37.200000000000003</v>
      </c>
    </row>
    <row r="379" spans="13:14">
      <c r="M379">
        <v>-0.32391815328113299</v>
      </c>
      <c r="N379">
        <v>37.299999999999997</v>
      </c>
    </row>
    <row r="380" spans="13:14">
      <c r="M380">
        <v>-0.32127763954599597</v>
      </c>
      <c r="N380">
        <v>37.4</v>
      </c>
    </row>
    <row r="381" spans="13:14">
      <c r="M381">
        <v>-0.31863936396437498</v>
      </c>
      <c r="N381">
        <v>37.5</v>
      </c>
    </row>
    <row r="382" spans="13:14">
      <c r="M382">
        <v>-0.31600330441248298</v>
      </c>
      <c r="N382">
        <v>37.6</v>
      </c>
    </row>
    <row r="383" spans="13:14">
      <c r="M383">
        <v>-0.31336943888380597</v>
      </c>
      <c r="N383">
        <v>37.700000000000003</v>
      </c>
    </row>
    <row r="384" spans="13:14">
      <c r="M384">
        <v>-0.31073774548759198</v>
      </c>
      <c r="N384">
        <v>37.799999999999997</v>
      </c>
    </row>
    <row r="385" spans="13:14">
      <c r="M385">
        <v>-0.30810820244735498</v>
      </c>
      <c r="N385">
        <v>37.9</v>
      </c>
    </row>
    <row r="386" spans="13:14">
      <c r="M386">
        <v>-0.30548078809939699</v>
      </c>
      <c r="N386">
        <v>38</v>
      </c>
    </row>
    <row r="387" spans="13:14">
      <c r="M387">
        <v>-0.302855480891349</v>
      </c>
      <c r="N387">
        <v>38.1</v>
      </c>
    </row>
    <row r="388" spans="13:14">
      <c r="M388">
        <v>-0.30023225938072201</v>
      </c>
      <c r="N388">
        <v>38.200000000000003</v>
      </c>
    </row>
    <row r="389" spans="13:14">
      <c r="M389">
        <v>-0.29761110223347997</v>
      </c>
      <c r="N389">
        <v>38.299999999999997</v>
      </c>
    </row>
    <row r="390" spans="13:14">
      <c r="M390">
        <v>-0.29499198822262601</v>
      </c>
      <c r="N390">
        <v>38.4</v>
      </c>
    </row>
    <row r="391" spans="13:14">
      <c r="M391">
        <v>-0.29237489622680402</v>
      </c>
      <c r="N391">
        <v>38.5</v>
      </c>
    </row>
    <row r="392" spans="13:14">
      <c r="M392">
        <v>-0.28975980522891398</v>
      </c>
      <c r="N392">
        <v>38.6</v>
      </c>
    </row>
    <row r="393" spans="13:14">
      <c r="M393">
        <v>-0.28714669431474499</v>
      </c>
      <c r="N393">
        <v>38.700000000000003</v>
      </c>
    </row>
    <row r="394" spans="13:14">
      <c r="M394">
        <v>-0.28453554267162201</v>
      </c>
      <c r="N394">
        <v>38.799999999999997</v>
      </c>
    </row>
    <row r="395" spans="13:14">
      <c r="M395">
        <v>-0.28192632958706099</v>
      </c>
      <c r="N395">
        <v>38.9</v>
      </c>
    </row>
    <row r="396" spans="13:14">
      <c r="M396">
        <v>-0.27931903444745398</v>
      </c>
      <c r="N396">
        <v>39</v>
      </c>
    </row>
    <row r="397" spans="13:14">
      <c r="M397">
        <v>-0.27671363673674698</v>
      </c>
      <c r="N397">
        <v>39.1</v>
      </c>
    </row>
    <row r="398" spans="13:14">
      <c r="M398">
        <v>-0.27411011603514701</v>
      </c>
      <c r="N398">
        <v>39.200000000000003</v>
      </c>
    </row>
    <row r="399" spans="13:14">
      <c r="M399">
        <v>-0.27150845201783902</v>
      </c>
      <c r="N399">
        <v>39.299999999999997</v>
      </c>
    </row>
    <row r="400" spans="13:14">
      <c r="M400">
        <v>-0.26890862445371</v>
      </c>
      <c r="N400">
        <v>39.4</v>
      </c>
    </row>
    <row r="401" spans="13:14">
      <c r="M401">
        <v>-0.26631061320409499</v>
      </c>
      <c r="N401">
        <v>39.5</v>
      </c>
    </row>
    <row r="402" spans="13:14">
      <c r="M402">
        <v>-0.26371439822152998</v>
      </c>
      <c r="N402">
        <v>39.6</v>
      </c>
    </row>
    <row r="403" spans="13:14">
      <c r="M403">
        <v>-0.26111995954851802</v>
      </c>
      <c r="N403">
        <v>39.700000000000003</v>
      </c>
    </row>
    <row r="404" spans="13:14">
      <c r="M404">
        <v>-0.25852727731630998</v>
      </c>
      <c r="N404">
        <v>39.799999999999997</v>
      </c>
    </row>
    <row r="405" spans="13:14">
      <c r="M405">
        <v>-0.25593633174369301</v>
      </c>
      <c r="N405">
        <v>39.9</v>
      </c>
    </row>
    <row r="406" spans="13:14">
      <c r="M406">
        <v>-0.2533471031358</v>
      </c>
      <c r="N406">
        <v>40</v>
      </c>
    </row>
    <row r="407" spans="13:14">
      <c r="M407">
        <v>-0.25075957188291598</v>
      </c>
      <c r="N407">
        <v>40.1</v>
      </c>
    </row>
    <row r="408" spans="13:14">
      <c r="M408">
        <v>-0.24817371845931299</v>
      </c>
      <c r="N408">
        <v>40.200000000000003</v>
      </c>
    </row>
    <row r="409" spans="13:14">
      <c r="M409">
        <v>-0.24558952342208101</v>
      </c>
      <c r="N409">
        <v>40.299999999999997</v>
      </c>
    </row>
    <row r="410" spans="13:14">
      <c r="M410">
        <v>-0.24300696740998201</v>
      </c>
      <c r="N410">
        <v>40.4</v>
      </c>
    </row>
    <row r="411" spans="13:14">
      <c r="M411">
        <v>-0.24042603114230801</v>
      </c>
      <c r="N411">
        <v>40.5</v>
      </c>
    </row>
    <row r="412" spans="13:14">
      <c r="M412">
        <v>-0.237846695417749</v>
      </c>
      <c r="N412">
        <v>40.6</v>
      </c>
    </row>
    <row r="413" spans="13:14">
      <c r="M413">
        <v>-0.23526894111328001</v>
      </c>
      <c r="N413">
        <v>40.700000000000003</v>
      </c>
    </row>
    <row r="414" spans="13:14">
      <c r="M414">
        <v>-0.232692749183045</v>
      </c>
      <c r="N414">
        <v>40.799999999999997</v>
      </c>
    </row>
    <row r="415" spans="13:14">
      <c r="M415">
        <v>-0.23011810065726601</v>
      </c>
      <c r="N415">
        <v>40.9</v>
      </c>
    </row>
    <row r="416" spans="13:14">
      <c r="M416">
        <v>-0.227544976641149</v>
      </c>
      <c r="N416">
        <v>41</v>
      </c>
    </row>
    <row r="417" spans="13:14">
      <c r="M417">
        <v>-0.22497335831381099</v>
      </c>
      <c r="N417">
        <v>41.1</v>
      </c>
    </row>
    <row r="418" spans="13:14">
      <c r="M418">
        <v>-0.22240322692720599</v>
      </c>
      <c r="N418">
        <v>41.2</v>
      </c>
    </row>
    <row r="419" spans="13:14">
      <c r="M419">
        <v>-0.21983456380506899</v>
      </c>
      <c r="N419">
        <v>41.3</v>
      </c>
    </row>
    <row r="420" spans="13:14">
      <c r="M420">
        <v>-0.21726735034186301</v>
      </c>
      <c r="N420">
        <v>41.4</v>
      </c>
    </row>
    <row r="421" spans="13:14">
      <c r="M421">
        <v>-0.214701568001744</v>
      </c>
      <c r="N421">
        <v>41.5</v>
      </c>
    </row>
    <row r="422" spans="13:14">
      <c r="M422">
        <v>-0.21213719831752401</v>
      </c>
      <c r="N422">
        <v>41.6</v>
      </c>
    </row>
    <row r="423" spans="13:14">
      <c r="M423">
        <v>-0.209574222889649</v>
      </c>
      <c r="N423">
        <v>41.7</v>
      </c>
    </row>
    <row r="424" spans="13:14">
      <c r="M424">
        <v>-0.207012623385187</v>
      </c>
      <c r="N424">
        <v>41.8</v>
      </c>
    </row>
    <row r="425" spans="13:14">
      <c r="M425">
        <v>-0.20445238153682099</v>
      </c>
      <c r="N425">
        <v>41.9</v>
      </c>
    </row>
    <row r="426" spans="13:14">
      <c r="M426">
        <v>-0.20189347914185099</v>
      </c>
      <c r="N426">
        <v>42</v>
      </c>
    </row>
    <row r="427" spans="13:14">
      <c r="M427">
        <v>-0.199335898061207</v>
      </c>
      <c r="N427">
        <v>42.1</v>
      </c>
    </row>
    <row r="428" spans="13:14">
      <c r="M428">
        <v>-0.19677962021846701</v>
      </c>
      <c r="N428">
        <v>42.2</v>
      </c>
    </row>
    <row r="429" spans="13:14">
      <c r="M429">
        <v>-0.19422462759888301</v>
      </c>
      <c r="N429">
        <v>42.3</v>
      </c>
    </row>
    <row r="430" spans="13:14">
      <c r="M430">
        <v>-0.19167090224842001</v>
      </c>
      <c r="N430">
        <v>42.4</v>
      </c>
    </row>
    <row r="431" spans="13:14">
      <c r="M431">
        <v>-0.18911842627279199</v>
      </c>
      <c r="N431">
        <v>42.5</v>
      </c>
    </row>
    <row r="432" spans="13:14">
      <c r="M432">
        <v>-0.18656718183651899</v>
      </c>
      <c r="N432">
        <v>42.6</v>
      </c>
    </row>
    <row r="433" spans="13:14">
      <c r="M433">
        <v>-0.18401715116198</v>
      </c>
      <c r="N433">
        <v>42.7</v>
      </c>
    </row>
    <row r="434" spans="13:14">
      <c r="M434">
        <v>-0.181468316528477</v>
      </c>
      <c r="N434">
        <v>42.8</v>
      </c>
    </row>
    <row r="435" spans="13:14">
      <c r="M435">
        <v>-0.17892066027131201</v>
      </c>
      <c r="N435">
        <v>42.9</v>
      </c>
    </row>
    <row r="436" spans="13:14">
      <c r="M436">
        <v>-0.17637416478086099</v>
      </c>
      <c r="N436">
        <v>43</v>
      </c>
    </row>
    <row r="437" spans="13:14">
      <c r="M437">
        <v>-0.17382881250166199</v>
      </c>
      <c r="N437">
        <v>43.1</v>
      </c>
    </row>
    <row r="438" spans="13:14">
      <c r="M438">
        <v>-0.171284585931507</v>
      </c>
      <c r="N438">
        <v>43.2</v>
      </c>
    </row>
    <row r="439" spans="13:14">
      <c r="M439">
        <v>-0.16874146762053799</v>
      </c>
      <c r="N439">
        <v>43.3</v>
      </c>
    </row>
    <row r="440" spans="13:14">
      <c r="M440">
        <v>-0.16619944017035901</v>
      </c>
      <c r="N440">
        <v>43.4</v>
      </c>
    </row>
    <row r="441" spans="13:14">
      <c r="M441">
        <v>-0.163658486233141</v>
      </c>
      <c r="N441">
        <v>43.5</v>
      </c>
    </row>
    <row r="442" spans="13:14">
      <c r="M442">
        <v>-0.16111858851074501</v>
      </c>
      <c r="N442">
        <v>43.6</v>
      </c>
    </row>
    <row r="443" spans="13:14">
      <c r="M443">
        <v>-0.15857972975384299</v>
      </c>
      <c r="N443">
        <v>43.7</v>
      </c>
    </row>
    <row r="444" spans="13:14">
      <c r="M444">
        <v>-0.15604189276104999</v>
      </c>
      <c r="N444">
        <v>43.8</v>
      </c>
    </row>
    <row r="445" spans="13:14">
      <c r="M445">
        <v>-0.153505060378057</v>
      </c>
      <c r="N445">
        <v>43.9</v>
      </c>
    </row>
    <row r="446" spans="13:14">
      <c r="M446">
        <v>-0.150969215496777</v>
      </c>
      <c r="N446">
        <v>44</v>
      </c>
    </row>
    <row r="447" spans="13:14">
      <c r="M447">
        <v>-0.14843434105448999</v>
      </c>
      <c r="N447">
        <v>44.1</v>
      </c>
    </row>
    <row r="448" spans="13:14">
      <c r="M448">
        <v>-0.145900420032994</v>
      </c>
      <c r="N448">
        <v>44.2</v>
      </c>
    </row>
    <row r="449" spans="13:14">
      <c r="M449">
        <v>-0.14336743545776701</v>
      </c>
      <c r="N449">
        <v>44.3</v>
      </c>
    </row>
    <row r="450" spans="13:14">
      <c r="M450">
        <v>-0.14083537039712701</v>
      </c>
      <c r="N450">
        <v>44.4</v>
      </c>
    </row>
    <row r="451" spans="13:14">
      <c r="M451">
        <v>-0.138304207961404</v>
      </c>
      <c r="N451">
        <v>44.5</v>
      </c>
    </row>
    <row r="452" spans="13:14">
      <c r="M452">
        <v>-0.13577393130211199</v>
      </c>
      <c r="N452">
        <v>44.6</v>
      </c>
    </row>
    <row r="453" spans="13:14">
      <c r="M453">
        <v>-0.13324452361112399</v>
      </c>
      <c r="N453">
        <v>44.7</v>
      </c>
    </row>
    <row r="454" spans="13:14">
      <c r="M454">
        <v>-0.130715968119863</v>
      </c>
      <c r="N454">
        <v>44.8</v>
      </c>
    </row>
    <row r="455" spans="13:14">
      <c r="M455">
        <v>-0.128188248098485</v>
      </c>
      <c r="N455">
        <v>44.9</v>
      </c>
    </row>
    <row r="456" spans="13:14">
      <c r="M456">
        <v>-0.12566134685507399</v>
      </c>
      <c r="N456">
        <v>45</v>
      </c>
    </row>
    <row r="457" spans="13:14">
      <c r="M457">
        <v>-0.123135247734837</v>
      </c>
      <c r="N457">
        <v>45.1</v>
      </c>
    </row>
    <row r="458" spans="13:14">
      <c r="M458">
        <v>-0.120609934119307</v>
      </c>
      <c r="N458">
        <v>45.2</v>
      </c>
    </row>
    <row r="459" spans="13:14">
      <c r="M459">
        <v>-0.11808538942555299</v>
      </c>
      <c r="N459">
        <v>45.3</v>
      </c>
    </row>
    <row r="460" spans="13:14">
      <c r="M460">
        <v>-0.115561597105383</v>
      </c>
      <c r="N460">
        <v>45.4</v>
      </c>
    </row>
    <row r="461" spans="13:14">
      <c r="M461">
        <v>-0.11303854064456501</v>
      </c>
      <c r="N461">
        <v>45.5</v>
      </c>
    </row>
    <row r="462" spans="13:14">
      <c r="M462">
        <v>-0.110516203562042</v>
      </c>
      <c r="N462">
        <v>45.6</v>
      </c>
    </row>
    <row r="463" spans="13:14">
      <c r="M463">
        <v>-0.107994569409154</v>
      </c>
      <c r="N463">
        <v>45.7</v>
      </c>
    </row>
    <row r="464" spans="13:14">
      <c r="M464">
        <v>-0.105473621768868</v>
      </c>
      <c r="N464">
        <v>45.8</v>
      </c>
    </row>
    <row r="465" spans="13:14">
      <c r="M465">
        <v>-0.10295334425500401</v>
      </c>
      <c r="N465">
        <v>45.9</v>
      </c>
    </row>
    <row r="466" spans="13:14">
      <c r="M466">
        <v>-0.10043372051147</v>
      </c>
      <c r="N466">
        <v>46</v>
      </c>
    </row>
    <row r="467" spans="13:14">
      <c r="M467">
        <v>-9.7914734211499294E-2</v>
      </c>
      <c r="N467">
        <v>46.1</v>
      </c>
    </row>
    <row r="468" spans="13:14">
      <c r="M468">
        <v>-9.5396369056891903E-2</v>
      </c>
      <c r="N468">
        <v>46.2</v>
      </c>
    </row>
    <row r="469" spans="13:14">
      <c r="M469">
        <v>-9.28786087772564E-2</v>
      </c>
      <c r="N469">
        <v>46.3</v>
      </c>
    </row>
    <row r="470" spans="13:14">
      <c r="M470">
        <v>-9.0361437129258607E-2</v>
      </c>
      <c r="N470">
        <v>46.4</v>
      </c>
    </row>
    <row r="471" spans="13:14">
      <c r="M471">
        <v>-8.7844837895871705E-2</v>
      </c>
      <c r="N471">
        <v>46.5</v>
      </c>
    </row>
    <row r="472" spans="13:14">
      <c r="M472">
        <v>-8.5328794885629E-2</v>
      </c>
      <c r="N472">
        <v>46.6</v>
      </c>
    </row>
    <row r="473" spans="13:14">
      <c r="M473">
        <v>-8.2813291931881194E-2</v>
      </c>
      <c r="N473">
        <v>46.7</v>
      </c>
    </row>
    <row r="474" spans="13:14">
      <c r="M474">
        <v>-8.0298312892054899E-2</v>
      </c>
      <c r="N474">
        <v>46.8</v>
      </c>
    </row>
    <row r="475" spans="13:14">
      <c r="M475">
        <v>-7.7783841646915097E-2</v>
      </c>
      <c r="N475">
        <v>46.9</v>
      </c>
    </row>
    <row r="476" spans="13:14">
      <c r="M476">
        <v>-7.5269862099829804E-2</v>
      </c>
      <c r="N476">
        <v>47</v>
      </c>
    </row>
    <row r="477" spans="13:14">
      <c r="M477">
        <v>-7.2756358176037303E-2</v>
      </c>
      <c r="N477">
        <v>47.1</v>
      </c>
    </row>
    <row r="478" spans="13:14">
      <c r="M478">
        <v>-7.0243313821916606E-2</v>
      </c>
      <c r="N478">
        <v>47.2</v>
      </c>
    </row>
    <row r="479" spans="13:14">
      <c r="M479">
        <v>-6.7730713004258994E-2</v>
      </c>
      <c r="N479">
        <v>47.3</v>
      </c>
    </row>
    <row r="480" spans="13:14">
      <c r="M480">
        <v>-6.5218539709543596E-2</v>
      </c>
      <c r="N480">
        <v>47.4</v>
      </c>
    </row>
    <row r="481" spans="13:14">
      <c r="M481">
        <v>-6.2706777943213707E-2</v>
      </c>
      <c r="N481">
        <v>47.5</v>
      </c>
    </row>
    <row r="482" spans="13:14">
      <c r="M482">
        <v>-6.0195411728956497E-2</v>
      </c>
      <c r="N482">
        <v>47.6</v>
      </c>
    </row>
    <row r="483" spans="13:14">
      <c r="M483">
        <v>-5.7684425107984001E-2</v>
      </c>
      <c r="N483">
        <v>47.7</v>
      </c>
    </row>
    <row r="484" spans="13:14">
      <c r="M484">
        <v>-5.5173802138316699E-2</v>
      </c>
      <c r="N484">
        <v>47.8</v>
      </c>
    </row>
    <row r="485" spans="13:14">
      <c r="M485">
        <v>-5.2663526894068301E-2</v>
      </c>
      <c r="N485">
        <v>47.9</v>
      </c>
    </row>
    <row r="486" spans="13:14">
      <c r="M486">
        <v>-5.0153583464733698E-2</v>
      </c>
      <c r="N486">
        <v>48</v>
      </c>
    </row>
    <row r="487" spans="13:14">
      <c r="M487">
        <v>-4.7643955954476597E-2</v>
      </c>
      <c r="N487">
        <v>48.1</v>
      </c>
    </row>
    <row r="488" spans="13:14">
      <c r="M488">
        <v>-4.5134628481421302E-2</v>
      </c>
      <c r="N488">
        <v>48.2</v>
      </c>
    </row>
    <row r="489" spans="13:14">
      <c r="M489">
        <v>-4.2625585176944397E-2</v>
      </c>
      <c r="N489">
        <v>48.3</v>
      </c>
    </row>
    <row r="490" spans="13:14">
      <c r="M490">
        <v>-4.0116810184968099E-2</v>
      </c>
      <c r="N490">
        <v>48.4</v>
      </c>
    </row>
    <row r="491" spans="13:14">
      <c r="M491">
        <v>-3.7608287661255901E-2</v>
      </c>
      <c r="N491">
        <v>48.5</v>
      </c>
    </row>
    <row r="492" spans="13:14">
      <c r="M492">
        <v>-3.5100001772708798E-2</v>
      </c>
      <c r="N492">
        <v>48.6</v>
      </c>
    </row>
    <row r="493" spans="13:14">
      <c r="M493">
        <v>-3.2591936696663097E-2</v>
      </c>
      <c r="N493">
        <v>48.7</v>
      </c>
    </row>
    <row r="494" spans="13:14">
      <c r="M494">
        <v>-3.0084076620189099E-2</v>
      </c>
      <c r="N494">
        <v>48.8</v>
      </c>
    </row>
    <row r="495" spans="13:14">
      <c r="M495">
        <v>-2.7576405739391699E-2</v>
      </c>
      <c r="N495">
        <v>48.9</v>
      </c>
    </row>
    <row r="496" spans="13:14">
      <c r="M496">
        <v>-2.5068908258711099E-2</v>
      </c>
      <c r="N496">
        <v>49</v>
      </c>
    </row>
    <row r="497" spans="13:14">
      <c r="M497">
        <v>-2.25615683902247E-2</v>
      </c>
      <c r="N497">
        <v>49.1</v>
      </c>
    </row>
    <row r="498" spans="13:14">
      <c r="M498">
        <v>-2.0054370352950601E-2</v>
      </c>
      <c r="N498">
        <v>49.2</v>
      </c>
    </row>
    <row r="499" spans="13:14">
      <c r="M499">
        <v>-1.7547298372150799E-2</v>
      </c>
      <c r="N499">
        <v>49.3</v>
      </c>
    </row>
    <row r="500" spans="13:14">
      <c r="M500">
        <v>-1.5040336678635699E-2</v>
      </c>
      <c r="N500">
        <v>49.4</v>
      </c>
    </row>
    <row r="501" spans="13:14">
      <c r="M501">
        <v>-1.25334695080693E-2</v>
      </c>
      <c r="N501">
        <v>49.5</v>
      </c>
    </row>
    <row r="502" spans="13:14">
      <c r="M502">
        <v>-1.00266811002748E-2</v>
      </c>
      <c r="N502">
        <v>49.6</v>
      </c>
    </row>
    <row r="503" spans="13:14">
      <c r="M503">
        <v>-7.5199556985405197E-3</v>
      </c>
      <c r="N503">
        <v>49.7</v>
      </c>
    </row>
    <row r="504" spans="13:14">
      <c r="M504">
        <v>-5.0132775489266602E-3</v>
      </c>
      <c r="N504">
        <v>49.8</v>
      </c>
    </row>
    <row r="505" spans="13:14">
      <c r="M505">
        <v>-2.5066308995717701E-3</v>
      </c>
      <c r="N505">
        <v>49.9</v>
      </c>
    </row>
    <row r="506" spans="13:14">
      <c r="M506">
        <v>0</v>
      </c>
      <c r="N506">
        <v>50</v>
      </c>
    </row>
    <row r="507" spans="13:14">
      <c r="M507">
        <v>2.5066308995717701E-3</v>
      </c>
      <c r="N507">
        <v>50.1</v>
      </c>
    </row>
    <row r="508" spans="13:14">
      <c r="M508">
        <v>5.0132775489266602E-3</v>
      </c>
      <c r="N508">
        <v>50.2</v>
      </c>
    </row>
    <row r="509" spans="13:14">
      <c r="M509">
        <v>7.5199556985405197E-3</v>
      </c>
      <c r="N509">
        <v>50.3</v>
      </c>
    </row>
    <row r="510" spans="13:14">
      <c r="M510">
        <v>1.00266811002748E-2</v>
      </c>
      <c r="N510">
        <v>50.4</v>
      </c>
    </row>
    <row r="511" spans="13:14">
      <c r="M511">
        <v>1.25334695080693E-2</v>
      </c>
      <c r="N511">
        <v>50.5</v>
      </c>
    </row>
    <row r="512" spans="13:14">
      <c r="M512">
        <v>1.5040336678635699E-2</v>
      </c>
      <c r="N512">
        <v>50.6</v>
      </c>
    </row>
    <row r="513" spans="13:14">
      <c r="M513">
        <v>1.7547298372150799E-2</v>
      </c>
      <c r="N513">
        <v>50.7</v>
      </c>
    </row>
    <row r="514" spans="13:14">
      <c r="M514">
        <v>2.0054370352950601E-2</v>
      </c>
      <c r="N514">
        <v>50.8</v>
      </c>
    </row>
    <row r="515" spans="13:14">
      <c r="M515">
        <v>2.25615683902247E-2</v>
      </c>
      <c r="N515">
        <v>50.9</v>
      </c>
    </row>
    <row r="516" spans="13:14">
      <c r="M516">
        <v>2.5068908258711099E-2</v>
      </c>
      <c r="N516">
        <v>51</v>
      </c>
    </row>
    <row r="517" spans="13:14">
      <c r="M517">
        <v>2.7576405739391699E-2</v>
      </c>
      <c r="N517">
        <v>51.1</v>
      </c>
    </row>
    <row r="518" spans="13:14">
      <c r="M518">
        <v>3.0084076620189099E-2</v>
      </c>
      <c r="N518">
        <v>51.2</v>
      </c>
    </row>
    <row r="519" spans="13:14">
      <c r="M519">
        <v>3.2591936696663097E-2</v>
      </c>
      <c r="N519">
        <v>51.3</v>
      </c>
    </row>
    <row r="520" spans="13:14">
      <c r="M520">
        <v>3.5100001772708798E-2</v>
      </c>
      <c r="N520">
        <v>51.4</v>
      </c>
    </row>
    <row r="521" spans="13:14">
      <c r="M521">
        <v>3.7608287661255901E-2</v>
      </c>
      <c r="N521">
        <v>51.5</v>
      </c>
    </row>
    <row r="522" spans="13:14">
      <c r="M522">
        <v>4.0116810184968099E-2</v>
      </c>
      <c r="N522">
        <v>51.6</v>
      </c>
    </row>
    <row r="523" spans="13:14">
      <c r="M523">
        <v>4.2625585176944397E-2</v>
      </c>
      <c r="N523">
        <v>51.7</v>
      </c>
    </row>
    <row r="524" spans="13:14">
      <c r="M524">
        <v>4.5134628481421302E-2</v>
      </c>
      <c r="N524">
        <v>51.8</v>
      </c>
    </row>
    <row r="525" spans="13:14">
      <c r="M525">
        <v>4.7643955954476597E-2</v>
      </c>
      <c r="N525">
        <v>51.9</v>
      </c>
    </row>
    <row r="526" spans="13:14">
      <c r="M526">
        <v>5.0153583464733698E-2</v>
      </c>
      <c r="N526">
        <v>52</v>
      </c>
    </row>
    <row r="527" spans="13:14">
      <c r="M527">
        <v>5.2663526894068502E-2</v>
      </c>
      <c r="N527">
        <v>52.1</v>
      </c>
    </row>
    <row r="528" spans="13:14">
      <c r="M528">
        <v>5.5173802138316803E-2</v>
      </c>
      <c r="N528">
        <v>52.2</v>
      </c>
    </row>
    <row r="529" spans="13:14">
      <c r="M529">
        <v>5.7684425107984202E-2</v>
      </c>
      <c r="N529">
        <v>52.3</v>
      </c>
    </row>
    <row r="530" spans="13:14">
      <c r="M530">
        <v>6.0195411728956601E-2</v>
      </c>
      <c r="N530">
        <v>52.4</v>
      </c>
    </row>
    <row r="531" spans="13:14">
      <c r="M531">
        <v>6.2706777943213804E-2</v>
      </c>
      <c r="N531">
        <v>52.5</v>
      </c>
    </row>
    <row r="532" spans="13:14">
      <c r="M532">
        <v>6.5218539709543694E-2</v>
      </c>
      <c r="N532">
        <v>52.6</v>
      </c>
    </row>
    <row r="533" spans="13:14">
      <c r="M533">
        <v>6.7730713004259202E-2</v>
      </c>
      <c r="N533">
        <v>52.7</v>
      </c>
    </row>
    <row r="534" spans="13:14">
      <c r="M534">
        <v>7.0243313821916703E-2</v>
      </c>
      <c r="N534">
        <v>52.8</v>
      </c>
    </row>
    <row r="535" spans="13:14">
      <c r="M535">
        <v>7.2756358176037497E-2</v>
      </c>
      <c r="N535">
        <v>52.9</v>
      </c>
    </row>
    <row r="536" spans="13:14">
      <c r="M536">
        <v>7.5269862099829901E-2</v>
      </c>
      <c r="N536">
        <v>53</v>
      </c>
    </row>
    <row r="537" spans="13:14">
      <c r="M537">
        <v>7.7783841646915194E-2</v>
      </c>
      <c r="N537">
        <v>53.1</v>
      </c>
    </row>
    <row r="538" spans="13:14">
      <c r="M538">
        <v>8.0298312892054996E-2</v>
      </c>
      <c r="N538">
        <v>53.2</v>
      </c>
    </row>
    <row r="539" spans="13:14">
      <c r="M539">
        <v>8.2813291931881305E-2</v>
      </c>
      <c r="N539">
        <v>53.3</v>
      </c>
    </row>
    <row r="540" spans="13:14">
      <c r="M540">
        <v>8.5328794885629194E-2</v>
      </c>
      <c r="N540">
        <v>53.4</v>
      </c>
    </row>
    <row r="541" spans="13:14">
      <c r="M541">
        <v>8.7844837895871802E-2</v>
      </c>
      <c r="N541">
        <v>53.5</v>
      </c>
    </row>
    <row r="542" spans="13:14">
      <c r="M542">
        <v>9.0361437129258801E-2</v>
      </c>
      <c r="N542">
        <v>53.6</v>
      </c>
    </row>
    <row r="543" spans="13:14">
      <c r="M543">
        <v>9.2878608777256497E-2</v>
      </c>
      <c r="N543">
        <v>53.7</v>
      </c>
    </row>
    <row r="544" spans="13:14">
      <c r="M544">
        <v>9.5396369056892E-2</v>
      </c>
      <c r="N544">
        <v>53.8</v>
      </c>
    </row>
    <row r="545" spans="13:14">
      <c r="M545">
        <v>9.7914734211499502E-2</v>
      </c>
      <c r="N545">
        <v>53.9</v>
      </c>
    </row>
    <row r="546" spans="13:14">
      <c r="M546">
        <v>0.10043372051147</v>
      </c>
      <c r="N546">
        <v>54</v>
      </c>
    </row>
    <row r="547" spans="13:14">
      <c r="M547">
        <v>0.10295334425500401</v>
      </c>
      <c r="N547">
        <v>54.1</v>
      </c>
    </row>
    <row r="548" spans="13:14">
      <c r="M548">
        <v>0.105473621768868</v>
      </c>
      <c r="N548">
        <v>54.2</v>
      </c>
    </row>
    <row r="549" spans="13:14">
      <c r="M549">
        <v>0.107994569409154</v>
      </c>
      <c r="N549">
        <v>54.3</v>
      </c>
    </row>
    <row r="550" spans="13:14">
      <c r="M550">
        <v>0.110516203562042</v>
      </c>
      <c r="N550">
        <v>54.4</v>
      </c>
    </row>
    <row r="551" spans="13:14">
      <c r="M551">
        <v>0.11303854064456501</v>
      </c>
      <c r="N551">
        <v>54.5</v>
      </c>
    </row>
    <row r="552" spans="13:14">
      <c r="M552">
        <v>0.115561597105383</v>
      </c>
      <c r="N552">
        <v>54.6</v>
      </c>
    </row>
    <row r="553" spans="13:14">
      <c r="M553">
        <v>0.11808538942555299</v>
      </c>
      <c r="N553">
        <v>54.7</v>
      </c>
    </row>
    <row r="554" spans="13:14">
      <c r="M554">
        <v>0.120609934119307</v>
      </c>
      <c r="N554">
        <v>54.8</v>
      </c>
    </row>
    <row r="555" spans="13:14">
      <c r="M555">
        <v>0.123135247734837</v>
      </c>
      <c r="N555">
        <v>54.9</v>
      </c>
    </row>
    <row r="556" spans="13:14">
      <c r="M556">
        <v>0.12566134685507399</v>
      </c>
      <c r="N556">
        <v>55</v>
      </c>
    </row>
    <row r="557" spans="13:14">
      <c r="M557">
        <v>0.128188248098486</v>
      </c>
      <c r="N557">
        <v>55.1</v>
      </c>
    </row>
    <row r="558" spans="13:14">
      <c r="M558">
        <v>0.130715968119863</v>
      </c>
      <c r="N558">
        <v>55.2</v>
      </c>
    </row>
    <row r="559" spans="13:14">
      <c r="M559">
        <v>0.13324452361112399</v>
      </c>
      <c r="N559">
        <v>55.3</v>
      </c>
    </row>
    <row r="560" spans="13:14">
      <c r="M560">
        <v>0.13577393130211199</v>
      </c>
      <c r="N560">
        <v>55.4</v>
      </c>
    </row>
    <row r="561" spans="13:14">
      <c r="M561">
        <v>0.138304207961405</v>
      </c>
      <c r="N561">
        <v>55.5</v>
      </c>
    </row>
    <row r="562" spans="13:14">
      <c r="M562">
        <v>0.14083537039712701</v>
      </c>
      <c r="N562">
        <v>55.6</v>
      </c>
    </row>
    <row r="563" spans="13:14">
      <c r="M563">
        <v>0.14336743545776701</v>
      </c>
      <c r="N563">
        <v>55.7</v>
      </c>
    </row>
    <row r="564" spans="13:14">
      <c r="M564">
        <v>0.145900420032994</v>
      </c>
      <c r="N564">
        <v>55.8</v>
      </c>
    </row>
    <row r="565" spans="13:14">
      <c r="M565">
        <v>0.14843434105448999</v>
      </c>
      <c r="N565">
        <v>55.9</v>
      </c>
    </row>
    <row r="566" spans="13:14">
      <c r="M566">
        <v>0.150969215496777</v>
      </c>
      <c r="N566">
        <v>56</v>
      </c>
    </row>
    <row r="567" spans="13:14">
      <c r="M567">
        <v>0.153505060378057</v>
      </c>
      <c r="N567">
        <v>56.1</v>
      </c>
    </row>
    <row r="568" spans="13:14">
      <c r="M568">
        <v>0.15604189276104999</v>
      </c>
      <c r="N568">
        <v>56.2</v>
      </c>
    </row>
    <row r="569" spans="13:14">
      <c r="M569">
        <v>0.15857972975384399</v>
      </c>
      <c r="N569">
        <v>56.3</v>
      </c>
    </row>
    <row r="570" spans="13:14">
      <c r="M570">
        <v>0.16111858851074601</v>
      </c>
      <c r="N570">
        <v>56.4</v>
      </c>
    </row>
    <row r="571" spans="13:14">
      <c r="M571">
        <v>0.163658486233141</v>
      </c>
      <c r="N571">
        <v>56.5</v>
      </c>
    </row>
    <row r="572" spans="13:14">
      <c r="M572">
        <v>0.16619944017035901</v>
      </c>
      <c r="N572">
        <v>56.6</v>
      </c>
    </row>
    <row r="573" spans="13:14">
      <c r="M573">
        <v>0.16874146762053799</v>
      </c>
      <c r="N573">
        <v>56.7</v>
      </c>
    </row>
    <row r="574" spans="13:14">
      <c r="M574">
        <v>0.171284585931507</v>
      </c>
      <c r="N574">
        <v>56.8</v>
      </c>
    </row>
    <row r="575" spans="13:14">
      <c r="M575">
        <v>0.17382881250166299</v>
      </c>
      <c r="N575">
        <v>56.9</v>
      </c>
    </row>
    <row r="576" spans="13:14">
      <c r="M576">
        <v>0.17637416478086099</v>
      </c>
      <c r="N576">
        <v>57</v>
      </c>
    </row>
    <row r="577" spans="13:14">
      <c r="M577">
        <v>0.17892066027131201</v>
      </c>
      <c r="N577">
        <v>57.1</v>
      </c>
    </row>
    <row r="578" spans="13:14">
      <c r="M578">
        <v>0.181468316528477</v>
      </c>
      <c r="N578">
        <v>57.2</v>
      </c>
    </row>
    <row r="579" spans="13:14">
      <c r="M579">
        <v>0.18401715116198</v>
      </c>
      <c r="N579">
        <v>57.3</v>
      </c>
    </row>
    <row r="580" spans="13:14">
      <c r="M580">
        <v>0.18656718183651999</v>
      </c>
      <c r="N580">
        <v>57.4</v>
      </c>
    </row>
    <row r="581" spans="13:14">
      <c r="M581">
        <v>0.18911842627279299</v>
      </c>
      <c r="N581">
        <v>57.5</v>
      </c>
    </row>
    <row r="582" spans="13:14">
      <c r="M582">
        <v>0.19167090224842001</v>
      </c>
      <c r="N582">
        <v>57.6</v>
      </c>
    </row>
    <row r="583" spans="13:14">
      <c r="M583">
        <v>0.19422462759888301</v>
      </c>
      <c r="N583">
        <v>57.7</v>
      </c>
    </row>
    <row r="584" spans="13:14">
      <c r="M584">
        <v>0.19677962021846701</v>
      </c>
      <c r="N584">
        <v>57.8</v>
      </c>
    </row>
    <row r="585" spans="13:14">
      <c r="M585">
        <v>0.199335898061207</v>
      </c>
      <c r="N585">
        <v>57.9</v>
      </c>
    </row>
    <row r="586" spans="13:14">
      <c r="M586">
        <v>0.20189347914185099</v>
      </c>
      <c r="N586">
        <v>58</v>
      </c>
    </row>
    <row r="587" spans="13:14">
      <c r="M587">
        <v>0.20445238153682099</v>
      </c>
      <c r="N587">
        <v>58.1</v>
      </c>
    </row>
    <row r="588" spans="13:14">
      <c r="M588">
        <v>0.207012623385187</v>
      </c>
      <c r="N588">
        <v>58.2</v>
      </c>
    </row>
    <row r="589" spans="13:14">
      <c r="M589">
        <v>0.209574222889649</v>
      </c>
      <c r="N589">
        <v>58.3</v>
      </c>
    </row>
    <row r="590" spans="13:14">
      <c r="M590">
        <v>0.21213719831752401</v>
      </c>
      <c r="N590">
        <v>58.4</v>
      </c>
    </row>
    <row r="591" spans="13:14">
      <c r="M591">
        <v>0.214701568001744</v>
      </c>
      <c r="N591">
        <v>58.5</v>
      </c>
    </row>
    <row r="592" spans="13:14">
      <c r="M592">
        <v>0.21726735034186301</v>
      </c>
      <c r="N592">
        <v>58.6</v>
      </c>
    </row>
    <row r="593" spans="13:14">
      <c r="M593">
        <v>0.21983456380506899</v>
      </c>
      <c r="N593">
        <v>58.7</v>
      </c>
    </row>
    <row r="594" spans="13:14">
      <c r="M594">
        <v>0.22240322692720599</v>
      </c>
      <c r="N594">
        <v>58.8</v>
      </c>
    </row>
    <row r="595" spans="13:14">
      <c r="M595">
        <v>0.22497335831381099</v>
      </c>
      <c r="N595">
        <v>58.9</v>
      </c>
    </row>
    <row r="596" spans="13:14">
      <c r="M596">
        <v>0.227544976641149</v>
      </c>
      <c r="N596">
        <v>59</v>
      </c>
    </row>
    <row r="597" spans="13:14">
      <c r="M597">
        <v>0.23011810065726601</v>
      </c>
      <c r="N597">
        <v>59.1</v>
      </c>
    </row>
    <row r="598" spans="13:14">
      <c r="M598">
        <v>0.232692749183045</v>
      </c>
      <c r="N598">
        <v>59.2</v>
      </c>
    </row>
    <row r="599" spans="13:14">
      <c r="M599">
        <v>0.23526894111328001</v>
      </c>
      <c r="N599">
        <v>59.3</v>
      </c>
    </row>
    <row r="600" spans="13:14">
      <c r="M600">
        <v>0.237846695417749</v>
      </c>
      <c r="N600">
        <v>59.4</v>
      </c>
    </row>
    <row r="601" spans="13:14">
      <c r="M601">
        <v>0.24042603114230801</v>
      </c>
      <c r="N601">
        <v>59.5</v>
      </c>
    </row>
    <row r="602" spans="13:14">
      <c r="M602">
        <v>0.24300696740998201</v>
      </c>
      <c r="N602">
        <v>59.6</v>
      </c>
    </row>
    <row r="603" spans="13:14">
      <c r="M603">
        <v>0.24558952342208101</v>
      </c>
      <c r="N603">
        <v>59.7</v>
      </c>
    </row>
    <row r="604" spans="13:14">
      <c r="M604">
        <v>0.24817371845931299</v>
      </c>
      <c r="N604">
        <v>59.8</v>
      </c>
    </row>
    <row r="605" spans="13:14">
      <c r="M605">
        <v>0.25075957188291598</v>
      </c>
      <c r="N605">
        <v>59.9</v>
      </c>
    </row>
    <row r="606" spans="13:14">
      <c r="M606">
        <v>0.2533471031358</v>
      </c>
      <c r="N606">
        <v>60</v>
      </c>
    </row>
    <row r="607" spans="13:14">
      <c r="M607">
        <v>0.25593633174369301</v>
      </c>
      <c r="N607">
        <v>60.1</v>
      </c>
    </row>
    <row r="608" spans="13:14">
      <c r="M608">
        <v>0.25852727731630998</v>
      </c>
      <c r="N608">
        <v>60.2</v>
      </c>
    </row>
    <row r="609" spans="13:14">
      <c r="M609">
        <v>0.26111995954851802</v>
      </c>
      <c r="N609">
        <v>60.3</v>
      </c>
    </row>
    <row r="610" spans="13:14">
      <c r="M610">
        <v>0.26371439822152998</v>
      </c>
      <c r="N610">
        <v>60.4</v>
      </c>
    </row>
    <row r="611" spans="13:14">
      <c r="M611">
        <v>0.26631061320409499</v>
      </c>
      <c r="N611">
        <v>60.5</v>
      </c>
    </row>
    <row r="612" spans="13:14">
      <c r="M612">
        <v>0.26890862445371</v>
      </c>
      <c r="N612">
        <v>60.6</v>
      </c>
    </row>
    <row r="613" spans="13:14">
      <c r="M613">
        <v>0.27150845201783902</v>
      </c>
      <c r="N613">
        <v>60.7</v>
      </c>
    </row>
    <row r="614" spans="13:14">
      <c r="M614">
        <v>0.27411011603514701</v>
      </c>
      <c r="N614">
        <v>60.8</v>
      </c>
    </row>
    <row r="615" spans="13:14">
      <c r="M615">
        <v>0.27671363673674698</v>
      </c>
      <c r="N615">
        <v>60.9</v>
      </c>
    </row>
    <row r="616" spans="13:14">
      <c r="M616">
        <v>0.27931903444745398</v>
      </c>
      <c r="N616">
        <v>61</v>
      </c>
    </row>
    <row r="617" spans="13:14">
      <c r="M617">
        <v>0.28192632958706099</v>
      </c>
      <c r="N617">
        <v>61.1</v>
      </c>
    </row>
    <row r="618" spans="13:14">
      <c r="M618">
        <v>0.28453554267162201</v>
      </c>
      <c r="N618">
        <v>61.2</v>
      </c>
    </row>
    <row r="619" spans="13:14">
      <c r="M619">
        <v>0.28714669431474499</v>
      </c>
      <c r="N619">
        <v>61.3</v>
      </c>
    </row>
    <row r="620" spans="13:14">
      <c r="M620">
        <v>0.28975980522891398</v>
      </c>
      <c r="N620">
        <v>61.4</v>
      </c>
    </row>
    <row r="621" spans="13:14">
      <c r="M621">
        <v>0.29237489622680402</v>
      </c>
      <c r="N621">
        <v>61.5</v>
      </c>
    </row>
    <row r="622" spans="13:14">
      <c r="M622">
        <v>0.29499198822262601</v>
      </c>
      <c r="N622">
        <v>61.6</v>
      </c>
    </row>
    <row r="623" spans="13:14">
      <c r="M623">
        <v>0.29761110223347997</v>
      </c>
      <c r="N623">
        <v>61.7</v>
      </c>
    </row>
    <row r="624" spans="13:14">
      <c r="M624">
        <v>0.30023225938072201</v>
      </c>
      <c r="N624">
        <v>61.8</v>
      </c>
    </row>
    <row r="625" spans="13:14">
      <c r="M625">
        <v>0.302855480891349</v>
      </c>
      <c r="N625">
        <v>61.9</v>
      </c>
    </row>
    <row r="626" spans="13:14">
      <c r="M626">
        <v>0.30548078809939699</v>
      </c>
      <c r="N626">
        <v>62</v>
      </c>
    </row>
    <row r="627" spans="13:14">
      <c r="M627">
        <v>0.30810820244735498</v>
      </c>
      <c r="N627">
        <v>62.1</v>
      </c>
    </row>
    <row r="628" spans="13:14">
      <c r="M628">
        <v>0.31073774548759198</v>
      </c>
      <c r="N628">
        <v>62.2</v>
      </c>
    </row>
    <row r="629" spans="13:14">
      <c r="M629">
        <v>0.31336943888380597</v>
      </c>
      <c r="N629">
        <v>62.3</v>
      </c>
    </row>
    <row r="630" spans="13:14">
      <c r="M630">
        <v>0.31600330441248298</v>
      </c>
      <c r="N630">
        <v>62.4</v>
      </c>
    </row>
    <row r="631" spans="13:14">
      <c r="M631">
        <v>0.31863936396437498</v>
      </c>
      <c r="N631">
        <v>62.5</v>
      </c>
    </row>
    <row r="632" spans="13:14">
      <c r="M632">
        <v>0.32127763954599597</v>
      </c>
      <c r="N632">
        <v>62.6</v>
      </c>
    </row>
    <row r="633" spans="13:14">
      <c r="M633">
        <v>0.32391815328113299</v>
      </c>
      <c r="N633">
        <v>62.7</v>
      </c>
    </row>
    <row r="634" spans="13:14">
      <c r="M634">
        <v>0.32656092741237303</v>
      </c>
      <c r="N634">
        <v>62.8</v>
      </c>
    </row>
    <row r="635" spans="13:14">
      <c r="M635">
        <v>0.32920598430265102</v>
      </c>
      <c r="N635">
        <v>62.9</v>
      </c>
    </row>
    <row r="636" spans="13:14">
      <c r="M636">
        <v>0.33185334643681702</v>
      </c>
      <c r="N636">
        <v>63</v>
      </c>
    </row>
    <row r="637" spans="13:14">
      <c r="M637">
        <v>0.334503036423212</v>
      </c>
      <c r="N637">
        <v>63.1</v>
      </c>
    </row>
    <row r="638" spans="13:14">
      <c r="M638">
        <v>0.33715507699527703</v>
      </c>
      <c r="N638">
        <v>63.2</v>
      </c>
    </row>
    <row r="639" spans="13:14">
      <c r="M639">
        <v>0.33980949101316699</v>
      </c>
      <c r="N639">
        <v>63.3</v>
      </c>
    </row>
    <row r="640" spans="13:14">
      <c r="M640">
        <v>0.34246630146539098</v>
      </c>
      <c r="N640">
        <v>63.4</v>
      </c>
    </row>
    <row r="641" spans="13:14">
      <c r="M641">
        <v>0.34512553147047198</v>
      </c>
      <c r="N641">
        <v>63.5</v>
      </c>
    </row>
    <row r="642" spans="13:14">
      <c r="M642">
        <v>0.34778720427862703</v>
      </c>
      <c r="N642">
        <v>63.6</v>
      </c>
    </row>
    <row r="643" spans="13:14">
      <c r="M643">
        <v>0.350451343273461</v>
      </c>
      <c r="N643">
        <v>63.7</v>
      </c>
    </row>
    <row r="644" spans="13:14">
      <c r="M644">
        <v>0.35311797197368899</v>
      </c>
      <c r="N644">
        <v>63.8</v>
      </c>
    </row>
    <row r="645" spans="13:14">
      <c r="M645">
        <v>0.35578711403487501</v>
      </c>
      <c r="N645">
        <v>63.9</v>
      </c>
    </row>
    <row r="646" spans="13:14">
      <c r="M646">
        <v>0.35845879325119401</v>
      </c>
      <c r="N646">
        <v>64</v>
      </c>
    </row>
    <row r="647" spans="13:14">
      <c r="M647">
        <v>0.36113303355721199</v>
      </c>
      <c r="N647">
        <v>64.099999999999994</v>
      </c>
    </row>
    <row r="648" spans="13:14">
      <c r="M648">
        <v>0.36380985902969598</v>
      </c>
      <c r="N648">
        <v>64.2</v>
      </c>
    </row>
    <row r="649" spans="13:14">
      <c r="M649">
        <v>0.36648929388943402</v>
      </c>
      <c r="N649">
        <v>64.3</v>
      </c>
    </row>
    <row r="650" spans="13:14">
      <c r="M650">
        <v>0.36917136250309002</v>
      </c>
      <c r="N650">
        <v>64.400000000000006</v>
      </c>
    </row>
    <row r="651" spans="13:14">
      <c r="M651">
        <v>0.37185608938507497</v>
      </c>
      <c r="N651">
        <v>64.5</v>
      </c>
    </row>
    <row r="652" spans="13:14">
      <c r="M652">
        <v>0.37454349919944302</v>
      </c>
      <c r="N652">
        <v>64.599999999999994</v>
      </c>
    </row>
    <row r="653" spans="13:14">
      <c r="M653">
        <v>0.377233616761812</v>
      </c>
      <c r="N653">
        <v>64.7</v>
      </c>
    </row>
    <row r="654" spans="13:14">
      <c r="M654">
        <v>0.379926467041307</v>
      </c>
      <c r="N654">
        <v>64.8</v>
      </c>
    </row>
    <row r="655" spans="13:14">
      <c r="M655">
        <v>0.38262207516253399</v>
      </c>
      <c r="N655">
        <v>64.900000000000006</v>
      </c>
    </row>
    <row r="656" spans="13:14">
      <c r="M656">
        <v>0.38532046640756801</v>
      </c>
      <c r="N656">
        <v>65</v>
      </c>
    </row>
    <row r="657" spans="13:14">
      <c r="M657">
        <v>0.38802166621797701</v>
      </c>
      <c r="N657">
        <v>65.099999999999994</v>
      </c>
    </row>
    <row r="658" spans="13:14">
      <c r="M658">
        <v>0.39072570019686997</v>
      </c>
      <c r="N658">
        <v>65.2</v>
      </c>
    </row>
    <row r="659" spans="13:14">
      <c r="M659">
        <v>0.39343259411096698</v>
      </c>
      <c r="N659">
        <v>65.3</v>
      </c>
    </row>
    <row r="660" spans="13:14">
      <c r="M660">
        <v>0.39614237389269802</v>
      </c>
      <c r="N660">
        <v>65.400000000000006</v>
      </c>
    </row>
    <row r="661" spans="13:14">
      <c r="M661">
        <v>0.39885506564233703</v>
      </c>
      <c r="N661">
        <v>65.5</v>
      </c>
    </row>
    <row r="662" spans="13:14">
      <c r="M662">
        <v>0.40157069563014902</v>
      </c>
      <c r="N662">
        <v>65.599999999999994</v>
      </c>
    </row>
    <row r="663" spans="13:14">
      <c r="M663">
        <v>0.40428929029857902</v>
      </c>
      <c r="N663">
        <v>65.7</v>
      </c>
    </row>
    <row r="664" spans="13:14">
      <c r="M664">
        <v>0.40701087626446603</v>
      </c>
      <c r="N664">
        <v>65.8</v>
      </c>
    </row>
    <row r="665" spans="13:14">
      <c r="M665">
        <v>0.40973548032128099</v>
      </c>
      <c r="N665">
        <v>65.900000000000006</v>
      </c>
    </row>
    <row r="666" spans="13:14">
      <c r="M666">
        <v>0.41246312944140501</v>
      </c>
      <c r="N666">
        <v>66</v>
      </c>
    </row>
    <row r="667" spans="13:14">
      <c r="M667">
        <v>0.41519385077842702</v>
      </c>
      <c r="N667">
        <v>66.099999999999994</v>
      </c>
    </row>
    <row r="668" spans="13:14">
      <c r="M668">
        <v>0.41792767166948203</v>
      </c>
      <c r="N668">
        <v>66.2</v>
      </c>
    </row>
    <row r="669" spans="13:14">
      <c r="M669">
        <v>0.42066461963761598</v>
      </c>
      <c r="N669">
        <v>66.3</v>
      </c>
    </row>
    <row r="670" spans="13:14">
      <c r="M670">
        <v>0.42340472239418298</v>
      </c>
      <c r="N670">
        <v>66.400000000000006</v>
      </c>
    </row>
    <row r="671" spans="13:14">
      <c r="M671">
        <v>0.42614800784127799</v>
      </c>
      <c r="N671">
        <v>66.5</v>
      </c>
    </row>
    <row r="672" spans="13:14">
      <c r="M672">
        <v>0.42889450407420199</v>
      </c>
      <c r="N672">
        <v>66.599999999999994</v>
      </c>
    </row>
    <row r="673" spans="13:14">
      <c r="M673">
        <v>0.43164423938395602</v>
      </c>
      <c r="N673">
        <v>66.7</v>
      </c>
    </row>
    <row r="674" spans="13:14">
      <c r="M674">
        <v>0.43439724225978099</v>
      </c>
      <c r="N674">
        <v>66.8</v>
      </c>
    </row>
    <row r="675" spans="13:14">
      <c r="M675">
        <v>0.43715354139172202</v>
      </c>
      <c r="N675">
        <v>66.900000000000006</v>
      </c>
    </row>
    <row r="676" spans="13:14">
      <c r="M676">
        <v>0.43991316567323402</v>
      </c>
      <c r="N676">
        <v>67</v>
      </c>
    </row>
    <row r="677" spans="13:14">
      <c r="M677">
        <v>0.44267614420382201</v>
      </c>
      <c r="N677">
        <v>67.099999999999994</v>
      </c>
    </row>
    <row r="678" spans="13:14">
      <c r="M678">
        <v>0.44544250629172</v>
      </c>
      <c r="N678">
        <v>67.2</v>
      </c>
    </row>
    <row r="679" spans="13:14">
      <c r="M679">
        <v>0.44821228145660902</v>
      </c>
      <c r="N679">
        <v>67.3</v>
      </c>
    </row>
    <row r="680" spans="13:14">
      <c r="M680">
        <v>0.45098549943237098</v>
      </c>
      <c r="N680">
        <v>67.400000000000006</v>
      </c>
    </row>
    <row r="681" spans="13:14">
      <c r="M681">
        <v>0.45376219016988001</v>
      </c>
      <c r="N681">
        <v>67.5</v>
      </c>
    </row>
    <row r="682" spans="13:14">
      <c r="M682">
        <v>0.45654238383984103</v>
      </c>
      <c r="N682">
        <v>67.599999999999994</v>
      </c>
    </row>
    <row r="683" spans="13:14">
      <c r="M683">
        <v>0.45932611083566299</v>
      </c>
      <c r="N683">
        <v>67.7</v>
      </c>
    </row>
    <row r="684" spans="13:14">
      <c r="M684">
        <v>0.462113401776377</v>
      </c>
      <c r="N684">
        <v>67.8</v>
      </c>
    </row>
    <row r="685" spans="13:14">
      <c r="M685">
        <v>0.464904287509595</v>
      </c>
      <c r="N685">
        <v>67.900000000000006</v>
      </c>
    </row>
    <row r="686" spans="13:14">
      <c r="M686">
        <v>0.46769879911450801</v>
      </c>
      <c r="N686">
        <v>68</v>
      </c>
    </row>
    <row r="687" spans="13:14">
      <c r="M687">
        <v>0.470496967904941</v>
      </c>
      <c r="N687">
        <v>68.099999999999994</v>
      </c>
    </row>
    <row r="688" spans="13:14">
      <c r="M688">
        <v>0.47329882543243701</v>
      </c>
      <c r="N688">
        <v>68.2</v>
      </c>
    </row>
    <row r="689" spans="13:14">
      <c r="M689">
        <v>0.47610440348939498</v>
      </c>
      <c r="N689">
        <v>68.3</v>
      </c>
    </row>
    <row r="690" spans="13:14">
      <c r="M690">
        <v>0.47891373411225602</v>
      </c>
      <c r="N690">
        <v>68.400000000000006</v>
      </c>
    </row>
    <row r="691" spans="13:14">
      <c r="M691">
        <v>0.48172684958473</v>
      </c>
      <c r="N691">
        <v>68.5</v>
      </c>
    </row>
    <row r="692" spans="13:14">
      <c r="M692">
        <v>0.48454378244107899</v>
      </c>
      <c r="N692">
        <v>68.599999999999994</v>
      </c>
    </row>
    <row r="693" spans="13:14">
      <c r="M693">
        <v>0.48736456546944101</v>
      </c>
      <c r="N693">
        <v>68.7</v>
      </c>
    </row>
    <row r="694" spans="13:14">
      <c r="M694">
        <v>0.49018923171521001</v>
      </c>
      <c r="N694">
        <v>68.8</v>
      </c>
    </row>
    <row r="695" spans="13:14">
      <c r="M695">
        <v>0.49301781448446502</v>
      </c>
      <c r="N695">
        <v>68.900000000000006</v>
      </c>
    </row>
    <row r="696" spans="13:14">
      <c r="M696">
        <v>0.49585034734745298</v>
      </c>
      <c r="N696">
        <v>69</v>
      </c>
    </row>
    <row r="697" spans="13:14">
      <c r="M697">
        <v>0.49868686414212199</v>
      </c>
      <c r="N697">
        <v>69.099999999999994</v>
      </c>
    </row>
    <row r="698" spans="13:14">
      <c r="M698">
        <v>0.50152739897770804</v>
      </c>
      <c r="N698">
        <v>69.2</v>
      </c>
    </row>
    <row r="699" spans="13:14">
      <c r="M699">
        <v>0.50437198623838198</v>
      </c>
      <c r="N699">
        <v>69.3</v>
      </c>
    </row>
    <row r="700" spans="13:14">
      <c r="M700">
        <v>0.50722066058694604</v>
      </c>
      <c r="N700">
        <v>69.400000000000006</v>
      </c>
    </row>
    <row r="701" spans="13:14">
      <c r="M701">
        <v>0.51007345696859496</v>
      </c>
      <c r="N701">
        <v>69.5</v>
      </c>
    </row>
    <row r="702" spans="13:14">
      <c r="M702">
        <v>0.51293041061472899</v>
      </c>
      <c r="N702">
        <v>69.599999999999994</v>
      </c>
    </row>
    <row r="703" spans="13:14">
      <c r="M703">
        <v>0.515791557046828</v>
      </c>
      <c r="N703">
        <v>69.7</v>
      </c>
    </row>
    <row r="704" spans="13:14">
      <c r="M704">
        <v>0.51865693208039099</v>
      </c>
      <c r="N704">
        <v>69.8</v>
      </c>
    </row>
    <row r="705" spans="13:14">
      <c r="M705">
        <v>0.52152657182893203</v>
      </c>
      <c r="N705">
        <v>69.900000000000006</v>
      </c>
    </row>
    <row r="706" spans="13:14">
      <c r="M706">
        <v>0.524400512708041</v>
      </c>
      <c r="N706">
        <v>70</v>
      </c>
    </row>
    <row r="707" spans="13:14">
      <c r="M707">
        <v>0.52727879143950895</v>
      </c>
      <c r="N707">
        <v>70.099999999999994</v>
      </c>
    </row>
    <row r="708" spans="13:14">
      <c r="M708">
        <v>0.53016144505551899</v>
      </c>
      <c r="N708">
        <v>70.2</v>
      </c>
    </row>
    <row r="709" spans="13:14">
      <c r="M709">
        <v>0.53304851090290895</v>
      </c>
      <c r="N709">
        <v>70.3</v>
      </c>
    </row>
    <row r="710" spans="13:14">
      <c r="M710">
        <v>0.53594002664748996</v>
      </c>
      <c r="N710">
        <v>70.400000000000006</v>
      </c>
    </row>
    <row r="711" spans="13:14">
      <c r="M711">
        <v>0.53883603027844995</v>
      </c>
      <c r="N711">
        <v>70.5</v>
      </c>
    </row>
    <row r="712" spans="13:14">
      <c r="M712">
        <v>0.54173656011281701</v>
      </c>
      <c r="N712">
        <v>70.599999999999994</v>
      </c>
    </row>
    <row r="713" spans="13:14">
      <c r="M713">
        <v>0.54464165479999904</v>
      </c>
      <c r="N713">
        <v>70.7</v>
      </c>
    </row>
    <row r="714" spans="13:14">
      <c r="M714">
        <v>0.54755135332640104</v>
      </c>
      <c r="N714">
        <v>70.8</v>
      </c>
    </row>
    <row r="715" spans="13:14">
      <c r="M715">
        <v>0.550465695020112</v>
      </c>
      <c r="N715">
        <v>70.900000000000006</v>
      </c>
    </row>
    <row r="716" spans="13:14">
      <c r="M716">
        <v>0.55338471955567303</v>
      </c>
      <c r="N716">
        <v>71</v>
      </c>
    </row>
    <row r="717" spans="13:14">
      <c r="M717">
        <v>0.556308466958918</v>
      </c>
      <c r="N717">
        <v>71.099999999999994</v>
      </c>
    </row>
    <row r="718" spans="13:14">
      <c r="M718">
        <v>0.55923697761190705</v>
      </c>
      <c r="N718">
        <v>71.2</v>
      </c>
    </row>
    <row r="719" spans="13:14">
      <c r="M719">
        <v>0.56217029225792603</v>
      </c>
      <c r="N719">
        <v>71.3</v>
      </c>
    </row>
    <row r="720" spans="13:14">
      <c r="M720">
        <v>0.56510845200658399</v>
      </c>
      <c r="N720">
        <v>71.400000000000006</v>
      </c>
    </row>
    <row r="721" spans="13:14">
      <c r="M721">
        <v>0.56805149833898305</v>
      </c>
      <c r="N721">
        <v>71.5</v>
      </c>
    </row>
    <row r="722" spans="13:14">
      <c r="M722">
        <v>0.57099947311298704</v>
      </c>
      <c r="N722">
        <v>71.599999999999994</v>
      </c>
    </row>
    <row r="723" spans="13:14">
      <c r="M723">
        <v>0.57395241856857304</v>
      </c>
      <c r="N723">
        <v>71.7</v>
      </c>
    </row>
    <row r="724" spans="13:14">
      <c r="M724">
        <v>0.576910377333271</v>
      </c>
      <c r="N724">
        <v>71.8</v>
      </c>
    </row>
    <row r="725" spans="13:14">
      <c r="M725">
        <v>0.57987339242770397</v>
      </c>
      <c r="N725">
        <v>71.900000000000006</v>
      </c>
    </row>
    <row r="726" spans="13:14">
      <c r="M726">
        <v>0.58284150727121598</v>
      </c>
      <c r="N726">
        <v>72</v>
      </c>
    </row>
    <row r="727" spans="13:14">
      <c r="M727">
        <v>0.58581476568759905</v>
      </c>
      <c r="N727">
        <v>72.099999999999994</v>
      </c>
    </row>
    <row r="728" spans="13:14">
      <c r="M728">
        <v>0.58879321191092004</v>
      </c>
      <c r="N728">
        <v>72.2</v>
      </c>
    </row>
    <row r="729" spans="13:14">
      <c r="M729">
        <v>0.591776890591446</v>
      </c>
      <c r="N729">
        <v>72.3</v>
      </c>
    </row>
    <row r="730" spans="13:14">
      <c r="M730">
        <v>0.59476584680167799</v>
      </c>
      <c r="N730">
        <v>72.400000000000006</v>
      </c>
    </row>
    <row r="731" spans="13:14">
      <c r="M731">
        <v>0.59776012604247797</v>
      </c>
      <c r="N731">
        <v>72.5</v>
      </c>
    </row>
    <row r="732" spans="13:14">
      <c r="M732">
        <v>0.60075977424931903</v>
      </c>
      <c r="N732">
        <v>72.599999999999994</v>
      </c>
    </row>
    <row r="733" spans="13:14">
      <c r="M733">
        <v>0.60376483779862999</v>
      </c>
      <c r="N733">
        <v>72.7</v>
      </c>
    </row>
    <row r="734" spans="13:14">
      <c r="M734">
        <v>0.60677536351426498</v>
      </c>
      <c r="N734">
        <v>72.8</v>
      </c>
    </row>
    <row r="735" spans="13:14">
      <c r="M735">
        <v>0.60979139867408005</v>
      </c>
      <c r="N735">
        <v>72.900000000000006</v>
      </c>
    </row>
    <row r="736" spans="13:14">
      <c r="M736">
        <v>0.61281299101662701</v>
      </c>
      <c r="N736">
        <v>73</v>
      </c>
    </row>
    <row r="737" spans="13:14">
      <c r="M737">
        <v>0.61584018874797197</v>
      </c>
      <c r="N737">
        <v>73.099999999999994</v>
      </c>
    </row>
    <row r="738" spans="13:14">
      <c r="M738">
        <v>0.61887304054862902</v>
      </c>
      <c r="N738">
        <v>73.2</v>
      </c>
    </row>
    <row r="739" spans="13:14">
      <c r="M739">
        <v>0.62191159558062403</v>
      </c>
      <c r="N739">
        <v>73.3</v>
      </c>
    </row>
    <row r="740" spans="13:14">
      <c r="M740">
        <v>0.62495590349468699</v>
      </c>
      <c r="N740">
        <v>73.400000000000006</v>
      </c>
    </row>
    <row r="741" spans="13:14">
      <c r="M741">
        <v>0.62800601443756998</v>
      </c>
      <c r="N741">
        <v>73.5</v>
      </c>
    </row>
    <row r="742" spans="13:14">
      <c r="M742">
        <v>0.63106197905949901</v>
      </c>
      <c r="N742">
        <v>73.599999999999994</v>
      </c>
    </row>
    <row r="743" spans="13:14">
      <c r="M743">
        <v>0.63412384852176995</v>
      </c>
      <c r="N743">
        <v>73.7</v>
      </c>
    </row>
    <row r="744" spans="13:14">
      <c r="M744">
        <v>0.637191674504475</v>
      </c>
      <c r="N744">
        <v>73.8</v>
      </c>
    </row>
    <row r="745" spans="13:14">
      <c r="M745">
        <v>0.64026550921437397</v>
      </c>
      <c r="N745">
        <v>73.900000000000006</v>
      </c>
    </row>
    <row r="746" spans="13:14">
      <c r="M746">
        <v>0.64334540539291696</v>
      </c>
      <c r="N746">
        <v>74</v>
      </c>
    </row>
    <row r="747" spans="13:14">
      <c r="M747">
        <v>0.64643141632440704</v>
      </c>
      <c r="N747">
        <v>74.099999999999994</v>
      </c>
    </row>
    <row r="748" spans="13:14">
      <c r="M748">
        <v>0.64952359584432495</v>
      </c>
      <c r="N748">
        <v>74.2</v>
      </c>
    </row>
    <row r="749" spans="13:14">
      <c r="M749">
        <v>0.65262199834780099</v>
      </c>
      <c r="N749">
        <v>74.3</v>
      </c>
    </row>
    <row r="750" spans="13:14">
      <c r="M750">
        <v>0.65572667879825297</v>
      </c>
      <c r="N750">
        <v>74.400000000000006</v>
      </c>
    </row>
    <row r="751" spans="13:14">
      <c r="M751">
        <v>0.65883769273618797</v>
      </c>
      <c r="N751">
        <v>74.5</v>
      </c>
    </row>
    <row r="752" spans="13:14">
      <c r="M752">
        <v>0.66195509628816196</v>
      </c>
      <c r="N752">
        <v>74.599999999999994</v>
      </c>
    </row>
    <row r="753" spans="13:14">
      <c r="M753">
        <v>0.665078946175923</v>
      </c>
      <c r="N753">
        <v>74.7</v>
      </c>
    </row>
    <row r="754" spans="13:14">
      <c r="M754">
        <v>0.66820929972572296</v>
      </c>
      <c r="N754">
        <v>74.8</v>
      </c>
    </row>
    <row r="755" spans="13:14">
      <c r="M755">
        <v>0.67134621487780499</v>
      </c>
      <c r="N755">
        <v>74.900000000000006</v>
      </c>
    </row>
    <row r="756" spans="13:14">
      <c r="M756">
        <v>0.67448975019608204</v>
      </c>
      <c r="N756">
        <v>75</v>
      </c>
    </row>
    <row r="757" spans="13:14">
      <c r="M757">
        <v>0.67763996487799605</v>
      </c>
      <c r="N757">
        <v>75.099999999999994</v>
      </c>
    </row>
    <row r="758" spans="13:14">
      <c r="M758">
        <v>0.68079691876457504</v>
      </c>
      <c r="N758">
        <v>75.2</v>
      </c>
    </row>
    <row r="759" spans="13:14">
      <c r="M759">
        <v>0.68396067235068203</v>
      </c>
      <c r="N759">
        <v>75.3</v>
      </c>
    </row>
    <row r="760" spans="13:14">
      <c r="M760">
        <v>0.68713128679546898</v>
      </c>
      <c r="N760">
        <v>75.400000000000006</v>
      </c>
    </row>
    <row r="761" spans="13:14">
      <c r="M761">
        <v>0.69030882393303405</v>
      </c>
      <c r="N761">
        <v>75.5</v>
      </c>
    </row>
    <row r="762" spans="13:14">
      <c r="M762">
        <v>0.69349334628328896</v>
      </c>
      <c r="N762">
        <v>75.599999999999994</v>
      </c>
    </row>
    <row r="763" spans="13:14">
      <c r="M763">
        <v>0.69668491706305102</v>
      </c>
      <c r="N763">
        <v>75.7</v>
      </c>
    </row>
    <row r="764" spans="13:14">
      <c r="M764">
        <v>0.69988360019734097</v>
      </c>
      <c r="N764">
        <v>75.8</v>
      </c>
    </row>
    <row r="765" spans="13:14">
      <c r="M765">
        <v>0.70308946033092901</v>
      </c>
      <c r="N765">
        <v>75.900000000000006</v>
      </c>
    </row>
    <row r="766" spans="13:14">
      <c r="M766">
        <v>0.70630256284008797</v>
      </c>
      <c r="N766">
        <v>76</v>
      </c>
    </row>
    <row r="767" spans="13:14">
      <c r="M767">
        <v>0.70952297384460805</v>
      </c>
      <c r="N767">
        <v>76.099999999999994</v>
      </c>
    </row>
    <row r="768" spans="13:14">
      <c r="M768">
        <v>0.71275076022004302</v>
      </c>
      <c r="N768">
        <v>76.2</v>
      </c>
    </row>
    <row r="769" spans="13:14">
      <c r="M769">
        <v>0.71598598961020499</v>
      </c>
      <c r="N769">
        <v>76.3</v>
      </c>
    </row>
    <row r="770" spans="13:14">
      <c r="M770">
        <v>0.71922873043992397</v>
      </c>
      <c r="N770">
        <v>76.400000000000006</v>
      </c>
    </row>
    <row r="771" spans="13:14">
      <c r="M771">
        <v>0.72247905192806305</v>
      </c>
      <c r="N771">
        <v>76.5</v>
      </c>
    </row>
    <row r="772" spans="13:14">
      <c r="M772">
        <v>0.72573702410080498</v>
      </c>
      <c r="N772">
        <v>76.599999999999994</v>
      </c>
    </row>
    <row r="773" spans="13:14">
      <c r="M773">
        <v>0.72900271780521897</v>
      </c>
      <c r="N773">
        <v>76.7</v>
      </c>
    </row>
    <row r="774" spans="13:14">
      <c r="M774">
        <v>0.73227620472309995</v>
      </c>
      <c r="N774">
        <v>76.8</v>
      </c>
    </row>
    <row r="775" spans="13:14">
      <c r="M775">
        <v>0.73555755738511097</v>
      </c>
      <c r="N775">
        <v>76.900000000000006</v>
      </c>
    </row>
    <row r="776" spans="13:14">
      <c r="M776">
        <v>0.73884684918521404</v>
      </c>
      <c r="N776">
        <v>77</v>
      </c>
    </row>
    <row r="777" spans="13:14">
      <c r="M777">
        <v>0.74214415439540904</v>
      </c>
      <c r="N777">
        <v>77.099999999999994</v>
      </c>
    </row>
    <row r="778" spans="13:14">
      <c r="M778">
        <v>0.74544954818078901</v>
      </c>
      <c r="N778">
        <v>77.2</v>
      </c>
    </row>
    <row r="779" spans="13:14">
      <c r="M779">
        <v>0.74876310661490897</v>
      </c>
      <c r="N779">
        <v>77.3</v>
      </c>
    </row>
    <row r="780" spans="13:14">
      <c r="M780">
        <v>0.752084906695491</v>
      </c>
      <c r="N780">
        <v>77.400000000000006</v>
      </c>
    </row>
    <row r="781" spans="13:14">
      <c r="M781">
        <v>0.75541502636046898</v>
      </c>
      <c r="N781">
        <v>77.5</v>
      </c>
    </row>
    <row r="782" spans="13:14">
      <c r="M782">
        <v>0.75875354450437105</v>
      </c>
      <c r="N782">
        <v>77.599999999999994</v>
      </c>
    </row>
    <row r="783" spans="13:14">
      <c r="M783">
        <v>0.76210054099506697</v>
      </c>
      <c r="N783">
        <v>77.7</v>
      </c>
    </row>
    <row r="784" spans="13:14">
      <c r="M784">
        <v>0.765456096690878</v>
      </c>
      <c r="N784">
        <v>77.8</v>
      </c>
    </row>
    <row r="785" spans="13:14">
      <c r="M785">
        <v>0.76882029345806202</v>
      </c>
      <c r="N785">
        <v>77.900000000000006</v>
      </c>
    </row>
    <row r="786" spans="13:14">
      <c r="M786">
        <v>0.77219321418868503</v>
      </c>
      <c r="N786">
        <v>78</v>
      </c>
    </row>
    <row r="787" spans="13:14">
      <c r="M787">
        <v>0.77557494281888395</v>
      </c>
      <c r="N787">
        <v>78.099999999999994</v>
      </c>
    </row>
    <row r="788" spans="13:14">
      <c r="M788">
        <v>0.77896556434754505</v>
      </c>
      <c r="N788">
        <v>78.2</v>
      </c>
    </row>
    <row r="789" spans="13:14">
      <c r="M789">
        <v>0.78236516485538699</v>
      </c>
      <c r="N789">
        <v>78.3</v>
      </c>
    </row>
    <row r="790" spans="13:14">
      <c r="M790">
        <v>0.78577383152448399</v>
      </c>
      <c r="N790">
        <v>78.400000000000006</v>
      </c>
    </row>
    <row r="791" spans="13:14">
      <c r="M791">
        <v>0.789191652658222</v>
      </c>
      <c r="N791">
        <v>78.5</v>
      </c>
    </row>
    <row r="792" spans="13:14">
      <c r="M792">
        <v>0.79261871770171199</v>
      </c>
      <c r="N792">
        <v>78.599999999999994</v>
      </c>
    </row>
    <row r="793" spans="13:14">
      <c r="M793">
        <v>0.79605511726266298</v>
      </c>
      <c r="N793">
        <v>78.7</v>
      </c>
    </row>
    <row r="794" spans="13:14">
      <c r="M794">
        <v>0.79950094313273701</v>
      </c>
      <c r="N794">
        <v>78.8</v>
      </c>
    </row>
    <row r="795" spans="13:14">
      <c r="M795">
        <v>0.80295628830939403</v>
      </c>
      <c r="N795">
        <v>78.900000000000006</v>
      </c>
    </row>
    <row r="796" spans="13:14">
      <c r="M796">
        <v>0.80642124701824003</v>
      </c>
      <c r="N796">
        <v>79</v>
      </c>
    </row>
    <row r="797" spans="13:14">
      <c r="M797">
        <v>0.80989591473589795</v>
      </c>
      <c r="N797">
        <v>79.099999999999994</v>
      </c>
    </row>
    <row r="798" spans="13:14">
      <c r="M798">
        <v>0.81338038821340397</v>
      </c>
      <c r="N798">
        <v>79.2</v>
      </c>
    </row>
    <row r="799" spans="13:14">
      <c r="M799">
        <v>0.81687476550016402</v>
      </c>
      <c r="N799">
        <v>79.3</v>
      </c>
    </row>
    <row r="800" spans="13:14">
      <c r="M800">
        <v>0.82037914596846095</v>
      </c>
      <c r="N800">
        <v>79.400000000000006</v>
      </c>
    </row>
    <row r="801" spans="13:14">
      <c r="M801">
        <v>0.823893630338558</v>
      </c>
      <c r="N801">
        <v>79.5</v>
      </c>
    </row>
    <row r="802" spans="13:14">
      <c r="M802">
        <v>0.82741832070438204</v>
      </c>
      <c r="N802">
        <v>79.599999999999994</v>
      </c>
    </row>
    <row r="803" spans="13:14">
      <c r="M803">
        <v>0.83095332055983795</v>
      </c>
      <c r="N803">
        <v>79.7</v>
      </c>
    </row>
    <row r="804" spans="13:14">
      <c r="M804">
        <v>0.83449873482574</v>
      </c>
      <c r="N804">
        <v>79.8</v>
      </c>
    </row>
    <row r="805" spans="13:14">
      <c r="M805">
        <v>0.83805466987740695</v>
      </c>
      <c r="N805">
        <v>79.900000000000006</v>
      </c>
    </row>
    <row r="806" spans="13:14">
      <c r="M806">
        <v>0.84162123357291396</v>
      </c>
      <c r="N806">
        <v>80</v>
      </c>
    </row>
    <row r="807" spans="13:14">
      <c r="M807">
        <v>0.84519853528205002</v>
      </c>
      <c r="N807">
        <v>80.099999999999994</v>
      </c>
    </row>
    <row r="808" spans="13:14">
      <c r="M808">
        <v>0.84878668591596695</v>
      </c>
      <c r="N808">
        <v>80.2</v>
      </c>
    </row>
    <row r="809" spans="13:14">
      <c r="M809">
        <v>0.85238579795757496</v>
      </c>
      <c r="N809">
        <v>80.3</v>
      </c>
    </row>
    <row r="810" spans="13:14">
      <c r="M810">
        <v>0.85599598549268197</v>
      </c>
      <c r="N810">
        <v>80.400000000000006</v>
      </c>
    </row>
    <row r="811" spans="13:14">
      <c r="M811">
        <v>0.85961736424191204</v>
      </c>
      <c r="N811">
        <v>80.5</v>
      </c>
    </row>
    <row r="812" spans="13:14">
      <c r="M812">
        <v>0.86325005159342105</v>
      </c>
      <c r="N812">
        <v>80.599999999999994</v>
      </c>
    </row>
    <row r="813" spans="13:14">
      <c r="M813">
        <v>0.86689416663643803</v>
      </c>
      <c r="N813">
        <v>80.7</v>
      </c>
    </row>
    <row r="814" spans="13:14">
      <c r="M814">
        <v>0.87054983019565402</v>
      </c>
      <c r="N814">
        <v>80.8</v>
      </c>
    </row>
    <row r="815" spans="13:14">
      <c r="M815">
        <v>0.87421716486648404</v>
      </c>
      <c r="N815">
        <v>80.900000000000006</v>
      </c>
    </row>
    <row r="816" spans="13:14">
      <c r="M816">
        <v>0.87789629505122901</v>
      </c>
      <c r="N816">
        <v>81</v>
      </c>
    </row>
    <row r="817" spans="13:14">
      <c r="M817">
        <v>0.88158734699617503</v>
      </c>
      <c r="N817">
        <v>81.099999999999994</v>
      </c>
    </row>
    <row r="818" spans="13:14">
      <c r="M818">
        <v>0.88529044882964203</v>
      </c>
      <c r="N818">
        <v>81.2</v>
      </c>
    </row>
    <row r="819" spans="13:14">
      <c r="M819">
        <v>0.88900573060102495</v>
      </c>
      <c r="N819">
        <v>81.3</v>
      </c>
    </row>
    <row r="820" spans="13:14">
      <c r="M820">
        <v>0.89273332432085595</v>
      </c>
      <c r="N820">
        <v>81.400000000000006</v>
      </c>
    </row>
    <row r="821" spans="13:14">
      <c r="M821">
        <v>0.89647336400191602</v>
      </c>
      <c r="N821">
        <v>81.5</v>
      </c>
    </row>
    <row r="822" spans="13:14">
      <c r="M822">
        <v>0.90022598570143397</v>
      </c>
      <c r="N822">
        <v>81.599999999999994</v>
      </c>
    </row>
    <row r="823" spans="13:14">
      <c r="M823">
        <v>0.90399132756440204</v>
      </c>
      <c r="N823">
        <v>81.7</v>
      </c>
    </row>
    <row r="824" spans="13:14">
      <c r="M824">
        <v>0.90776952986805604</v>
      </c>
      <c r="N824">
        <v>81.8</v>
      </c>
    </row>
    <row r="825" spans="13:14">
      <c r="M825">
        <v>0.91156073506754098</v>
      </c>
      <c r="N825">
        <v>81.900000000000006</v>
      </c>
    </row>
    <row r="826" spans="13:14">
      <c r="M826">
        <v>0.91536508784281401</v>
      </c>
      <c r="N826">
        <v>82</v>
      </c>
    </row>
    <row r="827" spans="13:14">
      <c r="M827">
        <v>0.91918273514682003</v>
      </c>
      <c r="N827">
        <v>82.1</v>
      </c>
    </row>
    <row r="828" spans="13:14">
      <c r="M828">
        <v>0.92301382625497996</v>
      </c>
      <c r="N828">
        <v>82.2</v>
      </c>
    </row>
    <row r="829" spans="13:14">
      <c r="M829">
        <v>0.92685851281604403</v>
      </c>
      <c r="N829">
        <v>82.3</v>
      </c>
    </row>
    <row r="830" spans="13:14">
      <c r="M830">
        <v>0.93071694890433998</v>
      </c>
      <c r="N830">
        <v>82.4</v>
      </c>
    </row>
    <row r="831" spans="13:14">
      <c r="M831">
        <v>0.93458929107347999</v>
      </c>
      <c r="N831">
        <v>82.5</v>
      </c>
    </row>
    <row r="832" spans="13:14">
      <c r="M832">
        <v>0.93847569841156897</v>
      </c>
      <c r="N832">
        <v>82.6</v>
      </c>
    </row>
    <row r="833" spans="13:14">
      <c r="M833">
        <v>0.94237633259795095</v>
      </c>
      <c r="N833">
        <v>82.7</v>
      </c>
    </row>
    <row r="834" spans="13:14">
      <c r="M834">
        <v>0.94629135796157604</v>
      </c>
      <c r="N834">
        <v>82.8</v>
      </c>
    </row>
    <row r="835" spans="13:14">
      <c r="M835">
        <v>0.950220941541016</v>
      </c>
      <c r="N835">
        <v>82.9</v>
      </c>
    </row>
    <row r="836" spans="13:14">
      <c r="M836">
        <v>0.95416525314619505</v>
      </c>
      <c r="N836">
        <v>83</v>
      </c>
    </row>
    <row r="837" spans="13:14">
      <c r="M837">
        <v>0.95812446542190299</v>
      </c>
      <c r="N837">
        <v>83.1</v>
      </c>
    </row>
    <row r="838" spans="13:14">
      <c r="M838">
        <v>0.96209875391314204</v>
      </c>
      <c r="N838">
        <v>83.2</v>
      </c>
    </row>
    <row r="839" spans="13:14">
      <c r="M839">
        <v>0.96608829713237299</v>
      </c>
      <c r="N839">
        <v>83.3</v>
      </c>
    </row>
    <row r="840" spans="13:14">
      <c r="M840">
        <v>0.97009327662873701</v>
      </c>
      <c r="N840">
        <v>83.4</v>
      </c>
    </row>
    <row r="841" spans="13:14">
      <c r="M841">
        <v>0.97411387705930896</v>
      </c>
      <c r="N841">
        <v>83.5</v>
      </c>
    </row>
    <row r="842" spans="13:14">
      <c r="M842">
        <v>0.97815028626247102</v>
      </c>
      <c r="N842">
        <v>83.6</v>
      </c>
    </row>
    <row r="843" spans="13:14">
      <c r="M843">
        <v>0.98220269533347004</v>
      </c>
      <c r="N843">
        <v>83.7</v>
      </c>
    </row>
    <row r="844" spans="13:14">
      <c r="M844">
        <v>0.98627129870223795</v>
      </c>
      <c r="N844">
        <v>83.8</v>
      </c>
    </row>
    <row r="845" spans="13:14">
      <c r="M845">
        <v>0.99035629421357496</v>
      </c>
      <c r="N845">
        <v>83.9</v>
      </c>
    </row>
    <row r="846" spans="13:14">
      <c r="M846">
        <v>0.99445788320975304</v>
      </c>
      <c r="N846">
        <v>84</v>
      </c>
    </row>
    <row r="847" spans="13:14">
      <c r="M847">
        <v>0.99857627061566001</v>
      </c>
      <c r="N847">
        <v>84.1</v>
      </c>
    </row>
    <row r="848" spans="13:14">
      <c r="M848">
        <v>1.00271166502655</v>
      </c>
      <c r="N848">
        <v>84.2</v>
      </c>
    </row>
    <row r="849" spans="13:14">
      <c r="M849">
        <v>1.00686427879852</v>
      </c>
      <c r="N849">
        <v>84.3</v>
      </c>
    </row>
    <row r="850" spans="13:14">
      <c r="M850">
        <v>1.0110343281418199</v>
      </c>
      <c r="N850">
        <v>84.4</v>
      </c>
    </row>
    <row r="851" spans="13:14">
      <c r="M851">
        <v>1.0152220332170301</v>
      </c>
      <c r="N851">
        <v>84.5</v>
      </c>
    </row>
    <row r="852" spans="13:14">
      <c r="M852">
        <v>1.01942761823437</v>
      </c>
      <c r="N852">
        <v>84.6</v>
      </c>
    </row>
    <row r="853" spans="13:14">
      <c r="M853">
        <v>1.0236513115560899</v>
      </c>
      <c r="N853">
        <v>84.7</v>
      </c>
    </row>
    <row r="854" spans="13:14">
      <c r="M854">
        <v>1.02789334580214</v>
      </c>
      <c r="N854">
        <v>84.8</v>
      </c>
    </row>
    <row r="855" spans="13:14">
      <c r="M855">
        <v>1.03215395795931</v>
      </c>
      <c r="N855">
        <v>84.9</v>
      </c>
    </row>
    <row r="856" spans="13:14">
      <c r="M856">
        <v>1.03643338949379</v>
      </c>
      <c r="N856">
        <v>85</v>
      </c>
    </row>
    <row r="857" spans="13:14">
      <c r="M857">
        <v>1.0407318864675399</v>
      </c>
      <c r="N857">
        <v>85.1</v>
      </c>
    </row>
    <row r="858" spans="13:14">
      <c r="M858">
        <v>1.04504969965839</v>
      </c>
      <c r="N858">
        <v>85.2</v>
      </c>
    </row>
    <row r="859" spans="13:14">
      <c r="M859">
        <v>1.0493870846841</v>
      </c>
      <c r="N859">
        <v>85.3</v>
      </c>
    </row>
    <row r="860" spans="13:14">
      <c r="M860">
        <v>1.0537443021306701</v>
      </c>
      <c r="N860">
        <v>85.4</v>
      </c>
    </row>
    <row r="861" spans="13:14">
      <c r="M861">
        <v>1.0581216176847801</v>
      </c>
      <c r="N861">
        <v>85.5</v>
      </c>
    </row>
    <row r="862" spans="13:14">
      <c r="M862">
        <v>1.0625193022708701</v>
      </c>
      <c r="N862">
        <v>85.6</v>
      </c>
    </row>
    <row r="863" spans="13:14">
      <c r="M863">
        <v>1.0669376321927699</v>
      </c>
      <c r="N863">
        <v>85.7</v>
      </c>
    </row>
    <row r="864" spans="13:14">
      <c r="M864">
        <v>1.07137688928021</v>
      </c>
      <c r="N864">
        <v>85.8</v>
      </c>
    </row>
    <row r="865" spans="13:14">
      <c r="M865">
        <v>1.0758373610404299</v>
      </c>
      <c r="N865">
        <v>85.9</v>
      </c>
    </row>
    <row r="866" spans="13:14">
      <c r="M866">
        <v>1.0803193408149601</v>
      </c>
      <c r="N866">
        <v>86</v>
      </c>
    </row>
    <row r="867" spans="13:14">
      <c r="M867">
        <v>1.08482312794196</v>
      </c>
      <c r="N867">
        <v>86.1</v>
      </c>
    </row>
    <row r="868" spans="13:14">
      <c r="M868">
        <v>1.0893490279242799</v>
      </c>
      <c r="N868">
        <v>86.2</v>
      </c>
    </row>
    <row r="869" spans="13:14">
      <c r="M869">
        <v>1.0938973526034399</v>
      </c>
      <c r="N869">
        <v>86.3</v>
      </c>
    </row>
    <row r="870" spans="13:14">
      <c r="M870">
        <v>1.09846842033986</v>
      </c>
      <c r="N870">
        <v>86.4</v>
      </c>
    </row>
    <row r="871" spans="13:14">
      <c r="M871">
        <v>1.1030625561995999</v>
      </c>
      <c r="N871">
        <v>86.5</v>
      </c>
    </row>
    <row r="872" spans="13:14">
      <c r="M872">
        <v>1.1076800921478001</v>
      </c>
      <c r="N872">
        <v>86.6</v>
      </c>
    </row>
    <row r="873" spans="13:14">
      <c r="M873">
        <v>1.11232136724931</v>
      </c>
      <c r="N873">
        <v>86.7</v>
      </c>
    </row>
    <row r="874" spans="13:14">
      <c r="M874">
        <v>1.1169867278766099</v>
      </c>
      <c r="N874">
        <v>86.8</v>
      </c>
    </row>
    <row r="875" spans="13:14">
      <c r="M875">
        <v>1.1216765279254901</v>
      </c>
      <c r="N875">
        <v>86.9</v>
      </c>
    </row>
    <row r="876" spans="13:14">
      <c r="M876">
        <v>1.1263911290388</v>
      </c>
      <c r="N876">
        <v>87</v>
      </c>
    </row>
    <row r="877" spans="13:14">
      <c r="M877">
        <v>1.1311309008386301</v>
      </c>
      <c r="N877">
        <v>87.1</v>
      </c>
    </row>
    <row r="878" spans="13:14">
      <c r="M878">
        <v>1.13589622116731</v>
      </c>
      <c r="N878">
        <v>87.2</v>
      </c>
    </row>
    <row r="879" spans="13:14">
      <c r="M879">
        <v>1.14068747633762</v>
      </c>
      <c r="N879">
        <v>87.3</v>
      </c>
    </row>
    <row r="880" spans="13:14">
      <c r="M880">
        <v>1.1455050613927</v>
      </c>
      <c r="N880">
        <v>87.4</v>
      </c>
    </row>
    <row r="881" spans="13:14">
      <c r="M881">
        <v>1.1503493803760101</v>
      </c>
      <c r="N881">
        <v>87.5</v>
      </c>
    </row>
    <row r="882" spans="13:14">
      <c r="M882">
        <v>1.15522084661195</v>
      </c>
      <c r="N882">
        <v>87.6</v>
      </c>
    </row>
    <row r="883" spans="13:14">
      <c r="M883">
        <v>1.1601198829975199</v>
      </c>
      <c r="N883">
        <v>87.7</v>
      </c>
    </row>
    <row r="884" spans="13:14">
      <c r="M884">
        <v>1.1650469223055999</v>
      </c>
      <c r="N884">
        <v>87.8</v>
      </c>
    </row>
    <row r="885" spans="13:14">
      <c r="M885">
        <v>1.17000240750048</v>
      </c>
      <c r="N885">
        <v>87.9</v>
      </c>
    </row>
    <row r="886" spans="13:14">
      <c r="M886">
        <v>1.1749867920660899</v>
      </c>
      <c r="N886">
        <v>88</v>
      </c>
    </row>
    <row r="887" spans="13:14">
      <c r="M887">
        <v>1.1800005403477301</v>
      </c>
      <c r="N887">
        <v>88.1</v>
      </c>
    </row>
    <row r="888" spans="13:14">
      <c r="M888">
        <v>1.1850441279078101</v>
      </c>
      <c r="N888">
        <v>88.2</v>
      </c>
    </row>
    <row r="889" spans="13:14">
      <c r="M889">
        <v>1.1901180418964199</v>
      </c>
      <c r="N889">
        <v>88.3</v>
      </c>
    </row>
    <row r="890" spans="13:14">
      <c r="M890">
        <v>1.1952227814374301</v>
      </c>
      <c r="N890">
        <v>88.4</v>
      </c>
    </row>
    <row r="891" spans="13:14">
      <c r="M891">
        <v>1.20035885803086</v>
      </c>
      <c r="N891">
        <v>88.5</v>
      </c>
    </row>
    <row r="892" spans="13:14">
      <c r="M892">
        <v>1.20552679597252</v>
      </c>
      <c r="N892">
        <v>88.6</v>
      </c>
    </row>
    <row r="893" spans="13:14">
      <c r="M893">
        <v>1.2107271327916</v>
      </c>
      <c r="N893">
        <v>88.7</v>
      </c>
    </row>
    <row r="894" spans="13:14">
      <c r="M894">
        <v>1.2159604197073199</v>
      </c>
      <c r="N894">
        <v>88.8</v>
      </c>
    </row>
    <row r="895" spans="13:14">
      <c r="M895">
        <v>1.22122722210557</v>
      </c>
      <c r="N895">
        <v>88.9</v>
      </c>
    </row>
    <row r="896" spans="13:14">
      <c r="M896">
        <v>1.22652812003661</v>
      </c>
      <c r="N896">
        <v>89</v>
      </c>
    </row>
    <row r="897" spans="13:14">
      <c r="M897">
        <v>1.23186370873498</v>
      </c>
      <c r="N897">
        <v>89.1</v>
      </c>
    </row>
    <row r="898" spans="13:14">
      <c r="M898">
        <v>1.23723459916283</v>
      </c>
      <c r="N898">
        <v>89.2</v>
      </c>
    </row>
    <row r="899" spans="13:14">
      <c r="M899">
        <v>1.24264141857788</v>
      </c>
      <c r="N899">
        <v>89.3</v>
      </c>
    </row>
    <row r="900" spans="13:14">
      <c r="M900">
        <v>1.24808481112755</v>
      </c>
      <c r="N900">
        <v>89.4</v>
      </c>
    </row>
    <row r="901" spans="13:14">
      <c r="M901">
        <v>1.25356543847045</v>
      </c>
      <c r="N901">
        <v>89.5</v>
      </c>
    </row>
    <row r="902" spans="13:14">
      <c r="M902">
        <v>1.2590839804270699</v>
      </c>
      <c r="N902">
        <v>89.6</v>
      </c>
    </row>
    <row r="903" spans="13:14">
      <c r="M903">
        <v>1.2646411356610801</v>
      </c>
      <c r="N903">
        <v>89.7</v>
      </c>
    </row>
    <row r="904" spans="13:14">
      <c r="M904">
        <v>1.27023762239315</v>
      </c>
      <c r="N904">
        <v>89.8</v>
      </c>
    </row>
    <row r="905" spans="13:14">
      <c r="M905">
        <v>1.2758741791491299</v>
      </c>
      <c r="N905">
        <v>89.9</v>
      </c>
    </row>
    <row r="906" spans="13:14">
      <c r="M906">
        <v>1.2815515655445999</v>
      </c>
      <c r="N906">
        <v>90</v>
      </c>
    </row>
    <row r="907" spans="13:14">
      <c r="M907">
        <v>1.28727056310794</v>
      </c>
      <c r="N907">
        <v>90.1</v>
      </c>
    </row>
    <row r="908" spans="13:14">
      <c r="M908">
        <v>1.2930319761442399</v>
      </c>
      <c r="N908">
        <v>90.2</v>
      </c>
    </row>
    <row r="909" spans="13:14">
      <c r="M909">
        <v>1.29883663264251</v>
      </c>
      <c r="N909">
        <v>90.3</v>
      </c>
    </row>
    <row r="910" spans="13:14">
      <c r="M910">
        <v>1.3046853852287901</v>
      </c>
      <c r="N910">
        <v>90.4</v>
      </c>
    </row>
    <row r="911" spans="13:14">
      <c r="M911">
        <v>1.3105791121681301</v>
      </c>
      <c r="N911">
        <v>90.5</v>
      </c>
    </row>
    <row r="912" spans="13:14">
      <c r="M912">
        <v>1.3165187184182601</v>
      </c>
      <c r="N912">
        <v>90.6</v>
      </c>
    </row>
    <row r="913" spans="13:14">
      <c r="M913">
        <v>1.3225051367384399</v>
      </c>
      <c r="N913">
        <v>90.7</v>
      </c>
    </row>
    <row r="914" spans="13:14">
      <c r="M914">
        <v>1.3285393288568099</v>
      </c>
      <c r="N914">
        <v>90.8</v>
      </c>
    </row>
    <row r="915" spans="13:14">
      <c r="M915">
        <v>1.33462228670019</v>
      </c>
      <c r="N915">
        <v>90.9</v>
      </c>
    </row>
    <row r="916" spans="13:14">
      <c r="M916">
        <v>1.3407550336902201</v>
      </c>
      <c r="N916">
        <v>91</v>
      </c>
    </row>
    <row r="917" spans="13:14">
      <c r="M917">
        <v>1.34693862611028</v>
      </c>
      <c r="N917">
        <v>91.1</v>
      </c>
    </row>
    <row r="918" spans="13:14">
      <c r="M918">
        <v>1.3531741545480001</v>
      </c>
      <c r="N918">
        <v>91.2</v>
      </c>
    </row>
    <row r="919" spans="13:14">
      <c r="M919">
        <v>1.35946274541826</v>
      </c>
      <c r="N919">
        <v>91.3</v>
      </c>
    </row>
    <row r="920" spans="13:14">
      <c r="M920">
        <v>1.36580556257227</v>
      </c>
      <c r="N920">
        <v>91.4</v>
      </c>
    </row>
    <row r="921" spans="13:14">
      <c r="M921">
        <v>1.3722038089987301</v>
      </c>
      <c r="N921">
        <v>91.5</v>
      </c>
    </row>
    <row r="922" spans="13:14">
      <c r="M922">
        <v>1.3786587286232801</v>
      </c>
      <c r="N922">
        <v>91.6</v>
      </c>
    </row>
    <row r="923" spans="13:14">
      <c r="M923">
        <v>1.38517160821344</v>
      </c>
      <c r="N923">
        <v>91.7</v>
      </c>
    </row>
    <row r="924" spans="13:14">
      <c r="M924">
        <v>1.3917437793963301</v>
      </c>
      <c r="N924">
        <v>91.8</v>
      </c>
    </row>
    <row r="925" spans="13:14">
      <c r="M925">
        <v>1.3983766207974999</v>
      </c>
      <c r="N925">
        <v>91.9</v>
      </c>
    </row>
    <row r="926" spans="13:14">
      <c r="M926">
        <v>1.40507156030963</v>
      </c>
      <c r="N926">
        <v>92</v>
      </c>
    </row>
    <row r="927" spans="13:14">
      <c r="M927">
        <v>1.4118300775008099</v>
      </c>
      <c r="N927">
        <v>92.1</v>
      </c>
    </row>
    <row r="928" spans="13:14">
      <c r="M928">
        <v>1.41865370617274</v>
      </c>
      <c r="N928">
        <v>92.2</v>
      </c>
    </row>
    <row r="929" spans="13:14">
      <c r="M929">
        <v>1.42554403708045</v>
      </c>
      <c r="N929">
        <v>92.3</v>
      </c>
    </row>
    <row r="930" spans="13:14">
      <c r="M930">
        <v>1.4325027208258101</v>
      </c>
      <c r="N930">
        <v>92.4</v>
      </c>
    </row>
    <row r="931" spans="13:14">
      <c r="M931">
        <v>1.4395314709384599</v>
      </c>
      <c r="N931">
        <v>92.5</v>
      </c>
    </row>
    <row r="932" spans="13:14">
      <c r="M932">
        <v>1.4466320671589801</v>
      </c>
      <c r="N932">
        <v>92.6</v>
      </c>
    </row>
    <row r="933" spans="13:14">
      <c r="M933">
        <v>1.4538063589405701</v>
      </c>
      <c r="N933">
        <v>92.7</v>
      </c>
    </row>
    <row r="934" spans="13:14">
      <c r="M934">
        <v>1.46105626918691</v>
      </c>
      <c r="N934">
        <v>92.8</v>
      </c>
    </row>
    <row r="935" spans="13:14">
      <c r="M935">
        <v>1.46838379824566</v>
      </c>
      <c r="N935">
        <v>92.9</v>
      </c>
    </row>
    <row r="936" spans="13:14">
      <c r="M936">
        <v>1.47579102817917</v>
      </c>
      <c r="N936">
        <v>93</v>
      </c>
    </row>
    <row r="937" spans="13:14">
      <c r="M937">
        <v>1.48328012733562</v>
      </c>
      <c r="N937">
        <v>93.1</v>
      </c>
    </row>
    <row r="938" spans="13:14">
      <c r="M938">
        <v>1.4908533552466601</v>
      </c>
      <c r="N938">
        <v>93.2</v>
      </c>
    </row>
    <row r="939" spans="13:14">
      <c r="M939">
        <v>1.4985130678799801</v>
      </c>
      <c r="N939">
        <v>93.3</v>
      </c>
    </row>
    <row r="940" spans="13:14">
      <c r="M940">
        <v>1.50626172327824</v>
      </c>
      <c r="N940">
        <v>93.4</v>
      </c>
    </row>
    <row r="941" spans="13:14">
      <c r="M941">
        <v>1.51410188761928</v>
      </c>
      <c r="N941">
        <v>93.5</v>
      </c>
    </row>
    <row r="942" spans="13:14">
      <c r="M942">
        <v>1.5220362417358599</v>
      </c>
      <c r="N942">
        <v>93.6</v>
      </c>
    </row>
    <row r="943" spans="13:14">
      <c r="M943">
        <v>1.5300675881378301</v>
      </c>
      <c r="N943">
        <v>93.7</v>
      </c>
    </row>
    <row r="944" spans="13:14">
      <c r="M944">
        <v>1.53819885858406</v>
      </c>
      <c r="N944">
        <v>93.8</v>
      </c>
    </row>
    <row r="945" spans="13:14">
      <c r="M945">
        <v>1.54643312225675</v>
      </c>
      <c r="N945">
        <v>93.9</v>
      </c>
    </row>
    <row r="946" spans="13:14">
      <c r="M946">
        <v>1.5547735945968499</v>
      </c>
      <c r="N946">
        <v>94</v>
      </c>
    </row>
    <row r="947" spans="13:14">
      <c r="M947">
        <v>1.5632236468662799</v>
      </c>
      <c r="N947">
        <v>94.1</v>
      </c>
    </row>
    <row r="948" spans="13:14">
      <c r="M948">
        <v>1.5717868165098601</v>
      </c>
      <c r="N948">
        <v>94.2</v>
      </c>
    </row>
    <row r="949" spans="13:14">
      <c r="M949">
        <v>1.58046681839936</v>
      </c>
      <c r="N949">
        <v>94.3</v>
      </c>
    </row>
    <row r="950" spans="13:14">
      <c r="M950">
        <v>1.5892675570513899</v>
      </c>
      <c r="N950">
        <v>94.4</v>
      </c>
    </row>
    <row r="951" spans="13:14">
      <c r="M951">
        <v>1.59819313992282</v>
      </c>
      <c r="N951">
        <v>94.5</v>
      </c>
    </row>
    <row r="952" spans="13:14">
      <c r="M952">
        <v>1.60724789190022</v>
      </c>
      <c r="N952">
        <v>94.6</v>
      </c>
    </row>
    <row r="953" spans="13:14">
      <c r="M953">
        <v>1.61643637111502</v>
      </c>
      <c r="N953">
        <v>94.7</v>
      </c>
    </row>
    <row r="954" spans="13:14">
      <c r="M954">
        <v>1.6257633862332399</v>
      </c>
      <c r="N954">
        <v>94.8</v>
      </c>
    </row>
    <row r="955" spans="13:14">
      <c r="M955">
        <v>1.63523401538865</v>
      </c>
      <c r="N955">
        <v>94.9</v>
      </c>
    </row>
    <row r="956" spans="13:14">
      <c r="M956">
        <v>1.64485362695147</v>
      </c>
      <c r="N956">
        <v>95</v>
      </c>
    </row>
    <row r="957" spans="13:14">
      <c r="M957">
        <v>1.6546279023510799</v>
      </c>
      <c r="N957">
        <v>95.1</v>
      </c>
    </row>
    <row r="958" spans="13:14">
      <c r="M958">
        <v>1.6645628612027199</v>
      </c>
      <c r="N958">
        <v>95.2</v>
      </c>
    </row>
    <row r="959" spans="13:14">
      <c r="M959">
        <v>1.6746648890243301</v>
      </c>
      <c r="N959">
        <v>95.3</v>
      </c>
    </row>
    <row r="960" spans="13:14">
      <c r="M960">
        <v>1.6849407678719199</v>
      </c>
      <c r="N960">
        <v>95.4</v>
      </c>
    </row>
    <row r="961" spans="13:14">
      <c r="M961">
        <v>1.69539771027214</v>
      </c>
      <c r="N961">
        <v>95.5</v>
      </c>
    </row>
    <row r="962" spans="13:14">
      <c r="M962">
        <v>1.7060433968889599</v>
      </c>
      <c r="N962">
        <v>95.6</v>
      </c>
    </row>
    <row r="963" spans="13:14">
      <c r="M963">
        <v>1.7168860184310399</v>
      </c>
      <c r="N963">
        <v>95.7</v>
      </c>
    </row>
    <row r="964" spans="13:14">
      <c r="M964">
        <v>1.72793432238842</v>
      </c>
      <c r="N964">
        <v>95.8</v>
      </c>
    </row>
    <row r="965" spans="13:14">
      <c r="M965">
        <v>1.7391976652852501</v>
      </c>
      <c r="N965">
        <v>95.9</v>
      </c>
    </row>
    <row r="966" spans="13:14">
      <c r="M966">
        <v>1.7506860712521699</v>
      </c>
      <c r="N966">
        <v>96</v>
      </c>
    </row>
    <row r="967" spans="13:14">
      <c r="M967">
        <v>1.7624102978623899</v>
      </c>
      <c r="N967">
        <v>96.1</v>
      </c>
    </row>
    <row r="968" spans="13:14">
      <c r="M968">
        <v>1.7743819103449601</v>
      </c>
      <c r="N968">
        <v>96.2</v>
      </c>
    </row>
    <row r="969" spans="13:14">
      <c r="M969">
        <v>1.7866133654934699</v>
      </c>
      <c r="N969">
        <v>96.3</v>
      </c>
    </row>
    <row r="970" spans="13:14">
      <c r="M970">
        <v>1.79911810683797</v>
      </c>
      <c r="N970">
        <v>96.4</v>
      </c>
    </row>
    <row r="971" spans="13:14">
      <c r="M971">
        <v>1.8119106729526</v>
      </c>
      <c r="N971">
        <v>96.5</v>
      </c>
    </row>
    <row r="972" spans="13:14">
      <c r="M972">
        <v>1.8250068211463999</v>
      </c>
      <c r="N972">
        <v>96.6</v>
      </c>
    </row>
    <row r="973" spans="13:14">
      <c r="M973">
        <v>1.83842366924778</v>
      </c>
      <c r="N973">
        <v>96.7</v>
      </c>
    </row>
    <row r="974" spans="13:14">
      <c r="M974">
        <v>1.8521798587690499</v>
      </c>
      <c r="N974">
        <v>96.8</v>
      </c>
    </row>
    <row r="975" spans="13:14">
      <c r="M975">
        <v>1.86629574345811</v>
      </c>
      <c r="N975">
        <v>96.9</v>
      </c>
    </row>
    <row r="976" spans="13:14">
      <c r="M976">
        <v>1.88079360815125</v>
      </c>
      <c r="N976">
        <v>97</v>
      </c>
    </row>
    <row r="977" spans="13:14">
      <c r="M977">
        <v>1.8956979239918399</v>
      </c>
      <c r="N977">
        <v>97.1</v>
      </c>
    </row>
    <row r="978" spans="13:14">
      <c r="M978">
        <v>1.9110356475491199</v>
      </c>
      <c r="N978">
        <v>97.2</v>
      </c>
    </row>
    <row r="979" spans="13:14">
      <c r="M979">
        <v>1.9268365732639099</v>
      </c>
      <c r="N979">
        <v>97.3</v>
      </c>
    </row>
    <row r="980" spans="13:14">
      <c r="M980">
        <v>1.9431337511050699</v>
      </c>
      <c r="N980">
        <v>97.4</v>
      </c>
    </row>
    <row r="981" spans="13:14">
      <c r="M981">
        <v>1.9599639845400501</v>
      </c>
      <c r="N981">
        <v>97.5</v>
      </c>
    </row>
    <row r="982" spans="13:14">
      <c r="M982">
        <v>1.9773684281819499</v>
      </c>
      <c r="N982">
        <v>97.6</v>
      </c>
    </row>
    <row r="983" spans="13:14">
      <c r="M983">
        <v>1.9953933101678201</v>
      </c>
      <c r="N983">
        <v>97.7</v>
      </c>
    </row>
    <row r="984" spans="13:14">
      <c r="M984">
        <v>2.0140908120181402</v>
      </c>
      <c r="N984">
        <v>97.8</v>
      </c>
    </row>
    <row r="985" spans="13:14">
      <c r="M985">
        <v>2.0335201492530501</v>
      </c>
      <c r="N985">
        <v>97.9</v>
      </c>
    </row>
    <row r="986" spans="13:14">
      <c r="M986">
        <v>2.0537489106318199</v>
      </c>
      <c r="N986">
        <v>98</v>
      </c>
    </row>
    <row r="987" spans="13:14">
      <c r="M987">
        <v>2.0748547343933099</v>
      </c>
      <c r="N987">
        <v>98.1</v>
      </c>
    </row>
    <row r="988" spans="13:14">
      <c r="M988">
        <v>2.0969274291643401</v>
      </c>
      <c r="N988">
        <v>98.2</v>
      </c>
    </row>
    <row r="989" spans="13:14">
      <c r="M989">
        <v>2.1200716897421499</v>
      </c>
      <c r="N989">
        <v>98.3</v>
      </c>
    </row>
    <row r="990" spans="13:14">
      <c r="M990">
        <v>2.1444106209118399</v>
      </c>
      <c r="N990">
        <v>98.4</v>
      </c>
    </row>
    <row r="991" spans="13:14">
      <c r="M991">
        <v>2.1700903775845601</v>
      </c>
      <c r="N991">
        <v>98.5</v>
      </c>
    </row>
    <row r="992" spans="13:14">
      <c r="M992">
        <v>2.19728637664105</v>
      </c>
      <c r="N992">
        <v>98.6</v>
      </c>
    </row>
    <row r="993" spans="13:14">
      <c r="M993">
        <v>2.2262117693171701</v>
      </c>
      <c r="N993">
        <v>98.7</v>
      </c>
    </row>
    <row r="994" spans="13:14">
      <c r="M994">
        <v>2.2571292444862201</v>
      </c>
      <c r="N994">
        <v>98.8</v>
      </c>
    </row>
    <row r="995" spans="13:14">
      <c r="M995">
        <v>2.2903678778552701</v>
      </c>
      <c r="N995">
        <v>98.9</v>
      </c>
    </row>
    <row r="996" spans="13:14">
      <c r="M996">
        <v>2.3263478740408399</v>
      </c>
      <c r="N996">
        <v>99</v>
      </c>
    </row>
    <row r="997" spans="13:14">
      <c r="M997">
        <v>2.3656181268642902</v>
      </c>
      <c r="N997">
        <v>99.1</v>
      </c>
    </row>
    <row r="998" spans="13:14">
      <c r="M998">
        <v>2.4089155458154599</v>
      </c>
      <c r="N998">
        <v>99.2</v>
      </c>
    </row>
    <row r="999" spans="13:14">
      <c r="M999">
        <v>2.4572633902054402</v>
      </c>
      <c r="N999">
        <v>99.3</v>
      </c>
    </row>
    <row r="1000" spans="13:14">
      <c r="M1000">
        <v>2.5121443279304598</v>
      </c>
      <c r="N1000">
        <v>99.4</v>
      </c>
    </row>
    <row r="1001" spans="13:14">
      <c r="M1001">
        <v>2.5758293035488999</v>
      </c>
      <c r="N1001">
        <v>99.5</v>
      </c>
    </row>
    <row r="1002" spans="13:14">
      <c r="M1002">
        <v>2.6520698079021998</v>
      </c>
      <c r="N1002">
        <v>99.6</v>
      </c>
    </row>
    <row r="1003" spans="13:14">
      <c r="M1003">
        <v>2.74778138544499</v>
      </c>
      <c r="N1003">
        <v>99.7</v>
      </c>
    </row>
    <row r="1004" spans="13:14">
      <c r="M1004">
        <v>2.8781617390954799</v>
      </c>
      <c r="N1004">
        <v>99.8</v>
      </c>
    </row>
    <row r="1005" spans="13:14">
      <c r="M1005">
        <v>3.0902323061678101</v>
      </c>
      <c r="N1005">
        <v>99.9</v>
      </c>
    </row>
    <row r="1006" spans="13:14">
      <c r="M1006">
        <v>4.75342430881709</v>
      </c>
      <c r="N1006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8"/>
  <sheetViews>
    <sheetView topLeftCell="A25" workbookViewId="0">
      <selection activeCell="O9" sqref="O9"/>
    </sheetView>
  </sheetViews>
  <sheetFormatPr baseColWidth="10" defaultRowHeight="15.5"/>
  <sheetData>
    <row r="1" spans="1:16">
      <c r="A1" s="2" t="s">
        <v>4</v>
      </c>
      <c r="J1" s="5"/>
      <c r="L1" s="2" t="s">
        <v>13</v>
      </c>
    </row>
    <row r="2" spans="1:16">
      <c r="A2" s="2"/>
      <c r="J2" s="5"/>
      <c r="L2" s="2"/>
    </row>
    <row r="3" spans="1:16">
      <c r="A3" s="23" t="s">
        <v>18</v>
      </c>
      <c r="G3" s="21">
        <f>SQRT(RAVLT_Rec!J6)</f>
        <v>0</v>
      </c>
      <c r="J3" s="5"/>
    </row>
    <row r="4" spans="1:16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16">
      <c r="J5" s="5"/>
      <c r="L5">
        <f>RAVLT_Rec!M6</f>
        <v>-3.3768419999999999</v>
      </c>
      <c r="M5">
        <f>RAVLT_Rec!N6</f>
        <v>0</v>
      </c>
      <c r="O5" t="e">
        <f>ABS(L5-RAVLT_Rec!$C$34)</f>
        <v>#REF!</v>
      </c>
      <c r="P5">
        <f>M5</f>
        <v>0</v>
      </c>
    </row>
    <row r="6" spans="1:16">
      <c r="A6" s="2" t="s">
        <v>28</v>
      </c>
      <c r="J6" s="5"/>
      <c r="L6">
        <f>RAVLT_Rec!M7</f>
        <v>-3.1789388459999999</v>
      </c>
      <c r="M6">
        <f>RAVLT_Rec!N7</f>
        <v>0.1</v>
      </c>
      <c r="O6" t="e">
        <f>ABS(L6-RAVLT_Rec!$C$34)</f>
        <v>#REF!</v>
      </c>
      <c r="P6">
        <f t="shared" ref="P6:P70" si="0">M6</f>
        <v>0.1</v>
      </c>
    </row>
    <row r="7" spans="1:16">
      <c r="J7" s="5"/>
      <c r="L7">
        <f>RAVLT_Rec!M8</f>
        <v>-2.9810356919999998</v>
      </c>
      <c r="M7">
        <f>RAVLT_Rec!N8</f>
        <v>0.2</v>
      </c>
      <c r="O7" t="e">
        <f>ABS(L7-RAVLT_Rec!$C$34)</f>
        <v>#REF!</v>
      </c>
      <c r="P7">
        <f t="shared" si="0"/>
        <v>0.2</v>
      </c>
    </row>
    <row r="8" spans="1:16">
      <c r="A8" t="s">
        <v>16</v>
      </c>
      <c r="B8">
        <f>RAVLT_Delayed!C27</f>
        <v>15.50033701796572</v>
      </c>
      <c r="J8" s="5"/>
    </row>
    <row r="9" spans="1:16">
      <c r="J9" s="5"/>
      <c r="L9">
        <f>RAVLT_Rec!M9</f>
        <v>-2.8361230000000002</v>
      </c>
      <c r="M9">
        <f>RAVLT_Rec!N9</f>
        <v>0.3</v>
      </c>
      <c r="O9" t="e">
        <f>ABS(L9-RAVLT_Rec!$C$34)</f>
        <v>#REF!</v>
      </c>
      <c r="P9">
        <f t="shared" si="0"/>
        <v>0.3</v>
      </c>
    </row>
    <row r="10" spans="1:16">
      <c r="B10" t="str">
        <f>RAVLT_Learning!J10</f>
        <v>Residual variance</v>
      </c>
      <c r="C10" t="str">
        <f>RAVLT_Learning!I10</f>
        <v>Predicted test score</v>
      </c>
      <c r="J10" s="5"/>
      <c r="L10">
        <f>RAVLT_Rec!M10</f>
        <v>-2.8361230000000002</v>
      </c>
      <c r="M10">
        <f>RAVLT_Rec!N10</f>
        <v>0.4</v>
      </c>
      <c r="O10" t="e">
        <f>ABS(L10-RAVLT_Rec!$C$34)</f>
        <v>#REF!</v>
      </c>
      <c r="P10">
        <f t="shared" si="0"/>
        <v>0.4</v>
      </c>
    </row>
    <row r="11" spans="1:16">
      <c r="B11">
        <f>RAVLT_Rec!J11</f>
        <v>0</v>
      </c>
      <c r="C11">
        <f>RAVLT_Rec!I11</f>
        <v>0</v>
      </c>
      <c r="J11" s="5"/>
      <c r="L11">
        <f>RAVLT_Rec!M11</f>
        <v>-2.8361230000000002</v>
      </c>
      <c r="M11">
        <f>RAVLT_Rec!N11</f>
        <v>0.5</v>
      </c>
      <c r="O11" t="e">
        <f>ABS(L11-RAVLT_Rec!$C$34)</f>
        <v>#REF!</v>
      </c>
      <c r="P11">
        <f t="shared" si="0"/>
        <v>0.5</v>
      </c>
    </row>
    <row r="12" spans="1:16">
      <c r="B12">
        <f>RAVLT_Rec!J12</f>
        <v>0</v>
      </c>
      <c r="C12">
        <f>RAVLT_Rec!I12</f>
        <v>0</v>
      </c>
      <c r="J12" s="5"/>
      <c r="L12">
        <f>RAVLT_Rec!M12</f>
        <v>-2.8310479719999999</v>
      </c>
      <c r="M12">
        <f>RAVLT_Rec!N12</f>
        <v>0.6</v>
      </c>
      <c r="O12" t="e">
        <f>ABS(L12-RAVLT_Rec!$C$34)</f>
        <v>#REF!</v>
      </c>
      <c r="P12">
        <f t="shared" si="0"/>
        <v>0.6</v>
      </c>
    </row>
    <row r="13" spans="1:16">
      <c r="B13">
        <f>RAVLT_Rec!J13</f>
        <v>0</v>
      </c>
      <c r="C13">
        <f>RAVLT_Rec!I13</f>
        <v>0</v>
      </c>
      <c r="J13" s="5"/>
      <c r="L13">
        <f>RAVLT_Rec!M13</f>
        <v>-2.821571134</v>
      </c>
      <c r="M13">
        <f>RAVLT_Rec!N13</f>
        <v>0.7</v>
      </c>
      <c r="O13" t="e">
        <f>ABS(L13-RAVLT_Rec!$C$34)</f>
        <v>#REF!</v>
      </c>
      <c r="P13">
        <f t="shared" si="0"/>
        <v>0.7</v>
      </c>
    </row>
    <row r="14" spans="1:16">
      <c r="B14">
        <f>RAVLT_Rec!J14</f>
        <v>0</v>
      </c>
      <c r="C14">
        <f>RAVLT_Rec!I14</f>
        <v>0</v>
      </c>
      <c r="J14" s="5"/>
      <c r="L14">
        <f>RAVLT_Rec!M14</f>
        <v>-2.8120942960000002</v>
      </c>
      <c r="M14">
        <f>RAVLT_Rec!N14</f>
        <v>0.8</v>
      </c>
      <c r="O14" t="e">
        <f>ABS(L14-RAVLT_Rec!$C$34)</f>
        <v>#REF!</v>
      </c>
      <c r="P14">
        <f t="shared" si="0"/>
        <v>0.8</v>
      </c>
    </row>
    <row r="15" spans="1:16">
      <c r="B15">
        <f>RAVLT_Rec!J15</f>
        <v>0</v>
      </c>
      <c r="C15">
        <f>RAVLT_Rec!I15</f>
        <v>0</v>
      </c>
      <c r="J15" s="5"/>
      <c r="L15">
        <f>RAVLT_Rec!M15</f>
        <v>-2.8070289279999998</v>
      </c>
      <c r="M15">
        <f>RAVLT_Rec!N15</f>
        <v>0.9</v>
      </c>
      <c r="O15" t="e">
        <f>ABS(L15-RAVLT_Rec!$C$34)</f>
        <v>#REF!</v>
      </c>
      <c r="P15">
        <f t="shared" si="0"/>
        <v>0.9</v>
      </c>
    </row>
    <row r="16" spans="1:16">
      <c r="B16">
        <f>RAVLT_Rec!J16</f>
        <v>0</v>
      </c>
      <c r="C16">
        <f>RAVLT_Rec!I16</f>
        <v>0</v>
      </c>
      <c r="J16" s="5"/>
      <c r="L16">
        <f>RAVLT_Rec!M16</f>
        <v>-2.8030439199999999</v>
      </c>
      <c r="M16">
        <f>RAVLT_Rec!N16</f>
        <v>1</v>
      </c>
      <c r="O16" t="e">
        <f>ABS(L16-RAVLT_Rec!$C$34)</f>
        <v>#REF!</v>
      </c>
      <c r="P16">
        <f t="shared" si="0"/>
        <v>1</v>
      </c>
    </row>
    <row r="17" spans="1:16">
      <c r="B17">
        <f>RAVLT_Rec!J17</f>
        <v>0</v>
      </c>
      <c r="C17">
        <f>RAVLT_Rec!I17</f>
        <v>0</v>
      </c>
      <c r="J17" s="5"/>
      <c r="L17">
        <f>RAVLT_Rec!M17</f>
        <v>-2.7980566379999998</v>
      </c>
      <c r="M17">
        <f>RAVLT_Rec!N17</f>
        <v>1.1000000000000001</v>
      </c>
      <c r="O17" t="e">
        <f>ABS(L17-RAVLT_Rec!$C$34)</f>
        <v>#REF!</v>
      </c>
      <c r="P17">
        <f t="shared" si="0"/>
        <v>1.1000000000000001</v>
      </c>
    </row>
    <row r="18" spans="1:16">
      <c r="B18">
        <f>RAVLT_Rec!J18</f>
        <v>0</v>
      </c>
      <c r="C18">
        <f>RAVLT_Rec!I18</f>
        <v>0</v>
      </c>
      <c r="J18" s="5"/>
      <c r="L18">
        <f>RAVLT_Rec!M18</f>
        <v>-2.7799626960000001</v>
      </c>
      <c r="M18">
        <f>RAVLT_Rec!N18</f>
        <v>1.2</v>
      </c>
      <c r="O18" t="e">
        <f>ABS(L18-RAVLT_Rec!$C$34)</f>
        <v>#REF!</v>
      </c>
      <c r="P18">
        <f t="shared" si="0"/>
        <v>1.2</v>
      </c>
    </row>
    <row r="19" spans="1:16">
      <c r="B19">
        <f>RAVLT_Rec!J19</f>
        <v>0</v>
      </c>
      <c r="C19">
        <f>RAVLT_Rec!I19</f>
        <v>0</v>
      </c>
      <c r="J19" s="5"/>
      <c r="L19">
        <f>RAVLT_Rec!M19</f>
        <v>-2.761868754</v>
      </c>
      <c r="M19">
        <f>RAVLT_Rec!N19</f>
        <v>1.3</v>
      </c>
      <c r="O19" t="e">
        <f>ABS(L19-RAVLT_Rec!$C$34)</f>
        <v>#REF!</v>
      </c>
      <c r="P19">
        <f t="shared" si="0"/>
        <v>1.3</v>
      </c>
    </row>
    <row r="20" spans="1:16">
      <c r="B20">
        <f>RAVLT_Rec!J20</f>
        <v>0</v>
      </c>
      <c r="C20">
        <f>RAVLT_Rec!I20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RAVLT_Rec!M20</f>
        <v>-2.7280026319999999</v>
      </c>
      <c r="M20">
        <f>RAVLT_Rec!N20</f>
        <v>1.4</v>
      </c>
      <c r="O20" t="e">
        <f>ABS(L20-RAVLT_Rec!$C$34)</f>
        <v>#REF!</v>
      </c>
      <c r="P20">
        <f t="shared" si="0"/>
        <v>1.4</v>
      </c>
    </row>
    <row r="21" spans="1:16">
      <c r="B21">
        <f>RAVLT_Rec!J21</f>
        <v>0</v>
      </c>
      <c r="C21">
        <f>RAVLT_Rec!I21</f>
        <v>0</v>
      </c>
      <c r="E21" t="s">
        <v>38</v>
      </c>
      <c r="G21" s="21">
        <f>SQRT(G20)</f>
        <v>0</v>
      </c>
      <c r="J21" s="5"/>
      <c r="L21">
        <f>RAVLT_Rec!M21</f>
        <v>-2.66335532</v>
      </c>
      <c r="M21">
        <f>RAVLT_Rec!N21</f>
        <v>1.5</v>
      </c>
      <c r="O21" t="e">
        <f>ABS(L21-RAVLT_Rec!$C$34)</f>
        <v>#REF!</v>
      </c>
      <c r="P21">
        <f t="shared" si="0"/>
        <v>1.5</v>
      </c>
    </row>
    <row r="22" spans="1:16">
      <c r="B22">
        <f>RAVLT_Rec!J22</f>
        <v>0</v>
      </c>
      <c r="C22">
        <f>RAVLT_Rec!I22</f>
        <v>0</v>
      </c>
      <c r="J22" s="5"/>
      <c r="L22">
        <f>RAVLT_Rec!M22</f>
        <v>-2.598708008</v>
      </c>
      <c r="M22">
        <f>RAVLT_Rec!N22</f>
        <v>1.6</v>
      </c>
      <c r="O22" t="e">
        <f>ABS(L22-RAVLT_Rec!$C$34)</f>
        <v>#REF!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RAVLT_Rec!M23</f>
        <v>-2.534177246</v>
      </c>
      <c r="M23">
        <f>RAVLT_Rec!N23</f>
        <v>1.7</v>
      </c>
      <c r="O23" t="e">
        <f>ABS(L23-RAVLT_Rec!$C$34)</f>
        <v>#REF!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RAVLT_Rec!M24</f>
        <v>-2.4697220839999998</v>
      </c>
      <c r="M24">
        <f>RAVLT_Rec!N24</f>
        <v>1.8</v>
      </c>
      <c r="O24" t="e">
        <f>ABS(L24-RAVLT_Rec!$C$34)</f>
        <v>#REF!</v>
      </c>
      <c r="P24">
        <f t="shared" si="0"/>
        <v>1.8</v>
      </c>
    </row>
    <row r="25" spans="1:16">
      <c r="A25" s="2" t="s">
        <v>27</v>
      </c>
      <c r="J25" s="5"/>
      <c r="L25">
        <f>RAVLT_Rec!M25</f>
        <v>-2.405266922</v>
      </c>
      <c r="M25">
        <f>RAVLT_Rec!N25</f>
        <v>1.9</v>
      </c>
      <c r="O25" t="e">
        <f>ABS(L25-RAVLT_Rec!$C$34)</f>
        <v>#REF!</v>
      </c>
      <c r="P25">
        <f t="shared" si="0"/>
        <v>1.9</v>
      </c>
    </row>
    <row r="26" spans="1:16">
      <c r="H26" s="1"/>
      <c r="J26" s="5"/>
      <c r="L26">
        <f>RAVLT_Rec!M26</f>
        <v>-2.3969426399999998</v>
      </c>
      <c r="M26">
        <f>RAVLT_Rec!N26</f>
        <v>2</v>
      </c>
      <c r="O26" t="e">
        <f>ABS(L26-RAVLT_Rec!$C$34)</f>
        <v>#REF!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J27" s="5"/>
      <c r="L27">
        <f>RAVLT_Rec!M27</f>
        <v>-2.396687172</v>
      </c>
      <c r="M27">
        <f>RAVLT_Rec!N27</f>
        <v>2.1</v>
      </c>
      <c r="O27" t="e">
        <f>ABS(L27-RAVLT_Rec!$C$34)</f>
        <v>#REF!</v>
      </c>
      <c r="P27">
        <f t="shared" si="0"/>
        <v>2.1</v>
      </c>
    </row>
    <row r="28" spans="1:16">
      <c r="A28" t="str">
        <f>RAVLT_Rec!I27</f>
        <v>(Intercept)</v>
      </c>
      <c r="B28">
        <f>RAVLT_Rec!J27</f>
        <v>12426.3302809098</v>
      </c>
      <c r="C28">
        <v>1</v>
      </c>
      <c r="D28">
        <f>B28*C28</f>
        <v>12426.3302809098</v>
      </c>
      <c r="J28" s="5"/>
      <c r="L28">
        <f>RAVLT_Rec!M28</f>
        <v>-2.3960220479999998</v>
      </c>
      <c r="M28">
        <f>RAVLT_Rec!N28</f>
        <v>2.2000000000000002</v>
      </c>
      <c r="O28" t="e">
        <f>ABS(L28-RAVLT_Rec!$C$34)</f>
        <v>#REF!</v>
      </c>
      <c r="P28">
        <f t="shared" si="0"/>
        <v>2.2000000000000002</v>
      </c>
    </row>
    <row r="29" spans="1:16">
      <c r="A29" t="str">
        <f>RAVLT_Rec!I28</f>
        <v>Pred.Y</v>
      </c>
      <c r="B29">
        <f>RAVLT_Rec!J28</f>
        <v>-3071.3826801369401</v>
      </c>
      <c r="C29">
        <f>B8</f>
        <v>15.50033701796572</v>
      </c>
      <c r="D29">
        <f t="shared" ref="D29:D33" si="1">B29*C29</f>
        <v>-47607.466653265379</v>
      </c>
      <c r="J29" s="5"/>
      <c r="L29">
        <f>RAVLT_Rec!M29</f>
        <v>-2.392883232</v>
      </c>
      <c r="M29">
        <f>RAVLT_Rec!N29</f>
        <v>2.2999999999999998</v>
      </c>
      <c r="O29" t="e">
        <f>ABS(L29-RAVLT_Rec!$C$34)</f>
        <v>#REF!</v>
      </c>
      <c r="P29">
        <f t="shared" si="0"/>
        <v>2.2999999999999998</v>
      </c>
    </row>
    <row r="30" spans="1:16">
      <c r="A30" t="str">
        <f>RAVLT_Rec!I29</f>
        <v>Pred.Y.2</v>
      </c>
      <c r="B30">
        <f>RAVLT_Rec!J29</f>
        <v>252.938866623953</v>
      </c>
      <c r="C30">
        <f>B8^2</f>
        <v>240.26044767051843</v>
      </c>
      <c r="D30">
        <f t="shared" si="1"/>
        <v>60771.205328344498</v>
      </c>
      <c r="J30" s="5"/>
      <c r="L30">
        <f>RAVLT_Rec!M30</f>
        <v>-2.3897444160000001</v>
      </c>
      <c r="M30">
        <f>RAVLT_Rec!N30</f>
        <v>2.4</v>
      </c>
      <c r="O30" t="e">
        <f>ABS(L30-RAVLT_Rec!$C$34)</f>
        <v>#REF!</v>
      </c>
      <c r="P30">
        <f t="shared" si="0"/>
        <v>2.4</v>
      </c>
    </row>
    <row r="31" spans="1:16">
      <c r="A31" t="str">
        <f>RAVLT_Rec!I30</f>
        <v>Pred.Y.3</v>
      </c>
      <c r="B31">
        <f>RAVLT_Rec!J30</f>
        <v>-6.9378657214228303</v>
      </c>
      <c r="C31">
        <f>B8^3</f>
        <v>3724.1179109803525</v>
      </c>
      <c r="D31">
        <f t="shared" si="1"/>
        <v>-25837.429997127387</v>
      </c>
      <c r="J31" s="5"/>
      <c r="L31">
        <f>RAVLT_Rec!M31</f>
        <v>-2.3856358499999999</v>
      </c>
      <c r="M31">
        <f>RAVLT_Rec!N31</f>
        <v>2.5</v>
      </c>
      <c r="O31" t="e">
        <f>ABS(L31-RAVLT_Rec!$C$34)</f>
        <v>#REF!</v>
      </c>
      <c r="P31">
        <f t="shared" si="0"/>
        <v>2.5</v>
      </c>
    </row>
    <row r="32" spans="1:16">
      <c r="A32">
        <f>RAVLT_Rec!I31</f>
        <v>0</v>
      </c>
      <c r="B32">
        <f>RAVLT_Rec!J31</f>
        <v>0</v>
      </c>
      <c r="C32">
        <f>B8^4</f>
        <v>57725.082714837925</v>
      </c>
      <c r="D32">
        <f t="shared" si="1"/>
        <v>0</v>
      </c>
      <c r="J32" s="5"/>
      <c r="L32">
        <f>RAVLT_Rec!M32</f>
        <v>-2.380130844</v>
      </c>
      <c r="M32">
        <f>RAVLT_Rec!N32</f>
        <v>2.6</v>
      </c>
      <c r="O32" t="e">
        <f>ABS(L32-RAVLT_Rec!$C$34)</f>
        <v>#REF!</v>
      </c>
      <c r="P32">
        <f t="shared" si="0"/>
        <v>2.6</v>
      </c>
    </row>
    <row r="33" spans="1:16">
      <c r="A33">
        <f>RAVLT_Rec!I32</f>
        <v>0</v>
      </c>
      <c r="B33">
        <f>RAVLT_Rec!J32</f>
        <v>0</v>
      </c>
      <c r="C33">
        <f>B8^5</f>
        <v>894758.23646993539</v>
      </c>
      <c r="D33">
        <f t="shared" si="1"/>
        <v>0</v>
      </c>
      <c r="J33" s="5"/>
      <c r="L33">
        <f>RAVLT_Rec!M33</f>
        <v>-2.374625838</v>
      </c>
      <c r="M33">
        <f>RAVLT_Rec!N33</f>
        <v>2.7</v>
      </c>
      <c r="O33" t="e">
        <f>ABS(L33-RAVLT_Rec!$C$34)</f>
        <v>#REF!</v>
      </c>
      <c r="P33">
        <f t="shared" si="0"/>
        <v>2.7</v>
      </c>
    </row>
    <row r="34" spans="1:16">
      <c r="G34" s="21" t="e">
        <f>SQRT(D35)</f>
        <v>#NUM!</v>
      </c>
      <c r="J34" s="5"/>
      <c r="L34">
        <f>RAVLT_Rec!M34</f>
        <v>-2.3710105920000002</v>
      </c>
      <c r="M34">
        <f>RAVLT_Rec!N34</f>
        <v>2.8</v>
      </c>
      <c r="O34" t="e">
        <f>ABS(L34-RAVLT_Rec!$C$34)</f>
        <v>#REF!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-247.36104113846523</v>
      </c>
      <c r="E35" s="18"/>
      <c r="F35" s="18"/>
      <c r="G35" s="18"/>
      <c r="H35" s="18"/>
      <c r="I35" s="18"/>
      <c r="J35" s="19"/>
      <c r="L35">
        <f>RAVLT_Rec!M35</f>
        <v>-2.3682945059999998</v>
      </c>
      <c r="M35">
        <f>RAVLT_Rec!N35</f>
        <v>2.9</v>
      </c>
      <c r="O35" t="e">
        <f>ABS(L35-RAVLT_Rec!$C$34)</f>
        <v>#REF!</v>
      </c>
      <c r="P35">
        <f t="shared" si="0"/>
        <v>2.9</v>
      </c>
    </row>
    <row r="36" spans="1:16">
      <c r="J36" s="5"/>
      <c r="L36">
        <f>RAVLT_Rec!M36</f>
        <v>-2.3655784199999998</v>
      </c>
      <c r="M36">
        <f>RAVLT_Rec!N36</f>
        <v>3</v>
      </c>
      <c r="O36" t="e">
        <f>ABS(L36-RAVLT_Rec!$C$34)</f>
        <v>#REF!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RAVLT_Rec!M37</f>
        <v>-2.3411788599999999</v>
      </c>
      <c r="M37">
        <f>RAVLT_Rec!N37</f>
        <v>3.1</v>
      </c>
      <c r="O37" t="e">
        <f>ABS(L37-RAVLT_Rec!$C$34)</f>
        <v>#REF!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0</v>
      </c>
      <c r="E38" s="24"/>
      <c r="F38" s="24"/>
      <c r="G38" s="2" t="s">
        <v>21</v>
      </c>
      <c r="H38" s="2"/>
      <c r="I38" s="2" t="e">
        <f>IF(D41=1, G3+G21+G34, )</f>
        <v>#NUM!</v>
      </c>
      <c r="J38" s="5"/>
      <c r="L38">
        <f>RAVLT_Rec!M38</f>
        <v>-2.3155259199999998</v>
      </c>
      <c r="M38">
        <f>RAVLT_Rec!N38</f>
        <v>3.2</v>
      </c>
      <c r="O38" t="e">
        <f>ABS(L38-RAVLT_Rec!$C$34)</f>
        <v>#REF!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e">
        <f>IF(D41=1, " ", "ERROR!")</f>
        <v>#NUM!</v>
      </c>
      <c r="J39" s="5"/>
      <c r="L39">
        <f>RAVLT_Rec!M39</f>
        <v>-2.2820020780000001</v>
      </c>
      <c r="M39">
        <f>RAVLT_Rec!N39</f>
        <v>3.3</v>
      </c>
      <c r="O39" t="e">
        <f>ABS(L39-RAVLT_Rec!$C$34)</f>
        <v>#REF!</v>
      </c>
      <c r="P39">
        <f t="shared" si="0"/>
        <v>3.3</v>
      </c>
    </row>
    <row r="40" spans="1:16">
      <c r="A40" s="24" t="s">
        <v>25</v>
      </c>
      <c r="B40" s="24"/>
      <c r="C40" s="24"/>
      <c r="D40" s="24" t="e">
        <f>IF(G34&gt;0, 1, 0)</f>
        <v>#NUM!</v>
      </c>
      <c r="E40" s="24"/>
      <c r="F40" s="24"/>
      <c r="J40" s="5"/>
      <c r="L40">
        <f>RAVLT_Rec!M40</f>
        <v>-2.2194164440000002</v>
      </c>
      <c r="M40">
        <f>RAVLT_Rec!N40</f>
        <v>3.4</v>
      </c>
      <c r="O40" t="e">
        <f>ABS(L40-RAVLT_Rec!$C$34)</f>
        <v>#REF!</v>
      </c>
      <c r="P40">
        <f t="shared" si="0"/>
        <v>3.4</v>
      </c>
    </row>
    <row r="41" spans="1:16">
      <c r="A41" s="24"/>
      <c r="B41" s="24"/>
      <c r="C41" s="24" t="s">
        <v>26</v>
      </c>
      <c r="D41" s="24" t="e">
        <f>SUM(D38:D40)</f>
        <v>#NUM!</v>
      </c>
      <c r="E41" s="24" t="s">
        <v>32</v>
      </c>
      <c r="F41" s="24"/>
      <c r="J41" s="5"/>
      <c r="L41">
        <f>RAVLT_Rec!M41</f>
        <v>-2.1568308100000002</v>
      </c>
      <c r="M41">
        <f>RAVLT_Rec!N41</f>
        <v>3.5</v>
      </c>
      <c r="O41" t="e">
        <f>ABS(L41-RAVLT_Rec!$C$34)</f>
        <v>#REF!</v>
      </c>
      <c r="P41">
        <f t="shared" si="0"/>
        <v>3.5</v>
      </c>
    </row>
    <row r="42" spans="1:16">
      <c r="A42" s="26" t="e">
        <f>IF(D41&gt;1, "WARNING: only one residual standard error computation should be used!!!", " ")</f>
        <v>#NUM!</v>
      </c>
      <c r="B42" s="25"/>
      <c r="C42" s="25"/>
      <c r="D42" s="26" t="str">
        <f>IF(G41=1, "", "OK")</f>
        <v>OK</v>
      </c>
      <c r="E42" s="25"/>
      <c r="F42" s="24"/>
      <c r="J42" s="5"/>
      <c r="L42">
        <f>RAVLT_Rec!M42</f>
        <v>-2.0952219759999999</v>
      </c>
      <c r="M42">
        <f>RAVLT_Rec!N42</f>
        <v>3.6</v>
      </c>
      <c r="O42" t="e">
        <f>ABS(L42-RAVLT_Rec!$C$34)</f>
        <v>#REF!</v>
      </c>
      <c r="P42">
        <f t="shared" si="0"/>
        <v>3.6</v>
      </c>
    </row>
    <row r="43" spans="1:16">
      <c r="A43" s="22"/>
      <c r="J43" s="5"/>
      <c r="L43">
        <f>RAVLT_Rec!M43</f>
        <v>-2.0346676420000001</v>
      </c>
      <c r="M43">
        <f>RAVLT_Rec!N43</f>
        <v>3.7</v>
      </c>
      <c r="O43" t="e">
        <f>ABS(L43-RAVLT_Rec!$C$34)</f>
        <v>#REF!</v>
      </c>
      <c r="P43">
        <f t="shared" si="0"/>
        <v>3.7</v>
      </c>
    </row>
    <row r="44" spans="1:16">
      <c r="J44" s="5"/>
      <c r="L44">
        <f>RAVLT_Rec!M44</f>
        <v>-1.974113308</v>
      </c>
      <c r="M44">
        <f>RAVLT_Rec!N44</f>
        <v>3.8</v>
      </c>
      <c r="O44" t="e">
        <f>ABS(L44-RAVLT_Rec!$C$34)</f>
        <v>#REF!</v>
      </c>
      <c r="P44">
        <f t="shared" si="0"/>
        <v>3.8</v>
      </c>
    </row>
    <row r="45" spans="1:16">
      <c r="J45" s="5"/>
      <c r="L45">
        <f>RAVLT_Rec!M45</f>
        <v>-1.9506278859999999</v>
      </c>
      <c r="M45">
        <f>RAVLT_Rec!N45</f>
        <v>3.9</v>
      </c>
      <c r="O45" t="e">
        <f>ABS(L45-RAVLT_Rec!$C$34)</f>
        <v>#REF!</v>
      </c>
      <c r="P45">
        <f t="shared" si="0"/>
        <v>3.9</v>
      </c>
    </row>
    <row r="46" spans="1:16">
      <c r="J46" s="5"/>
      <c r="L46">
        <f>RAVLT_Rec!M46</f>
        <v>-1.93958896</v>
      </c>
      <c r="M46">
        <f>RAVLT_Rec!N46</f>
        <v>4</v>
      </c>
      <c r="O46" t="e">
        <f>ABS(L46-RAVLT_Rec!$C$34)</f>
        <v>#REF!</v>
      </c>
      <c r="P46">
        <f t="shared" si="0"/>
        <v>4</v>
      </c>
    </row>
    <row r="47" spans="1:16">
      <c r="J47" s="5"/>
      <c r="L47">
        <f>RAVLT_Rec!M47</f>
        <v>-1.9287051040000001</v>
      </c>
      <c r="M47">
        <f>RAVLT_Rec!N47</f>
        <v>4.0999999999999996</v>
      </c>
      <c r="O47" t="e">
        <f>ABS(L47-RAVLT_Rec!$C$34)</f>
        <v>#REF!</v>
      </c>
      <c r="P47">
        <f t="shared" si="0"/>
        <v>4.0999999999999996</v>
      </c>
    </row>
    <row r="48" spans="1:16">
      <c r="J48" s="5"/>
      <c r="L48">
        <f>RAVLT_Rec!M48</f>
        <v>-1.927125448</v>
      </c>
      <c r="M48">
        <f>RAVLT_Rec!N48</f>
        <v>4.2</v>
      </c>
      <c r="O48" t="e">
        <f>ABS(L48-RAVLT_Rec!$C$34)</f>
        <v>#REF!</v>
      </c>
      <c r="P48">
        <f t="shared" si="0"/>
        <v>4.2</v>
      </c>
    </row>
    <row r="49" spans="10:16">
      <c r="J49" s="5"/>
      <c r="L49">
        <f>RAVLT_Rec!M49</f>
        <v>-1.9255457920000001</v>
      </c>
      <c r="M49">
        <f>RAVLT_Rec!N49</f>
        <v>4.3</v>
      </c>
      <c r="O49" t="e">
        <f>ABS(L49-RAVLT_Rec!$C$34)</f>
        <v>#REF!</v>
      </c>
      <c r="P49">
        <f t="shared" si="0"/>
        <v>4.3</v>
      </c>
    </row>
    <row r="50" spans="10:16">
      <c r="J50" s="5"/>
      <c r="L50">
        <f>RAVLT_Rec!M50</f>
        <v>-1.924391808</v>
      </c>
      <c r="M50">
        <f>RAVLT_Rec!N50</f>
        <v>4.4000000000000004</v>
      </c>
      <c r="O50" t="e">
        <f>ABS(L50-RAVLT_Rec!$C$34)</f>
        <v>#REF!</v>
      </c>
      <c r="P50">
        <f t="shared" si="0"/>
        <v>4.4000000000000004</v>
      </c>
    </row>
    <row r="51" spans="10:16">
      <c r="J51" s="5"/>
      <c r="L51">
        <f>RAVLT_Rec!M51</f>
        <v>-1.9243101899999999</v>
      </c>
      <c r="M51">
        <f>RAVLT_Rec!N51</f>
        <v>4.5</v>
      </c>
      <c r="O51" t="e">
        <f>ABS(L51-RAVLT_Rec!$C$34)</f>
        <v>#REF!</v>
      </c>
      <c r="P51">
        <f t="shared" si="0"/>
        <v>4.5</v>
      </c>
    </row>
    <row r="52" spans="10:16">
      <c r="J52" s="5"/>
      <c r="L52">
        <f>RAVLT_Rec!M52</f>
        <v>-1.9242285720000001</v>
      </c>
      <c r="M52">
        <f>RAVLT_Rec!N52</f>
        <v>4.5999999999999996</v>
      </c>
      <c r="O52" t="e">
        <f>ABS(L52-RAVLT_Rec!$C$34)</f>
        <v>#REF!</v>
      </c>
      <c r="P52">
        <f t="shared" si="0"/>
        <v>4.5999999999999996</v>
      </c>
    </row>
    <row r="53" spans="10:16">
      <c r="J53" s="5"/>
      <c r="L53">
        <f>RAVLT_Rec!M53</f>
        <v>-1.923711038</v>
      </c>
      <c r="M53">
        <f>RAVLT_Rec!N53</f>
        <v>4.7</v>
      </c>
      <c r="O53" t="e">
        <f>ABS(L53-RAVLT_Rec!$C$34)</f>
        <v>#REF!</v>
      </c>
      <c r="P53">
        <f t="shared" si="0"/>
        <v>4.7</v>
      </c>
    </row>
    <row r="54" spans="10:16">
      <c r="J54" s="5"/>
      <c r="L54">
        <f>RAVLT_Rec!M54</f>
        <v>-1.9228395920000001</v>
      </c>
      <c r="M54">
        <f>RAVLT_Rec!N54</f>
        <v>4.8</v>
      </c>
      <c r="O54" t="e">
        <f>ABS(L54-RAVLT_Rec!$C$34)</f>
        <v>#REF!</v>
      </c>
      <c r="P54">
        <f t="shared" si="0"/>
        <v>4.8</v>
      </c>
    </row>
    <row r="55" spans="10:16">
      <c r="J55" s="5"/>
      <c r="L55">
        <f>RAVLT_Rec!M55</f>
        <v>-1.921968146</v>
      </c>
      <c r="M55">
        <f>RAVLT_Rec!N55</f>
        <v>4.9000000000000004</v>
      </c>
      <c r="O55" t="e">
        <f>ABS(L55-RAVLT_Rec!$C$34)</f>
        <v>#REF!</v>
      </c>
      <c r="P55">
        <f t="shared" si="0"/>
        <v>4.9000000000000004</v>
      </c>
    </row>
    <row r="56" spans="10:16">
      <c r="J56" s="5"/>
      <c r="L56">
        <f>RAVLT_Rec!M56</f>
        <v>-1.9049777000000001</v>
      </c>
      <c r="M56">
        <f>RAVLT_Rec!N56</f>
        <v>5</v>
      </c>
      <c r="O56" t="e">
        <f>ABS(L56-RAVLT_Rec!$C$34)</f>
        <v>#REF!</v>
      </c>
      <c r="P56">
        <f t="shared" si="0"/>
        <v>5</v>
      </c>
    </row>
    <row r="57" spans="10:16">
      <c r="J57" s="5"/>
      <c r="L57">
        <f>RAVLT_Rec!M57</f>
        <v>-1.8844410739999999</v>
      </c>
      <c r="M57">
        <f>RAVLT_Rec!N57</f>
        <v>5.0999999999999996</v>
      </c>
      <c r="O57" t="e">
        <f>ABS(L57-RAVLT_Rec!$C$34)</f>
        <v>#REF!</v>
      </c>
      <c r="P57">
        <f t="shared" si="0"/>
        <v>5.0999999999999996</v>
      </c>
    </row>
    <row r="58" spans="10:16">
      <c r="J58" s="5"/>
      <c r="L58">
        <f>RAVLT_Rec!M58</f>
        <v>-1.8644885440000001</v>
      </c>
      <c r="M58">
        <f>RAVLT_Rec!N58</f>
        <v>5.2</v>
      </c>
      <c r="O58" t="e">
        <f>ABS(L58-RAVLT_Rec!$C$34)</f>
        <v>#REF!</v>
      </c>
      <c r="P58">
        <f t="shared" si="0"/>
        <v>5.2</v>
      </c>
    </row>
    <row r="59" spans="10:16">
      <c r="J59" s="5"/>
      <c r="L59">
        <f>RAVLT_Rec!M59</f>
        <v>-1.8506325159999999</v>
      </c>
      <c r="M59">
        <f>RAVLT_Rec!N59</f>
        <v>5.3</v>
      </c>
      <c r="O59" t="e">
        <f>ABS(L59-RAVLT_Rec!$C$34)</f>
        <v>#REF!</v>
      </c>
      <c r="P59">
        <f t="shared" si="0"/>
        <v>5.3</v>
      </c>
    </row>
    <row r="60" spans="10:16">
      <c r="J60" s="5"/>
      <c r="L60">
        <f>RAVLT_Rec!M60</f>
        <v>-1.8367764879999999</v>
      </c>
      <c r="M60">
        <f>RAVLT_Rec!N60</f>
        <v>5.4</v>
      </c>
      <c r="O60" t="e">
        <f>ABS(L60-RAVLT_Rec!$C$34)</f>
        <v>#REF!</v>
      </c>
      <c r="P60">
        <f t="shared" si="0"/>
        <v>5.4</v>
      </c>
    </row>
    <row r="61" spans="10:16">
      <c r="J61" s="5"/>
      <c r="L61">
        <f>RAVLT_Rec!M61</f>
        <v>-1.8215513000000001</v>
      </c>
      <c r="M61">
        <f>RAVLT_Rec!N61</f>
        <v>5.5</v>
      </c>
      <c r="O61" t="e">
        <f>ABS(L61-RAVLT_Rec!$C$34)</f>
        <v>#REF!</v>
      </c>
      <c r="P61">
        <f t="shared" si="0"/>
        <v>5.5</v>
      </c>
    </row>
    <row r="62" spans="10:16">
      <c r="J62" s="5"/>
      <c r="L62">
        <f>RAVLT_Rec!M62</f>
        <v>-1.80384056</v>
      </c>
      <c r="M62">
        <f>RAVLT_Rec!N62</f>
        <v>5.6</v>
      </c>
      <c r="O62" t="e">
        <f>ABS(L62-RAVLT_Rec!$C$34)</f>
        <v>#REF!</v>
      </c>
      <c r="P62">
        <f t="shared" si="0"/>
        <v>5.6</v>
      </c>
    </row>
    <row r="63" spans="10:16">
      <c r="J63" s="5"/>
      <c r="L63">
        <f>RAVLT_Rec!M63</f>
        <v>-1.78612982</v>
      </c>
      <c r="M63">
        <f>RAVLT_Rec!N63</f>
        <v>5.7</v>
      </c>
      <c r="O63" t="e">
        <f>ABS(L63-RAVLT_Rec!$C$34)</f>
        <v>#REF!</v>
      </c>
      <c r="P63">
        <f t="shared" si="0"/>
        <v>5.7</v>
      </c>
    </row>
    <row r="64" spans="10:16">
      <c r="J64" s="5"/>
      <c r="L64">
        <f>RAVLT_Rec!M64</f>
        <v>-1.779452</v>
      </c>
      <c r="M64">
        <f>RAVLT_Rec!N64</f>
        <v>5.8</v>
      </c>
      <c r="O64" t="e">
        <f>ABS(L64-RAVLT_Rec!$C$34)</f>
        <v>#REF!</v>
      </c>
      <c r="P64">
        <f t="shared" si="0"/>
        <v>5.8</v>
      </c>
    </row>
    <row r="65" spans="10:16">
      <c r="J65" s="5"/>
      <c r="L65">
        <f>RAVLT_Rec!M65</f>
        <v>-1.779452</v>
      </c>
      <c r="M65">
        <f>RAVLT_Rec!N65</f>
        <v>5.9</v>
      </c>
      <c r="O65" t="e">
        <f>ABS(L65-RAVLT_Rec!$C$34)</f>
        <v>#REF!</v>
      </c>
      <c r="P65">
        <f t="shared" si="0"/>
        <v>5.9</v>
      </c>
    </row>
    <row r="66" spans="10:16">
      <c r="J66" s="5"/>
      <c r="L66">
        <f>RAVLT_Rec!M66</f>
        <v>-1.779452</v>
      </c>
      <c r="M66">
        <f>RAVLT_Rec!N66</f>
        <v>6</v>
      </c>
      <c r="O66" t="e">
        <f>ABS(L66-RAVLT_Rec!$C$34)</f>
        <v>#REF!</v>
      </c>
      <c r="P66">
        <f t="shared" si="0"/>
        <v>6</v>
      </c>
    </row>
    <row r="67" spans="10:16">
      <c r="J67" s="5"/>
      <c r="L67">
        <f>RAVLT_Rec!M67</f>
        <v>-1.7430902859999999</v>
      </c>
      <c r="M67">
        <f>RAVLT_Rec!N67</f>
        <v>6.1</v>
      </c>
      <c r="O67" t="e">
        <f>ABS(L67-RAVLT_Rec!$C$34)</f>
        <v>#REF!</v>
      </c>
      <c r="P67">
        <f t="shared" si="0"/>
        <v>6.1</v>
      </c>
    </row>
    <row r="68" spans="10:16">
      <c r="J68" s="5"/>
      <c r="L68">
        <f>RAVLT_Rec!M68</f>
        <v>-1.7022670120000001</v>
      </c>
      <c r="M68">
        <f>RAVLT_Rec!N68</f>
        <v>6.2</v>
      </c>
      <c r="O68" t="e">
        <f>ABS(L68-RAVLT_Rec!$C$34)</f>
        <v>#REF!</v>
      </c>
      <c r="P68">
        <f t="shared" si="0"/>
        <v>6.2</v>
      </c>
    </row>
    <row r="69" spans="10:16">
      <c r="J69" s="5"/>
      <c r="L69">
        <f>RAVLT_Rec!M69</f>
        <v>-1.6670591239999999</v>
      </c>
      <c r="M69">
        <f>RAVLT_Rec!N69</f>
        <v>6.3</v>
      </c>
      <c r="O69" t="e">
        <f>ABS(L69-RAVLT_Rec!$C$34)</f>
        <v>#REF!</v>
      </c>
      <c r="P69">
        <f t="shared" si="0"/>
        <v>6.3</v>
      </c>
    </row>
    <row r="70" spans="10:16">
      <c r="J70" s="5"/>
      <c r="L70">
        <f>RAVLT_Rec!M70</f>
        <v>-1.661670872</v>
      </c>
      <c r="M70">
        <f>RAVLT_Rec!N70</f>
        <v>6.4</v>
      </c>
      <c r="O70" t="e">
        <f>ABS(L70-RAVLT_Rec!$C$34)</f>
        <v>#REF!</v>
      </c>
      <c r="P70">
        <f t="shared" si="0"/>
        <v>6.4</v>
      </c>
    </row>
    <row r="71" spans="10:16">
      <c r="J71" s="5"/>
      <c r="L71">
        <f>RAVLT_Rec!M71</f>
        <v>-1.65628262</v>
      </c>
      <c r="M71">
        <f>RAVLT_Rec!N71</f>
        <v>6.5</v>
      </c>
      <c r="O71" t="e">
        <f>ABS(L71-RAVLT_Rec!$C$34)</f>
        <v>#REF!</v>
      </c>
      <c r="P71">
        <f t="shared" ref="P71:P134" si="2">M71</f>
        <v>6.5</v>
      </c>
    </row>
    <row r="72" spans="10:16">
      <c r="J72" s="5"/>
      <c r="L72">
        <f>RAVLT_Rec!M72</f>
        <v>-1.6414735279999999</v>
      </c>
      <c r="M72">
        <f>RAVLT_Rec!N72</f>
        <v>6.6</v>
      </c>
      <c r="O72" t="e">
        <f>ABS(L72-RAVLT_Rec!$C$34)</f>
        <v>#REF!</v>
      </c>
      <c r="P72">
        <f t="shared" si="2"/>
        <v>6.6</v>
      </c>
    </row>
    <row r="73" spans="10:16">
      <c r="J73" s="5"/>
      <c r="L73">
        <f>RAVLT_Rec!M73</f>
        <v>-1.613982536</v>
      </c>
      <c r="M73">
        <f>RAVLT_Rec!N73</f>
        <v>6.7</v>
      </c>
      <c r="O73" t="e">
        <f>ABS(L73-RAVLT_Rec!$C$34)</f>
        <v>#REF!</v>
      </c>
      <c r="P73">
        <f t="shared" si="2"/>
        <v>6.7</v>
      </c>
    </row>
    <row r="74" spans="10:16">
      <c r="J74" s="5"/>
      <c r="L74">
        <f>RAVLT_Rec!M74</f>
        <v>-1.586491544</v>
      </c>
      <c r="M74">
        <f>RAVLT_Rec!N74</f>
        <v>6.8</v>
      </c>
      <c r="O74" t="e">
        <f>ABS(L74-RAVLT_Rec!$C$34)</f>
        <v>#REF!</v>
      </c>
      <c r="P74">
        <f t="shared" si="2"/>
        <v>6.8</v>
      </c>
    </row>
    <row r="75" spans="10:16">
      <c r="J75" s="5"/>
      <c r="L75">
        <f>RAVLT_Rec!M75</f>
        <v>-1.5712674820000001</v>
      </c>
      <c r="M75">
        <f>RAVLT_Rec!N75</f>
        <v>6.9</v>
      </c>
      <c r="O75" t="e">
        <f>ABS(L75-RAVLT_Rec!$C$34)</f>
        <v>#REF!</v>
      </c>
      <c r="P75">
        <f t="shared" si="2"/>
        <v>6.9</v>
      </c>
    </row>
    <row r="76" spans="10:16">
      <c r="J76" s="5"/>
      <c r="L76">
        <f>RAVLT_Rec!M76</f>
        <v>-1.5614524599999999</v>
      </c>
      <c r="M76">
        <f>RAVLT_Rec!N76</f>
        <v>7</v>
      </c>
      <c r="O76" t="e">
        <f>ABS(L76-RAVLT_Rec!$C$34)</f>
        <v>#REF!</v>
      </c>
      <c r="P76">
        <f t="shared" si="2"/>
        <v>7</v>
      </c>
    </row>
    <row r="77" spans="10:16">
      <c r="J77" s="5"/>
      <c r="L77">
        <f>RAVLT_Rec!M77</f>
        <v>-1.551637438</v>
      </c>
      <c r="M77">
        <f>RAVLT_Rec!N77</f>
        <v>7.1</v>
      </c>
      <c r="O77" t="e">
        <f>ABS(L77-RAVLT_Rec!$C$34)</f>
        <v>#REF!</v>
      </c>
      <c r="P77">
        <f t="shared" si="2"/>
        <v>7.1</v>
      </c>
    </row>
    <row r="78" spans="10:16">
      <c r="J78" s="5"/>
      <c r="L78">
        <f>RAVLT_Rec!M78</f>
        <v>-1.53237544</v>
      </c>
      <c r="M78">
        <f>RAVLT_Rec!N78</f>
        <v>7.2</v>
      </c>
      <c r="O78" t="e">
        <f>ABS(L78-RAVLT_Rec!$C$34)</f>
        <v>#REF!</v>
      </c>
      <c r="P78">
        <f t="shared" si="2"/>
        <v>7.2</v>
      </c>
    </row>
    <row r="79" spans="10:16">
      <c r="J79" s="5"/>
      <c r="L79">
        <f>RAVLT_Rec!M79</f>
        <v>-1.5127377099999999</v>
      </c>
      <c r="M79">
        <f>RAVLT_Rec!N79</f>
        <v>7.3</v>
      </c>
      <c r="O79" t="e">
        <f>ABS(L79-RAVLT_Rec!$C$34)</f>
        <v>#REF!</v>
      </c>
      <c r="P79">
        <f t="shared" si="2"/>
        <v>7.3</v>
      </c>
    </row>
    <row r="80" spans="10:16">
      <c r="J80" s="5"/>
      <c r="L80">
        <f>RAVLT_Rec!M80</f>
        <v>-1.4968487319999999</v>
      </c>
      <c r="M80">
        <f>RAVLT_Rec!N80</f>
        <v>7.4</v>
      </c>
      <c r="O80" t="e">
        <f>ABS(L80-RAVLT_Rec!$C$34)</f>
        <v>#REF!</v>
      </c>
      <c r="P80">
        <f t="shared" si="2"/>
        <v>7.4</v>
      </c>
    </row>
    <row r="81" spans="10:16">
      <c r="J81" s="5"/>
      <c r="L81">
        <f>RAVLT_Rec!M81</f>
        <v>-1.4935448499999999</v>
      </c>
      <c r="M81">
        <f>RAVLT_Rec!N81</f>
        <v>7.5</v>
      </c>
      <c r="O81" t="e">
        <f>ABS(L81-RAVLT_Rec!$C$34)</f>
        <v>#REF!</v>
      </c>
      <c r="P81">
        <f t="shared" si="2"/>
        <v>7.5</v>
      </c>
    </row>
    <row r="82" spans="10:16">
      <c r="J82" s="5"/>
      <c r="L82">
        <f>RAVLT_Rec!M82</f>
        <v>-1.4902409679999999</v>
      </c>
      <c r="M82">
        <f>RAVLT_Rec!N82</f>
        <v>7.6</v>
      </c>
      <c r="O82" t="e">
        <f>ABS(L82-RAVLT_Rec!$C$34)</f>
        <v>#REF!</v>
      </c>
      <c r="P82">
        <f t="shared" si="2"/>
        <v>7.6</v>
      </c>
    </row>
    <row r="83" spans="10:16">
      <c r="J83" s="5"/>
      <c r="L83">
        <f>RAVLT_Rec!M83</f>
        <v>-1.4866984839999999</v>
      </c>
      <c r="M83">
        <f>RAVLT_Rec!N83</f>
        <v>7.7</v>
      </c>
      <c r="O83" t="e">
        <f>ABS(L83-RAVLT_Rec!$C$34)</f>
        <v>#REF!</v>
      </c>
      <c r="P83">
        <f t="shared" si="2"/>
        <v>7.7</v>
      </c>
    </row>
    <row r="84" spans="10:16">
      <c r="J84" s="5"/>
      <c r="L84">
        <f>RAVLT_Rec!M84</f>
        <v>-1.4829147760000001</v>
      </c>
      <c r="M84">
        <f>RAVLT_Rec!N84</f>
        <v>7.8</v>
      </c>
      <c r="O84" t="e">
        <f>ABS(L84-RAVLT_Rec!$C$34)</f>
        <v>#REF!</v>
      </c>
      <c r="P84">
        <f t="shared" si="2"/>
        <v>7.8</v>
      </c>
    </row>
    <row r="85" spans="10:16">
      <c r="J85" s="5"/>
      <c r="L85">
        <f>RAVLT_Rec!M85</f>
        <v>-1.479131068</v>
      </c>
      <c r="M85">
        <f>RAVLT_Rec!N85</f>
        <v>7.9</v>
      </c>
      <c r="O85" t="e">
        <f>ABS(L85-RAVLT_Rec!$C$34)</f>
        <v>#REF!</v>
      </c>
      <c r="P85">
        <f t="shared" si="2"/>
        <v>7.9</v>
      </c>
    </row>
    <row r="86" spans="10:16">
      <c r="J86" s="5"/>
      <c r="L86">
        <f>RAVLT_Rec!M86</f>
        <v>-1.4660026399999999</v>
      </c>
      <c r="M86">
        <f>RAVLT_Rec!N86</f>
        <v>8</v>
      </c>
      <c r="O86" t="e">
        <f>ABS(L86-RAVLT_Rec!$C$34)</f>
        <v>#REF!</v>
      </c>
      <c r="P86">
        <f t="shared" si="2"/>
        <v>8</v>
      </c>
    </row>
    <row r="87" spans="10:16">
      <c r="J87" s="5"/>
      <c r="L87">
        <f>RAVLT_Rec!M87</f>
        <v>-1.450004048</v>
      </c>
      <c r="M87">
        <f>RAVLT_Rec!N87</f>
        <v>8.1</v>
      </c>
      <c r="O87" t="e">
        <f>ABS(L87-RAVLT_Rec!$C$34)</f>
        <v>#REF!</v>
      </c>
      <c r="P87">
        <f t="shared" si="2"/>
        <v>8.1</v>
      </c>
    </row>
    <row r="88" spans="10:16">
      <c r="J88" s="5"/>
      <c r="L88">
        <f>RAVLT_Rec!M88</f>
        <v>-1.434351092</v>
      </c>
      <c r="M88">
        <f>RAVLT_Rec!N88</f>
        <v>8.1999999999999993</v>
      </c>
      <c r="O88" t="e">
        <f>ABS(L88-RAVLT_Rec!$C$34)</f>
        <v>#REF!</v>
      </c>
      <c r="P88">
        <f t="shared" si="2"/>
        <v>8.1999999999999993</v>
      </c>
    </row>
    <row r="89" spans="10:16">
      <c r="J89" s="5"/>
      <c r="L89">
        <f>RAVLT_Rec!M89</f>
        <v>-1.428894398</v>
      </c>
      <c r="M89">
        <f>RAVLT_Rec!N89</f>
        <v>8.3000000000000007</v>
      </c>
      <c r="O89" t="e">
        <f>ABS(L89-RAVLT_Rec!$C$34)</f>
        <v>#REF!</v>
      </c>
      <c r="P89">
        <f t="shared" si="2"/>
        <v>8.3000000000000007</v>
      </c>
    </row>
    <row r="90" spans="10:16">
      <c r="J90" s="5"/>
      <c r="L90">
        <f>RAVLT_Rec!M90</f>
        <v>-1.4234377039999999</v>
      </c>
      <c r="M90">
        <f>RAVLT_Rec!N90</f>
        <v>8.4</v>
      </c>
      <c r="O90" t="e">
        <f>ABS(L90-RAVLT_Rec!$C$34)</f>
        <v>#REF!</v>
      </c>
      <c r="P90">
        <f t="shared" si="2"/>
        <v>8.4</v>
      </c>
    </row>
    <row r="91" spans="10:16">
      <c r="J91" s="5"/>
      <c r="L91">
        <f>RAVLT_Rec!M91</f>
        <v>-1.419621</v>
      </c>
      <c r="M91">
        <f>RAVLT_Rec!N91</f>
        <v>8.5</v>
      </c>
      <c r="O91" t="e">
        <f>ABS(L91-RAVLT_Rec!$C$34)</f>
        <v>#REF!</v>
      </c>
      <c r="P91">
        <f t="shared" si="2"/>
        <v>8.5</v>
      </c>
    </row>
    <row r="92" spans="10:16">
      <c r="J92" s="5"/>
      <c r="L92">
        <f>RAVLT_Rec!M92</f>
        <v>-1.419621</v>
      </c>
      <c r="M92">
        <f>RAVLT_Rec!N92</f>
        <v>8.6</v>
      </c>
      <c r="O92" t="e">
        <f>ABS(L92-RAVLT_Rec!$C$34)</f>
        <v>#REF!</v>
      </c>
      <c r="P92">
        <f t="shared" si="2"/>
        <v>8.6</v>
      </c>
    </row>
    <row r="93" spans="10:16">
      <c r="J93" s="5"/>
      <c r="L93">
        <f>RAVLT_Rec!M93</f>
        <v>-1.419621</v>
      </c>
      <c r="M93">
        <f>RAVLT_Rec!N93</f>
        <v>8.6999999999999993</v>
      </c>
      <c r="O93" t="e">
        <f>ABS(L93-RAVLT_Rec!$C$34)</f>
        <v>#REF!</v>
      </c>
      <c r="P93">
        <f t="shared" si="2"/>
        <v>8.6999999999999993</v>
      </c>
    </row>
    <row r="94" spans="10:16">
      <c r="J94" s="5"/>
      <c r="L94">
        <f>RAVLT_Rec!M94</f>
        <v>-1.419621</v>
      </c>
      <c r="M94">
        <f>RAVLT_Rec!N94</f>
        <v>8.8000000000000007</v>
      </c>
      <c r="O94" t="e">
        <f>ABS(L94-RAVLT_Rec!$C$34)</f>
        <v>#REF!</v>
      </c>
      <c r="P94">
        <f t="shared" si="2"/>
        <v>8.8000000000000007</v>
      </c>
    </row>
    <row r="95" spans="10:16">
      <c r="J95" s="5"/>
      <c r="L95">
        <f>RAVLT_Rec!M95</f>
        <v>-1.419621</v>
      </c>
      <c r="M95">
        <f>RAVLT_Rec!N95</f>
        <v>8.9</v>
      </c>
      <c r="O95" t="e">
        <f>ABS(L95-RAVLT_Rec!$C$34)</f>
        <v>#REF!</v>
      </c>
      <c r="P95">
        <f t="shared" si="2"/>
        <v>8.9</v>
      </c>
    </row>
    <row r="96" spans="10:16">
      <c r="J96" s="5"/>
      <c r="L96">
        <f>RAVLT_Rec!M96</f>
        <v>-1.419621</v>
      </c>
      <c r="M96">
        <f>RAVLT_Rec!N96</f>
        <v>9</v>
      </c>
      <c r="O96" t="e">
        <f>ABS(L96-RAVLT_Rec!$C$34)</f>
        <v>#REF!</v>
      </c>
      <c r="P96">
        <f t="shared" si="2"/>
        <v>9</v>
      </c>
    </row>
    <row r="97" spans="10:16">
      <c r="J97" s="5"/>
      <c r="L97">
        <f>RAVLT_Rec!M97</f>
        <v>-1.419621</v>
      </c>
      <c r="M97">
        <f>RAVLT_Rec!N97</f>
        <v>9.1</v>
      </c>
      <c r="O97" t="e">
        <f>ABS(L97-RAVLT_Rec!$C$34)</f>
        <v>#REF!</v>
      </c>
      <c r="P97">
        <f t="shared" si="2"/>
        <v>9.1</v>
      </c>
    </row>
    <row r="98" spans="10:16">
      <c r="J98" s="5"/>
      <c r="L98">
        <f>RAVLT_Rec!M98</f>
        <v>-1.419621</v>
      </c>
      <c r="M98">
        <f>RAVLT_Rec!N98</f>
        <v>9.1999999999999993</v>
      </c>
      <c r="O98" t="e">
        <f>ABS(L98-RAVLT_Rec!$C$34)</f>
        <v>#REF!</v>
      </c>
      <c r="P98">
        <f t="shared" si="2"/>
        <v>9.1999999999999993</v>
      </c>
    </row>
    <row r="99" spans="10:16">
      <c r="J99" s="5"/>
      <c r="L99">
        <f>RAVLT_Rec!M99</f>
        <v>-1.4177923640000001</v>
      </c>
      <c r="M99">
        <f>RAVLT_Rec!N99</f>
        <v>9.3000000000000007</v>
      </c>
      <c r="O99" t="e">
        <f>ABS(L99-RAVLT_Rec!$C$34)</f>
        <v>#REF!</v>
      </c>
      <c r="P99">
        <f t="shared" si="2"/>
        <v>9.3000000000000007</v>
      </c>
    </row>
    <row r="100" spans="10:16">
      <c r="J100" s="5"/>
      <c r="L100">
        <f>RAVLT_Rec!M100</f>
        <v>-1.4001797119999999</v>
      </c>
      <c r="M100">
        <f>RAVLT_Rec!N100</f>
        <v>9.4</v>
      </c>
      <c r="O100" t="e">
        <f>ABS(L100-RAVLT_Rec!$C$34)</f>
        <v>#REF!</v>
      </c>
      <c r="P100">
        <f t="shared" si="2"/>
        <v>9.4</v>
      </c>
    </row>
    <row r="101" spans="10:16">
      <c r="J101" s="5"/>
      <c r="L101">
        <f>RAVLT_Rec!M101</f>
        <v>-1.38256706</v>
      </c>
      <c r="M101">
        <f>RAVLT_Rec!N101</f>
        <v>9.5</v>
      </c>
      <c r="O101" t="e">
        <f>ABS(L101-RAVLT_Rec!$C$34)</f>
        <v>#REF!</v>
      </c>
      <c r="P101">
        <f t="shared" si="2"/>
        <v>9.5</v>
      </c>
    </row>
    <row r="102" spans="10:16">
      <c r="J102" s="5"/>
      <c r="L102">
        <f>RAVLT_Rec!M102</f>
        <v>-1.3667592639999999</v>
      </c>
      <c r="M102">
        <f>RAVLT_Rec!N102</f>
        <v>9.6</v>
      </c>
      <c r="O102" t="e">
        <f>ABS(L102-RAVLT_Rec!$C$34)</f>
        <v>#REF!</v>
      </c>
      <c r="P102">
        <f t="shared" si="2"/>
        <v>9.6</v>
      </c>
    </row>
    <row r="103" spans="10:16">
      <c r="J103" s="5"/>
      <c r="L103">
        <f>RAVLT_Rec!M103</f>
        <v>-1.3540037979999999</v>
      </c>
      <c r="M103">
        <f>RAVLT_Rec!N103</f>
        <v>9.6999999999999993</v>
      </c>
      <c r="O103" t="e">
        <f>ABS(L103-RAVLT_Rec!$C$34)</f>
        <v>#REF!</v>
      </c>
      <c r="P103">
        <f t="shared" si="2"/>
        <v>9.6999999999999993</v>
      </c>
    </row>
    <row r="104" spans="10:16">
      <c r="J104" s="5"/>
      <c r="L104">
        <f>RAVLT_Rec!M104</f>
        <v>-1.3412483319999999</v>
      </c>
      <c r="M104">
        <f>RAVLT_Rec!N104</f>
        <v>9.8000000000000007</v>
      </c>
      <c r="O104" t="e">
        <f>ABS(L104-RAVLT_Rec!$C$34)</f>
        <v>#REF!</v>
      </c>
      <c r="P104">
        <f t="shared" si="2"/>
        <v>9.8000000000000007</v>
      </c>
    </row>
    <row r="105" spans="10:16">
      <c r="J105" s="5"/>
      <c r="L105">
        <f>RAVLT_Rec!M105</f>
        <v>-1.3366480000000001</v>
      </c>
      <c r="M105">
        <f>RAVLT_Rec!N105</f>
        <v>9.9</v>
      </c>
      <c r="O105" t="e">
        <f>ABS(L105-RAVLT_Rec!$C$34)</f>
        <v>#REF!</v>
      </c>
      <c r="P105">
        <f t="shared" si="2"/>
        <v>9.9</v>
      </c>
    </row>
    <row r="106" spans="10:16">
      <c r="J106" s="5"/>
      <c r="L106">
        <f>RAVLT_Rec!M106</f>
        <v>-1.3366480000000001</v>
      </c>
      <c r="M106">
        <f>RAVLT_Rec!N106</f>
        <v>10</v>
      </c>
      <c r="O106" t="e">
        <f>ABS(L106-RAVLT_Rec!$C$34)</f>
        <v>#REF!</v>
      </c>
      <c r="P106">
        <f t="shared" si="2"/>
        <v>10</v>
      </c>
    </row>
    <row r="107" spans="10:16">
      <c r="J107" s="5"/>
      <c r="L107">
        <f>RAVLT_Rec!M107</f>
        <v>-1.3366480000000001</v>
      </c>
      <c r="M107">
        <f>RAVLT_Rec!N107</f>
        <v>10.1</v>
      </c>
      <c r="O107" t="e">
        <f>ABS(L107-RAVLT_Rec!$C$34)</f>
        <v>#REF!</v>
      </c>
      <c r="P107">
        <f t="shared" si="2"/>
        <v>10.1</v>
      </c>
    </row>
    <row r="108" spans="10:16">
      <c r="J108" s="5"/>
      <c r="L108">
        <f>RAVLT_Rec!M108</f>
        <v>-1.3341838960000001</v>
      </c>
      <c r="M108">
        <f>RAVLT_Rec!N108</f>
        <v>10.199999999999999</v>
      </c>
      <c r="O108" t="e">
        <f>ABS(L108-RAVLT_Rec!$C$34)</f>
        <v>#REF!</v>
      </c>
      <c r="P108">
        <f t="shared" si="2"/>
        <v>10.199999999999999</v>
      </c>
    </row>
    <row r="109" spans="10:16">
      <c r="J109" s="5"/>
      <c r="L109">
        <f>RAVLT_Rec!M109</f>
        <v>-1.3314674440000001</v>
      </c>
      <c r="M109">
        <f>RAVLT_Rec!N109</f>
        <v>10.3</v>
      </c>
      <c r="O109" t="e">
        <f>ABS(L109-RAVLT_Rec!$C$34)</f>
        <v>#REF!</v>
      </c>
      <c r="P109">
        <f t="shared" si="2"/>
        <v>10.3</v>
      </c>
    </row>
    <row r="110" spans="10:16">
      <c r="J110" s="5"/>
      <c r="L110">
        <f>RAVLT_Rec!M110</f>
        <v>-1.32384904</v>
      </c>
      <c r="M110">
        <f>RAVLT_Rec!N110</f>
        <v>10.4</v>
      </c>
      <c r="O110" t="e">
        <f>ABS(L110-RAVLT_Rec!$C$34)</f>
        <v>#REF!</v>
      </c>
      <c r="P110">
        <f t="shared" si="2"/>
        <v>10.4</v>
      </c>
    </row>
    <row r="111" spans="10:16">
      <c r="J111" s="5"/>
      <c r="L111">
        <f>RAVLT_Rec!M111</f>
        <v>-1.29309955</v>
      </c>
      <c r="M111">
        <f>RAVLT_Rec!N111</f>
        <v>10.5</v>
      </c>
      <c r="O111" t="e">
        <f>ABS(L111-RAVLT_Rec!$C$34)</f>
        <v>#REF!</v>
      </c>
      <c r="P111">
        <f t="shared" si="2"/>
        <v>10.5</v>
      </c>
    </row>
    <row r="112" spans="10:16">
      <c r="J112" s="5"/>
      <c r="L112">
        <f>RAVLT_Rec!M112</f>
        <v>-1.2623500599999999</v>
      </c>
      <c r="M112">
        <f>RAVLT_Rec!N112</f>
        <v>10.6</v>
      </c>
      <c r="O112" t="e">
        <f>ABS(L112-RAVLT_Rec!$C$34)</f>
        <v>#REF!</v>
      </c>
      <c r="P112">
        <f t="shared" si="2"/>
        <v>10.6</v>
      </c>
    </row>
    <row r="113" spans="10:16">
      <c r="J113" s="5"/>
      <c r="L113">
        <f>RAVLT_Rec!M113</f>
        <v>-1.245114286</v>
      </c>
      <c r="M113">
        <f>RAVLT_Rec!N113</f>
        <v>10.7</v>
      </c>
      <c r="O113" t="e">
        <f>ABS(L113-RAVLT_Rec!$C$34)</f>
        <v>#REF!</v>
      </c>
      <c r="P113">
        <f t="shared" si="2"/>
        <v>10.7</v>
      </c>
    </row>
    <row r="114" spans="10:16">
      <c r="J114" s="5"/>
      <c r="L114">
        <f>RAVLT_Rec!M114</f>
        <v>-1.2448957839999999</v>
      </c>
      <c r="M114">
        <f>RAVLT_Rec!N114</f>
        <v>10.8</v>
      </c>
      <c r="O114" t="e">
        <f>ABS(L114-RAVLT_Rec!$C$34)</f>
        <v>#REF!</v>
      </c>
      <c r="P114">
        <f t="shared" si="2"/>
        <v>10.8</v>
      </c>
    </row>
    <row r="115" spans="10:16">
      <c r="J115" s="5"/>
      <c r="L115">
        <f>RAVLT_Rec!M115</f>
        <v>-1.2446772820000001</v>
      </c>
      <c r="M115">
        <f>RAVLT_Rec!N115</f>
        <v>10.9</v>
      </c>
      <c r="O115" t="e">
        <f>ABS(L115-RAVLT_Rec!$C$34)</f>
        <v>#REF!</v>
      </c>
      <c r="P115">
        <f t="shared" si="2"/>
        <v>10.9</v>
      </c>
    </row>
    <row r="116" spans="10:16">
      <c r="J116" s="5"/>
      <c r="L116">
        <f>RAVLT_Rec!M116</f>
        <v>-1.2446140000000001</v>
      </c>
      <c r="M116">
        <f>RAVLT_Rec!N116</f>
        <v>11</v>
      </c>
      <c r="O116" t="e">
        <f>ABS(L116-RAVLT_Rec!$C$34)</f>
        <v>#REF!</v>
      </c>
      <c r="P116">
        <f t="shared" si="2"/>
        <v>11</v>
      </c>
    </row>
    <row r="117" spans="10:16">
      <c r="J117" s="5"/>
      <c r="L117">
        <f>RAVLT_Rec!M117</f>
        <v>-1.2446140000000001</v>
      </c>
      <c r="M117">
        <f>RAVLT_Rec!N117</f>
        <v>11.1</v>
      </c>
      <c r="O117" t="e">
        <f>ABS(L117-RAVLT_Rec!$C$34)</f>
        <v>#REF!</v>
      </c>
      <c r="P117">
        <f t="shared" si="2"/>
        <v>11.1</v>
      </c>
    </row>
    <row r="118" spans="10:16">
      <c r="J118" s="5"/>
      <c r="L118">
        <f>RAVLT_Rec!M118</f>
        <v>-1.2446140000000001</v>
      </c>
      <c r="M118">
        <f>RAVLT_Rec!N118</f>
        <v>11.2</v>
      </c>
      <c r="O118" t="e">
        <f>ABS(L118-RAVLT_Rec!$C$34)</f>
        <v>#REF!</v>
      </c>
      <c r="P118">
        <f t="shared" si="2"/>
        <v>11.2</v>
      </c>
    </row>
    <row r="119" spans="10:16">
      <c r="J119" s="5"/>
      <c r="L119">
        <f>RAVLT_Rec!M119</f>
        <v>-1.2246057379999999</v>
      </c>
      <c r="M119">
        <f>RAVLT_Rec!N119</f>
        <v>11.3</v>
      </c>
      <c r="O119" t="e">
        <f>ABS(L119-RAVLT_Rec!$C$34)</f>
        <v>#REF!</v>
      </c>
      <c r="P119">
        <f t="shared" si="2"/>
        <v>11.3</v>
      </c>
    </row>
    <row r="120" spans="10:16">
      <c r="J120" s="5"/>
      <c r="L120">
        <f>RAVLT_Rec!M120</f>
        <v>-1.204150364</v>
      </c>
      <c r="M120">
        <f>RAVLT_Rec!N120</f>
        <v>11.4</v>
      </c>
      <c r="O120" t="e">
        <f>ABS(L120-RAVLT_Rec!$C$34)</f>
        <v>#REF!</v>
      </c>
      <c r="P120">
        <f t="shared" si="2"/>
        <v>11.4</v>
      </c>
    </row>
    <row r="121" spans="10:16">
      <c r="J121" s="5"/>
      <c r="L121">
        <f>RAVLT_Rec!M121</f>
        <v>-1.188725</v>
      </c>
      <c r="M121">
        <f>RAVLT_Rec!N121</f>
        <v>11.5</v>
      </c>
      <c r="O121" t="e">
        <f>ABS(L121-RAVLT_Rec!$C$34)</f>
        <v>#REF!</v>
      </c>
      <c r="P121">
        <f t="shared" si="2"/>
        <v>11.5</v>
      </c>
    </row>
    <row r="122" spans="10:16">
      <c r="J122" s="5"/>
      <c r="L122">
        <f>RAVLT_Rec!M122</f>
        <v>-1.188725</v>
      </c>
      <c r="M122">
        <f>RAVLT_Rec!N122</f>
        <v>11.6</v>
      </c>
      <c r="O122" t="e">
        <f>ABS(L122-RAVLT_Rec!$C$34)</f>
        <v>#REF!</v>
      </c>
      <c r="P122">
        <f t="shared" si="2"/>
        <v>11.6</v>
      </c>
    </row>
    <row r="123" spans="10:16">
      <c r="J123" s="5"/>
      <c r="L123">
        <f>RAVLT_Rec!M123</f>
        <v>-1.188725</v>
      </c>
      <c r="M123">
        <f>RAVLT_Rec!N123</f>
        <v>11.7</v>
      </c>
      <c r="O123" t="e">
        <f>ABS(L123-RAVLT_Rec!$C$34)</f>
        <v>#REF!</v>
      </c>
      <c r="P123">
        <f t="shared" si="2"/>
        <v>11.7</v>
      </c>
    </row>
    <row r="124" spans="10:16">
      <c r="J124" s="5"/>
      <c r="L124">
        <f>RAVLT_Rec!M124</f>
        <v>-1.1790407439999999</v>
      </c>
      <c r="M124">
        <f>RAVLT_Rec!N124</f>
        <v>11.8</v>
      </c>
      <c r="O124" t="e">
        <f>ABS(L124-RAVLT_Rec!$C$34)</f>
        <v>#REF!</v>
      </c>
      <c r="P124">
        <f t="shared" si="2"/>
        <v>11.8</v>
      </c>
    </row>
    <row r="125" spans="10:16">
      <c r="J125" s="5"/>
      <c r="L125">
        <f>RAVLT_Rec!M125</f>
        <v>-1.1601873519999999</v>
      </c>
      <c r="M125">
        <f>RAVLT_Rec!N125</f>
        <v>11.9</v>
      </c>
      <c r="O125" t="e">
        <f>ABS(L125-RAVLT_Rec!$C$34)</f>
        <v>#REF!</v>
      </c>
      <c r="P125">
        <f t="shared" si="2"/>
        <v>11.9</v>
      </c>
    </row>
    <row r="126" spans="10:16">
      <c r="J126" s="5"/>
      <c r="L126">
        <f>RAVLT_Rec!M126</f>
        <v>-1.1413339600000001</v>
      </c>
      <c r="M126">
        <f>RAVLT_Rec!N126</f>
        <v>12</v>
      </c>
      <c r="O126" t="e">
        <f>ABS(L126-RAVLT_Rec!$C$34)</f>
        <v>#REF!</v>
      </c>
      <c r="P126">
        <f t="shared" si="2"/>
        <v>12</v>
      </c>
    </row>
    <row r="127" spans="10:16">
      <c r="J127" s="5"/>
      <c r="L127">
        <f>RAVLT_Rec!M127</f>
        <v>-1.134546622</v>
      </c>
      <c r="M127">
        <f>RAVLT_Rec!N127</f>
        <v>12.1</v>
      </c>
      <c r="O127" t="e">
        <f>ABS(L127-RAVLT_Rec!$C$34)</f>
        <v>#REF!</v>
      </c>
      <c r="P127">
        <f t="shared" si="2"/>
        <v>12.1</v>
      </c>
    </row>
    <row r="128" spans="10:16">
      <c r="J128" s="5"/>
      <c r="L128">
        <f>RAVLT_Rec!M128</f>
        <v>-1.131134404</v>
      </c>
      <c r="M128">
        <f>RAVLT_Rec!N128</f>
        <v>12.2</v>
      </c>
      <c r="O128" t="e">
        <f>ABS(L128-RAVLT_Rec!$C$34)</f>
        <v>#REF!</v>
      </c>
      <c r="P128">
        <f t="shared" si="2"/>
        <v>12.2</v>
      </c>
    </row>
    <row r="129" spans="10:16">
      <c r="J129" s="5"/>
      <c r="L129">
        <f>RAVLT_Rec!M129</f>
        <v>-1.1271134620000001</v>
      </c>
      <c r="M129">
        <f>RAVLT_Rec!N129</f>
        <v>12.3</v>
      </c>
      <c r="O129" t="e">
        <f>ABS(L129-RAVLT_Rec!$C$34)</f>
        <v>#REF!</v>
      </c>
      <c r="P129">
        <f t="shared" si="2"/>
        <v>12.3</v>
      </c>
    </row>
    <row r="130" spans="10:16">
      <c r="J130" s="5"/>
      <c r="L130">
        <f>RAVLT_Rec!M130</f>
        <v>-1.1113238560000001</v>
      </c>
      <c r="M130">
        <f>RAVLT_Rec!N130</f>
        <v>12.4</v>
      </c>
      <c r="O130" t="e">
        <f>ABS(L130-RAVLT_Rec!$C$34)</f>
        <v>#REF!</v>
      </c>
      <c r="P130">
        <f t="shared" si="2"/>
        <v>12.4</v>
      </c>
    </row>
    <row r="131" spans="10:16">
      <c r="J131" s="5"/>
      <c r="L131">
        <f>RAVLT_Rec!M131</f>
        <v>-1.09553425</v>
      </c>
      <c r="M131">
        <f>RAVLT_Rec!N131</f>
        <v>12.5</v>
      </c>
      <c r="O131" t="e">
        <f>ABS(L131-RAVLT_Rec!$C$34)</f>
        <v>#REF!</v>
      </c>
      <c r="P131">
        <f t="shared" si="2"/>
        <v>12.5</v>
      </c>
    </row>
    <row r="132" spans="10:16">
      <c r="J132" s="5"/>
      <c r="L132">
        <f>RAVLT_Rec!M132</f>
        <v>-1.082306736</v>
      </c>
      <c r="M132">
        <f>RAVLT_Rec!N132</f>
        <v>12.6</v>
      </c>
      <c r="O132" t="e">
        <f>ABS(L132-RAVLT_Rec!$C$34)</f>
        <v>#REF!</v>
      </c>
      <c r="P132">
        <f t="shared" si="2"/>
        <v>12.6</v>
      </c>
    </row>
    <row r="133" spans="10:16">
      <c r="J133" s="5"/>
      <c r="L133">
        <f>RAVLT_Rec!M133</f>
        <v>-1.074600972</v>
      </c>
      <c r="M133">
        <f>RAVLT_Rec!N133</f>
        <v>12.7</v>
      </c>
      <c r="O133" t="e">
        <f>ABS(L133-RAVLT_Rec!$C$34)</f>
        <v>#REF!</v>
      </c>
      <c r="P133">
        <f t="shared" si="2"/>
        <v>12.7</v>
      </c>
    </row>
    <row r="134" spans="10:16">
      <c r="J134" s="5"/>
      <c r="L134">
        <f>RAVLT_Rec!M134</f>
        <v>-1.066895208</v>
      </c>
      <c r="M134">
        <f>RAVLT_Rec!N134</f>
        <v>12.8</v>
      </c>
      <c r="O134" t="e">
        <f>ABS(L134-RAVLT_Rec!$C$34)</f>
        <v>#REF!</v>
      </c>
      <c r="P134">
        <f t="shared" si="2"/>
        <v>12.8</v>
      </c>
    </row>
    <row r="135" spans="10:16">
      <c r="J135" s="5"/>
      <c r="L135">
        <f>RAVLT_Rec!M135</f>
        <v>-1.0636950000000001</v>
      </c>
      <c r="M135">
        <f>RAVLT_Rec!N135</f>
        <v>12.9</v>
      </c>
      <c r="O135" t="e">
        <f>ABS(L135-RAVLT_Rec!$C$34)</f>
        <v>#REF!</v>
      </c>
      <c r="P135">
        <f t="shared" ref="P135:P198" si="3">M135</f>
        <v>12.9</v>
      </c>
    </row>
    <row r="136" spans="10:16">
      <c r="J136" s="5"/>
      <c r="L136">
        <f>RAVLT_Rec!M136</f>
        <v>-1.0636950000000001</v>
      </c>
      <c r="M136">
        <f>RAVLT_Rec!N136</f>
        <v>13</v>
      </c>
      <c r="O136" t="e">
        <f>ABS(L136-RAVLT_Rec!$C$34)</f>
        <v>#REF!</v>
      </c>
      <c r="P136">
        <f t="shared" si="3"/>
        <v>13</v>
      </c>
    </row>
    <row r="137" spans="10:16">
      <c r="J137" s="5"/>
      <c r="L137">
        <f>RAVLT_Rec!M137</f>
        <v>-1.0636950000000001</v>
      </c>
      <c r="M137">
        <f>RAVLT_Rec!N137</f>
        <v>13.1</v>
      </c>
      <c r="O137" t="e">
        <f>ABS(L137-RAVLT_Rec!$C$34)</f>
        <v>#REF!</v>
      </c>
      <c r="P137">
        <f t="shared" si="3"/>
        <v>13.1</v>
      </c>
    </row>
    <row r="138" spans="10:16">
      <c r="J138" s="5"/>
      <c r="L138">
        <f>RAVLT_Rec!M138</f>
        <v>-1.0636950000000001</v>
      </c>
      <c r="M138">
        <f>RAVLT_Rec!N138</f>
        <v>13.2</v>
      </c>
      <c r="O138" t="e">
        <f>ABS(L138-RAVLT_Rec!$C$34)</f>
        <v>#REF!</v>
      </c>
      <c r="P138">
        <f t="shared" si="3"/>
        <v>13.2</v>
      </c>
    </row>
    <row r="139" spans="10:16">
      <c r="J139" s="5"/>
      <c r="L139">
        <f>RAVLT_Rec!M139</f>
        <v>-1.0636950000000001</v>
      </c>
      <c r="M139">
        <f>RAVLT_Rec!N139</f>
        <v>13.3</v>
      </c>
      <c r="O139" t="e">
        <f>ABS(L139-RAVLT_Rec!$C$34)</f>
        <v>#REF!</v>
      </c>
      <c r="P139">
        <f t="shared" si="3"/>
        <v>13.3</v>
      </c>
    </row>
    <row r="140" spans="10:16">
      <c r="J140" s="5"/>
      <c r="L140">
        <f>RAVLT_Rec!M140</f>
        <v>-1.063691612</v>
      </c>
      <c r="M140">
        <f>RAVLT_Rec!N140</f>
        <v>13.4</v>
      </c>
      <c r="O140" t="e">
        <f>ABS(L140-RAVLT_Rec!$C$34)</f>
        <v>#REF!</v>
      </c>
      <c r="P140">
        <f t="shared" si="3"/>
        <v>13.4</v>
      </c>
    </row>
    <row r="141" spans="10:16">
      <c r="J141" s="5"/>
      <c r="L141">
        <f>RAVLT_Rec!M141</f>
        <v>-1.0636634300000001</v>
      </c>
      <c r="M141">
        <f>RAVLT_Rec!N141</f>
        <v>13.5</v>
      </c>
      <c r="O141" t="e">
        <f>ABS(L141-RAVLT_Rec!$C$34)</f>
        <v>#REF!</v>
      </c>
      <c r="P141">
        <f t="shared" si="3"/>
        <v>13.5</v>
      </c>
    </row>
    <row r="142" spans="10:16">
      <c r="J142" s="5"/>
      <c r="L142">
        <f>RAVLT_Rec!M142</f>
        <v>-1.063635248</v>
      </c>
      <c r="M142">
        <f>RAVLT_Rec!N142</f>
        <v>13.6</v>
      </c>
      <c r="O142" t="e">
        <f>ABS(L142-RAVLT_Rec!$C$34)</f>
        <v>#REF!</v>
      </c>
      <c r="P142">
        <f t="shared" si="3"/>
        <v>13.6</v>
      </c>
    </row>
    <row r="143" spans="10:16">
      <c r="J143" s="5"/>
      <c r="L143">
        <f>RAVLT_Rec!M143</f>
        <v>-1.063618</v>
      </c>
      <c r="M143">
        <f>RAVLT_Rec!N143</f>
        <v>13.7</v>
      </c>
      <c r="O143" t="e">
        <f>ABS(L143-RAVLT_Rec!$C$34)</f>
        <v>#REF!</v>
      </c>
      <c r="P143">
        <f t="shared" si="3"/>
        <v>13.7</v>
      </c>
    </row>
    <row r="144" spans="10:16">
      <c r="J144" s="5"/>
      <c r="L144">
        <f>RAVLT_Rec!M144</f>
        <v>-1.063618</v>
      </c>
      <c r="M144">
        <f>RAVLT_Rec!N144</f>
        <v>13.8</v>
      </c>
      <c r="O144" t="e">
        <f>ABS(L144-RAVLT_Rec!$C$34)</f>
        <v>#REF!</v>
      </c>
      <c r="P144">
        <f t="shared" si="3"/>
        <v>13.8</v>
      </c>
    </row>
    <row r="145" spans="10:16">
      <c r="J145" s="5"/>
      <c r="L145">
        <f>RAVLT_Rec!M145</f>
        <v>-1.063618</v>
      </c>
      <c r="M145">
        <f>RAVLT_Rec!N145</f>
        <v>13.9</v>
      </c>
      <c r="O145" t="e">
        <f>ABS(L145-RAVLT_Rec!$C$34)</f>
        <v>#REF!</v>
      </c>
      <c r="P145">
        <f t="shared" si="3"/>
        <v>13.9</v>
      </c>
    </row>
    <row r="146" spans="10:16">
      <c r="J146" s="5"/>
      <c r="L146">
        <f>RAVLT_Rec!M146</f>
        <v>-1.063618</v>
      </c>
      <c r="M146">
        <f>RAVLT_Rec!N146</f>
        <v>14</v>
      </c>
      <c r="O146" t="e">
        <f>ABS(L146-RAVLT_Rec!$C$34)</f>
        <v>#REF!</v>
      </c>
      <c r="P146">
        <f t="shared" si="3"/>
        <v>14</v>
      </c>
    </row>
    <row r="147" spans="10:16">
      <c r="J147" s="5"/>
      <c r="L147">
        <f>RAVLT_Rec!M147</f>
        <v>-1.063618</v>
      </c>
      <c r="M147">
        <f>RAVLT_Rec!N147</f>
        <v>14.1</v>
      </c>
      <c r="O147" t="e">
        <f>ABS(L147-RAVLT_Rec!$C$34)</f>
        <v>#REF!</v>
      </c>
      <c r="P147">
        <f t="shared" si="3"/>
        <v>14.1</v>
      </c>
    </row>
    <row r="148" spans="10:16">
      <c r="J148" s="5"/>
      <c r="L148">
        <f>RAVLT_Rec!M148</f>
        <v>-1.063618</v>
      </c>
      <c r="M148">
        <f>RAVLT_Rec!N148</f>
        <v>14.2</v>
      </c>
      <c r="O148" t="e">
        <f>ABS(L148-RAVLT_Rec!$C$34)</f>
        <v>#REF!</v>
      </c>
      <c r="P148">
        <f t="shared" si="3"/>
        <v>14.2</v>
      </c>
    </row>
    <row r="149" spans="10:16">
      <c r="J149" s="5"/>
      <c r="L149">
        <f>RAVLT_Rec!M149</f>
        <v>-1.063618</v>
      </c>
      <c r="M149">
        <f>RAVLT_Rec!N149</f>
        <v>14.3</v>
      </c>
      <c r="O149" t="e">
        <f>ABS(L149-RAVLT_Rec!$C$34)</f>
        <v>#REF!</v>
      </c>
      <c r="P149">
        <f t="shared" si="3"/>
        <v>14.3</v>
      </c>
    </row>
    <row r="150" spans="10:16">
      <c r="J150" s="5"/>
      <c r="L150">
        <f>RAVLT_Rec!M150</f>
        <v>-1.063618</v>
      </c>
      <c r="M150">
        <f>RAVLT_Rec!N150</f>
        <v>14.4</v>
      </c>
      <c r="O150" t="e">
        <f>ABS(L150-RAVLT_Rec!$C$34)</f>
        <v>#REF!</v>
      </c>
      <c r="P150">
        <f t="shared" si="3"/>
        <v>14.4</v>
      </c>
    </row>
    <row r="151" spans="10:16">
      <c r="J151" s="5"/>
      <c r="L151">
        <f>RAVLT_Rec!M151</f>
        <v>-1.063618</v>
      </c>
      <c r="M151">
        <f>RAVLT_Rec!N151</f>
        <v>14.5</v>
      </c>
      <c r="O151" t="e">
        <f>ABS(L151-RAVLT_Rec!$C$34)</f>
        <v>#REF!</v>
      </c>
      <c r="P151">
        <f t="shared" si="3"/>
        <v>14.5</v>
      </c>
    </row>
    <row r="152" spans="10:16">
      <c r="J152" s="5"/>
      <c r="L152">
        <f>RAVLT_Rec!M152</f>
        <v>-1.063618</v>
      </c>
      <c r="M152">
        <f>RAVLT_Rec!N152</f>
        <v>14.6</v>
      </c>
      <c r="O152" t="e">
        <f>ABS(L152-RAVLT_Rec!$C$34)</f>
        <v>#REF!</v>
      </c>
      <c r="P152">
        <f t="shared" si="3"/>
        <v>14.6</v>
      </c>
    </row>
    <row r="153" spans="10:16">
      <c r="J153" s="5"/>
      <c r="L153">
        <f>RAVLT_Rec!M153</f>
        <v>-1.063618</v>
      </c>
      <c r="M153">
        <f>RAVLT_Rec!N153</f>
        <v>14.7</v>
      </c>
      <c r="O153" t="e">
        <f>ABS(L153-RAVLT_Rec!$C$34)</f>
        <v>#REF!</v>
      </c>
      <c r="P153">
        <f t="shared" si="3"/>
        <v>14.7</v>
      </c>
    </row>
    <row r="154" spans="10:16">
      <c r="J154" s="5"/>
      <c r="L154">
        <f>RAVLT_Rec!M154</f>
        <v>-1.0607764479999999</v>
      </c>
      <c r="M154">
        <f>RAVLT_Rec!N154</f>
        <v>14.8</v>
      </c>
      <c r="O154" t="e">
        <f>ABS(L154-RAVLT_Rec!$C$34)</f>
        <v>#REF!</v>
      </c>
      <c r="P154">
        <f t="shared" si="3"/>
        <v>14.8</v>
      </c>
    </row>
    <row r="155" spans="10:16">
      <c r="J155" s="5"/>
      <c r="L155">
        <f>RAVLT_Rec!M155</f>
        <v>-1.054585924</v>
      </c>
      <c r="M155">
        <f>RAVLT_Rec!N155</f>
        <v>14.9</v>
      </c>
      <c r="O155" t="e">
        <f>ABS(L155-RAVLT_Rec!$C$34)</f>
        <v>#REF!</v>
      </c>
      <c r="P155">
        <f t="shared" si="3"/>
        <v>14.9</v>
      </c>
    </row>
    <row r="156" spans="10:16">
      <c r="J156" s="5"/>
      <c r="L156">
        <f>RAVLT_Rec!M156</f>
        <v>-1.0483954</v>
      </c>
      <c r="M156">
        <f>RAVLT_Rec!N156</f>
        <v>15</v>
      </c>
      <c r="O156" t="e">
        <f>ABS(L156-RAVLT_Rec!$C$34)</f>
        <v>#REF!</v>
      </c>
      <c r="P156">
        <f t="shared" si="3"/>
        <v>15</v>
      </c>
    </row>
    <row r="157" spans="10:16">
      <c r="J157" s="5"/>
      <c r="L157">
        <f>RAVLT_Rec!M157</f>
        <v>-1.0428701419999999</v>
      </c>
      <c r="M157">
        <f>RAVLT_Rec!N157</f>
        <v>15.1</v>
      </c>
      <c r="O157" t="e">
        <f>ABS(L157-RAVLT_Rec!$C$34)</f>
        <v>#REF!</v>
      </c>
      <c r="P157">
        <f t="shared" si="3"/>
        <v>15.1</v>
      </c>
    </row>
    <row r="158" spans="10:16">
      <c r="J158" s="5"/>
      <c r="L158">
        <f>RAVLT_Rec!M158</f>
        <v>-1.0375949840000001</v>
      </c>
      <c r="M158">
        <f>RAVLT_Rec!N158</f>
        <v>15.2</v>
      </c>
      <c r="O158" t="e">
        <f>ABS(L158-RAVLT_Rec!$C$34)</f>
        <v>#REF!</v>
      </c>
      <c r="P158">
        <f t="shared" si="3"/>
        <v>15.2</v>
      </c>
    </row>
    <row r="159" spans="10:16">
      <c r="J159" s="5"/>
      <c r="L159">
        <f>RAVLT_Rec!M159</f>
        <v>-1.0323198259999999</v>
      </c>
      <c r="M159">
        <f>RAVLT_Rec!N159</f>
        <v>15.3</v>
      </c>
      <c r="O159" t="e">
        <f>ABS(L159-RAVLT_Rec!$C$34)</f>
        <v>#REF!</v>
      </c>
      <c r="P159">
        <f t="shared" si="3"/>
        <v>15.3</v>
      </c>
    </row>
    <row r="160" spans="10:16">
      <c r="J160" s="5"/>
      <c r="L160">
        <f>RAVLT_Rec!M160</f>
        <v>-1.0277195240000001</v>
      </c>
      <c r="M160">
        <f>RAVLT_Rec!N160</f>
        <v>15.4</v>
      </c>
      <c r="O160" t="e">
        <f>ABS(L160-RAVLT_Rec!$C$34)</f>
        <v>#REF!</v>
      </c>
      <c r="P160">
        <f t="shared" si="3"/>
        <v>15.4</v>
      </c>
    </row>
    <row r="161" spans="10:16">
      <c r="J161" s="5"/>
      <c r="L161">
        <f>RAVLT_Rec!M161</f>
        <v>-1.02312293</v>
      </c>
      <c r="M161">
        <f>RAVLT_Rec!N161</f>
        <v>15.5</v>
      </c>
      <c r="O161" t="e">
        <f>ABS(L161-RAVLT_Rec!$C$34)</f>
        <v>#REF!</v>
      </c>
      <c r="P161">
        <f t="shared" si="3"/>
        <v>15.5</v>
      </c>
    </row>
    <row r="162" spans="10:16">
      <c r="J162" s="5"/>
      <c r="L162">
        <f>RAVLT_Rec!M162</f>
        <v>-1.018643744</v>
      </c>
      <c r="M162">
        <f>RAVLT_Rec!N162</f>
        <v>15.6</v>
      </c>
      <c r="O162" t="e">
        <f>ABS(L162-RAVLT_Rec!$C$34)</f>
        <v>#REF!</v>
      </c>
      <c r="P162">
        <f t="shared" si="3"/>
        <v>15.6</v>
      </c>
    </row>
    <row r="163" spans="10:16">
      <c r="J163" s="5"/>
      <c r="L163">
        <f>RAVLT_Rec!M163</f>
        <v>-1.014494768</v>
      </c>
      <c r="M163">
        <f>RAVLT_Rec!N163</f>
        <v>15.7</v>
      </c>
      <c r="O163" t="e">
        <f>ABS(L163-RAVLT_Rec!$C$34)</f>
        <v>#REF!</v>
      </c>
      <c r="P163">
        <f t="shared" si="3"/>
        <v>15.7</v>
      </c>
    </row>
    <row r="164" spans="10:16">
      <c r="J164" s="5"/>
      <c r="L164">
        <f>RAVLT_Rec!M164</f>
        <v>-1.0103457920000001</v>
      </c>
      <c r="M164">
        <f>RAVLT_Rec!N164</f>
        <v>15.8</v>
      </c>
      <c r="O164" t="e">
        <f>ABS(L164-RAVLT_Rec!$C$34)</f>
        <v>#REF!</v>
      </c>
      <c r="P164">
        <f t="shared" si="3"/>
        <v>15.8</v>
      </c>
    </row>
    <row r="165" spans="10:16">
      <c r="J165" s="5"/>
      <c r="L165">
        <f>RAVLT_Rec!M165</f>
        <v>-1.0063091420000001</v>
      </c>
      <c r="M165">
        <f>RAVLT_Rec!N165</f>
        <v>15.9</v>
      </c>
      <c r="O165" t="e">
        <f>ABS(L165-RAVLT_Rec!$C$34)</f>
        <v>#REF!</v>
      </c>
      <c r="P165">
        <f t="shared" si="3"/>
        <v>15.9</v>
      </c>
    </row>
    <row r="166" spans="10:16">
      <c r="J166" s="5"/>
      <c r="L166">
        <f>RAVLT_Rec!M166</f>
        <v>-1.00237208</v>
      </c>
      <c r="M166">
        <f>RAVLT_Rec!N166</f>
        <v>16</v>
      </c>
      <c r="O166" t="e">
        <f>ABS(L166-RAVLT_Rec!$C$34)</f>
        <v>#REF!</v>
      </c>
      <c r="P166">
        <f t="shared" si="3"/>
        <v>16</v>
      </c>
    </row>
    <row r="167" spans="10:16">
      <c r="J167" s="5"/>
      <c r="L167">
        <f>RAVLT_Rec!M167</f>
        <v>-0.99843501800000001</v>
      </c>
      <c r="M167">
        <f>RAVLT_Rec!N167</f>
        <v>16.100000000000001</v>
      </c>
      <c r="O167" t="e">
        <f>ABS(L167-RAVLT_Rec!$C$34)</f>
        <v>#REF!</v>
      </c>
      <c r="P167">
        <f t="shared" si="3"/>
        <v>16.100000000000001</v>
      </c>
    </row>
    <row r="168" spans="10:16">
      <c r="J168" s="5"/>
      <c r="L168">
        <f>RAVLT_Rec!M168</f>
        <v>-0.994468464</v>
      </c>
      <c r="M168">
        <f>RAVLT_Rec!N168</f>
        <v>16.2</v>
      </c>
      <c r="O168" t="e">
        <f>ABS(L168-RAVLT_Rec!$C$34)</f>
        <v>#REF!</v>
      </c>
      <c r="P168">
        <f t="shared" si="3"/>
        <v>16.2</v>
      </c>
    </row>
    <row r="169" spans="10:16">
      <c r="J169" s="5"/>
      <c r="L169">
        <f>RAVLT_Rec!M169</f>
        <v>-0.99049443599999998</v>
      </c>
      <c r="M169">
        <f>RAVLT_Rec!N169</f>
        <v>16.3</v>
      </c>
      <c r="O169" t="e">
        <f>ABS(L169-RAVLT_Rec!$C$34)</f>
        <v>#REF!</v>
      </c>
      <c r="P169">
        <f t="shared" si="3"/>
        <v>16.3</v>
      </c>
    </row>
    <row r="170" spans="10:16">
      <c r="J170" s="5"/>
      <c r="L170">
        <f>RAVLT_Rec!M170</f>
        <v>-0.98650048800000001</v>
      </c>
      <c r="M170">
        <f>RAVLT_Rec!N170</f>
        <v>16.399999999999999</v>
      </c>
      <c r="O170" t="e">
        <f>ABS(L170-RAVLT_Rec!$C$34)</f>
        <v>#REF!</v>
      </c>
      <c r="P170">
        <f t="shared" si="3"/>
        <v>16.399999999999999</v>
      </c>
    </row>
    <row r="171" spans="10:16">
      <c r="J171" s="5"/>
      <c r="L171">
        <f>RAVLT_Rec!M171</f>
        <v>-0.98222268000000001</v>
      </c>
      <c r="M171">
        <f>RAVLT_Rec!N171</f>
        <v>16.5</v>
      </c>
      <c r="O171" t="e">
        <f>ABS(L171-RAVLT_Rec!$C$34)</f>
        <v>#REF!</v>
      </c>
      <c r="P171">
        <f t="shared" si="3"/>
        <v>16.5</v>
      </c>
    </row>
    <row r="172" spans="10:16">
      <c r="J172" s="5"/>
      <c r="L172">
        <f>RAVLT_Rec!M172</f>
        <v>-0.97794487200000002</v>
      </c>
      <c r="M172">
        <f>RAVLT_Rec!N172</f>
        <v>16.600000000000001</v>
      </c>
      <c r="O172" t="e">
        <f>ABS(L172-RAVLT_Rec!$C$34)</f>
        <v>#REF!</v>
      </c>
      <c r="P172">
        <f t="shared" si="3"/>
        <v>16.600000000000001</v>
      </c>
    </row>
    <row r="173" spans="10:16">
      <c r="J173" s="5"/>
      <c r="L173">
        <f>RAVLT_Rec!M173</f>
        <v>-0.97509299999999999</v>
      </c>
      <c r="M173">
        <f>RAVLT_Rec!N173</f>
        <v>16.7</v>
      </c>
      <c r="O173" t="e">
        <f>ABS(L173-RAVLT_Rec!$C$34)</f>
        <v>#REF!</v>
      </c>
      <c r="P173">
        <f t="shared" si="3"/>
        <v>16.7</v>
      </c>
    </row>
    <row r="174" spans="10:16">
      <c r="J174" s="5"/>
      <c r="L174">
        <f>RAVLT_Rec!M174</f>
        <v>-0.97509299999999999</v>
      </c>
      <c r="M174">
        <f>RAVLT_Rec!N174</f>
        <v>16.8</v>
      </c>
      <c r="O174" t="e">
        <f>ABS(L174-RAVLT_Rec!$C$34)</f>
        <v>#REF!</v>
      </c>
      <c r="P174">
        <f t="shared" si="3"/>
        <v>16.8</v>
      </c>
    </row>
    <row r="175" spans="10:16">
      <c r="J175" s="5"/>
      <c r="L175">
        <f>RAVLT_Rec!M175</f>
        <v>-0.97509299999999999</v>
      </c>
      <c r="M175">
        <f>RAVLT_Rec!N175</f>
        <v>16.899999999999999</v>
      </c>
      <c r="O175" t="e">
        <f>ABS(L175-RAVLT_Rec!$C$34)</f>
        <v>#REF!</v>
      </c>
      <c r="P175">
        <f t="shared" si="3"/>
        <v>16.899999999999999</v>
      </c>
    </row>
    <row r="176" spans="10:16">
      <c r="J176" s="5"/>
      <c r="L176">
        <f>RAVLT_Rec!M176</f>
        <v>-0.97216897999999996</v>
      </c>
      <c r="M176">
        <f>RAVLT_Rec!N176</f>
        <v>17</v>
      </c>
      <c r="O176" t="e">
        <f>ABS(L176-RAVLT_Rec!$C$34)</f>
        <v>#REF!</v>
      </c>
      <c r="P176">
        <f t="shared" si="3"/>
        <v>17</v>
      </c>
    </row>
    <row r="177" spans="10:16">
      <c r="J177" s="5"/>
      <c r="L177">
        <f>RAVLT_Rec!M177</f>
        <v>-0.96730447399999997</v>
      </c>
      <c r="M177">
        <f>RAVLT_Rec!N177</f>
        <v>17.100000000000001</v>
      </c>
      <c r="O177" t="e">
        <f>ABS(L177-RAVLT_Rec!$C$34)</f>
        <v>#REF!</v>
      </c>
      <c r="P177">
        <f t="shared" si="3"/>
        <v>17.100000000000001</v>
      </c>
    </row>
    <row r="178" spans="10:16">
      <c r="J178" s="5"/>
      <c r="L178">
        <f>RAVLT_Rec!M178</f>
        <v>-0.96243996799999998</v>
      </c>
      <c r="M178">
        <f>RAVLT_Rec!N178</f>
        <v>17.2</v>
      </c>
      <c r="O178" t="e">
        <f>ABS(L178-RAVLT_Rec!$C$34)</f>
        <v>#REF!</v>
      </c>
      <c r="P178">
        <f t="shared" si="3"/>
        <v>17.2</v>
      </c>
    </row>
    <row r="179" spans="10:16">
      <c r="J179" s="5"/>
      <c r="L179">
        <f>RAVLT_Rec!M179</f>
        <v>-0.96180200000000005</v>
      </c>
      <c r="M179">
        <f>RAVLT_Rec!N179</f>
        <v>17.3</v>
      </c>
      <c r="O179" t="e">
        <f>ABS(L179-RAVLT_Rec!$C$34)</f>
        <v>#REF!</v>
      </c>
      <c r="P179">
        <f t="shared" si="3"/>
        <v>17.3</v>
      </c>
    </row>
    <row r="180" spans="10:16">
      <c r="J180" s="5"/>
      <c r="L180">
        <f>RAVLT_Rec!M180</f>
        <v>-0.96180200000000005</v>
      </c>
      <c r="M180">
        <f>RAVLT_Rec!N180</f>
        <v>17.399999999999999</v>
      </c>
      <c r="O180" t="e">
        <f>ABS(L180-RAVLT_Rec!$C$34)</f>
        <v>#REF!</v>
      </c>
      <c r="P180">
        <f t="shared" si="3"/>
        <v>17.399999999999999</v>
      </c>
    </row>
    <row r="181" spans="10:16">
      <c r="J181" s="5"/>
      <c r="L181">
        <f>RAVLT_Rec!M181</f>
        <v>-0.96101729999999996</v>
      </c>
      <c r="M181">
        <f>RAVLT_Rec!N181</f>
        <v>17.5</v>
      </c>
      <c r="O181" t="e">
        <f>ABS(L181-RAVLT_Rec!$C$34)</f>
        <v>#REF!</v>
      </c>
      <c r="P181">
        <f t="shared" si="3"/>
        <v>17.5</v>
      </c>
    </row>
    <row r="182" spans="10:16">
      <c r="J182" s="5"/>
      <c r="L182">
        <f>RAVLT_Rec!M182</f>
        <v>-0.95527329599999999</v>
      </c>
      <c r="M182">
        <f>RAVLT_Rec!N182</f>
        <v>17.600000000000001</v>
      </c>
      <c r="O182" t="e">
        <f>ABS(L182-RAVLT_Rec!$C$34)</f>
        <v>#REF!</v>
      </c>
      <c r="P182">
        <f t="shared" si="3"/>
        <v>17.600000000000001</v>
      </c>
    </row>
    <row r="183" spans="10:16">
      <c r="J183" s="5"/>
      <c r="L183">
        <f>RAVLT_Rec!M183</f>
        <v>-0.94952929200000002</v>
      </c>
      <c r="M183">
        <f>RAVLT_Rec!N183</f>
        <v>17.7</v>
      </c>
      <c r="O183" t="e">
        <f>ABS(L183-RAVLT_Rec!$C$34)</f>
        <v>#REF!</v>
      </c>
      <c r="P183">
        <f t="shared" si="3"/>
        <v>17.7</v>
      </c>
    </row>
    <row r="184" spans="10:16">
      <c r="J184" s="5"/>
      <c r="L184">
        <f>RAVLT_Rec!M184</f>
        <v>-0.94610799999999995</v>
      </c>
      <c r="M184">
        <f>RAVLT_Rec!N184</f>
        <v>17.8</v>
      </c>
      <c r="O184" t="e">
        <f>ABS(L184-RAVLT_Rec!$C$34)</f>
        <v>#REF!</v>
      </c>
      <c r="P184">
        <f t="shared" si="3"/>
        <v>17.8</v>
      </c>
    </row>
    <row r="185" spans="10:16">
      <c r="J185" s="5"/>
      <c r="L185">
        <f>RAVLT_Rec!M185</f>
        <v>-0.94610799999999995</v>
      </c>
      <c r="M185">
        <f>RAVLT_Rec!N185</f>
        <v>17.899999999999999</v>
      </c>
      <c r="O185" t="e">
        <f>ABS(L185-RAVLT_Rec!$C$34)</f>
        <v>#REF!</v>
      </c>
      <c r="P185">
        <f t="shared" si="3"/>
        <v>17.899999999999999</v>
      </c>
    </row>
    <row r="186" spans="10:16">
      <c r="J186" s="5"/>
      <c r="L186">
        <f>RAVLT_Rec!M186</f>
        <v>-0.94610799999999995</v>
      </c>
      <c r="M186">
        <f>RAVLT_Rec!N186</f>
        <v>18</v>
      </c>
      <c r="O186" t="e">
        <f>ABS(L186-RAVLT_Rec!$C$34)</f>
        <v>#REF!</v>
      </c>
      <c r="P186">
        <f t="shared" si="3"/>
        <v>18</v>
      </c>
    </row>
    <row r="187" spans="10:16">
      <c r="J187" s="5"/>
      <c r="L187">
        <f>RAVLT_Rec!M187</f>
        <v>-0.94610799999999995</v>
      </c>
      <c r="M187">
        <f>RAVLT_Rec!N187</f>
        <v>18.100000000000001</v>
      </c>
      <c r="O187" t="e">
        <f>ABS(L187-RAVLT_Rec!$C$34)</f>
        <v>#REF!</v>
      </c>
      <c r="P187">
        <f t="shared" si="3"/>
        <v>18.100000000000001</v>
      </c>
    </row>
    <row r="188" spans="10:16">
      <c r="J188" s="5"/>
      <c r="L188">
        <f>RAVLT_Rec!M188</f>
        <v>-0.94610799999999995</v>
      </c>
      <c r="M188">
        <f>RAVLT_Rec!N188</f>
        <v>18.2</v>
      </c>
      <c r="O188" t="e">
        <f>ABS(L188-RAVLT_Rec!$C$34)</f>
        <v>#REF!</v>
      </c>
      <c r="P188">
        <f t="shared" si="3"/>
        <v>18.2</v>
      </c>
    </row>
    <row r="189" spans="10:16">
      <c r="J189" s="5"/>
      <c r="L189">
        <f>RAVLT_Rec!M189</f>
        <v>-0.94610799999999995</v>
      </c>
      <c r="M189">
        <f>RAVLT_Rec!N189</f>
        <v>18.3</v>
      </c>
      <c r="O189" t="e">
        <f>ABS(L189-RAVLT_Rec!$C$34)</f>
        <v>#REF!</v>
      </c>
      <c r="P189">
        <f t="shared" si="3"/>
        <v>18.3</v>
      </c>
    </row>
    <row r="190" spans="10:16">
      <c r="J190" s="5"/>
      <c r="L190">
        <f>RAVLT_Rec!M190</f>
        <v>-0.94610799999999995</v>
      </c>
      <c r="M190">
        <f>RAVLT_Rec!N190</f>
        <v>18.399999999999999</v>
      </c>
      <c r="O190" t="e">
        <f>ABS(L190-RAVLT_Rec!$C$34)</f>
        <v>#REF!</v>
      </c>
      <c r="P190">
        <f t="shared" si="3"/>
        <v>18.399999999999999</v>
      </c>
    </row>
    <row r="191" spans="10:16">
      <c r="J191" s="5"/>
      <c r="L191">
        <f>RAVLT_Rec!M191</f>
        <v>-0.94610799999999995</v>
      </c>
      <c r="M191">
        <f>RAVLT_Rec!N191</f>
        <v>18.5</v>
      </c>
      <c r="O191" t="e">
        <f>ABS(L191-RAVLT_Rec!$C$34)</f>
        <v>#REF!</v>
      </c>
      <c r="P191">
        <f t="shared" si="3"/>
        <v>18.5</v>
      </c>
    </row>
    <row r="192" spans="10:16">
      <c r="J192" s="5"/>
      <c r="L192">
        <f>RAVLT_Rec!M192</f>
        <v>-0.94562608400000003</v>
      </c>
      <c r="M192">
        <f>RAVLT_Rec!N192</f>
        <v>18.600000000000001</v>
      </c>
      <c r="O192" t="e">
        <f>ABS(L192-RAVLT_Rec!$C$34)</f>
        <v>#REF!</v>
      </c>
      <c r="P192">
        <f t="shared" si="3"/>
        <v>18.600000000000001</v>
      </c>
    </row>
    <row r="193" spans="10:16">
      <c r="J193" s="5"/>
      <c r="L193">
        <f>RAVLT_Rec!M193</f>
        <v>-0.94330527799999997</v>
      </c>
      <c r="M193">
        <f>RAVLT_Rec!N193</f>
        <v>18.7</v>
      </c>
      <c r="O193" t="e">
        <f>ABS(L193-RAVLT_Rec!$C$34)</f>
        <v>#REF!</v>
      </c>
      <c r="P193">
        <f t="shared" si="3"/>
        <v>18.7</v>
      </c>
    </row>
    <row r="194" spans="10:16">
      <c r="J194" s="5"/>
      <c r="L194">
        <f>RAVLT_Rec!M194</f>
        <v>-0.94098447200000002</v>
      </c>
      <c r="M194">
        <f>RAVLT_Rec!N194</f>
        <v>18.8</v>
      </c>
      <c r="O194" t="e">
        <f>ABS(L194-RAVLT_Rec!$C$34)</f>
        <v>#REF!</v>
      </c>
      <c r="P194">
        <f t="shared" si="3"/>
        <v>18.8</v>
      </c>
    </row>
    <row r="195" spans="10:16">
      <c r="J195" s="5"/>
      <c r="L195">
        <f>RAVLT_Rec!M195</f>
        <v>-0.93835794800000005</v>
      </c>
      <c r="M195">
        <f>RAVLT_Rec!N195</f>
        <v>18.899999999999999</v>
      </c>
      <c r="O195" t="e">
        <f>ABS(L195-RAVLT_Rec!$C$34)</f>
        <v>#REF!</v>
      </c>
      <c r="P195">
        <f t="shared" si="3"/>
        <v>18.899999999999999</v>
      </c>
    </row>
    <row r="196" spans="10:16">
      <c r="J196" s="5"/>
      <c r="L196">
        <f>RAVLT_Rec!M196</f>
        <v>-0.93539408000000002</v>
      </c>
      <c r="M196">
        <f>RAVLT_Rec!N196</f>
        <v>19</v>
      </c>
      <c r="O196" t="e">
        <f>ABS(L196-RAVLT_Rec!$C$34)</f>
        <v>#REF!</v>
      </c>
      <c r="P196">
        <f t="shared" si="3"/>
        <v>19</v>
      </c>
    </row>
    <row r="197" spans="10:16">
      <c r="J197" s="5"/>
      <c r="L197">
        <f>RAVLT_Rec!M197</f>
        <v>-0.93243021199999998</v>
      </c>
      <c r="M197">
        <f>RAVLT_Rec!N197</f>
        <v>19.100000000000001</v>
      </c>
      <c r="O197" t="e">
        <f>ABS(L197-RAVLT_Rec!$C$34)</f>
        <v>#REF!</v>
      </c>
      <c r="P197">
        <f t="shared" si="3"/>
        <v>19.100000000000001</v>
      </c>
    </row>
    <row r="198" spans="10:16">
      <c r="J198" s="5"/>
      <c r="L198">
        <f>RAVLT_Rec!M198</f>
        <v>-0.93046132000000004</v>
      </c>
      <c r="M198">
        <f>RAVLT_Rec!N198</f>
        <v>19.2</v>
      </c>
      <c r="O198" t="e">
        <f>ABS(L198-RAVLT_Rec!$C$34)</f>
        <v>#REF!</v>
      </c>
      <c r="P198">
        <f t="shared" si="3"/>
        <v>19.2</v>
      </c>
    </row>
    <row r="199" spans="10:16">
      <c r="J199" s="5"/>
      <c r="L199">
        <f>RAVLT_Rec!M199</f>
        <v>-0.92883627999999996</v>
      </c>
      <c r="M199">
        <f>RAVLT_Rec!N199</f>
        <v>19.3</v>
      </c>
      <c r="O199" t="e">
        <f>ABS(L199-RAVLT_Rec!$C$34)</f>
        <v>#REF!</v>
      </c>
      <c r="P199">
        <f t="shared" ref="P199:P262" si="4">M199</f>
        <v>19.3</v>
      </c>
    </row>
    <row r="200" spans="10:16">
      <c r="J200" s="5"/>
      <c r="L200">
        <f>RAVLT_Rec!M200</f>
        <v>-0.92713795200000004</v>
      </c>
      <c r="M200">
        <f>RAVLT_Rec!N200</f>
        <v>19.399999999999999</v>
      </c>
      <c r="O200" t="e">
        <f>ABS(L200-RAVLT_Rec!$C$34)</f>
        <v>#REF!</v>
      </c>
      <c r="P200">
        <f t="shared" si="4"/>
        <v>19.399999999999999</v>
      </c>
    </row>
    <row r="201" spans="10:16">
      <c r="J201" s="5"/>
      <c r="L201">
        <f>RAVLT_Rec!M201</f>
        <v>-0.91880706000000001</v>
      </c>
      <c r="M201">
        <f>RAVLT_Rec!N201</f>
        <v>19.5</v>
      </c>
      <c r="O201" t="e">
        <f>ABS(L201-RAVLT_Rec!$C$34)</f>
        <v>#REF!</v>
      </c>
      <c r="P201">
        <f t="shared" si="4"/>
        <v>19.5</v>
      </c>
    </row>
    <row r="202" spans="10:16">
      <c r="J202" s="5"/>
      <c r="L202">
        <f>RAVLT_Rec!M202</f>
        <v>-0.91047616799999997</v>
      </c>
      <c r="M202">
        <f>RAVLT_Rec!N202</f>
        <v>19.600000000000001</v>
      </c>
      <c r="O202" t="e">
        <f>ABS(L202-RAVLT_Rec!$C$34)</f>
        <v>#REF!</v>
      </c>
      <c r="P202">
        <f t="shared" si="4"/>
        <v>19.600000000000001</v>
      </c>
    </row>
    <row r="203" spans="10:16">
      <c r="J203" s="5"/>
      <c r="L203">
        <f>RAVLT_Rec!M203</f>
        <v>-0.90446700000000002</v>
      </c>
      <c r="M203">
        <f>RAVLT_Rec!N203</f>
        <v>19.7</v>
      </c>
      <c r="O203" t="e">
        <f>ABS(L203-RAVLT_Rec!$C$34)</f>
        <v>#REF!</v>
      </c>
      <c r="P203">
        <f t="shared" si="4"/>
        <v>19.7</v>
      </c>
    </row>
    <row r="204" spans="10:16">
      <c r="J204" s="5"/>
      <c r="L204">
        <f>RAVLT_Rec!M204</f>
        <v>-0.90446700000000002</v>
      </c>
      <c r="M204">
        <f>RAVLT_Rec!N204</f>
        <v>19.8</v>
      </c>
      <c r="O204" t="e">
        <f>ABS(L204-RAVLT_Rec!$C$34)</f>
        <v>#REF!</v>
      </c>
      <c r="P204">
        <f t="shared" si="4"/>
        <v>19.8</v>
      </c>
    </row>
    <row r="205" spans="10:16">
      <c r="J205" s="5"/>
      <c r="L205">
        <f>RAVLT_Rec!M205</f>
        <v>-0.90446700000000002</v>
      </c>
      <c r="M205">
        <f>RAVLT_Rec!N205</f>
        <v>19.899999999999999</v>
      </c>
      <c r="O205" t="e">
        <f>ABS(L205-RAVLT_Rec!$C$34)</f>
        <v>#REF!</v>
      </c>
      <c r="P205">
        <f t="shared" si="4"/>
        <v>19.899999999999999</v>
      </c>
    </row>
    <row r="206" spans="10:16">
      <c r="J206" s="5"/>
      <c r="L206">
        <f>RAVLT_Rec!M206</f>
        <v>-0.90446700000000002</v>
      </c>
      <c r="M206">
        <f>RAVLT_Rec!N206</f>
        <v>20</v>
      </c>
      <c r="O206" t="e">
        <f>ABS(L206-RAVLT_Rec!$C$34)</f>
        <v>#REF!</v>
      </c>
      <c r="P206">
        <f t="shared" si="4"/>
        <v>20</v>
      </c>
    </row>
    <row r="207" spans="10:16">
      <c r="J207" s="5"/>
      <c r="L207">
        <f>RAVLT_Rec!M207</f>
        <v>-0.90446700000000002</v>
      </c>
      <c r="M207">
        <f>RAVLT_Rec!N207</f>
        <v>20.100000000000001</v>
      </c>
      <c r="O207" t="e">
        <f>ABS(L207-RAVLT_Rec!$C$34)</f>
        <v>#REF!</v>
      </c>
      <c r="P207">
        <f t="shared" si="4"/>
        <v>20.100000000000001</v>
      </c>
    </row>
    <row r="208" spans="10:16">
      <c r="J208" s="5"/>
      <c r="L208">
        <f>RAVLT_Rec!M208</f>
        <v>-0.90446700000000002</v>
      </c>
      <c r="M208">
        <f>RAVLT_Rec!N208</f>
        <v>20.2</v>
      </c>
      <c r="O208" t="e">
        <f>ABS(L208-RAVLT_Rec!$C$34)</f>
        <v>#REF!</v>
      </c>
      <c r="P208">
        <f t="shared" si="4"/>
        <v>20.2</v>
      </c>
    </row>
    <row r="209" spans="10:16">
      <c r="J209" s="5"/>
      <c r="L209">
        <f>RAVLT_Rec!M209</f>
        <v>-0.90446700000000002</v>
      </c>
      <c r="M209">
        <f>RAVLT_Rec!N209</f>
        <v>20.3</v>
      </c>
      <c r="O209" t="e">
        <f>ABS(L209-RAVLT_Rec!$C$34)</f>
        <v>#REF!</v>
      </c>
      <c r="P209">
        <f t="shared" si="4"/>
        <v>20.3</v>
      </c>
    </row>
    <row r="210" spans="10:16">
      <c r="J210" s="5"/>
      <c r="L210">
        <f>RAVLT_Rec!M210</f>
        <v>-0.90446700000000002</v>
      </c>
      <c r="M210">
        <f>RAVLT_Rec!N210</f>
        <v>20.399999999999999</v>
      </c>
      <c r="O210" t="e">
        <f>ABS(L210-RAVLT_Rec!$C$34)</f>
        <v>#REF!</v>
      </c>
      <c r="P210">
        <f t="shared" si="4"/>
        <v>20.399999999999999</v>
      </c>
    </row>
    <row r="211" spans="10:16">
      <c r="J211" s="5"/>
      <c r="L211">
        <f>RAVLT_Rec!M211</f>
        <v>-0.90365192999999999</v>
      </c>
      <c r="M211">
        <f>RAVLT_Rec!N211</f>
        <v>20.5</v>
      </c>
      <c r="O211" t="e">
        <f>ABS(L211-RAVLT_Rec!$C$34)</f>
        <v>#REF!</v>
      </c>
      <c r="P211">
        <f t="shared" si="4"/>
        <v>20.5</v>
      </c>
    </row>
    <row r="212" spans="10:16">
      <c r="J212" s="5"/>
      <c r="L212">
        <f>RAVLT_Rec!M212</f>
        <v>-0.89370807600000002</v>
      </c>
      <c r="M212">
        <f>RAVLT_Rec!N212</f>
        <v>20.6</v>
      </c>
      <c r="O212" t="e">
        <f>ABS(L212-RAVLT_Rec!$C$34)</f>
        <v>#REF!</v>
      </c>
      <c r="P212">
        <f t="shared" si="4"/>
        <v>20.6</v>
      </c>
    </row>
    <row r="213" spans="10:16">
      <c r="J213" s="5"/>
      <c r="L213">
        <f>RAVLT_Rec!M213</f>
        <v>-0.88376422200000004</v>
      </c>
      <c r="M213">
        <f>RAVLT_Rec!N213</f>
        <v>20.7</v>
      </c>
      <c r="O213" t="e">
        <f>ABS(L213-RAVLT_Rec!$C$34)</f>
        <v>#REF!</v>
      </c>
      <c r="P213">
        <f t="shared" si="4"/>
        <v>20.7</v>
      </c>
    </row>
    <row r="214" spans="10:16">
      <c r="J214" s="5"/>
      <c r="L214">
        <f>RAVLT_Rec!M214</f>
        <v>-0.87729800000000002</v>
      </c>
      <c r="M214">
        <f>RAVLT_Rec!N214</f>
        <v>20.8</v>
      </c>
      <c r="O214" t="e">
        <f>ABS(L214-RAVLT_Rec!$C$34)</f>
        <v>#REF!</v>
      </c>
      <c r="P214">
        <f t="shared" si="4"/>
        <v>20.8</v>
      </c>
    </row>
    <row r="215" spans="10:16">
      <c r="J215" s="5"/>
      <c r="L215">
        <f>RAVLT_Rec!M215</f>
        <v>-0.87729800000000002</v>
      </c>
      <c r="M215">
        <f>RAVLT_Rec!N215</f>
        <v>20.9</v>
      </c>
      <c r="O215" t="e">
        <f>ABS(L215-RAVLT_Rec!$C$34)</f>
        <v>#REF!</v>
      </c>
      <c r="P215">
        <f t="shared" si="4"/>
        <v>20.9</v>
      </c>
    </row>
    <row r="216" spans="10:16">
      <c r="J216" s="5"/>
      <c r="L216">
        <f>RAVLT_Rec!M216</f>
        <v>-0.87729800000000002</v>
      </c>
      <c r="M216">
        <f>RAVLT_Rec!N216</f>
        <v>21</v>
      </c>
      <c r="O216" t="e">
        <f>ABS(L216-RAVLT_Rec!$C$34)</f>
        <v>#REF!</v>
      </c>
      <c r="P216">
        <f t="shared" si="4"/>
        <v>21</v>
      </c>
    </row>
    <row r="217" spans="10:16">
      <c r="J217" s="5"/>
      <c r="L217">
        <f>RAVLT_Rec!M217</f>
        <v>-0.87729800000000002</v>
      </c>
      <c r="M217">
        <f>RAVLT_Rec!N217</f>
        <v>21.1</v>
      </c>
      <c r="O217" t="e">
        <f>ABS(L217-RAVLT_Rec!$C$34)</f>
        <v>#REF!</v>
      </c>
      <c r="P217">
        <f t="shared" si="4"/>
        <v>21.1</v>
      </c>
    </row>
    <row r="218" spans="10:16">
      <c r="J218" s="5"/>
      <c r="L218">
        <f>RAVLT_Rec!M218</f>
        <v>-0.87729800000000002</v>
      </c>
      <c r="M218">
        <f>RAVLT_Rec!N218</f>
        <v>21.2</v>
      </c>
      <c r="O218" t="e">
        <f>ABS(L218-RAVLT_Rec!$C$34)</f>
        <v>#REF!</v>
      </c>
      <c r="P218">
        <f t="shared" si="4"/>
        <v>21.2</v>
      </c>
    </row>
    <row r="219" spans="10:16">
      <c r="J219" s="5"/>
      <c r="L219">
        <f>RAVLT_Rec!M219</f>
        <v>-0.87729800000000002</v>
      </c>
      <c r="M219">
        <f>RAVLT_Rec!N219</f>
        <v>21.3</v>
      </c>
      <c r="O219" t="e">
        <f>ABS(L219-RAVLT_Rec!$C$34)</f>
        <v>#REF!</v>
      </c>
      <c r="P219">
        <f t="shared" si="4"/>
        <v>21.3</v>
      </c>
    </row>
    <row r="220" spans="10:16">
      <c r="J220" s="5"/>
      <c r="L220">
        <f>RAVLT_Rec!M220</f>
        <v>-0.855169124</v>
      </c>
      <c r="M220">
        <f>RAVLT_Rec!N220</f>
        <v>21.4</v>
      </c>
      <c r="O220" t="e">
        <f>ABS(L220-RAVLT_Rec!$C$34)</f>
        <v>#REF!</v>
      </c>
      <c r="P220">
        <f t="shared" si="4"/>
        <v>21.4</v>
      </c>
    </row>
    <row r="221" spans="10:16">
      <c r="J221" s="5"/>
      <c r="L221">
        <f>RAVLT_Rec!M221</f>
        <v>-0.83017169000000002</v>
      </c>
      <c r="M221">
        <f>RAVLT_Rec!N221</f>
        <v>21.5</v>
      </c>
      <c r="O221" t="e">
        <f>ABS(L221-RAVLT_Rec!$C$34)</f>
        <v>#REF!</v>
      </c>
      <c r="P221">
        <f t="shared" si="4"/>
        <v>21.5</v>
      </c>
    </row>
    <row r="222" spans="10:16">
      <c r="J222" s="5"/>
      <c r="L222">
        <f>RAVLT_Rec!M222</f>
        <v>-0.80425350399999995</v>
      </c>
      <c r="M222">
        <f>RAVLT_Rec!N222</f>
        <v>21.6</v>
      </c>
      <c r="O222" t="e">
        <f>ABS(L222-RAVLT_Rec!$C$34)</f>
        <v>#REF!</v>
      </c>
      <c r="P222">
        <f t="shared" si="4"/>
        <v>21.6</v>
      </c>
    </row>
    <row r="223" spans="10:16">
      <c r="J223" s="5"/>
      <c r="L223">
        <f>RAVLT_Rec!M223</f>
        <v>-0.77323829799999999</v>
      </c>
      <c r="M223">
        <f>RAVLT_Rec!N223</f>
        <v>21.7</v>
      </c>
      <c r="O223" t="e">
        <f>ABS(L223-RAVLT_Rec!$C$34)</f>
        <v>#REF!</v>
      </c>
      <c r="P223">
        <f t="shared" si="4"/>
        <v>21.7</v>
      </c>
    </row>
    <row r="224" spans="10:16">
      <c r="J224" s="5"/>
      <c r="L224">
        <f>RAVLT_Rec!M224</f>
        <v>-0.74222309200000003</v>
      </c>
      <c r="M224">
        <f>RAVLT_Rec!N224</f>
        <v>21.8</v>
      </c>
      <c r="O224" t="e">
        <f>ABS(L224-RAVLT_Rec!$C$34)</f>
        <v>#REF!</v>
      </c>
      <c r="P224">
        <f t="shared" si="4"/>
        <v>21.8</v>
      </c>
    </row>
    <row r="225" spans="10:16">
      <c r="J225" s="5"/>
      <c r="L225">
        <f>RAVLT_Rec!M225</f>
        <v>-0.72425799999999996</v>
      </c>
      <c r="M225">
        <f>RAVLT_Rec!N225</f>
        <v>21.9</v>
      </c>
      <c r="O225" t="e">
        <f>ABS(L225-RAVLT_Rec!$C$34)</f>
        <v>#REF!</v>
      </c>
      <c r="P225">
        <f t="shared" si="4"/>
        <v>21.9</v>
      </c>
    </row>
    <row r="226" spans="10:16">
      <c r="J226" s="5"/>
      <c r="L226">
        <f>RAVLT_Rec!M226</f>
        <v>-0.72425799999999996</v>
      </c>
      <c r="M226">
        <f>RAVLT_Rec!N226</f>
        <v>22</v>
      </c>
      <c r="O226" t="e">
        <f>ABS(L226-RAVLT_Rec!$C$34)</f>
        <v>#REF!</v>
      </c>
      <c r="P226">
        <f t="shared" si="4"/>
        <v>22</v>
      </c>
    </row>
    <row r="227" spans="10:16">
      <c r="J227" s="5"/>
      <c r="L227">
        <f>RAVLT_Rec!M227</f>
        <v>-0.72425799999999996</v>
      </c>
      <c r="M227">
        <f>RAVLT_Rec!N227</f>
        <v>22.1</v>
      </c>
      <c r="O227" t="e">
        <f>ABS(L227-RAVLT_Rec!$C$34)</f>
        <v>#REF!</v>
      </c>
      <c r="P227">
        <f t="shared" si="4"/>
        <v>22.1</v>
      </c>
    </row>
    <row r="228" spans="10:16">
      <c r="J228" s="5"/>
      <c r="L228">
        <f>RAVLT_Rec!M228</f>
        <v>-0.71252563599999996</v>
      </c>
      <c r="M228">
        <f>RAVLT_Rec!N228</f>
        <v>22.2</v>
      </c>
      <c r="O228" t="e">
        <f>ABS(L228-RAVLT_Rec!$C$34)</f>
        <v>#REF!</v>
      </c>
      <c r="P228">
        <f t="shared" si="4"/>
        <v>22.2</v>
      </c>
    </row>
    <row r="229" spans="10:16">
      <c r="J229" s="5"/>
      <c r="L229">
        <f>RAVLT_Rec!M229</f>
        <v>-0.695485774</v>
      </c>
      <c r="M229">
        <f>RAVLT_Rec!N229</f>
        <v>22.3</v>
      </c>
      <c r="O229" t="e">
        <f>ABS(L229-RAVLT_Rec!$C$34)</f>
        <v>#REF!</v>
      </c>
      <c r="P229">
        <f t="shared" si="4"/>
        <v>22.3</v>
      </c>
    </row>
    <row r="230" spans="10:16">
      <c r="J230" s="5"/>
      <c r="L230">
        <f>RAVLT_Rec!M230</f>
        <v>-0.67844591200000004</v>
      </c>
      <c r="M230">
        <f>RAVLT_Rec!N230</f>
        <v>22.4</v>
      </c>
      <c r="O230" t="e">
        <f>ABS(L230-RAVLT_Rec!$C$34)</f>
        <v>#REF!</v>
      </c>
      <c r="P230">
        <f t="shared" si="4"/>
        <v>22.4</v>
      </c>
    </row>
    <row r="231" spans="10:16">
      <c r="J231" s="5"/>
      <c r="L231">
        <f>RAVLT_Rec!M231</f>
        <v>-0.67504240000000004</v>
      </c>
      <c r="M231">
        <f>RAVLT_Rec!N231</f>
        <v>22.5</v>
      </c>
      <c r="O231" t="e">
        <f>ABS(L231-RAVLT_Rec!$C$34)</f>
        <v>#REF!</v>
      </c>
      <c r="P231">
        <f t="shared" si="4"/>
        <v>22.5</v>
      </c>
    </row>
    <row r="232" spans="10:16">
      <c r="J232" s="5"/>
      <c r="L232">
        <f>RAVLT_Rec!M232</f>
        <v>-0.672262264</v>
      </c>
      <c r="M232">
        <f>RAVLT_Rec!N232</f>
        <v>22.6</v>
      </c>
      <c r="O232" t="e">
        <f>ABS(L232-RAVLT_Rec!$C$34)</f>
        <v>#REF!</v>
      </c>
      <c r="P232">
        <f t="shared" si="4"/>
        <v>22.6</v>
      </c>
    </row>
    <row r="233" spans="10:16">
      <c r="J233" s="5"/>
      <c r="L233">
        <f>RAVLT_Rec!M233</f>
        <v>-0.66814208399999997</v>
      </c>
      <c r="M233">
        <f>RAVLT_Rec!N233</f>
        <v>22.7</v>
      </c>
      <c r="O233" t="e">
        <f>ABS(L233-RAVLT_Rec!$C$34)</f>
        <v>#REF!</v>
      </c>
      <c r="P233">
        <f t="shared" si="4"/>
        <v>22.7</v>
      </c>
    </row>
    <row r="234" spans="10:16">
      <c r="J234" s="5"/>
      <c r="L234">
        <f>RAVLT_Rec!M234</f>
        <v>-0.659380776</v>
      </c>
      <c r="M234">
        <f>RAVLT_Rec!N234</f>
        <v>22.8</v>
      </c>
      <c r="O234" t="e">
        <f>ABS(L234-RAVLT_Rec!$C$34)</f>
        <v>#REF!</v>
      </c>
      <c r="P234">
        <f t="shared" si="4"/>
        <v>22.8</v>
      </c>
    </row>
    <row r="235" spans="10:16">
      <c r="J235" s="5"/>
      <c r="L235">
        <f>RAVLT_Rec!M235</f>
        <v>-0.65061946800000003</v>
      </c>
      <c r="M235">
        <f>RAVLT_Rec!N235</f>
        <v>22.9</v>
      </c>
      <c r="O235" t="e">
        <f>ABS(L235-RAVLT_Rec!$C$34)</f>
        <v>#REF!</v>
      </c>
      <c r="P235">
        <f t="shared" si="4"/>
        <v>22.9</v>
      </c>
    </row>
    <row r="236" spans="10:16">
      <c r="J236" s="5"/>
      <c r="L236">
        <f>RAVLT_Rec!M236</f>
        <v>-0.64228547999999996</v>
      </c>
      <c r="M236">
        <f>RAVLT_Rec!N236</f>
        <v>23</v>
      </c>
      <c r="O236" t="e">
        <f>ABS(L236-RAVLT_Rec!$C$34)</f>
        <v>#REF!</v>
      </c>
      <c r="P236">
        <f t="shared" si="4"/>
        <v>23</v>
      </c>
    </row>
    <row r="237" spans="10:16">
      <c r="J237" s="5"/>
      <c r="L237">
        <f>RAVLT_Rec!M237</f>
        <v>-0.63439305599999996</v>
      </c>
      <c r="M237">
        <f>RAVLT_Rec!N237</f>
        <v>23.1</v>
      </c>
      <c r="O237" t="e">
        <f>ABS(L237-RAVLT_Rec!$C$34)</f>
        <v>#REF!</v>
      </c>
      <c r="P237">
        <f t="shared" si="4"/>
        <v>23.1</v>
      </c>
    </row>
    <row r="238" spans="10:16">
      <c r="J238" s="5"/>
      <c r="L238">
        <f>RAVLT_Rec!M238</f>
        <v>-0.62650063199999995</v>
      </c>
      <c r="M238">
        <f>RAVLT_Rec!N238</f>
        <v>23.2</v>
      </c>
      <c r="O238" t="e">
        <f>ABS(L238-RAVLT_Rec!$C$34)</f>
        <v>#REF!</v>
      </c>
      <c r="P238">
        <f t="shared" si="4"/>
        <v>23.2</v>
      </c>
    </row>
    <row r="239" spans="10:16">
      <c r="J239" s="5"/>
      <c r="L239">
        <f>RAVLT_Rec!M239</f>
        <v>-0.61910555</v>
      </c>
      <c r="M239">
        <f>RAVLT_Rec!N239</f>
        <v>23.3</v>
      </c>
      <c r="O239" t="e">
        <f>ABS(L239-RAVLT_Rec!$C$34)</f>
        <v>#REF!</v>
      </c>
      <c r="P239">
        <f t="shared" si="4"/>
        <v>23.3</v>
      </c>
    </row>
    <row r="240" spans="10:16">
      <c r="J240" s="5"/>
      <c r="L240">
        <f>RAVLT_Rec!M240</f>
        <v>-0.61186790000000002</v>
      </c>
      <c r="M240">
        <f>RAVLT_Rec!N240</f>
        <v>23.4</v>
      </c>
      <c r="O240" t="e">
        <f>ABS(L240-RAVLT_Rec!$C$34)</f>
        <v>#REF!</v>
      </c>
      <c r="P240">
        <f t="shared" si="4"/>
        <v>23.4</v>
      </c>
    </row>
    <row r="241" spans="10:16">
      <c r="J241" s="5"/>
      <c r="L241">
        <f>RAVLT_Rec!M241</f>
        <v>-0.60464311999999998</v>
      </c>
      <c r="M241">
        <f>RAVLT_Rec!N241</f>
        <v>23.5</v>
      </c>
      <c r="O241" t="e">
        <f>ABS(L241-RAVLT_Rec!$C$34)</f>
        <v>#REF!</v>
      </c>
      <c r="P241">
        <f t="shared" si="4"/>
        <v>23.5</v>
      </c>
    </row>
    <row r="242" spans="10:16">
      <c r="J242" s="5"/>
      <c r="L242">
        <f>RAVLT_Rec!M242</f>
        <v>-0.59787651200000003</v>
      </c>
      <c r="M242">
        <f>RAVLT_Rec!N242</f>
        <v>23.6</v>
      </c>
      <c r="O242" t="e">
        <f>ABS(L242-RAVLT_Rec!$C$34)</f>
        <v>#REF!</v>
      </c>
      <c r="P242">
        <f t="shared" si="4"/>
        <v>23.6</v>
      </c>
    </row>
    <row r="243" spans="10:16">
      <c r="J243" s="5"/>
      <c r="L243">
        <f>RAVLT_Rec!M243</f>
        <v>-0.59110990399999996</v>
      </c>
      <c r="M243">
        <f>RAVLT_Rec!N243</f>
        <v>23.7</v>
      </c>
      <c r="O243" t="e">
        <f>ABS(L243-RAVLT_Rec!$C$34)</f>
        <v>#REF!</v>
      </c>
      <c r="P243">
        <f t="shared" si="4"/>
        <v>23.7</v>
      </c>
    </row>
    <row r="244" spans="10:16">
      <c r="J244" s="5"/>
      <c r="L244">
        <f>RAVLT_Rec!M244</f>
        <v>-0.58633999999999997</v>
      </c>
      <c r="M244">
        <f>RAVLT_Rec!N244</f>
        <v>23.8</v>
      </c>
      <c r="O244" t="e">
        <f>ABS(L244-RAVLT_Rec!$C$34)</f>
        <v>#REF!</v>
      </c>
      <c r="P244">
        <f t="shared" si="4"/>
        <v>23.8</v>
      </c>
    </row>
    <row r="245" spans="10:16">
      <c r="J245" s="5"/>
      <c r="L245">
        <f>RAVLT_Rec!M245</f>
        <v>-0.58633999999999997</v>
      </c>
      <c r="M245">
        <f>RAVLT_Rec!N245</f>
        <v>23.9</v>
      </c>
      <c r="O245" t="e">
        <f>ABS(L245-RAVLT_Rec!$C$34)</f>
        <v>#REF!</v>
      </c>
      <c r="P245">
        <f t="shared" si="4"/>
        <v>23.9</v>
      </c>
    </row>
    <row r="246" spans="10:16">
      <c r="J246" s="5"/>
      <c r="L246">
        <f>RAVLT_Rec!M246</f>
        <v>-0.58633999999999997</v>
      </c>
      <c r="M246">
        <f>RAVLT_Rec!N246</f>
        <v>24</v>
      </c>
      <c r="O246" t="e">
        <f>ABS(L246-RAVLT_Rec!$C$34)</f>
        <v>#REF!</v>
      </c>
      <c r="P246">
        <f t="shared" si="4"/>
        <v>24</v>
      </c>
    </row>
    <row r="247" spans="10:16">
      <c r="J247" s="5"/>
      <c r="L247">
        <f>RAVLT_Rec!M247</f>
        <v>-0.58633999999999997</v>
      </c>
      <c r="M247">
        <f>RAVLT_Rec!N247</f>
        <v>24.1</v>
      </c>
      <c r="O247" t="e">
        <f>ABS(L247-RAVLT_Rec!$C$34)</f>
        <v>#REF!</v>
      </c>
      <c r="P247">
        <f t="shared" si="4"/>
        <v>24.1</v>
      </c>
    </row>
    <row r="248" spans="10:16">
      <c r="J248" s="5"/>
      <c r="L248">
        <f>RAVLT_Rec!M248</f>
        <v>-0.58633999999999997</v>
      </c>
      <c r="M248">
        <f>RAVLT_Rec!N248</f>
        <v>24.2</v>
      </c>
      <c r="O248" t="e">
        <f>ABS(L248-RAVLT_Rec!$C$34)</f>
        <v>#REF!</v>
      </c>
      <c r="P248">
        <f t="shared" si="4"/>
        <v>24.2</v>
      </c>
    </row>
    <row r="249" spans="10:16">
      <c r="J249" s="5"/>
      <c r="L249">
        <f>RAVLT_Rec!M249</f>
        <v>-0.58633999999999997</v>
      </c>
      <c r="M249">
        <f>RAVLT_Rec!N249</f>
        <v>24.3</v>
      </c>
      <c r="O249" t="e">
        <f>ABS(L249-RAVLT_Rec!$C$34)</f>
        <v>#REF!</v>
      </c>
      <c r="P249">
        <f t="shared" si="4"/>
        <v>24.3</v>
      </c>
    </row>
    <row r="250" spans="10:16">
      <c r="J250" s="5"/>
      <c r="L250">
        <f>RAVLT_Rec!M250</f>
        <v>-0.58633999999999997</v>
      </c>
      <c r="M250">
        <f>RAVLT_Rec!N250</f>
        <v>24.4</v>
      </c>
      <c r="O250" t="e">
        <f>ABS(L250-RAVLT_Rec!$C$34)</f>
        <v>#REF!</v>
      </c>
      <c r="P250">
        <f t="shared" si="4"/>
        <v>24.4</v>
      </c>
    </row>
    <row r="251" spans="10:16">
      <c r="J251" s="5"/>
      <c r="L251">
        <f>RAVLT_Rec!M251</f>
        <v>-0.58633999999999997</v>
      </c>
      <c r="M251">
        <f>RAVLT_Rec!N251</f>
        <v>24.5</v>
      </c>
      <c r="O251" t="e">
        <f>ABS(L251-RAVLT_Rec!$C$34)</f>
        <v>#REF!</v>
      </c>
      <c r="P251">
        <f t="shared" si="4"/>
        <v>24.5</v>
      </c>
    </row>
    <row r="252" spans="10:16">
      <c r="J252" s="5"/>
      <c r="L252">
        <f>RAVLT_Rec!M252</f>
        <v>-0.58616914399999998</v>
      </c>
      <c r="M252">
        <f>RAVLT_Rec!N252</f>
        <v>24.6</v>
      </c>
      <c r="O252" t="e">
        <f>ABS(L252-RAVLT_Rec!$C$34)</f>
        <v>#REF!</v>
      </c>
      <c r="P252">
        <f t="shared" si="4"/>
        <v>24.6</v>
      </c>
    </row>
    <row r="253" spans="10:16">
      <c r="J253" s="5"/>
      <c r="L253">
        <f>RAVLT_Rec!M253</f>
        <v>-0.58443210800000001</v>
      </c>
      <c r="M253">
        <f>RAVLT_Rec!N253</f>
        <v>24.7</v>
      </c>
      <c r="O253" t="e">
        <f>ABS(L253-RAVLT_Rec!$C$34)</f>
        <v>#REF!</v>
      </c>
      <c r="P253">
        <f t="shared" si="4"/>
        <v>24.7</v>
      </c>
    </row>
    <row r="254" spans="10:16">
      <c r="J254" s="5"/>
      <c r="L254">
        <f>RAVLT_Rec!M254</f>
        <v>-0.58269507200000004</v>
      </c>
      <c r="M254">
        <f>RAVLT_Rec!N254</f>
        <v>24.8</v>
      </c>
      <c r="O254" t="e">
        <f>ABS(L254-RAVLT_Rec!$C$34)</f>
        <v>#REF!</v>
      </c>
      <c r="P254">
        <f t="shared" si="4"/>
        <v>24.8</v>
      </c>
    </row>
    <row r="255" spans="10:16">
      <c r="J255" s="5"/>
      <c r="L255">
        <f>RAVLT_Rec!M255</f>
        <v>-0.58159400000000006</v>
      </c>
      <c r="M255">
        <f>RAVLT_Rec!N255</f>
        <v>24.9</v>
      </c>
      <c r="O255" t="e">
        <f>ABS(L255-RAVLT_Rec!$C$34)</f>
        <v>#REF!</v>
      </c>
      <c r="P255">
        <f t="shared" si="4"/>
        <v>24.9</v>
      </c>
    </row>
    <row r="256" spans="10:16">
      <c r="J256" s="5"/>
      <c r="L256">
        <f>RAVLT_Rec!M256</f>
        <v>-0.58159400000000006</v>
      </c>
      <c r="M256">
        <f>RAVLT_Rec!N256</f>
        <v>25</v>
      </c>
      <c r="O256" t="e">
        <f>ABS(L256-RAVLT_Rec!$C$34)</f>
        <v>#REF!</v>
      </c>
      <c r="P256">
        <f t="shared" si="4"/>
        <v>25</v>
      </c>
    </row>
    <row r="257" spans="10:16">
      <c r="J257" s="5"/>
      <c r="L257">
        <f>RAVLT_Rec!M257</f>
        <v>-0.58159400000000006</v>
      </c>
      <c r="M257">
        <f>RAVLT_Rec!N257</f>
        <v>25.1</v>
      </c>
      <c r="O257" t="e">
        <f>ABS(L257-RAVLT_Rec!$C$34)</f>
        <v>#REF!</v>
      </c>
      <c r="P257">
        <f t="shared" si="4"/>
        <v>25.1</v>
      </c>
    </row>
    <row r="258" spans="10:16">
      <c r="J258" s="5"/>
      <c r="L258">
        <f>RAVLT_Rec!M258</f>
        <v>-0.58159400000000006</v>
      </c>
      <c r="M258">
        <f>RAVLT_Rec!N258</f>
        <v>25.2</v>
      </c>
      <c r="O258" t="e">
        <f>ABS(L258-RAVLT_Rec!$C$34)</f>
        <v>#REF!</v>
      </c>
      <c r="P258">
        <f t="shared" si="4"/>
        <v>25.2</v>
      </c>
    </row>
    <row r="259" spans="10:16">
      <c r="J259" s="5"/>
      <c r="L259">
        <f>RAVLT_Rec!M259</f>
        <v>-0.58159400000000006</v>
      </c>
      <c r="M259">
        <f>RAVLT_Rec!N259</f>
        <v>25.3</v>
      </c>
      <c r="O259" t="e">
        <f>ABS(L259-RAVLT_Rec!$C$34)</f>
        <v>#REF!</v>
      </c>
      <c r="P259">
        <f t="shared" si="4"/>
        <v>25.3</v>
      </c>
    </row>
    <row r="260" spans="10:16">
      <c r="J260" s="5"/>
      <c r="L260">
        <f>RAVLT_Rec!M260</f>
        <v>-0.58159400000000006</v>
      </c>
      <c r="M260">
        <f>RAVLT_Rec!N260</f>
        <v>25.4</v>
      </c>
      <c r="O260" t="e">
        <f>ABS(L260-RAVLT_Rec!$C$34)</f>
        <v>#REF!</v>
      </c>
      <c r="P260">
        <f t="shared" si="4"/>
        <v>25.4</v>
      </c>
    </row>
    <row r="261" spans="10:16">
      <c r="J261" s="5"/>
      <c r="L261">
        <f>RAVLT_Rec!M261</f>
        <v>-0.58159400000000006</v>
      </c>
      <c r="M261">
        <f>RAVLT_Rec!N261</f>
        <v>25.5</v>
      </c>
      <c r="O261" t="e">
        <f>ABS(L261-RAVLT_Rec!$C$34)</f>
        <v>#REF!</v>
      </c>
      <c r="P261">
        <f t="shared" si="4"/>
        <v>25.5</v>
      </c>
    </row>
    <row r="262" spans="10:16">
      <c r="J262" s="5"/>
      <c r="L262">
        <f>RAVLT_Rec!M262</f>
        <v>-0.58159400000000006</v>
      </c>
      <c r="M262">
        <f>RAVLT_Rec!N262</f>
        <v>25.6</v>
      </c>
      <c r="O262" t="e">
        <f>ABS(L262-RAVLT_Rec!$C$34)</f>
        <v>#REF!</v>
      </c>
      <c r="P262">
        <f t="shared" si="4"/>
        <v>25.6</v>
      </c>
    </row>
    <row r="263" spans="10:16">
      <c r="J263" s="5"/>
      <c r="L263">
        <f>RAVLT_Rec!M263</f>
        <v>-0.58159400000000006</v>
      </c>
      <c r="M263">
        <f>RAVLT_Rec!N263</f>
        <v>25.7</v>
      </c>
      <c r="O263" t="e">
        <f>ABS(L263-RAVLT_Rec!$C$34)</f>
        <v>#REF!</v>
      </c>
      <c r="P263">
        <f t="shared" ref="P263:P326" si="5">M263</f>
        <v>25.7</v>
      </c>
    </row>
    <row r="264" spans="10:16">
      <c r="J264" s="5"/>
      <c r="L264">
        <f>RAVLT_Rec!M264</f>
        <v>-0.58159400000000006</v>
      </c>
      <c r="M264">
        <f>RAVLT_Rec!N264</f>
        <v>25.8</v>
      </c>
      <c r="O264" t="e">
        <f>ABS(L264-RAVLT_Rec!$C$34)</f>
        <v>#REF!</v>
      </c>
      <c r="P264">
        <f t="shared" si="5"/>
        <v>25.8</v>
      </c>
    </row>
    <row r="265" spans="10:16">
      <c r="J265" s="5"/>
      <c r="L265">
        <f>RAVLT_Rec!M265</f>
        <v>-0.58159400000000006</v>
      </c>
      <c r="M265">
        <f>RAVLT_Rec!N265</f>
        <v>25.9</v>
      </c>
      <c r="O265" t="e">
        <f>ABS(L265-RAVLT_Rec!$C$34)</f>
        <v>#REF!</v>
      </c>
      <c r="P265">
        <f t="shared" si="5"/>
        <v>25.9</v>
      </c>
    </row>
    <row r="266" spans="10:16">
      <c r="J266" s="5"/>
      <c r="L266">
        <f>RAVLT_Rec!M266</f>
        <v>-0.58159400000000006</v>
      </c>
      <c r="M266">
        <f>RAVLT_Rec!N266</f>
        <v>26</v>
      </c>
      <c r="O266" t="e">
        <f>ABS(L266-RAVLT_Rec!$C$34)</f>
        <v>#REF!</v>
      </c>
      <c r="P266">
        <f t="shared" si="5"/>
        <v>26</v>
      </c>
    </row>
    <row r="267" spans="10:16">
      <c r="J267" s="5"/>
      <c r="L267">
        <f>RAVLT_Rec!M267</f>
        <v>-0.58159400000000006</v>
      </c>
      <c r="M267">
        <f>RAVLT_Rec!N267</f>
        <v>26.1</v>
      </c>
      <c r="O267" t="e">
        <f>ABS(L267-RAVLT_Rec!$C$34)</f>
        <v>#REF!</v>
      </c>
      <c r="P267">
        <f t="shared" si="5"/>
        <v>26.1</v>
      </c>
    </row>
    <row r="268" spans="10:16">
      <c r="J268" s="5"/>
      <c r="L268">
        <f>RAVLT_Rec!M268</f>
        <v>-0.58159400000000006</v>
      </c>
      <c r="M268">
        <f>RAVLT_Rec!N268</f>
        <v>26.2</v>
      </c>
      <c r="O268" t="e">
        <f>ABS(L268-RAVLT_Rec!$C$34)</f>
        <v>#REF!</v>
      </c>
      <c r="P268">
        <f t="shared" si="5"/>
        <v>26.2</v>
      </c>
    </row>
    <row r="269" spans="10:16">
      <c r="J269" s="5"/>
      <c r="L269">
        <f>RAVLT_Rec!M269</f>
        <v>-0.57826528399999999</v>
      </c>
      <c r="M269">
        <f>RAVLT_Rec!N269</f>
        <v>26.3</v>
      </c>
      <c r="O269" t="e">
        <f>ABS(L269-RAVLT_Rec!$C$34)</f>
        <v>#REF!</v>
      </c>
      <c r="P269">
        <f t="shared" si="5"/>
        <v>26.3</v>
      </c>
    </row>
    <row r="270" spans="10:16">
      <c r="J270" s="5"/>
      <c r="L270">
        <f>RAVLT_Rec!M270</f>
        <v>-0.57354315199999995</v>
      </c>
      <c r="M270">
        <f>RAVLT_Rec!N270</f>
        <v>26.4</v>
      </c>
      <c r="O270" t="e">
        <f>ABS(L270-RAVLT_Rec!$C$34)</f>
        <v>#REF!</v>
      </c>
      <c r="P270">
        <f t="shared" si="5"/>
        <v>26.4</v>
      </c>
    </row>
    <row r="271" spans="10:16">
      <c r="J271" s="5"/>
      <c r="L271">
        <f>RAVLT_Rec!M271</f>
        <v>-0.56882102000000001</v>
      </c>
      <c r="M271">
        <f>RAVLT_Rec!N271</f>
        <v>26.5</v>
      </c>
      <c r="O271" t="e">
        <f>ABS(L271-RAVLT_Rec!$C$34)</f>
        <v>#REF!</v>
      </c>
      <c r="P271">
        <f t="shared" si="5"/>
        <v>26.5</v>
      </c>
    </row>
    <row r="272" spans="10:16">
      <c r="J272" s="5"/>
      <c r="L272">
        <f>RAVLT_Rec!M272</f>
        <v>-0.56869199999999998</v>
      </c>
      <c r="M272">
        <f>RAVLT_Rec!N272</f>
        <v>26.6</v>
      </c>
      <c r="O272" t="e">
        <f>ABS(L272-RAVLT_Rec!$C$34)</f>
        <v>#REF!</v>
      </c>
      <c r="P272">
        <f t="shared" si="5"/>
        <v>26.6</v>
      </c>
    </row>
    <row r="273" spans="10:16">
      <c r="J273" s="5"/>
      <c r="L273">
        <f>RAVLT_Rec!M273</f>
        <v>-0.56869199999999998</v>
      </c>
      <c r="M273">
        <f>RAVLT_Rec!N273</f>
        <v>26.7</v>
      </c>
      <c r="O273" t="e">
        <f>ABS(L273-RAVLT_Rec!$C$34)</f>
        <v>#REF!</v>
      </c>
      <c r="P273">
        <f t="shared" si="5"/>
        <v>26.7</v>
      </c>
    </row>
    <row r="274" spans="10:16">
      <c r="J274" s="5"/>
      <c r="L274">
        <f>RAVLT_Rec!M274</f>
        <v>-0.56717593600000005</v>
      </c>
      <c r="M274">
        <f>RAVLT_Rec!N274</f>
        <v>26.8</v>
      </c>
      <c r="O274" t="e">
        <f>ABS(L274-RAVLT_Rec!$C$34)</f>
        <v>#REF!</v>
      </c>
      <c r="P274">
        <f t="shared" si="5"/>
        <v>26.8</v>
      </c>
    </row>
    <row r="275" spans="10:16">
      <c r="J275" s="5"/>
      <c r="L275">
        <f>RAVLT_Rec!M275</f>
        <v>-0.56087048799999994</v>
      </c>
      <c r="M275">
        <f>RAVLT_Rec!N275</f>
        <v>26.9</v>
      </c>
      <c r="O275" t="e">
        <f>ABS(L275-RAVLT_Rec!$C$34)</f>
        <v>#REF!</v>
      </c>
      <c r="P275">
        <f t="shared" si="5"/>
        <v>26.9</v>
      </c>
    </row>
    <row r="276" spans="10:16">
      <c r="J276" s="5"/>
      <c r="L276">
        <f>RAVLT_Rec!M276</f>
        <v>-0.55456503999999995</v>
      </c>
      <c r="M276">
        <f>RAVLT_Rec!N276</f>
        <v>27</v>
      </c>
      <c r="O276" t="e">
        <f>ABS(L276-RAVLT_Rec!$C$34)</f>
        <v>#REF!</v>
      </c>
      <c r="P276">
        <f t="shared" si="5"/>
        <v>27</v>
      </c>
    </row>
    <row r="277" spans="10:16">
      <c r="J277" s="5"/>
      <c r="L277">
        <f>RAVLT_Rec!M277</f>
        <v>-0.55146399999999995</v>
      </c>
      <c r="M277">
        <f>RAVLT_Rec!N277</f>
        <v>27.1</v>
      </c>
      <c r="O277" t="e">
        <f>ABS(L277-RAVLT_Rec!$C$34)</f>
        <v>#REF!</v>
      </c>
      <c r="P277">
        <f t="shared" si="5"/>
        <v>27.1</v>
      </c>
    </row>
    <row r="278" spans="10:16">
      <c r="J278" s="5"/>
      <c r="L278">
        <f>RAVLT_Rec!M278</f>
        <v>-0.55146399999999995</v>
      </c>
      <c r="M278">
        <f>RAVLT_Rec!N278</f>
        <v>27.2</v>
      </c>
      <c r="O278" t="e">
        <f>ABS(L278-RAVLT_Rec!$C$34)</f>
        <v>#REF!</v>
      </c>
      <c r="P278">
        <f t="shared" si="5"/>
        <v>27.2</v>
      </c>
    </row>
    <row r="279" spans="10:16">
      <c r="J279" s="5"/>
      <c r="L279">
        <f>RAVLT_Rec!M279</f>
        <v>-0.55146399999999995</v>
      </c>
      <c r="M279">
        <f>RAVLT_Rec!N279</f>
        <v>27.3</v>
      </c>
      <c r="O279" t="e">
        <f>ABS(L279-RAVLT_Rec!$C$34)</f>
        <v>#REF!</v>
      </c>
      <c r="P279">
        <f t="shared" si="5"/>
        <v>27.3</v>
      </c>
    </row>
    <row r="280" spans="10:16">
      <c r="J280" s="5"/>
      <c r="L280">
        <f>RAVLT_Rec!M280</f>
        <v>-0.546536032</v>
      </c>
      <c r="M280">
        <f>RAVLT_Rec!N280</f>
        <v>27.4</v>
      </c>
      <c r="O280" t="e">
        <f>ABS(L280-RAVLT_Rec!$C$34)</f>
        <v>#REF!</v>
      </c>
      <c r="P280">
        <f t="shared" si="5"/>
        <v>27.4</v>
      </c>
    </row>
    <row r="281" spans="10:16">
      <c r="J281" s="5"/>
      <c r="L281">
        <f>RAVLT_Rec!M281</f>
        <v>-0.54018520000000003</v>
      </c>
      <c r="M281">
        <f>RAVLT_Rec!N281</f>
        <v>27.5</v>
      </c>
      <c r="O281" t="e">
        <f>ABS(L281-RAVLT_Rec!$C$34)</f>
        <v>#REF!</v>
      </c>
      <c r="P281">
        <f t="shared" si="5"/>
        <v>27.5</v>
      </c>
    </row>
    <row r="282" spans="10:16">
      <c r="J282" s="5"/>
      <c r="L282">
        <f>RAVLT_Rec!M282</f>
        <v>-0.53383263999999997</v>
      </c>
      <c r="M282">
        <f>RAVLT_Rec!N282</f>
        <v>27.6</v>
      </c>
      <c r="O282" t="e">
        <f>ABS(L282-RAVLT_Rec!$C$34)</f>
        <v>#REF!</v>
      </c>
      <c r="P282">
        <f t="shared" si="5"/>
        <v>27.6</v>
      </c>
    </row>
    <row r="283" spans="10:16">
      <c r="J283" s="5"/>
      <c r="L283">
        <f>RAVLT_Rec!M283</f>
        <v>-0.52744228000000004</v>
      </c>
      <c r="M283">
        <f>RAVLT_Rec!N283</f>
        <v>27.7</v>
      </c>
      <c r="O283" t="e">
        <f>ABS(L283-RAVLT_Rec!$C$34)</f>
        <v>#REF!</v>
      </c>
      <c r="P283">
        <f t="shared" si="5"/>
        <v>27.7</v>
      </c>
    </row>
    <row r="284" spans="10:16">
      <c r="J284" s="5"/>
      <c r="L284">
        <f>RAVLT_Rec!M284</f>
        <v>-0.52105192</v>
      </c>
      <c r="M284">
        <f>RAVLT_Rec!N284</f>
        <v>27.8</v>
      </c>
      <c r="O284" t="e">
        <f>ABS(L284-RAVLT_Rec!$C$34)</f>
        <v>#REF!</v>
      </c>
      <c r="P284">
        <f t="shared" si="5"/>
        <v>27.8</v>
      </c>
    </row>
    <row r="285" spans="10:16">
      <c r="J285" s="5"/>
      <c r="L285">
        <f>RAVLT_Rec!M285</f>
        <v>-0.51455690799999998</v>
      </c>
      <c r="M285">
        <f>RAVLT_Rec!N285</f>
        <v>27.9</v>
      </c>
      <c r="O285" t="e">
        <f>ABS(L285-RAVLT_Rec!$C$34)</f>
        <v>#REF!</v>
      </c>
      <c r="P285">
        <f t="shared" si="5"/>
        <v>27.9</v>
      </c>
    </row>
    <row r="286" spans="10:16">
      <c r="J286" s="5"/>
      <c r="L286">
        <f>RAVLT_Rec!M286</f>
        <v>-0.50783056000000004</v>
      </c>
      <c r="M286">
        <f>RAVLT_Rec!N286</f>
        <v>28</v>
      </c>
      <c r="O286" t="e">
        <f>ABS(L286-RAVLT_Rec!$C$34)</f>
        <v>#REF!</v>
      </c>
      <c r="P286">
        <f t="shared" si="5"/>
        <v>28</v>
      </c>
    </row>
    <row r="287" spans="10:16">
      <c r="J287" s="5"/>
      <c r="L287">
        <f>RAVLT_Rec!M287</f>
        <v>-0.50110421199999999</v>
      </c>
      <c r="M287">
        <f>RAVLT_Rec!N287</f>
        <v>28.1</v>
      </c>
      <c r="O287" t="e">
        <f>ABS(L287-RAVLT_Rec!$C$34)</f>
        <v>#REF!</v>
      </c>
      <c r="P287">
        <f t="shared" si="5"/>
        <v>28.1</v>
      </c>
    </row>
    <row r="288" spans="10:16">
      <c r="J288" s="5"/>
      <c r="L288">
        <f>RAVLT_Rec!M288</f>
        <v>-0.49827399999999999</v>
      </c>
      <c r="M288">
        <f>RAVLT_Rec!N288</f>
        <v>28.2</v>
      </c>
      <c r="O288" t="e">
        <f>ABS(L288-RAVLT_Rec!$C$34)</f>
        <v>#REF!</v>
      </c>
      <c r="P288">
        <f t="shared" si="5"/>
        <v>28.2</v>
      </c>
    </row>
    <row r="289" spans="10:16">
      <c r="J289" s="5"/>
      <c r="L289">
        <f>RAVLT_Rec!M289</f>
        <v>-0.49827399999999999</v>
      </c>
      <c r="M289">
        <f>RAVLT_Rec!N289</f>
        <v>28.3</v>
      </c>
      <c r="O289" t="e">
        <f>ABS(L289-RAVLT_Rec!$C$34)</f>
        <v>#REF!</v>
      </c>
      <c r="P289">
        <f t="shared" si="5"/>
        <v>28.3</v>
      </c>
    </row>
    <row r="290" spans="10:16">
      <c r="J290" s="5"/>
      <c r="L290">
        <f>RAVLT_Rec!M290</f>
        <v>-0.49827399999999999</v>
      </c>
      <c r="M290">
        <f>RAVLT_Rec!N290</f>
        <v>28.4</v>
      </c>
      <c r="O290" t="e">
        <f>ABS(L290-RAVLT_Rec!$C$34)</f>
        <v>#REF!</v>
      </c>
      <c r="P290">
        <f t="shared" si="5"/>
        <v>28.4</v>
      </c>
    </row>
    <row r="291" spans="10:16">
      <c r="J291" s="5"/>
      <c r="L291">
        <f>RAVLT_Rec!M291</f>
        <v>-0.49827399999999999</v>
      </c>
      <c r="M291">
        <f>RAVLT_Rec!N291</f>
        <v>28.5</v>
      </c>
      <c r="O291" t="e">
        <f>ABS(L291-RAVLT_Rec!$C$34)</f>
        <v>#REF!</v>
      </c>
      <c r="P291">
        <f t="shared" si="5"/>
        <v>28.5</v>
      </c>
    </row>
    <row r="292" spans="10:16">
      <c r="J292" s="5"/>
      <c r="L292">
        <f>RAVLT_Rec!M292</f>
        <v>-0.49827399999999999</v>
      </c>
      <c r="M292">
        <f>RAVLT_Rec!N292</f>
        <v>28.6</v>
      </c>
      <c r="O292" t="e">
        <f>ABS(L292-RAVLT_Rec!$C$34)</f>
        <v>#REF!</v>
      </c>
      <c r="P292">
        <f t="shared" si="5"/>
        <v>28.6</v>
      </c>
    </row>
    <row r="293" spans="10:16">
      <c r="J293" s="5"/>
      <c r="L293">
        <f>RAVLT_Rec!M293</f>
        <v>-0.49827399999999999</v>
      </c>
      <c r="M293">
        <f>RAVLT_Rec!N293</f>
        <v>28.7</v>
      </c>
      <c r="O293" t="e">
        <f>ABS(L293-RAVLT_Rec!$C$34)</f>
        <v>#REF!</v>
      </c>
      <c r="P293">
        <f t="shared" si="5"/>
        <v>28.7</v>
      </c>
    </row>
    <row r="294" spans="10:16">
      <c r="J294" s="5"/>
      <c r="L294">
        <f>RAVLT_Rec!M294</f>
        <v>-0.49827399999999999</v>
      </c>
      <c r="M294">
        <f>RAVLT_Rec!N294</f>
        <v>28.8</v>
      </c>
      <c r="O294" t="e">
        <f>ABS(L294-RAVLT_Rec!$C$34)</f>
        <v>#REF!</v>
      </c>
      <c r="P294">
        <f t="shared" si="5"/>
        <v>28.8</v>
      </c>
    </row>
    <row r="295" spans="10:16">
      <c r="J295" s="5"/>
      <c r="L295">
        <f>RAVLT_Rec!M295</f>
        <v>-0.49827399999999999</v>
      </c>
      <c r="M295">
        <f>RAVLT_Rec!N295</f>
        <v>28.9</v>
      </c>
      <c r="O295" t="e">
        <f>ABS(L295-RAVLT_Rec!$C$34)</f>
        <v>#REF!</v>
      </c>
      <c r="P295">
        <f t="shared" si="5"/>
        <v>28.9</v>
      </c>
    </row>
    <row r="296" spans="10:16">
      <c r="J296" s="5"/>
      <c r="L296">
        <f>RAVLT_Rec!M296</f>
        <v>-0.49553868000000001</v>
      </c>
      <c r="M296">
        <f>RAVLT_Rec!N296</f>
        <v>29</v>
      </c>
      <c r="O296" t="e">
        <f>ABS(L296-RAVLT_Rec!$C$34)</f>
        <v>#REF!</v>
      </c>
      <c r="P296">
        <f t="shared" si="5"/>
        <v>29</v>
      </c>
    </row>
    <row r="297" spans="10:16">
      <c r="J297" s="5"/>
      <c r="L297">
        <f>RAVLT_Rec!M297</f>
        <v>-0.488387772</v>
      </c>
      <c r="M297">
        <f>RAVLT_Rec!N297</f>
        <v>29.1</v>
      </c>
      <c r="O297" t="e">
        <f>ABS(L297-RAVLT_Rec!$C$34)</f>
        <v>#REF!</v>
      </c>
      <c r="P297">
        <f t="shared" si="5"/>
        <v>29.1</v>
      </c>
    </row>
    <row r="298" spans="10:16">
      <c r="J298" s="5"/>
      <c r="L298">
        <f>RAVLT_Rec!M298</f>
        <v>-0.48123686399999999</v>
      </c>
      <c r="M298">
        <f>RAVLT_Rec!N298</f>
        <v>29.2</v>
      </c>
      <c r="O298" t="e">
        <f>ABS(L298-RAVLT_Rec!$C$34)</f>
        <v>#REF!</v>
      </c>
      <c r="P298">
        <f t="shared" si="5"/>
        <v>29.2</v>
      </c>
    </row>
    <row r="299" spans="10:16">
      <c r="J299" s="5"/>
      <c r="L299">
        <f>RAVLT_Rec!M299</f>
        <v>-0.47873599999999999</v>
      </c>
      <c r="M299">
        <f>RAVLT_Rec!N299</f>
        <v>29.3</v>
      </c>
      <c r="O299" t="e">
        <f>ABS(L299-RAVLT_Rec!$C$34)</f>
        <v>#REF!</v>
      </c>
      <c r="P299">
        <f t="shared" si="5"/>
        <v>29.3</v>
      </c>
    </row>
    <row r="300" spans="10:16">
      <c r="J300" s="5"/>
      <c r="L300">
        <f>RAVLT_Rec!M300</f>
        <v>-0.47873599999999999</v>
      </c>
      <c r="M300">
        <f>RAVLT_Rec!N300</f>
        <v>29.4</v>
      </c>
      <c r="O300" t="e">
        <f>ABS(L300-RAVLT_Rec!$C$34)</f>
        <v>#REF!</v>
      </c>
      <c r="P300">
        <f t="shared" si="5"/>
        <v>29.4</v>
      </c>
    </row>
    <row r="301" spans="10:16">
      <c r="J301" s="5"/>
      <c r="L301">
        <f>RAVLT_Rec!M301</f>
        <v>-0.47873599999999999</v>
      </c>
      <c r="M301">
        <f>RAVLT_Rec!N301</f>
        <v>29.5</v>
      </c>
      <c r="O301" t="e">
        <f>ABS(L301-RAVLT_Rec!$C$34)</f>
        <v>#REF!</v>
      </c>
      <c r="P301">
        <f t="shared" si="5"/>
        <v>29.5</v>
      </c>
    </row>
    <row r="302" spans="10:16">
      <c r="J302" s="5"/>
      <c r="L302">
        <f>RAVLT_Rec!M302</f>
        <v>-0.47873599999999999</v>
      </c>
      <c r="M302">
        <f>RAVLT_Rec!N302</f>
        <v>29.6</v>
      </c>
      <c r="O302" t="e">
        <f>ABS(L302-RAVLT_Rec!$C$34)</f>
        <v>#REF!</v>
      </c>
      <c r="P302">
        <f t="shared" si="5"/>
        <v>29.6</v>
      </c>
    </row>
    <row r="303" spans="10:16">
      <c r="J303" s="5"/>
      <c r="L303">
        <f>RAVLT_Rec!M303</f>
        <v>-0.47873599999999999</v>
      </c>
      <c r="M303">
        <f>RAVLT_Rec!N303</f>
        <v>29.7</v>
      </c>
      <c r="O303" t="e">
        <f>ABS(L303-RAVLT_Rec!$C$34)</f>
        <v>#REF!</v>
      </c>
      <c r="P303">
        <f t="shared" si="5"/>
        <v>29.7</v>
      </c>
    </row>
    <row r="304" spans="10:16">
      <c r="J304" s="5"/>
      <c r="L304">
        <f>RAVLT_Rec!M304</f>
        <v>-0.47873599999999999</v>
      </c>
      <c r="M304">
        <f>RAVLT_Rec!N304</f>
        <v>29.8</v>
      </c>
      <c r="O304" t="e">
        <f>ABS(L304-RAVLT_Rec!$C$34)</f>
        <v>#REF!</v>
      </c>
      <c r="P304">
        <f t="shared" si="5"/>
        <v>29.8</v>
      </c>
    </row>
    <row r="305" spans="10:16">
      <c r="J305" s="5"/>
      <c r="L305">
        <f>RAVLT_Rec!M305</f>
        <v>-0.47873599999999999</v>
      </c>
      <c r="M305">
        <f>RAVLT_Rec!N305</f>
        <v>29.9</v>
      </c>
      <c r="O305" t="e">
        <f>ABS(L305-RAVLT_Rec!$C$34)</f>
        <v>#REF!</v>
      </c>
      <c r="P305">
        <f t="shared" si="5"/>
        <v>29.9</v>
      </c>
    </row>
    <row r="306" spans="10:16">
      <c r="J306" s="5"/>
      <c r="L306">
        <f>RAVLT_Rec!M306</f>
        <v>-0.47873599999999999</v>
      </c>
      <c r="M306">
        <f>RAVLT_Rec!N306</f>
        <v>30</v>
      </c>
      <c r="O306" t="e">
        <f>ABS(L306-RAVLT_Rec!$C$34)</f>
        <v>#REF!</v>
      </c>
      <c r="P306">
        <f t="shared" si="5"/>
        <v>30</v>
      </c>
    </row>
    <row r="307" spans="10:16">
      <c r="J307" s="5"/>
      <c r="L307">
        <f>RAVLT_Rec!M307</f>
        <v>-0.47873599999999999</v>
      </c>
      <c r="M307">
        <f>RAVLT_Rec!N307</f>
        <v>30.1</v>
      </c>
      <c r="O307" t="e">
        <f>ABS(L307-RAVLT_Rec!$C$34)</f>
        <v>#REF!</v>
      </c>
      <c r="P307">
        <f t="shared" si="5"/>
        <v>30.1</v>
      </c>
    </row>
    <row r="308" spans="10:16">
      <c r="J308" s="5"/>
      <c r="L308">
        <f>RAVLT_Rec!M308</f>
        <v>-0.47873599999999999</v>
      </c>
      <c r="M308">
        <f>RAVLT_Rec!N308</f>
        <v>30.2</v>
      </c>
      <c r="O308" t="e">
        <f>ABS(L308-RAVLT_Rec!$C$34)</f>
        <v>#REF!</v>
      </c>
      <c r="P308">
        <f t="shared" si="5"/>
        <v>30.2</v>
      </c>
    </row>
    <row r="309" spans="10:16">
      <c r="J309" s="5"/>
      <c r="L309">
        <f>RAVLT_Rec!M309</f>
        <v>-0.47873599999999999</v>
      </c>
      <c r="M309">
        <f>RAVLT_Rec!N309</f>
        <v>30.3</v>
      </c>
      <c r="O309" t="e">
        <f>ABS(L309-RAVLT_Rec!$C$34)</f>
        <v>#REF!</v>
      </c>
      <c r="P309">
        <f t="shared" si="5"/>
        <v>30.3</v>
      </c>
    </row>
    <row r="310" spans="10:16">
      <c r="J310" s="5"/>
      <c r="L310">
        <f>RAVLT_Rec!M310</f>
        <v>-0.47317880000000001</v>
      </c>
      <c r="M310">
        <f>RAVLT_Rec!N310</f>
        <v>30.4</v>
      </c>
      <c r="O310" t="e">
        <f>ABS(L310-RAVLT_Rec!$C$34)</f>
        <v>#REF!</v>
      </c>
      <c r="P310">
        <f t="shared" si="5"/>
        <v>30.4</v>
      </c>
    </row>
    <row r="311" spans="10:16">
      <c r="J311" s="5"/>
      <c r="L311">
        <f>RAVLT_Rec!M311</f>
        <v>-0.46547450000000001</v>
      </c>
      <c r="M311">
        <f>RAVLT_Rec!N311</f>
        <v>30.5</v>
      </c>
      <c r="O311" t="e">
        <f>ABS(L311-RAVLT_Rec!$C$34)</f>
        <v>#REF!</v>
      </c>
      <c r="P311">
        <f t="shared" si="5"/>
        <v>30.5</v>
      </c>
    </row>
    <row r="312" spans="10:16">
      <c r="J312" s="5"/>
      <c r="L312">
        <f>RAVLT_Rec!M312</f>
        <v>-0.45777020000000002</v>
      </c>
      <c r="M312">
        <f>RAVLT_Rec!N312</f>
        <v>30.6</v>
      </c>
      <c r="O312" t="e">
        <f>ABS(L312-RAVLT_Rec!$C$34)</f>
        <v>#REF!</v>
      </c>
      <c r="P312">
        <f t="shared" si="5"/>
        <v>30.6</v>
      </c>
    </row>
    <row r="313" spans="10:16">
      <c r="J313" s="5"/>
      <c r="L313">
        <f>RAVLT_Rec!M313</f>
        <v>-0.45282289199999998</v>
      </c>
      <c r="M313">
        <f>RAVLT_Rec!N313</f>
        <v>30.7</v>
      </c>
      <c r="O313" t="e">
        <f>ABS(L313-RAVLT_Rec!$C$34)</f>
        <v>#REF!</v>
      </c>
      <c r="P313">
        <f t="shared" si="5"/>
        <v>30.7</v>
      </c>
    </row>
    <row r="314" spans="10:16">
      <c r="J314" s="5"/>
      <c r="L314">
        <f>RAVLT_Rec!M314</f>
        <v>-0.447906048</v>
      </c>
      <c r="M314">
        <f>RAVLT_Rec!N314</f>
        <v>30.8</v>
      </c>
      <c r="O314" t="e">
        <f>ABS(L314-RAVLT_Rec!$C$34)</f>
        <v>#REF!</v>
      </c>
      <c r="P314">
        <f t="shared" si="5"/>
        <v>30.8</v>
      </c>
    </row>
    <row r="315" spans="10:16">
      <c r="J315" s="5"/>
      <c r="L315">
        <f>RAVLT_Rec!M315</f>
        <v>-0.44425199999999998</v>
      </c>
      <c r="M315">
        <f>RAVLT_Rec!N315</f>
        <v>30.9</v>
      </c>
      <c r="O315" t="e">
        <f>ABS(L315-RAVLT_Rec!$C$34)</f>
        <v>#REF!</v>
      </c>
      <c r="P315">
        <f t="shared" si="5"/>
        <v>30.9</v>
      </c>
    </row>
    <row r="316" spans="10:16">
      <c r="J316" s="5"/>
      <c r="L316">
        <f>RAVLT_Rec!M316</f>
        <v>-0.44425199999999998</v>
      </c>
      <c r="M316">
        <f>RAVLT_Rec!N316</f>
        <v>31</v>
      </c>
      <c r="O316" t="e">
        <f>ABS(L316-RAVLT_Rec!$C$34)</f>
        <v>#REF!</v>
      </c>
      <c r="P316">
        <f t="shared" si="5"/>
        <v>31</v>
      </c>
    </row>
    <row r="317" spans="10:16">
      <c r="J317" s="5"/>
      <c r="L317">
        <f>RAVLT_Rec!M317</f>
        <v>-0.44425199999999998</v>
      </c>
      <c r="M317">
        <f>RAVLT_Rec!N317</f>
        <v>31.1</v>
      </c>
      <c r="O317" t="e">
        <f>ABS(L317-RAVLT_Rec!$C$34)</f>
        <v>#REF!</v>
      </c>
      <c r="P317">
        <f t="shared" si="5"/>
        <v>31.1</v>
      </c>
    </row>
    <row r="318" spans="10:16">
      <c r="J318" s="5"/>
      <c r="L318">
        <f>RAVLT_Rec!M318</f>
        <v>-0.43251023999999999</v>
      </c>
      <c r="M318">
        <f>RAVLT_Rec!N318</f>
        <v>31.2</v>
      </c>
      <c r="O318" t="e">
        <f>ABS(L318-RAVLT_Rec!$C$34)</f>
        <v>#REF!</v>
      </c>
      <c r="P318">
        <f t="shared" si="5"/>
        <v>31.2</v>
      </c>
    </row>
    <row r="319" spans="10:16">
      <c r="J319" s="5"/>
      <c r="L319">
        <f>RAVLT_Rec!M319</f>
        <v>-0.41012750999999997</v>
      </c>
      <c r="M319">
        <f>RAVLT_Rec!N319</f>
        <v>31.3</v>
      </c>
      <c r="O319" t="e">
        <f>ABS(L319-RAVLT_Rec!$C$34)</f>
        <v>#REF!</v>
      </c>
      <c r="P319">
        <f t="shared" si="5"/>
        <v>31.3</v>
      </c>
    </row>
    <row r="320" spans="10:16">
      <c r="J320" s="5"/>
      <c r="L320">
        <f>RAVLT_Rec!M320</f>
        <v>-0.38774478000000001</v>
      </c>
      <c r="M320">
        <f>RAVLT_Rec!N320</f>
        <v>31.4</v>
      </c>
      <c r="O320" t="e">
        <f>ABS(L320-RAVLT_Rec!$C$34)</f>
        <v>#REF!</v>
      </c>
      <c r="P320">
        <f t="shared" si="5"/>
        <v>31.4</v>
      </c>
    </row>
    <row r="321" spans="10:16">
      <c r="J321" s="5"/>
      <c r="L321">
        <f>RAVLT_Rec!M321</f>
        <v>-0.38309700000000002</v>
      </c>
      <c r="M321">
        <f>RAVLT_Rec!N321</f>
        <v>31.5</v>
      </c>
      <c r="O321" t="e">
        <f>ABS(L321-RAVLT_Rec!$C$34)</f>
        <v>#REF!</v>
      </c>
      <c r="P321">
        <f t="shared" si="5"/>
        <v>31.5</v>
      </c>
    </row>
    <row r="322" spans="10:16">
      <c r="J322" s="5"/>
      <c r="L322">
        <f>RAVLT_Rec!M322</f>
        <v>-0.38309700000000002</v>
      </c>
      <c r="M322">
        <f>RAVLT_Rec!N322</f>
        <v>31.6</v>
      </c>
      <c r="O322" t="e">
        <f>ABS(L322-RAVLT_Rec!$C$34)</f>
        <v>#REF!</v>
      </c>
      <c r="P322">
        <f t="shared" si="5"/>
        <v>31.6</v>
      </c>
    </row>
    <row r="323" spans="10:16">
      <c r="J323" s="5"/>
      <c r="L323">
        <f>RAVLT_Rec!M323</f>
        <v>-0.38309700000000002</v>
      </c>
      <c r="M323">
        <f>RAVLT_Rec!N323</f>
        <v>31.7</v>
      </c>
      <c r="O323" t="e">
        <f>ABS(L323-RAVLT_Rec!$C$34)</f>
        <v>#REF!</v>
      </c>
      <c r="P323">
        <f t="shared" si="5"/>
        <v>31.7</v>
      </c>
    </row>
    <row r="324" spans="10:16">
      <c r="J324" s="5"/>
      <c r="L324">
        <f>RAVLT_Rec!M324</f>
        <v>-0.38309700000000002</v>
      </c>
      <c r="M324">
        <f>RAVLT_Rec!N324</f>
        <v>31.8</v>
      </c>
      <c r="O324" t="e">
        <f>ABS(L324-RAVLT_Rec!$C$34)</f>
        <v>#REF!</v>
      </c>
      <c r="P324">
        <f t="shared" si="5"/>
        <v>31.8</v>
      </c>
    </row>
    <row r="325" spans="10:16">
      <c r="J325" s="5"/>
      <c r="L325">
        <f>RAVLT_Rec!M325</f>
        <v>-0.38309700000000002</v>
      </c>
      <c r="M325">
        <f>RAVLT_Rec!N325</f>
        <v>31.9</v>
      </c>
      <c r="O325" t="e">
        <f>ABS(L325-RAVLT_Rec!$C$34)</f>
        <v>#REF!</v>
      </c>
      <c r="P325">
        <f t="shared" si="5"/>
        <v>31.9</v>
      </c>
    </row>
    <row r="326" spans="10:16">
      <c r="J326" s="5"/>
      <c r="L326">
        <f>RAVLT_Rec!M326</f>
        <v>-0.38309700000000002</v>
      </c>
      <c r="M326">
        <f>RAVLT_Rec!N326</f>
        <v>32</v>
      </c>
      <c r="O326" t="e">
        <f>ABS(L326-RAVLT_Rec!$C$34)</f>
        <v>#REF!</v>
      </c>
      <c r="P326">
        <f t="shared" si="5"/>
        <v>32</v>
      </c>
    </row>
    <row r="327" spans="10:16">
      <c r="J327" s="5"/>
      <c r="L327">
        <f>RAVLT_Rec!M327</f>
        <v>-0.38309700000000002</v>
      </c>
      <c r="M327">
        <f>RAVLT_Rec!N327</f>
        <v>32.1</v>
      </c>
      <c r="O327" t="e">
        <f>ABS(L327-RAVLT_Rec!$C$34)</f>
        <v>#REF!</v>
      </c>
      <c r="P327">
        <f t="shared" ref="P327:P390" si="6">M327</f>
        <v>32.1</v>
      </c>
    </row>
    <row r="328" spans="10:16">
      <c r="J328" s="5"/>
      <c r="L328">
        <f>RAVLT_Rec!M328</f>
        <v>-0.38309700000000002</v>
      </c>
      <c r="M328">
        <f>RAVLT_Rec!N328</f>
        <v>32.200000000000003</v>
      </c>
      <c r="O328" t="e">
        <f>ABS(L328-RAVLT_Rec!$C$34)</f>
        <v>#REF!</v>
      </c>
      <c r="P328">
        <f t="shared" si="6"/>
        <v>32.200000000000003</v>
      </c>
    </row>
    <row r="329" spans="10:16">
      <c r="J329" s="5"/>
      <c r="L329">
        <f>RAVLT_Rec!M329</f>
        <v>-0.37897134999999998</v>
      </c>
      <c r="M329">
        <f>RAVLT_Rec!N329</f>
        <v>32.299999999999997</v>
      </c>
      <c r="O329" t="e">
        <f>ABS(L329-RAVLT_Rec!$C$34)</f>
        <v>#REF!</v>
      </c>
      <c r="P329">
        <f t="shared" si="6"/>
        <v>32.299999999999997</v>
      </c>
    </row>
    <row r="330" spans="10:16">
      <c r="J330" s="5"/>
      <c r="L330">
        <f>RAVLT_Rec!M330</f>
        <v>-0.37204480000000001</v>
      </c>
      <c r="M330">
        <f>RAVLT_Rec!N330</f>
        <v>32.4</v>
      </c>
      <c r="O330" t="e">
        <f>ABS(L330-RAVLT_Rec!$C$34)</f>
        <v>#REF!</v>
      </c>
      <c r="P330">
        <f t="shared" si="6"/>
        <v>32.4</v>
      </c>
    </row>
    <row r="331" spans="10:16">
      <c r="J331" s="5"/>
      <c r="L331">
        <f>RAVLT_Rec!M331</f>
        <v>-0.36511824999999998</v>
      </c>
      <c r="M331">
        <f>RAVLT_Rec!N331</f>
        <v>32.5</v>
      </c>
      <c r="O331" t="e">
        <f>ABS(L331-RAVLT_Rec!$C$34)</f>
        <v>#REF!</v>
      </c>
      <c r="P331">
        <f t="shared" si="6"/>
        <v>32.5</v>
      </c>
    </row>
    <row r="332" spans="10:16">
      <c r="J332" s="5"/>
      <c r="L332">
        <f>RAVLT_Rec!M332</f>
        <v>-0.35140559999999998</v>
      </c>
      <c r="M332">
        <f>RAVLT_Rec!N332</f>
        <v>32.6</v>
      </c>
      <c r="O332" t="e">
        <f>ABS(L332-RAVLT_Rec!$C$34)</f>
        <v>#REF!</v>
      </c>
      <c r="P332">
        <f t="shared" si="6"/>
        <v>32.6</v>
      </c>
    </row>
    <row r="333" spans="10:16">
      <c r="J333" s="5"/>
      <c r="L333">
        <f>RAVLT_Rec!M333</f>
        <v>-0.33661920000000001</v>
      </c>
      <c r="M333">
        <f>RAVLT_Rec!N333</f>
        <v>32.700000000000003</v>
      </c>
      <c r="O333" t="e">
        <f>ABS(L333-RAVLT_Rec!$C$34)</f>
        <v>#REF!</v>
      </c>
      <c r="P333">
        <f t="shared" si="6"/>
        <v>32.700000000000003</v>
      </c>
    </row>
    <row r="334" spans="10:16">
      <c r="J334" s="5"/>
      <c r="L334">
        <f>RAVLT_Rec!M334</f>
        <v>-0.32225126399999998</v>
      </c>
      <c r="M334">
        <f>RAVLT_Rec!N334</f>
        <v>32.799999999999997</v>
      </c>
      <c r="O334" t="e">
        <f>ABS(L334-RAVLT_Rec!$C$34)</f>
        <v>#REF!</v>
      </c>
      <c r="P334">
        <f t="shared" si="6"/>
        <v>32.799999999999997</v>
      </c>
    </row>
    <row r="335" spans="10:16">
      <c r="J335" s="5"/>
      <c r="L335">
        <f>RAVLT_Rec!M335</f>
        <v>-0.310655652</v>
      </c>
      <c r="M335">
        <f>RAVLT_Rec!N335</f>
        <v>32.9</v>
      </c>
      <c r="O335" t="e">
        <f>ABS(L335-RAVLT_Rec!$C$34)</f>
        <v>#REF!</v>
      </c>
      <c r="P335">
        <f t="shared" si="6"/>
        <v>32.9</v>
      </c>
    </row>
    <row r="336" spans="10:16">
      <c r="J336" s="5"/>
      <c r="L336">
        <f>RAVLT_Rec!M336</f>
        <v>-0.29906004000000003</v>
      </c>
      <c r="M336">
        <f>RAVLT_Rec!N336</f>
        <v>33</v>
      </c>
      <c r="O336" t="e">
        <f>ABS(L336-RAVLT_Rec!$C$34)</f>
        <v>#REF!</v>
      </c>
      <c r="P336">
        <f t="shared" si="6"/>
        <v>33</v>
      </c>
    </row>
    <row r="337" spans="10:16">
      <c r="J337" s="5"/>
      <c r="L337">
        <f>RAVLT_Rec!M337</f>
        <v>-0.29209000000000002</v>
      </c>
      <c r="M337">
        <f>RAVLT_Rec!N337</f>
        <v>33.1</v>
      </c>
      <c r="O337" t="e">
        <f>ABS(L337-RAVLT_Rec!$C$34)</f>
        <v>#REF!</v>
      </c>
      <c r="P337">
        <f t="shared" si="6"/>
        <v>33.1</v>
      </c>
    </row>
    <row r="338" spans="10:16">
      <c r="J338" s="5"/>
      <c r="L338">
        <f>RAVLT_Rec!M338</f>
        <v>-0.29209000000000002</v>
      </c>
      <c r="M338">
        <f>RAVLT_Rec!N338</f>
        <v>33.200000000000003</v>
      </c>
      <c r="O338" t="e">
        <f>ABS(L338-RAVLT_Rec!$C$34)</f>
        <v>#REF!</v>
      </c>
      <c r="P338">
        <f t="shared" si="6"/>
        <v>33.200000000000003</v>
      </c>
    </row>
    <row r="339" spans="10:16">
      <c r="J339" s="5"/>
      <c r="L339">
        <f>RAVLT_Rec!M339</f>
        <v>-0.29209000000000002</v>
      </c>
      <c r="M339">
        <f>RAVLT_Rec!N339</f>
        <v>33.299999999999997</v>
      </c>
      <c r="O339" t="e">
        <f>ABS(L339-RAVLT_Rec!$C$34)</f>
        <v>#REF!</v>
      </c>
      <c r="P339">
        <f t="shared" si="6"/>
        <v>33.299999999999997</v>
      </c>
    </row>
    <row r="340" spans="10:16">
      <c r="J340" s="5"/>
      <c r="L340">
        <f>RAVLT_Rec!M340</f>
        <v>-0.29209000000000002</v>
      </c>
      <c r="M340">
        <f>RAVLT_Rec!N340</f>
        <v>33.4</v>
      </c>
      <c r="O340" t="e">
        <f>ABS(L340-RAVLT_Rec!$C$34)</f>
        <v>#REF!</v>
      </c>
      <c r="P340">
        <f t="shared" si="6"/>
        <v>33.4</v>
      </c>
    </row>
    <row r="341" spans="10:16">
      <c r="J341" s="5"/>
      <c r="L341">
        <f>RAVLT_Rec!M341</f>
        <v>-0.29209000000000002</v>
      </c>
      <c r="M341">
        <f>RAVLT_Rec!N341</f>
        <v>33.5</v>
      </c>
      <c r="O341" t="e">
        <f>ABS(L341-RAVLT_Rec!$C$34)</f>
        <v>#REF!</v>
      </c>
      <c r="P341">
        <f t="shared" si="6"/>
        <v>33.5</v>
      </c>
    </row>
    <row r="342" spans="10:16">
      <c r="J342" s="5"/>
      <c r="L342">
        <f>RAVLT_Rec!M342</f>
        <v>-0.29209000000000002</v>
      </c>
      <c r="M342">
        <f>RAVLT_Rec!N342</f>
        <v>33.6</v>
      </c>
      <c r="O342" t="e">
        <f>ABS(L342-RAVLT_Rec!$C$34)</f>
        <v>#REF!</v>
      </c>
      <c r="P342">
        <f t="shared" si="6"/>
        <v>33.6</v>
      </c>
    </row>
    <row r="343" spans="10:16">
      <c r="J343" s="5"/>
      <c r="L343">
        <f>RAVLT_Rec!M343</f>
        <v>-0.29209000000000002</v>
      </c>
      <c r="M343">
        <f>RAVLT_Rec!N343</f>
        <v>33.700000000000003</v>
      </c>
      <c r="O343" t="e">
        <f>ABS(L343-RAVLT_Rec!$C$34)</f>
        <v>#REF!</v>
      </c>
      <c r="P343">
        <f t="shared" si="6"/>
        <v>33.700000000000003</v>
      </c>
    </row>
    <row r="344" spans="10:16">
      <c r="J344" s="5"/>
      <c r="L344">
        <f>RAVLT_Rec!M344</f>
        <v>-0.29209000000000002</v>
      </c>
      <c r="M344">
        <f>RAVLT_Rec!N344</f>
        <v>33.799999999999997</v>
      </c>
      <c r="O344" t="e">
        <f>ABS(L344-RAVLT_Rec!$C$34)</f>
        <v>#REF!</v>
      </c>
      <c r="P344">
        <f t="shared" si="6"/>
        <v>33.799999999999997</v>
      </c>
    </row>
    <row r="345" spans="10:16">
      <c r="J345" s="5"/>
      <c r="L345">
        <f>RAVLT_Rec!M345</f>
        <v>-0.29147580000000001</v>
      </c>
      <c r="M345">
        <f>RAVLT_Rec!N345</f>
        <v>33.9</v>
      </c>
      <c r="O345" t="e">
        <f>ABS(L345-RAVLT_Rec!$C$34)</f>
        <v>#REF!</v>
      </c>
      <c r="P345">
        <f t="shared" si="6"/>
        <v>33.9</v>
      </c>
    </row>
    <row r="346" spans="10:16">
      <c r="J346" s="5"/>
      <c r="L346">
        <f>RAVLT_Rec!M346</f>
        <v>-0.28843800000000003</v>
      </c>
      <c r="M346">
        <f>RAVLT_Rec!N346</f>
        <v>34</v>
      </c>
      <c r="O346" t="e">
        <f>ABS(L346-RAVLT_Rec!$C$34)</f>
        <v>#REF!</v>
      </c>
      <c r="P346">
        <f t="shared" si="6"/>
        <v>34</v>
      </c>
    </row>
    <row r="347" spans="10:16">
      <c r="J347" s="5"/>
      <c r="L347">
        <f>RAVLT_Rec!M347</f>
        <v>-0.28540019999999999</v>
      </c>
      <c r="M347">
        <f>RAVLT_Rec!N347</f>
        <v>34.1</v>
      </c>
      <c r="O347" t="e">
        <f>ABS(L347-RAVLT_Rec!$C$34)</f>
        <v>#REF!</v>
      </c>
      <c r="P347">
        <f t="shared" si="6"/>
        <v>34.1</v>
      </c>
    </row>
    <row r="348" spans="10:16">
      <c r="J348" s="5"/>
      <c r="L348">
        <f>RAVLT_Rec!M348</f>
        <v>-0.27966234400000001</v>
      </c>
      <c r="M348">
        <f>RAVLT_Rec!N348</f>
        <v>34.200000000000003</v>
      </c>
      <c r="O348" t="e">
        <f>ABS(L348-RAVLT_Rec!$C$34)</f>
        <v>#REF!</v>
      </c>
      <c r="P348">
        <f t="shared" si="6"/>
        <v>34.200000000000003</v>
      </c>
    </row>
    <row r="349" spans="10:16">
      <c r="J349" s="5"/>
      <c r="L349">
        <f>RAVLT_Rec!M349</f>
        <v>-0.270879076</v>
      </c>
      <c r="M349">
        <f>RAVLT_Rec!N349</f>
        <v>34.299999999999997</v>
      </c>
      <c r="O349" t="e">
        <f>ABS(L349-RAVLT_Rec!$C$34)</f>
        <v>#REF!</v>
      </c>
      <c r="P349">
        <f t="shared" si="6"/>
        <v>34.299999999999997</v>
      </c>
    </row>
    <row r="350" spans="10:16">
      <c r="J350" s="5"/>
      <c r="L350">
        <f>RAVLT_Rec!M350</f>
        <v>-0.26209580799999999</v>
      </c>
      <c r="M350">
        <f>RAVLT_Rec!N350</f>
        <v>34.4</v>
      </c>
      <c r="O350" t="e">
        <f>ABS(L350-RAVLT_Rec!$C$34)</f>
        <v>#REF!</v>
      </c>
      <c r="P350">
        <f t="shared" si="6"/>
        <v>34.4</v>
      </c>
    </row>
    <row r="351" spans="10:16">
      <c r="J351" s="5"/>
      <c r="L351">
        <f>RAVLT_Rec!M351</f>
        <v>-0.25979200000000002</v>
      </c>
      <c r="M351">
        <f>RAVLT_Rec!N351</f>
        <v>34.5</v>
      </c>
      <c r="O351" t="e">
        <f>ABS(L351-RAVLT_Rec!$C$34)</f>
        <v>#REF!</v>
      </c>
      <c r="P351">
        <f t="shared" si="6"/>
        <v>34.5</v>
      </c>
    </row>
    <row r="352" spans="10:16">
      <c r="J352" s="5"/>
      <c r="L352">
        <f>RAVLT_Rec!M352</f>
        <v>-0.25979200000000002</v>
      </c>
      <c r="M352">
        <f>RAVLT_Rec!N352</f>
        <v>34.6</v>
      </c>
      <c r="O352" t="e">
        <f>ABS(L352-RAVLT_Rec!$C$34)</f>
        <v>#REF!</v>
      </c>
      <c r="P352">
        <f t="shared" si="6"/>
        <v>34.6</v>
      </c>
    </row>
    <row r="353" spans="10:16">
      <c r="J353" s="5"/>
      <c r="L353">
        <f>RAVLT_Rec!M353</f>
        <v>-0.25979200000000002</v>
      </c>
      <c r="M353">
        <f>RAVLT_Rec!N353</f>
        <v>34.700000000000003</v>
      </c>
      <c r="O353" t="e">
        <f>ABS(L353-RAVLT_Rec!$C$34)</f>
        <v>#REF!</v>
      </c>
      <c r="P353">
        <f t="shared" si="6"/>
        <v>34.700000000000003</v>
      </c>
    </row>
    <row r="354" spans="10:16">
      <c r="J354" s="5"/>
      <c r="L354">
        <f>RAVLT_Rec!M354</f>
        <v>-0.25979200000000002</v>
      </c>
      <c r="M354">
        <f>RAVLT_Rec!N354</f>
        <v>34.799999999999997</v>
      </c>
      <c r="O354" t="e">
        <f>ABS(L354-RAVLT_Rec!$C$34)</f>
        <v>#REF!</v>
      </c>
      <c r="P354">
        <f t="shared" si="6"/>
        <v>34.799999999999997</v>
      </c>
    </row>
    <row r="355" spans="10:16">
      <c r="J355" s="5"/>
      <c r="L355">
        <f>RAVLT_Rec!M355</f>
        <v>-0.25979200000000002</v>
      </c>
      <c r="M355">
        <f>RAVLT_Rec!N355</f>
        <v>34.9</v>
      </c>
      <c r="O355" t="e">
        <f>ABS(L355-RAVLT_Rec!$C$34)</f>
        <v>#REF!</v>
      </c>
      <c r="P355">
        <f t="shared" si="6"/>
        <v>34.9</v>
      </c>
    </row>
    <row r="356" spans="10:16">
      <c r="J356" s="5"/>
      <c r="L356">
        <f>RAVLT_Rec!M356</f>
        <v>-0.25953270000000001</v>
      </c>
      <c r="M356">
        <f>RAVLT_Rec!N356</f>
        <v>35</v>
      </c>
      <c r="O356" t="e">
        <f>ABS(L356-RAVLT_Rec!$C$34)</f>
        <v>#REF!</v>
      </c>
      <c r="P356">
        <f t="shared" si="6"/>
        <v>35</v>
      </c>
    </row>
    <row r="357" spans="10:16">
      <c r="J357" s="5"/>
      <c r="L357">
        <f>RAVLT_Rec!M357</f>
        <v>-0.25858366199999999</v>
      </c>
      <c r="M357">
        <f>RAVLT_Rec!N357</f>
        <v>35.1</v>
      </c>
      <c r="O357" t="e">
        <f>ABS(L357-RAVLT_Rec!$C$34)</f>
        <v>#REF!</v>
      </c>
      <c r="P357">
        <f t="shared" si="6"/>
        <v>35.1</v>
      </c>
    </row>
    <row r="358" spans="10:16">
      <c r="J358" s="5"/>
      <c r="L358">
        <f>RAVLT_Rec!M358</f>
        <v>-0.25763462399999998</v>
      </c>
      <c r="M358">
        <f>RAVLT_Rec!N358</f>
        <v>35.200000000000003</v>
      </c>
      <c r="O358" t="e">
        <f>ABS(L358-RAVLT_Rec!$C$34)</f>
        <v>#REF!</v>
      </c>
      <c r="P358">
        <f t="shared" si="6"/>
        <v>35.200000000000003</v>
      </c>
    </row>
    <row r="359" spans="10:16">
      <c r="J359" s="5"/>
      <c r="L359">
        <f>RAVLT_Rec!M359</f>
        <v>-0.25719900000000001</v>
      </c>
      <c r="M359">
        <f>RAVLT_Rec!N359</f>
        <v>35.299999999999997</v>
      </c>
      <c r="O359" t="e">
        <f>ABS(L359-RAVLT_Rec!$C$34)</f>
        <v>#REF!</v>
      </c>
      <c r="P359">
        <f t="shared" si="6"/>
        <v>35.299999999999997</v>
      </c>
    </row>
    <row r="360" spans="10:16">
      <c r="J360" s="5"/>
      <c r="L360">
        <f>RAVLT_Rec!M360</f>
        <v>-0.25719900000000001</v>
      </c>
      <c r="M360">
        <f>RAVLT_Rec!N360</f>
        <v>35.4</v>
      </c>
      <c r="O360" t="e">
        <f>ABS(L360-RAVLT_Rec!$C$34)</f>
        <v>#REF!</v>
      </c>
      <c r="P360">
        <f t="shared" si="6"/>
        <v>35.4</v>
      </c>
    </row>
    <row r="361" spans="10:16">
      <c r="J361" s="5"/>
      <c r="L361">
        <f>RAVLT_Rec!M361</f>
        <v>-0.25719900000000001</v>
      </c>
      <c r="M361">
        <f>RAVLT_Rec!N361</f>
        <v>35.5</v>
      </c>
      <c r="O361" t="e">
        <f>ABS(L361-RAVLT_Rec!$C$34)</f>
        <v>#REF!</v>
      </c>
      <c r="P361">
        <f t="shared" si="6"/>
        <v>35.5</v>
      </c>
    </row>
    <row r="362" spans="10:16">
      <c r="J362" s="5"/>
      <c r="L362">
        <f>RAVLT_Rec!M362</f>
        <v>-0.24983392800000001</v>
      </c>
      <c r="M362">
        <f>RAVLT_Rec!N362</f>
        <v>35.6</v>
      </c>
      <c r="O362" t="e">
        <f>ABS(L362-RAVLT_Rec!$C$34)</f>
        <v>#REF!</v>
      </c>
      <c r="P362">
        <f t="shared" si="6"/>
        <v>35.6</v>
      </c>
    </row>
    <row r="363" spans="10:16">
      <c r="J363" s="5"/>
      <c r="L363">
        <f>RAVLT_Rec!M363</f>
        <v>-0.24072711599999999</v>
      </c>
      <c r="M363">
        <f>RAVLT_Rec!N363</f>
        <v>35.700000000000003</v>
      </c>
      <c r="O363" t="e">
        <f>ABS(L363-RAVLT_Rec!$C$34)</f>
        <v>#REF!</v>
      </c>
      <c r="P363">
        <f t="shared" si="6"/>
        <v>35.700000000000003</v>
      </c>
    </row>
    <row r="364" spans="10:16">
      <c r="J364" s="5"/>
      <c r="L364">
        <f>RAVLT_Rec!M364</f>
        <v>-0.23218246000000001</v>
      </c>
      <c r="M364">
        <f>RAVLT_Rec!N364</f>
        <v>35.799999999999997</v>
      </c>
      <c r="O364" t="e">
        <f>ABS(L364-RAVLT_Rec!$C$34)</f>
        <v>#REF!</v>
      </c>
      <c r="P364">
        <f t="shared" si="6"/>
        <v>35.799999999999997</v>
      </c>
    </row>
    <row r="365" spans="10:16">
      <c r="J365" s="5"/>
      <c r="L365">
        <f>RAVLT_Rec!M365</f>
        <v>-0.23042383</v>
      </c>
      <c r="M365">
        <f>RAVLT_Rec!N365</f>
        <v>35.9</v>
      </c>
      <c r="O365" t="e">
        <f>ABS(L365-RAVLT_Rec!$C$34)</f>
        <v>#REF!</v>
      </c>
      <c r="P365">
        <f t="shared" si="6"/>
        <v>35.9</v>
      </c>
    </row>
    <row r="366" spans="10:16">
      <c r="J366" s="5"/>
      <c r="L366">
        <f>RAVLT_Rec!M366</f>
        <v>-0.22866520000000001</v>
      </c>
      <c r="M366">
        <f>RAVLT_Rec!N366</f>
        <v>36</v>
      </c>
      <c r="O366" t="e">
        <f>ABS(L366-RAVLT_Rec!$C$34)</f>
        <v>#REF!</v>
      </c>
      <c r="P366">
        <f t="shared" si="6"/>
        <v>36</v>
      </c>
    </row>
    <row r="367" spans="10:16">
      <c r="J367" s="5"/>
      <c r="L367">
        <f>RAVLT_Rec!M367</f>
        <v>-0.22512795399999999</v>
      </c>
      <c r="M367">
        <f>RAVLT_Rec!N367</f>
        <v>36.1</v>
      </c>
      <c r="O367" t="e">
        <f>ABS(L367-RAVLT_Rec!$C$34)</f>
        <v>#REF!</v>
      </c>
      <c r="P367">
        <f t="shared" si="6"/>
        <v>36.1</v>
      </c>
    </row>
    <row r="368" spans="10:16">
      <c r="J368" s="5"/>
      <c r="L368">
        <f>RAVLT_Rec!M368</f>
        <v>-0.21820286799999999</v>
      </c>
      <c r="M368">
        <f>RAVLT_Rec!N368</f>
        <v>36.200000000000003</v>
      </c>
      <c r="O368" t="e">
        <f>ABS(L368-RAVLT_Rec!$C$34)</f>
        <v>#REF!</v>
      </c>
      <c r="P368">
        <f t="shared" si="6"/>
        <v>36.200000000000003</v>
      </c>
    </row>
    <row r="369" spans="10:16">
      <c r="J369" s="5"/>
      <c r="L369">
        <f>RAVLT_Rec!M369</f>
        <v>-0.211277782</v>
      </c>
      <c r="M369">
        <f>RAVLT_Rec!N369</f>
        <v>36.299999999999997</v>
      </c>
      <c r="O369" t="e">
        <f>ABS(L369-RAVLT_Rec!$C$34)</f>
        <v>#REF!</v>
      </c>
      <c r="P369">
        <f t="shared" si="6"/>
        <v>36.299999999999997</v>
      </c>
    </row>
    <row r="370" spans="10:16">
      <c r="J370" s="5"/>
      <c r="L370">
        <f>RAVLT_Rec!M370</f>
        <v>-0.208591</v>
      </c>
      <c r="M370">
        <f>RAVLT_Rec!N370</f>
        <v>36.4</v>
      </c>
      <c r="O370" t="e">
        <f>ABS(L370-RAVLT_Rec!$C$34)</f>
        <v>#REF!</v>
      </c>
      <c r="P370">
        <f t="shared" si="6"/>
        <v>36.4</v>
      </c>
    </row>
    <row r="371" spans="10:16">
      <c r="J371" s="5"/>
      <c r="L371">
        <f>RAVLT_Rec!M371</f>
        <v>-0.208591</v>
      </c>
      <c r="M371">
        <f>RAVLT_Rec!N371</f>
        <v>36.5</v>
      </c>
      <c r="O371" t="e">
        <f>ABS(L371-RAVLT_Rec!$C$34)</f>
        <v>#REF!</v>
      </c>
      <c r="P371">
        <f t="shared" si="6"/>
        <v>36.5</v>
      </c>
    </row>
    <row r="372" spans="10:16">
      <c r="J372" s="5"/>
      <c r="L372">
        <f>RAVLT_Rec!M372</f>
        <v>-0.208591</v>
      </c>
      <c r="M372">
        <f>RAVLT_Rec!N372</f>
        <v>36.6</v>
      </c>
      <c r="O372" t="e">
        <f>ABS(L372-RAVLT_Rec!$C$34)</f>
        <v>#REF!</v>
      </c>
      <c r="P372">
        <f t="shared" si="6"/>
        <v>36.6</v>
      </c>
    </row>
    <row r="373" spans="10:16">
      <c r="J373" s="5"/>
      <c r="L373">
        <f>RAVLT_Rec!M373</f>
        <v>-0.20449548200000001</v>
      </c>
      <c r="M373">
        <f>RAVLT_Rec!N373</f>
        <v>36.700000000000003</v>
      </c>
      <c r="O373" t="e">
        <f>ABS(L373-RAVLT_Rec!$C$34)</f>
        <v>#REF!</v>
      </c>
      <c r="P373">
        <f t="shared" si="6"/>
        <v>36.700000000000003</v>
      </c>
    </row>
    <row r="374" spans="10:16">
      <c r="J374" s="5"/>
      <c r="L374">
        <f>RAVLT_Rec!M374</f>
        <v>-0.19984032800000001</v>
      </c>
      <c r="M374">
        <f>RAVLT_Rec!N374</f>
        <v>36.799999999999997</v>
      </c>
      <c r="O374" t="e">
        <f>ABS(L374-RAVLT_Rec!$C$34)</f>
        <v>#REF!</v>
      </c>
      <c r="P374">
        <f t="shared" si="6"/>
        <v>36.799999999999997</v>
      </c>
    </row>
    <row r="375" spans="10:16">
      <c r="J375" s="5"/>
      <c r="L375">
        <f>RAVLT_Rec!M375</f>
        <v>-0.19543184599999999</v>
      </c>
      <c r="M375">
        <f>RAVLT_Rec!N375</f>
        <v>36.9</v>
      </c>
      <c r="O375" t="e">
        <f>ABS(L375-RAVLT_Rec!$C$34)</f>
        <v>#REF!</v>
      </c>
      <c r="P375">
        <f t="shared" si="6"/>
        <v>36.9</v>
      </c>
    </row>
    <row r="376" spans="10:16">
      <c r="J376" s="5"/>
      <c r="L376">
        <f>RAVLT_Rec!M376</f>
        <v>-0.19244858000000001</v>
      </c>
      <c r="M376">
        <f>RAVLT_Rec!N376</f>
        <v>37</v>
      </c>
      <c r="O376" t="e">
        <f>ABS(L376-RAVLT_Rec!$C$34)</f>
        <v>#REF!</v>
      </c>
      <c r="P376">
        <f t="shared" si="6"/>
        <v>37</v>
      </c>
    </row>
    <row r="377" spans="10:16">
      <c r="J377" s="5"/>
      <c r="L377">
        <f>RAVLT_Rec!M377</f>
        <v>-0.189465314</v>
      </c>
      <c r="M377">
        <f>RAVLT_Rec!N377</f>
        <v>37.1</v>
      </c>
      <c r="O377" t="e">
        <f>ABS(L377-RAVLT_Rec!$C$34)</f>
        <v>#REF!</v>
      </c>
      <c r="P377">
        <f t="shared" si="6"/>
        <v>37.1</v>
      </c>
    </row>
    <row r="378" spans="10:16">
      <c r="J378" s="5"/>
      <c r="L378">
        <f>RAVLT_Rec!M378</f>
        <v>-0.18739663200000001</v>
      </c>
      <c r="M378">
        <f>RAVLT_Rec!N378</f>
        <v>37.200000000000003</v>
      </c>
      <c r="O378" t="e">
        <f>ABS(L378-RAVLT_Rec!$C$34)</f>
        <v>#REF!</v>
      </c>
      <c r="P378">
        <f t="shared" si="6"/>
        <v>37.200000000000003</v>
      </c>
    </row>
    <row r="379" spans="10:16">
      <c r="J379" s="5"/>
      <c r="L379">
        <f>RAVLT_Rec!M379</f>
        <v>-0.186615588</v>
      </c>
      <c r="M379">
        <f>RAVLT_Rec!N379</f>
        <v>37.299999999999997</v>
      </c>
      <c r="O379" t="e">
        <f>ABS(L379-RAVLT_Rec!$C$34)</f>
        <v>#REF!</v>
      </c>
      <c r="P379">
        <f t="shared" si="6"/>
        <v>37.299999999999997</v>
      </c>
    </row>
    <row r="380" spans="10:16">
      <c r="J380" s="5"/>
      <c r="L380">
        <f>RAVLT_Rec!M380</f>
        <v>-0.18583454399999999</v>
      </c>
      <c r="M380">
        <f>RAVLT_Rec!N380</f>
        <v>37.4</v>
      </c>
      <c r="O380" t="e">
        <f>ABS(L380-RAVLT_Rec!$C$34)</f>
        <v>#REF!</v>
      </c>
      <c r="P380">
        <f t="shared" si="6"/>
        <v>37.4</v>
      </c>
    </row>
    <row r="381" spans="10:16">
      <c r="J381" s="5"/>
      <c r="L381">
        <f>RAVLT_Rec!M381</f>
        <v>-0.185587</v>
      </c>
      <c r="M381">
        <f>RAVLT_Rec!N381</f>
        <v>37.5</v>
      </c>
      <c r="O381" t="e">
        <f>ABS(L381-RAVLT_Rec!$C$34)</f>
        <v>#REF!</v>
      </c>
      <c r="P381">
        <f t="shared" si="6"/>
        <v>37.5</v>
      </c>
    </row>
    <row r="382" spans="10:16">
      <c r="J382" s="5"/>
      <c r="L382">
        <f>RAVLT_Rec!M382</f>
        <v>-0.185587</v>
      </c>
      <c r="M382">
        <f>RAVLT_Rec!N382</f>
        <v>37.6</v>
      </c>
      <c r="O382" t="e">
        <f>ABS(L382-RAVLT_Rec!$C$34)</f>
        <v>#REF!</v>
      </c>
      <c r="P382">
        <f t="shared" si="6"/>
        <v>37.6</v>
      </c>
    </row>
    <row r="383" spans="10:16">
      <c r="J383" s="5"/>
      <c r="L383">
        <f>RAVLT_Rec!M383</f>
        <v>-0.185587</v>
      </c>
      <c r="M383">
        <f>RAVLT_Rec!N383</f>
        <v>37.700000000000003</v>
      </c>
      <c r="O383" t="e">
        <f>ABS(L383-RAVLT_Rec!$C$34)</f>
        <v>#REF!</v>
      </c>
      <c r="P383">
        <f t="shared" si="6"/>
        <v>37.700000000000003</v>
      </c>
    </row>
    <row r="384" spans="10:16">
      <c r="J384" s="5"/>
      <c r="L384">
        <f>RAVLT_Rec!M384</f>
        <v>-0.185587</v>
      </c>
      <c r="M384">
        <f>RAVLT_Rec!N384</f>
        <v>37.799999999999997</v>
      </c>
      <c r="O384" t="e">
        <f>ABS(L384-RAVLT_Rec!$C$34)</f>
        <v>#REF!</v>
      </c>
      <c r="P384">
        <f t="shared" si="6"/>
        <v>37.799999999999997</v>
      </c>
    </row>
    <row r="385" spans="10:16">
      <c r="J385" s="5"/>
      <c r="L385">
        <f>RAVLT_Rec!M385</f>
        <v>-0.185587</v>
      </c>
      <c r="M385">
        <f>RAVLT_Rec!N385</f>
        <v>37.9</v>
      </c>
      <c r="O385" t="e">
        <f>ABS(L385-RAVLT_Rec!$C$34)</f>
        <v>#REF!</v>
      </c>
      <c r="P385">
        <f t="shared" si="6"/>
        <v>37.9</v>
      </c>
    </row>
    <row r="386" spans="10:16">
      <c r="J386" s="5"/>
      <c r="L386">
        <f>RAVLT_Rec!M386</f>
        <v>-0.18397284</v>
      </c>
      <c r="M386">
        <f>RAVLT_Rec!N386</f>
        <v>38</v>
      </c>
      <c r="O386" t="e">
        <f>ABS(L386-RAVLT_Rec!$C$34)</f>
        <v>#REF!</v>
      </c>
      <c r="P386">
        <f t="shared" si="6"/>
        <v>38</v>
      </c>
    </row>
    <row r="387" spans="10:16">
      <c r="J387" s="5"/>
      <c r="L387">
        <f>RAVLT_Rec!M387</f>
        <v>-0.17658805799999999</v>
      </c>
      <c r="M387">
        <f>RAVLT_Rec!N387</f>
        <v>38.1</v>
      </c>
      <c r="O387" t="e">
        <f>ABS(L387-RAVLT_Rec!$C$34)</f>
        <v>#REF!</v>
      </c>
      <c r="P387">
        <f t="shared" si="6"/>
        <v>38.1</v>
      </c>
    </row>
    <row r="388" spans="10:16">
      <c r="J388" s="5"/>
      <c r="L388">
        <f>RAVLT_Rec!M388</f>
        <v>-0.16920327600000001</v>
      </c>
      <c r="M388">
        <f>RAVLT_Rec!N388</f>
        <v>38.200000000000003</v>
      </c>
      <c r="O388" t="e">
        <f>ABS(L388-RAVLT_Rec!$C$34)</f>
        <v>#REF!</v>
      </c>
      <c r="P388">
        <f t="shared" si="6"/>
        <v>38.200000000000003</v>
      </c>
    </row>
    <row r="389" spans="10:16">
      <c r="J389" s="5"/>
      <c r="L389">
        <f>RAVLT_Rec!M389</f>
        <v>-0.16541</v>
      </c>
      <c r="M389">
        <f>RAVLT_Rec!N389</f>
        <v>38.299999999999997</v>
      </c>
      <c r="O389" t="e">
        <f>ABS(L389-RAVLT_Rec!$C$34)</f>
        <v>#REF!</v>
      </c>
      <c r="P389">
        <f t="shared" si="6"/>
        <v>38.299999999999997</v>
      </c>
    </row>
    <row r="390" spans="10:16">
      <c r="J390" s="5"/>
      <c r="L390">
        <f>RAVLT_Rec!M390</f>
        <v>-0.16541</v>
      </c>
      <c r="M390">
        <f>RAVLT_Rec!N390</f>
        <v>38.4</v>
      </c>
      <c r="O390" t="e">
        <f>ABS(L390-RAVLT_Rec!$C$34)</f>
        <v>#REF!</v>
      </c>
      <c r="P390">
        <f t="shared" si="6"/>
        <v>38.4</v>
      </c>
    </row>
    <row r="391" spans="10:16">
      <c r="J391" s="5"/>
      <c r="L391">
        <f>RAVLT_Rec!M391</f>
        <v>-0.16541</v>
      </c>
      <c r="M391">
        <f>RAVLT_Rec!N391</f>
        <v>38.5</v>
      </c>
      <c r="O391" t="e">
        <f>ABS(L391-RAVLT_Rec!$C$34)</f>
        <v>#REF!</v>
      </c>
      <c r="P391">
        <f t="shared" ref="P391:P454" si="7">M391</f>
        <v>38.5</v>
      </c>
    </row>
    <row r="392" spans="10:16">
      <c r="J392" s="5"/>
      <c r="L392">
        <f>RAVLT_Rec!M392</f>
        <v>-0.16541</v>
      </c>
      <c r="M392">
        <f>RAVLT_Rec!N392</f>
        <v>38.6</v>
      </c>
      <c r="O392" t="e">
        <f>ABS(L392-RAVLT_Rec!$C$34)</f>
        <v>#REF!</v>
      </c>
      <c r="P392">
        <f t="shared" si="7"/>
        <v>38.6</v>
      </c>
    </row>
    <row r="393" spans="10:16">
      <c r="J393" s="5"/>
      <c r="L393">
        <f>RAVLT_Rec!M393</f>
        <v>-0.16541</v>
      </c>
      <c r="M393">
        <f>RAVLT_Rec!N393</f>
        <v>38.700000000000003</v>
      </c>
      <c r="O393" t="e">
        <f>ABS(L393-RAVLT_Rec!$C$34)</f>
        <v>#REF!</v>
      </c>
      <c r="P393">
        <f t="shared" si="7"/>
        <v>38.700000000000003</v>
      </c>
    </row>
    <row r="394" spans="10:16">
      <c r="J394" s="5"/>
      <c r="L394">
        <f>RAVLT_Rec!M394</f>
        <v>-0.16541</v>
      </c>
      <c r="M394">
        <f>RAVLT_Rec!N394</f>
        <v>38.799999999999997</v>
      </c>
      <c r="O394" t="e">
        <f>ABS(L394-RAVLT_Rec!$C$34)</f>
        <v>#REF!</v>
      </c>
      <c r="P394">
        <f t="shared" si="7"/>
        <v>38.799999999999997</v>
      </c>
    </row>
    <row r="395" spans="10:16">
      <c r="J395" s="5"/>
      <c r="L395">
        <f>RAVLT_Rec!M395</f>
        <v>-0.16541</v>
      </c>
      <c r="M395">
        <f>RAVLT_Rec!N395</f>
        <v>38.9</v>
      </c>
      <c r="O395" t="e">
        <f>ABS(L395-RAVLT_Rec!$C$34)</f>
        <v>#REF!</v>
      </c>
      <c r="P395">
        <f t="shared" si="7"/>
        <v>38.9</v>
      </c>
    </row>
    <row r="396" spans="10:16">
      <c r="J396" s="5"/>
      <c r="L396">
        <f>RAVLT_Rec!M396</f>
        <v>-0.16541</v>
      </c>
      <c r="M396">
        <f>RAVLT_Rec!N396</f>
        <v>39</v>
      </c>
      <c r="O396" t="e">
        <f>ABS(L396-RAVLT_Rec!$C$34)</f>
        <v>#REF!</v>
      </c>
      <c r="P396">
        <f t="shared" si="7"/>
        <v>39</v>
      </c>
    </row>
    <row r="397" spans="10:16">
      <c r="J397" s="5"/>
      <c r="L397">
        <f>RAVLT_Rec!M397</f>
        <v>-0.16541</v>
      </c>
      <c r="M397">
        <f>RAVLT_Rec!N397</f>
        <v>39.1</v>
      </c>
      <c r="O397" t="e">
        <f>ABS(L397-RAVLT_Rec!$C$34)</f>
        <v>#REF!</v>
      </c>
      <c r="P397">
        <f t="shared" si="7"/>
        <v>39.1</v>
      </c>
    </row>
    <row r="398" spans="10:16">
      <c r="J398" s="5"/>
      <c r="L398">
        <f>RAVLT_Rec!M398</f>
        <v>-0.16541</v>
      </c>
      <c r="M398">
        <f>RAVLT_Rec!N398</f>
        <v>39.200000000000003</v>
      </c>
      <c r="O398" t="e">
        <f>ABS(L398-RAVLT_Rec!$C$34)</f>
        <v>#REF!</v>
      </c>
      <c r="P398">
        <f t="shared" si="7"/>
        <v>39.200000000000003</v>
      </c>
    </row>
    <row r="399" spans="10:16">
      <c r="J399" s="5"/>
      <c r="L399">
        <f>RAVLT_Rec!M399</f>
        <v>-0.16541</v>
      </c>
      <c r="M399">
        <f>RAVLT_Rec!N399</f>
        <v>39.299999999999997</v>
      </c>
      <c r="O399" t="e">
        <f>ABS(L399-RAVLT_Rec!$C$34)</f>
        <v>#REF!</v>
      </c>
      <c r="P399">
        <f t="shared" si="7"/>
        <v>39.299999999999997</v>
      </c>
    </row>
    <row r="400" spans="10:16">
      <c r="J400" s="5"/>
      <c r="L400">
        <f>RAVLT_Rec!M400</f>
        <v>-0.16541</v>
      </c>
      <c r="M400">
        <f>RAVLT_Rec!N400</f>
        <v>39.4</v>
      </c>
      <c r="O400" t="e">
        <f>ABS(L400-RAVLT_Rec!$C$34)</f>
        <v>#REF!</v>
      </c>
      <c r="P400">
        <f t="shared" si="7"/>
        <v>39.4</v>
      </c>
    </row>
    <row r="401" spans="10:16">
      <c r="J401" s="5"/>
      <c r="L401">
        <f>RAVLT_Rec!M401</f>
        <v>-0.16541</v>
      </c>
      <c r="M401">
        <f>RAVLT_Rec!N401</f>
        <v>39.5</v>
      </c>
      <c r="O401" t="e">
        <f>ABS(L401-RAVLT_Rec!$C$34)</f>
        <v>#REF!</v>
      </c>
      <c r="P401">
        <f t="shared" si="7"/>
        <v>39.5</v>
      </c>
    </row>
    <row r="402" spans="10:16">
      <c r="J402" s="5"/>
      <c r="L402">
        <f>RAVLT_Rec!M402</f>
        <v>-0.16541</v>
      </c>
      <c r="M402">
        <f>RAVLT_Rec!N402</f>
        <v>39.6</v>
      </c>
      <c r="O402" t="e">
        <f>ABS(L402-RAVLT_Rec!$C$34)</f>
        <v>#REF!</v>
      </c>
      <c r="P402">
        <f t="shared" si="7"/>
        <v>39.6</v>
      </c>
    </row>
    <row r="403" spans="10:16">
      <c r="J403" s="5"/>
      <c r="L403">
        <f>RAVLT_Rec!M403</f>
        <v>-0.16466768400000001</v>
      </c>
      <c r="M403">
        <f>RAVLT_Rec!N403</f>
        <v>39.700000000000003</v>
      </c>
      <c r="O403" t="e">
        <f>ABS(L403-RAVLT_Rec!$C$34)</f>
        <v>#REF!</v>
      </c>
      <c r="P403">
        <f t="shared" si="7"/>
        <v>39.700000000000003</v>
      </c>
    </row>
    <row r="404" spans="10:16">
      <c r="J404" s="5"/>
      <c r="L404">
        <f>RAVLT_Rec!M404</f>
        <v>-0.163768056</v>
      </c>
      <c r="M404">
        <f>RAVLT_Rec!N404</f>
        <v>39.799999999999997</v>
      </c>
      <c r="O404" t="e">
        <f>ABS(L404-RAVLT_Rec!$C$34)</f>
        <v>#REF!</v>
      </c>
      <c r="P404">
        <f t="shared" si="7"/>
        <v>39.799999999999997</v>
      </c>
    </row>
    <row r="405" spans="10:16">
      <c r="J405" s="5"/>
      <c r="L405">
        <f>RAVLT_Rec!M405</f>
        <v>-0.162184892</v>
      </c>
      <c r="M405">
        <f>RAVLT_Rec!N405</f>
        <v>39.9</v>
      </c>
      <c r="O405" t="e">
        <f>ABS(L405-RAVLT_Rec!$C$34)</f>
        <v>#REF!</v>
      </c>
      <c r="P405">
        <f t="shared" si="7"/>
        <v>39.9</v>
      </c>
    </row>
    <row r="406" spans="10:16">
      <c r="J406" s="5"/>
      <c r="L406">
        <f>RAVLT_Rec!M406</f>
        <v>-0.15392719999999999</v>
      </c>
      <c r="M406">
        <f>RAVLT_Rec!N406</f>
        <v>40</v>
      </c>
      <c r="O406" t="e">
        <f>ABS(L406-RAVLT_Rec!$C$34)</f>
        <v>#REF!</v>
      </c>
      <c r="P406">
        <f t="shared" si="7"/>
        <v>40</v>
      </c>
    </row>
    <row r="407" spans="10:16">
      <c r="J407" s="5"/>
      <c r="L407">
        <f>RAVLT_Rec!M407</f>
        <v>-0.145669508</v>
      </c>
      <c r="M407">
        <f>RAVLT_Rec!N407</f>
        <v>40.1</v>
      </c>
      <c r="O407" t="e">
        <f>ABS(L407-RAVLT_Rec!$C$34)</f>
        <v>#REF!</v>
      </c>
      <c r="P407">
        <f t="shared" si="7"/>
        <v>40.1</v>
      </c>
    </row>
    <row r="408" spans="10:16">
      <c r="J408" s="5"/>
      <c r="L408">
        <f>RAVLT_Rec!M408</f>
        <v>-0.13988378000000001</v>
      </c>
      <c r="M408">
        <f>RAVLT_Rec!N408</f>
        <v>40.200000000000003</v>
      </c>
      <c r="O408" t="e">
        <f>ABS(L408-RAVLT_Rec!$C$34)</f>
        <v>#REF!</v>
      </c>
      <c r="P408">
        <f t="shared" si="7"/>
        <v>40.200000000000003</v>
      </c>
    </row>
    <row r="409" spans="10:16">
      <c r="J409" s="5"/>
      <c r="L409">
        <f>RAVLT_Rec!M409</f>
        <v>-0.13848017000000001</v>
      </c>
      <c r="M409">
        <f>RAVLT_Rec!N409</f>
        <v>40.299999999999997</v>
      </c>
      <c r="O409" t="e">
        <f>ABS(L409-RAVLT_Rec!$C$34)</f>
        <v>#REF!</v>
      </c>
      <c r="P409">
        <f t="shared" si="7"/>
        <v>40.299999999999997</v>
      </c>
    </row>
    <row r="410" spans="10:16">
      <c r="J410" s="5"/>
      <c r="L410">
        <f>RAVLT_Rec!M410</f>
        <v>-0.13707655999999999</v>
      </c>
      <c r="M410">
        <f>RAVLT_Rec!N410</f>
        <v>40.4</v>
      </c>
      <c r="O410" t="e">
        <f>ABS(L410-RAVLT_Rec!$C$34)</f>
        <v>#REF!</v>
      </c>
      <c r="P410">
        <f t="shared" si="7"/>
        <v>40.4</v>
      </c>
    </row>
    <row r="411" spans="10:16">
      <c r="J411" s="5"/>
      <c r="L411">
        <f>RAVLT_Rec!M411</f>
        <v>-0.13655500000000001</v>
      </c>
      <c r="M411">
        <f>RAVLT_Rec!N411</f>
        <v>40.5</v>
      </c>
      <c r="O411" t="e">
        <f>ABS(L411-RAVLT_Rec!$C$34)</f>
        <v>#REF!</v>
      </c>
      <c r="P411">
        <f t="shared" si="7"/>
        <v>40.5</v>
      </c>
    </row>
    <row r="412" spans="10:16">
      <c r="J412" s="5"/>
      <c r="L412">
        <f>RAVLT_Rec!M412</f>
        <v>-0.13655500000000001</v>
      </c>
      <c r="M412">
        <f>RAVLT_Rec!N412</f>
        <v>40.6</v>
      </c>
      <c r="O412" t="e">
        <f>ABS(L412-RAVLT_Rec!$C$34)</f>
        <v>#REF!</v>
      </c>
      <c r="P412">
        <f t="shared" si="7"/>
        <v>40.6</v>
      </c>
    </row>
    <row r="413" spans="10:16">
      <c r="J413" s="5"/>
      <c r="L413">
        <f>RAVLT_Rec!M413</f>
        <v>-0.13655500000000001</v>
      </c>
      <c r="M413">
        <f>RAVLT_Rec!N413</f>
        <v>40.700000000000003</v>
      </c>
      <c r="O413" t="e">
        <f>ABS(L413-RAVLT_Rec!$C$34)</f>
        <v>#REF!</v>
      </c>
      <c r="P413">
        <f t="shared" si="7"/>
        <v>40.700000000000003</v>
      </c>
    </row>
    <row r="414" spans="10:16">
      <c r="J414" s="5"/>
      <c r="L414">
        <f>RAVLT_Rec!M414</f>
        <v>-0.13655500000000001</v>
      </c>
      <c r="M414">
        <f>RAVLT_Rec!N414</f>
        <v>40.799999999999997</v>
      </c>
      <c r="O414" t="e">
        <f>ABS(L414-RAVLT_Rec!$C$34)</f>
        <v>#REF!</v>
      </c>
      <c r="P414">
        <f t="shared" si="7"/>
        <v>40.799999999999997</v>
      </c>
    </row>
    <row r="415" spans="10:16">
      <c r="J415" s="5"/>
      <c r="L415">
        <f>RAVLT_Rec!M415</f>
        <v>-0.13655500000000001</v>
      </c>
      <c r="M415">
        <f>RAVLT_Rec!N415</f>
        <v>40.9</v>
      </c>
      <c r="O415" t="e">
        <f>ABS(L415-RAVLT_Rec!$C$34)</f>
        <v>#REF!</v>
      </c>
      <c r="P415">
        <f t="shared" si="7"/>
        <v>40.9</v>
      </c>
    </row>
    <row r="416" spans="10:16">
      <c r="J416" s="5"/>
      <c r="L416">
        <f>RAVLT_Rec!M416</f>
        <v>-0.13655500000000001</v>
      </c>
      <c r="M416">
        <f>RAVLT_Rec!N416</f>
        <v>41</v>
      </c>
      <c r="O416" t="e">
        <f>ABS(L416-RAVLT_Rec!$C$34)</f>
        <v>#REF!</v>
      </c>
      <c r="P416">
        <f t="shared" si="7"/>
        <v>41</v>
      </c>
    </row>
    <row r="417" spans="10:16">
      <c r="J417" s="5"/>
      <c r="L417">
        <f>RAVLT_Rec!M417</f>
        <v>-0.13655500000000001</v>
      </c>
      <c r="M417">
        <f>RAVLT_Rec!N417</f>
        <v>41.1</v>
      </c>
      <c r="O417" t="e">
        <f>ABS(L417-RAVLT_Rec!$C$34)</f>
        <v>#REF!</v>
      </c>
      <c r="P417">
        <f t="shared" si="7"/>
        <v>41.1</v>
      </c>
    </row>
    <row r="418" spans="10:16">
      <c r="J418" s="5"/>
      <c r="L418">
        <f>RAVLT_Rec!M418</f>
        <v>-0.13655500000000001</v>
      </c>
      <c r="M418">
        <f>RAVLT_Rec!N418</f>
        <v>41.2</v>
      </c>
      <c r="O418" t="e">
        <f>ABS(L418-RAVLT_Rec!$C$34)</f>
        <v>#REF!</v>
      </c>
      <c r="P418">
        <f t="shared" si="7"/>
        <v>41.2</v>
      </c>
    </row>
    <row r="419" spans="10:16">
      <c r="J419" s="5"/>
      <c r="L419">
        <f>RAVLT_Rec!M419</f>
        <v>-0.13356832599999999</v>
      </c>
      <c r="M419">
        <f>RAVLT_Rec!N419</f>
        <v>41.3</v>
      </c>
      <c r="O419" t="e">
        <f>ABS(L419-RAVLT_Rec!$C$34)</f>
        <v>#REF!</v>
      </c>
      <c r="P419">
        <f t="shared" si="7"/>
        <v>41.3</v>
      </c>
    </row>
    <row r="420" spans="10:16">
      <c r="J420" s="5"/>
      <c r="L420">
        <f>RAVLT_Rec!M420</f>
        <v>-0.12664982799999999</v>
      </c>
      <c r="M420">
        <f>RAVLT_Rec!N420</f>
        <v>41.4</v>
      </c>
      <c r="O420" t="e">
        <f>ABS(L420-RAVLT_Rec!$C$34)</f>
        <v>#REF!</v>
      </c>
      <c r="P420">
        <f t="shared" si="7"/>
        <v>41.4</v>
      </c>
    </row>
    <row r="421" spans="10:16">
      <c r="J421" s="5"/>
      <c r="L421">
        <f>RAVLT_Rec!M421</f>
        <v>-0.11973133</v>
      </c>
      <c r="M421">
        <f>RAVLT_Rec!N421</f>
        <v>41.5</v>
      </c>
      <c r="O421" t="e">
        <f>ABS(L421-RAVLT_Rec!$C$34)</f>
        <v>#REF!</v>
      </c>
      <c r="P421">
        <f t="shared" si="7"/>
        <v>41.5</v>
      </c>
    </row>
    <row r="422" spans="10:16">
      <c r="J422" s="5"/>
      <c r="L422">
        <f>RAVLT_Rec!M422</f>
        <v>-0.11173328</v>
      </c>
      <c r="M422">
        <f>RAVLT_Rec!N422</f>
        <v>41.6</v>
      </c>
      <c r="O422" t="e">
        <f>ABS(L422-RAVLT_Rec!$C$34)</f>
        <v>#REF!</v>
      </c>
      <c r="P422">
        <f t="shared" si="7"/>
        <v>41.6</v>
      </c>
    </row>
    <row r="423" spans="10:16">
      <c r="J423" s="5"/>
      <c r="L423">
        <f>RAVLT_Rec!M423</f>
        <v>-0.10327136000000001</v>
      </c>
      <c r="M423">
        <f>RAVLT_Rec!N423</f>
        <v>41.7</v>
      </c>
      <c r="O423" t="e">
        <f>ABS(L423-RAVLT_Rec!$C$34)</f>
        <v>#REF!</v>
      </c>
      <c r="P423">
        <f t="shared" si="7"/>
        <v>41.7</v>
      </c>
    </row>
    <row r="424" spans="10:16">
      <c r="J424" s="5"/>
      <c r="L424">
        <f>RAVLT_Rec!M424</f>
        <v>-9.4809439999999995E-2</v>
      </c>
      <c r="M424">
        <f>RAVLT_Rec!N424</f>
        <v>41.8</v>
      </c>
      <c r="O424" t="e">
        <f>ABS(L424-RAVLT_Rec!$C$34)</f>
        <v>#REF!</v>
      </c>
      <c r="P424">
        <f t="shared" si="7"/>
        <v>41.8</v>
      </c>
    </row>
    <row r="425" spans="10:16">
      <c r="J425" s="5"/>
      <c r="L425">
        <f>RAVLT_Rec!M425</f>
        <v>-9.4532000000000005E-2</v>
      </c>
      <c r="M425">
        <f>RAVLT_Rec!N425</f>
        <v>41.9</v>
      </c>
      <c r="O425" t="e">
        <f>ABS(L425-RAVLT_Rec!$C$34)</f>
        <v>#REF!</v>
      </c>
      <c r="P425">
        <f t="shared" si="7"/>
        <v>41.9</v>
      </c>
    </row>
    <row r="426" spans="10:16">
      <c r="J426" s="5"/>
      <c r="L426">
        <f>RAVLT_Rec!M426</f>
        <v>-9.4532000000000005E-2</v>
      </c>
      <c r="M426">
        <f>RAVLT_Rec!N426</f>
        <v>42</v>
      </c>
      <c r="O426" t="e">
        <f>ABS(L426-RAVLT_Rec!$C$34)</f>
        <v>#REF!</v>
      </c>
      <c r="P426">
        <f t="shared" si="7"/>
        <v>42</v>
      </c>
    </row>
    <row r="427" spans="10:16">
      <c r="J427" s="5"/>
      <c r="L427">
        <f>RAVLT_Rec!M427</f>
        <v>-9.0403312000000804E-2</v>
      </c>
      <c r="M427">
        <f>RAVLT_Rec!N427</f>
        <v>42.1</v>
      </c>
      <c r="O427" t="e">
        <f>ABS(L427-RAVLT_Rec!$C$34)</f>
        <v>#REF!</v>
      </c>
      <c r="P427">
        <f t="shared" si="7"/>
        <v>42.1</v>
      </c>
    </row>
    <row r="428" spans="10:16">
      <c r="J428" s="5"/>
      <c r="L428">
        <f>RAVLT_Rec!M428</f>
        <v>-7.2832384000000097E-2</v>
      </c>
      <c r="M428">
        <f>RAVLT_Rec!N428</f>
        <v>42.2</v>
      </c>
      <c r="O428" t="e">
        <f>ABS(L428-RAVLT_Rec!$C$34)</f>
        <v>#REF!</v>
      </c>
      <c r="P428">
        <f t="shared" si="7"/>
        <v>42.2</v>
      </c>
    </row>
    <row r="429" spans="10:16">
      <c r="J429" s="5"/>
      <c r="L429">
        <f>RAVLT_Rec!M429</f>
        <v>-5.5261456000000798E-2</v>
      </c>
      <c r="M429">
        <f>RAVLT_Rec!N429</f>
        <v>42.3</v>
      </c>
      <c r="O429" t="e">
        <f>ABS(L429-RAVLT_Rec!$C$34)</f>
        <v>#REF!</v>
      </c>
      <c r="P429">
        <f t="shared" si="7"/>
        <v>42.3</v>
      </c>
    </row>
    <row r="430" spans="10:16">
      <c r="J430" s="5"/>
      <c r="L430">
        <f>RAVLT_Rec!M430</f>
        <v>-4.6524000000000003E-2</v>
      </c>
      <c r="M430">
        <f>RAVLT_Rec!N430</f>
        <v>42.4</v>
      </c>
      <c r="O430" t="e">
        <f>ABS(L430-RAVLT_Rec!$C$34)</f>
        <v>#REF!</v>
      </c>
      <c r="P430">
        <f t="shared" si="7"/>
        <v>42.4</v>
      </c>
    </row>
    <row r="431" spans="10:16">
      <c r="J431" s="5"/>
      <c r="L431">
        <f>RAVLT_Rec!M431</f>
        <v>-4.6524000000000003E-2</v>
      </c>
      <c r="M431">
        <f>RAVLT_Rec!N431</f>
        <v>42.5</v>
      </c>
      <c r="O431" t="e">
        <f>ABS(L431-RAVLT_Rec!$C$34)</f>
        <v>#REF!</v>
      </c>
      <c r="P431">
        <f t="shared" si="7"/>
        <v>42.5</v>
      </c>
    </row>
    <row r="432" spans="10:16">
      <c r="J432" s="5"/>
      <c r="L432">
        <f>RAVLT_Rec!M432</f>
        <v>-4.6524000000000003E-2</v>
      </c>
      <c r="M432">
        <f>RAVLT_Rec!N432</f>
        <v>42.6</v>
      </c>
      <c r="O432" t="e">
        <f>ABS(L432-RAVLT_Rec!$C$34)</f>
        <v>#REF!</v>
      </c>
      <c r="P432">
        <f t="shared" si="7"/>
        <v>42.6</v>
      </c>
    </row>
    <row r="433" spans="10:16">
      <c r="J433" s="5"/>
      <c r="L433">
        <f>RAVLT_Rec!M433</f>
        <v>-4.50279899999999E-2</v>
      </c>
      <c r="M433">
        <f>RAVLT_Rec!N433</f>
        <v>42.7</v>
      </c>
      <c r="O433" t="e">
        <f>ABS(L433-RAVLT_Rec!$C$34)</f>
        <v>#REF!</v>
      </c>
      <c r="P433">
        <f t="shared" si="7"/>
        <v>42.7</v>
      </c>
    </row>
    <row r="434" spans="10:16">
      <c r="J434" s="5"/>
      <c r="L434">
        <f>RAVLT_Rec!M434</f>
        <v>-4.3086359999999997E-2</v>
      </c>
      <c r="M434">
        <f>RAVLT_Rec!N434</f>
        <v>42.8</v>
      </c>
      <c r="O434" t="e">
        <f>ABS(L434-RAVLT_Rec!$C$34)</f>
        <v>#REF!</v>
      </c>
      <c r="P434">
        <f t="shared" si="7"/>
        <v>42.8</v>
      </c>
    </row>
    <row r="435" spans="10:16">
      <c r="J435" s="5"/>
      <c r="L435">
        <f>RAVLT_Rec!M435</f>
        <v>-4.0942303999999798E-2</v>
      </c>
      <c r="M435">
        <f>RAVLT_Rec!N435</f>
        <v>42.9</v>
      </c>
      <c r="O435" t="e">
        <f>ABS(L435-RAVLT_Rec!$C$34)</f>
        <v>#REF!</v>
      </c>
      <c r="P435">
        <f t="shared" si="7"/>
        <v>42.9</v>
      </c>
    </row>
    <row r="436" spans="10:16">
      <c r="J436" s="5"/>
      <c r="L436">
        <f>RAVLT_Rec!M436</f>
        <v>-3.3708680000000102E-2</v>
      </c>
      <c r="M436">
        <f>RAVLT_Rec!N436</f>
        <v>43</v>
      </c>
      <c r="O436" t="e">
        <f>ABS(L436-RAVLT_Rec!$C$34)</f>
        <v>#REF!</v>
      </c>
      <c r="P436">
        <f t="shared" si="7"/>
        <v>43</v>
      </c>
    </row>
    <row r="437" spans="10:16">
      <c r="J437" s="5"/>
      <c r="L437">
        <f>RAVLT_Rec!M437</f>
        <v>-2.6475055999999799E-2</v>
      </c>
      <c r="M437">
        <f>RAVLT_Rec!N437</f>
        <v>43.1</v>
      </c>
      <c r="O437" t="e">
        <f>ABS(L437-RAVLT_Rec!$C$34)</f>
        <v>#REF!</v>
      </c>
      <c r="P437">
        <f t="shared" si="7"/>
        <v>43.1</v>
      </c>
    </row>
    <row r="438" spans="10:16">
      <c r="J438" s="5"/>
      <c r="L438">
        <f>RAVLT_Rec!M438</f>
        <v>-2.1454999999999998E-2</v>
      </c>
      <c r="M438">
        <f>RAVLT_Rec!N438</f>
        <v>43.2</v>
      </c>
      <c r="O438" t="e">
        <f>ABS(L438-RAVLT_Rec!$C$34)</f>
        <v>#REF!</v>
      </c>
      <c r="P438">
        <f t="shared" si="7"/>
        <v>43.2</v>
      </c>
    </row>
    <row r="439" spans="10:16">
      <c r="J439" s="5"/>
      <c r="L439">
        <f>RAVLT_Rec!M439</f>
        <v>-2.1454999999999998E-2</v>
      </c>
      <c r="M439">
        <f>RAVLT_Rec!N439</f>
        <v>43.3</v>
      </c>
      <c r="O439" t="e">
        <f>ABS(L439-RAVLT_Rec!$C$34)</f>
        <v>#REF!</v>
      </c>
      <c r="P439">
        <f t="shared" si="7"/>
        <v>43.3</v>
      </c>
    </row>
    <row r="440" spans="10:16">
      <c r="J440" s="5"/>
      <c r="L440">
        <f>RAVLT_Rec!M440</f>
        <v>-2.1454999999999998E-2</v>
      </c>
      <c r="M440">
        <f>RAVLT_Rec!N440</f>
        <v>43.4</v>
      </c>
      <c r="O440" t="e">
        <f>ABS(L440-RAVLT_Rec!$C$34)</f>
        <v>#REF!</v>
      </c>
      <c r="P440">
        <f t="shared" si="7"/>
        <v>43.4</v>
      </c>
    </row>
    <row r="441" spans="10:16">
      <c r="J441" s="5"/>
      <c r="L441">
        <f>RAVLT_Rec!M441</f>
        <v>-2.1454999999999998E-2</v>
      </c>
      <c r="M441">
        <f>RAVLT_Rec!N441</f>
        <v>43.5</v>
      </c>
      <c r="O441" t="e">
        <f>ABS(L441-RAVLT_Rec!$C$34)</f>
        <v>#REF!</v>
      </c>
      <c r="P441">
        <f t="shared" si="7"/>
        <v>43.5</v>
      </c>
    </row>
    <row r="442" spans="10:16">
      <c r="J442" s="5"/>
      <c r="L442">
        <f>RAVLT_Rec!M442</f>
        <v>-2.1454999999999998E-2</v>
      </c>
      <c r="M442">
        <f>RAVLT_Rec!N442</f>
        <v>43.6</v>
      </c>
      <c r="O442" t="e">
        <f>ABS(L442-RAVLT_Rec!$C$34)</f>
        <v>#REF!</v>
      </c>
      <c r="P442">
        <f t="shared" si="7"/>
        <v>43.6</v>
      </c>
    </row>
    <row r="443" spans="10:16">
      <c r="J443" s="5"/>
      <c r="L443">
        <f>RAVLT_Rec!M443</f>
        <v>-2.1454999999999998E-2</v>
      </c>
      <c r="M443">
        <f>RAVLT_Rec!N443</f>
        <v>43.7</v>
      </c>
      <c r="O443" t="e">
        <f>ABS(L443-RAVLT_Rec!$C$34)</f>
        <v>#REF!</v>
      </c>
      <c r="P443">
        <f t="shared" si="7"/>
        <v>43.7</v>
      </c>
    </row>
    <row r="444" spans="10:16">
      <c r="J444" s="5"/>
      <c r="L444">
        <f>RAVLT_Rec!M444</f>
        <v>-2.1454999999999998E-2</v>
      </c>
      <c r="M444">
        <f>RAVLT_Rec!N444</f>
        <v>43.8</v>
      </c>
      <c r="O444" t="e">
        <f>ABS(L444-RAVLT_Rec!$C$34)</f>
        <v>#REF!</v>
      </c>
      <c r="P444">
        <f t="shared" si="7"/>
        <v>43.8</v>
      </c>
    </row>
    <row r="445" spans="10:16">
      <c r="J445" s="5"/>
      <c r="L445">
        <f>RAVLT_Rec!M445</f>
        <v>-2.1454999999999998E-2</v>
      </c>
      <c r="M445">
        <f>RAVLT_Rec!N445</f>
        <v>43.9</v>
      </c>
      <c r="O445" t="e">
        <f>ABS(L445-RAVLT_Rec!$C$34)</f>
        <v>#REF!</v>
      </c>
      <c r="P445">
        <f t="shared" si="7"/>
        <v>43.9</v>
      </c>
    </row>
    <row r="446" spans="10:16">
      <c r="J446" s="5"/>
      <c r="L446">
        <f>RAVLT_Rec!M446</f>
        <v>-2.1454999999999998E-2</v>
      </c>
      <c r="M446">
        <f>RAVLT_Rec!N446</f>
        <v>44</v>
      </c>
      <c r="O446" t="e">
        <f>ABS(L446-RAVLT_Rec!$C$34)</f>
        <v>#REF!</v>
      </c>
      <c r="P446">
        <f t="shared" si="7"/>
        <v>44</v>
      </c>
    </row>
    <row r="447" spans="10:16">
      <c r="J447" s="5"/>
      <c r="L447">
        <f>RAVLT_Rec!M447</f>
        <v>-2.1454999999999998E-2</v>
      </c>
      <c r="M447">
        <f>RAVLT_Rec!N447</f>
        <v>44.1</v>
      </c>
      <c r="O447" t="e">
        <f>ABS(L447-RAVLT_Rec!$C$34)</f>
        <v>#REF!</v>
      </c>
      <c r="P447">
        <f t="shared" si="7"/>
        <v>44.1</v>
      </c>
    </row>
    <row r="448" spans="10:16">
      <c r="J448" s="5"/>
      <c r="L448">
        <f>RAVLT_Rec!M448</f>
        <v>-2.1454999999999998E-2</v>
      </c>
      <c r="M448">
        <f>RAVLT_Rec!N448</f>
        <v>44.2</v>
      </c>
      <c r="O448" t="e">
        <f>ABS(L448-RAVLT_Rec!$C$34)</f>
        <v>#REF!</v>
      </c>
      <c r="P448">
        <f t="shared" si="7"/>
        <v>44.2</v>
      </c>
    </row>
    <row r="449" spans="10:16">
      <c r="J449" s="5"/>
      <c r="L449">
        <f>RAVLT_Rec!M449</f>
        <v>-1.7896531999999899E-2</v>
      </c>
      <c r="M449">
        <f>RAVLT_Rec!N449</f>
        <v>44.3</v>
      </c>
      <c r="O449" t="e">
        <f>ABS(L449-RAVLT_Rec!$C$34)</f>
        <v>#REF!</v>
      </c>
      <c r="P449">
        <f t="shared" si="7"/>
        <v>44.3</v>
      </c>
    </row>
    <row r="450" spans="10:16">
      <c r="J450" s="5"/>
      <c r="L450">
        <f>RAVLT_Rec!M450</f>
        <v>-8.4588560000002401E-3</v>
      </c>
      <c r="M450">
        <f>RAVLT_Rec!N450</f>
        <v>44.4</v>
      </c>
      <c r="O450" t="e">
        <f>ABS(L450-RAVLT_Rec!$C$34)</f>
        <v>#REF!</v>
      </c>
      <c r="P450">
        <f t="shared" si="7"/>
        <v>44.4</v>
      </c>
    </row>
    <row r="451" spans="10:16">
      <c r="J451" s="5"/>
      <c r="L451">
        <f>RAVLT_Rec!M451</f>
        <v>9.7882000000011691E-4</v>
      </c>
      <c r="M451">
        <f>RAVLT_Rec!N451</f>
        <v>44.5</v>
      </c>
      <c r="O451" t="e">
        <f>ABS(L451-RAVLT_Rec!$C$34)</f>
        <v>#REF!</v>
      </c>
      <c r="P451">
        <f t="shared" si="7"/>
        <v>44.5</v>
      </c>
    </row>
    <row r="452" spans="10:16">
      <c r="J452" s="5"/>
      <c r="L452">
        <f>RAVLT_Rec!M452</f>
        <v>5.5242159999999499E-3</v>
      </c>
      <c r="M452">
        <f>RAVLT_Rec!N452</f>
        <v>44.6</v>
      </c>
      <c r="O452" t="e">
        <f>ABS(L452-RAVLT_Rec!$C$34)</f>
        <v>#REF!</v>
      </c>
      <c r="P452">
        <f t="shared" si="7"/>
        <v>44.6</v>
      </c>
    </row>
    <row r="453" spans="10:16">
      <c r="J453" s="5"/>
      <c r="L453">
        <f>RAVLT_Rec!M453</f>
        <v>7.3747120000000202E-3</v>
      </c>
      <c r="M453">
        <f>RAVLT_Rec!N453</f>
        <v>44.7</v>
      </c>
      <c r="O453" t="e">
        <f>ABS(L453-RAVLT_Rec!$C$34)</f>
        <v>#REF!</v>
      </c>
      <c r="P453">
        <f t="shared" si="7"/>
        <v>44.7</v>
      </c>
    </row>
    <row r="454" spans="10:16">
      <c r="J454" s="5"/>
      <c r="L454">
        <f>RAVLT_Rec!M454</f>
        <v>9.2252079999999501E-3</v>
      </c>
      <c r="M454">
        <f>RAVLT_Rec!N454</f>
        <v>44.8</v>
      </c>
      <c r="O454" t="e">
        <f>ABS(L454-RAVLT_Rec!$C$34)</f>
        <v>#REF!</v>
      </c>
      <c r="P454">
        <f t="shared" si="7"/>
        <v>44.8</v>
      </c>
    </row>
    <row r="455" spans="10:16">
      <c r="J455" s="5"/>
      <c r="L455">
        <f>RAVLT_Rec!M455</f>
        <v>1.65172320000001E-2</v>
      </c>
      <c r="M455">
        <f>RAVLT_Rec!N455</f>
        <v>44.9</v>
      </c>
      <c r="O455" t="e">
        <f>ABS(L455-RAVLT_Rec!$C$34)</f>
        <v>#REF!</v>
      </c>
      <c r="P455">
        <f t="shared" ref="P455:P518" si="8">M455</f>
        <v>44.9</v>
      </c>
    </row>
    <row r="456" spans="10:16">
      <c r="J456" s="5"/>
      <c r="L456">
        <f>RAVLT_Rec!M456</f>
        <v>2.43306000000004E-2</v>
      </c>
      <c r="M456">
        <f>RAVLT_Rec!N456</f>
        <v>45</v>
      </c>
      <c r="O456" t="e">
        <f>ABS(L456-RAVLT_Rec!$C$34)</f>
        <v>#REF!</v>
      </c>
      <c r="P456">
        <f t="shared" si="8"/>
        <v>45</v>
      </c>
    </row>
    <row r="457" spans="10:16">
      <c r="J457" s="5"/>
      <c r="L457">
        <f>RAVLT_Rec!M457</f>
        <v>3.0734999999999998E-2</v>
      </c>
      <c r="M457">
        <f>RAVLT_Rec!N457</f>
        <v>45.1</v>
      </c>
      <c r="O457" t="e">
        <f>ABS(L457-RAVLT_Rec!$C$34)</f>
        <v>#REF!</v>
      </c>
      <c r="P457">
        <f t="shared" si="8"/>
        <v>45.1</v>
      </c>
    </row>
    <row r="458" spans="10:16">
      <c r="J458" s="5"/>
      <c r="L458">
        <f>RAVLT_Rec!M458</f>
        <v>3.0734999999999998E-2</v>
      </c>
      <c r="M458">
        <f>RAVLT_Rec!N458</f>
        <v>45.2</v>
      </c>
      <c r="O458" t="e">
        <f>ABS(L458-RAVLT_Rec!$C$34)</f>
        <v>#REF!</v>
      </c>
      <c r="P458">
        <f t="shared" si="8"/>
        <v>45.2</v>
      </c>
    </row>
    <row r="459" spans="10:16">
      <c r="J459" s="5"/>
      <c r="L459">
        <f>RAVLT_Rec!M459</f>
        <v>3.0734999999999998E-2</v>
      </c>
      <c r="M459">
        <f>RAVLT_Rec!N459</f>
        <v>45.3</v>
      </c>
      <c r="O459" t="e">
        <f>ABS(L459-RAVLT_Rec!$C$34)</f>
        <v>#REF!</v>
      </c>
      <c r="P459">
        <f t="shared" si="8"/>
        <v>45.3</v>
      </c>
    </row>
    <row r="460" spans="10:16">
      <c r="J460" s="5"/>
      <c r="L460">
        <f>RAVLT_Rec!M460</f>
        <v>3.0734999999999998E-2</v>
      </c>
      <c r="M460">
        <f>RAVLT_Rec!N460</f>
        <v>45.4</v>
      </c>
      <c r="O460" t="e">
        <f>ABS(L460-RAVLT_Rec!$C$34)</f>
        <v>#REF!</v>
      </c>
      <c r="P460">
        <f t="shared" si="8"/>
        <v>45.4</v>
      </c>
    </row>
    <row r="461" spans="10:16">
      <c r="J461" s="5"/>
      <c r="L461">
        <f>RAVLT_Rec!M461</f>
        <v>3.0734999999999998E-2</v>
      </c>
      <c r="M461">
        <f>RAVLT_Rec!N461</f>
        <v>45.5</v>
      </c>
      <c r="O461" t="e">
        <f>ABS(L461-RAVLT_Rec!$C$34)</f>
        <v>#REF!</v>
      </c>
      <c r="P461">
        <f t="shared" si="8"/>
        <v>45.5</v>
      </c>
    </row>
    <row r="462" spans="10:16">
      <c r="J462" s="5"/>
      <c r="L462">
        <f>RAVLT_Rec!M462</f>
        <v>3.0734999999999998E-2</v>
      </c>
      <c r="M462">
        <f>RAVLT_Rec!N462</f>
        <v>45.6</v>
      </c>
      <c r="O462" t="e">
        <f>ABS(L462-RAVLT_Rec!$C$34)</f>
        <v>#REF!</v>
      </c>
      <c r="P462">
        <f t="shared" si="8"/>
        <v>45.6</v>
      </c>
    </row>
    <row r="463" spans="10:16">
      <c r="J463" s="5"/>
      <c r="L463">
        <f>RAVLT_Rec!M463</f>
        <v>3.7762101999999999E-2</v>
      </c>
      <c r="M463">
        <f>RAVLT_Rec!N463</f>
        <v>45.7</v>
      </c>
      <c r="O463" t="e">
        <f>ABS(L463-RAVLT_Rec!$C$34)</f>
        <v>#REF!</v>
      </c>
      <c r="P463">
        <f t="shared" si="8"/>
        <v>45.7</v>
      </c>
    </row>
    <row r="464" spans="10:16">
      <c r="J464" s="5"/>
      <c r="L464">
        <f>RAVLT_Rec!M464</f>
        <v>4.7578588000000401E-2</v>
      </c>
      <c r="M464">
        <f>RAVLT_Rec!N464</f>
        <v>45.8</v>
      </c>
      <c r="O464" t="e">
        <f>ABS(L464-RAVLT_Rec!$C$34)</f>
        <v>#REF!</v>
      </c>
      <c r="P464">
        <f t="shared" si="8"/>
        <v>45.8</v>
      </c>
    </row>
    <row r="465" spans="10:16">
      <c r="J465" s="5"/>
      <c r="L465">
        <f>RAVLT_Rec!M465</f>
        <v>5.7395073999999997E-2</v>
      </c>
      <c r="M465">
        <f>RAVLT_Rec!N465</f>
        <v>45.9</v>
      </c>
      <c r="O465" t="e">
        <f>ABS(L465-RAVLT_Rec!$C$34)</f>
        <v>#REF!</v>
      </c>
      <c r="P465">
        <f t="shared" si="8"/>
        <v>45.9</v>
      </c>
    </row>
    <row r="466" spans="10:16">
      <c r="J466" s="5"/>
      <c r="L466">
        <f>RAVLT_Rec!M466</f>
        <v>5.7556000000000003E-2</v>
      </c>
      <c r="M466">
        <f>RAVLT_Rec!N466</f>
        <v>46</v>
      </c>
      <c r="O466" t="e">
        <f>ABS(L466-RAVLT_Rec!$C$34)</f>
        <v>#REF!</v>
      </c>
      <c r="P466">
        <f t="shared" si="8"/>
        <v>46</v>
      </c>
    </row>
    <row r="467" spans="10:16">
      <c r="J467" s="5"/>
      <c r="L467">
        <f>RAVLT_Rec!M467</f>
        <v>5.7556000000000003E-2</v>
      </c>
      <c r="M467">
        <f>RAVLT_Rec!N467</f>
        <v>46.1</v>
      </c>
      <c r="O467" t="e">
        <f>ABS(L467-RAVLT_Rec!$C$34)</f>
        <v>#REF!</v>
      </c>
      <c r="P467">
        <f t="shared" si="8"/>
        <v>46.1</v>
      </c>
    </row>
    <row r="468" spans="10:16">
      <c r="J468" s="5"/>
      <c r="L468">
        <f>RAVLT_Rec!M468</f>
        <v>5.7556000000000003E-2</v>
      </c>
      <c r="M468">
        <f>RAVLT_Rec!N468</f>
        <v>46.2</v>
      </c>
      <c r="O468" t="e">
        <f>ABS(L468-RAVLT_Rec!$C$34)</f>
        <v>#REF!</v>
      </c>
      <c r="P468">
        <f t="shared" si="8"/>
        <v>46.2</v>
      </c>
    </row>
    <row r="469" spans="10:16">
      <c r="J469" s="5"/>
      <c r="L469">
        <f>RAVLT_Rec!M469</f>
        <v>5.7556000000000003E-2</v>
      </c>
      <c r="M469">
        <f>RAVLT_Rec!N469</f>
        <v>46.3</v>
      </c>
      <c r="O469" t="e">
        <f>ABS(L469-RAVLT_Rec!$C$34)</f>
        <v>#REF!</v>
      </c>
      <c r="P469">
        <f t="shared" si="8"/>
        <v>46.3</v>
      </c>
    </row>
    <row r="470" spans="10:16">
      <c r="J470" s="5"/>
      <c r="L470">
        <f>RAVLT_Rec!M470</f>
        <v>5.7556000000000003E-2</v>
      </c>
      <c r="M470">
        <f>RAVLT_Rec!N470</f>
        <v>46.4</v>
      </c>
      <c r="O470" t="e">
        <f>ABS(L470-RAVLT_Rec!$C$34)</f>
        <v>#REF!</v>
      </c>
      <c r="P470">
        <f t="shared" si="8"/>
        <v>46.4</v>
      </c>
    </row>
    <row r="471" spans="10:16">
      <c r="J471" s="5"/>
      <c r="L471">
        <f>RAVLT_Rec!M471</f>
        <v>6.2672129999999895E-2</v>
      </c>
      <c r="M471">
        <f>RAVLT_Rec!N471</f>
        <v>46.5</v>
      </c>
      <c r="O471" t="e">
        <f>ABS(L471-RAVLT_Rec!$C$34)</f>
        <v>#REF!</v>
      </c>
      <c r="P471">
        <f t="shared" si="8"/>
        <v>46.5</v>
      </c>
    </row>
    <row r="472" spans="10:16">
      <c r="J472" s="5"/>
      <c r="L472">
        <f>RAVLT_Rec!M472</f>
        <v>7.2527412000000305E-2</v>
      </c>
      <c r="M472">
        <f>RAVLT_Rec!N472</f>
        <v>46.6</v>
      </c>
      <c r="O472" t="e">
        <f>ABS(L472-RAVLT_Rec!$C$34)</f>
        <v>#REF!</v>
      </c>
      <c r="P472">
        <f t="shared" si="8"/>
        <v>46.6</v>
      </c>
    </row>
    <row r="473" spans="10:16">
      <c r="J473" s="5"/>
      <c r="L473">
        <f>RAVLT_Rec!M473</f>
        <v>8.2382693999999895E-2</v>
      </c>
      <c r="M473">
        <f>RAVLT_Rec!N473</f>
        <v>46.7</v>
      </c>
      <c r="O473" t="e">
        <f>ABS(L473-RAVLT_Rec!$C$34)</f>
        <v>#REF!</v>
      </c>
      <c r="P473">
        <f t="shared" si="8"/>
        <v>46.7</v>
      </c>
    </row>
    <row r="474" spans="10:16">
      <c r="J474" s="5"/>
      <c r="L474">
        <f>RAVLT_Rec!M474</f>
        <v>8.4483000000000003E-2</v>
      </c>
      <c r="M474">
        <f>RAVLT_Rec!N474</f>
        <v>46.8</v>
      </c>
      <c r="O474" t="e">
        <f>ABS(L474-RAVLT_Rec!$C$34)</f>
        <v>#REF!</v>
      </c>
      <c r="P474">
        <f t="shared" si="8"/>
        <v>46.8</v>
      </c>
    </row>
    <row r="475" spans="10:16">
      <c r="J475" s="5"/>
      <c r="L475">
        <f>RAVLT_Rec!M475</f>
        <v>8.4483000000000003E-2</v>
      </c>
      <c r="M475">
        <f>RAVLT_Rec!N475</f>
        <v>46.9</v>
      </c>
      <c r="O475" t="e">
        <f>ABS(L475-RAVLT_Rec!$C$34)</f>
        <v>#REF!</v>
      </c>
      <c r="P475">
        <f t="shared" si="8"/>
        <v>46.9</v>
      </c>
    </row>
    <row r="476" spans="10:16">
      <c r="J476" s="5"/>
      <c r="L476">
        <f>RAVLT_Rec!M476</f>
        <v>8.4483000000000003E-2</v>
      </c>
      <c r="M476">
        <f>RAVLT_Rec!N476</f>
        <v>47</v>
      </c>
      <c r="O476" t="e">
        <f>ABS(L476-RAVLT_Rec!$C$34)</f>
        <v>#REF!</v>
      </c>
      <c r="P476">
        <f t="shared" si="8"/>
        <v>47</v>
      </c>
    </row>
    <row r="477" spans="10:16">
      <c r="J477" s="5"/>
      <c r="L477">
        <f>RAVLT_Rec!M477</f>
        <v>8.4483000000000003E-2</v>
      </c>
      <c r="M477">
        <f>RAVLT_Rec!N477</f>
        <v>47.1</v>
      </c>
      <c r="O477" t="e">
        <f>ABS(L477-RAVLT_Rec!$C$34)</f>
        <v>#REF!</v>
      </c>
      <c r="P477">
        <f t="shared" si="8"/>
        <v>47.1</v>
      </c>
    </row>
    <row r="478" spans="10:16">
      <c r="J478" s="5"/>
      <c r="L478">
        <f>RAVLT_Rec!M478</f>
        <v>8.4483000000000003E-2</v>
      </c>
      <c r="M478">
        <f>RAVLT_Rec!N478</f>
        <v>47.2</v>
      </c>
      <c r="O478" t="e">
        <f>ABS(L478-RAVLT_Rec!$C$34)</f>
        <v>#REF!</v>
      </c>
      <c r="P478">
        <f t="shared" si="8"/>
        <v>47.2</v>
      </c>
    </row>
    <row r="479" spans="10:16">
      <c r="J479" s="5"/>
      <c r="L479">
        <f>RAVLT_Rec!M479</f>
        <v>9.0672218000001206E-2</v>
      </c>
      <c r="M479">
        <f>RAVLT_Rec!N479</f>
        <v>47.3</v>
      </c>
      <c r="O479" t="e">
        <f>ABS(L479-RAVLT_Rec!$C$34)</f>
        <v>#REF!</v>
      </c>
      <c r="P479">
        <f t="shared" si="8"/>
        <v>47.3</v>
      </c>
    </row>
    <row r="480" spans="10:16">
      <c r="J480" s="5"/>
      <c r="L480">
        <f>RAVLT_Rec!M480</f>
        <v>0.109869284</v>
      </c>
      <c r="M480">
        <f>RAVLT_Rec!N480</f>
        <v>47.4</v>
      </c>
      <c r="O480" t="e">
        <f>ABS(L480-RAVLT_Rec!$C$34)</f>
        <v>#REF!</v>
      </c>
      <c r="P480">
        <f t="shared" si="8"/>
        <v>47.4</v>
      </c>
    </row>
    <row r="481" spans="10:16">
      <c r="J481" s="5"/>
      <c r="L481">
        <f>RAVLT_Rec!M481</f>
        <v>0.129066350000001</v>
      </c>
      <c r="M481">
        <f>RAVLT_Rec!N481</f>
        <v>47.5</v>
      </c>
      <c r="O481" t="e">
        <f>ABS(L481-RAVLT_Rec!$C$34)</f>
        <v>#REF!</v>
      </c>
      <c r="P481">
        <f t="shared" si="8"/>
        <v>47.5</v>
      </c>
    </row>
    <row r="482" spans="10:16">
      <c r="J482" s="5"/>
      <c r="L482">
        <f>RAVLT_Rec!M482</f>
        <v>0.136934</v>
      </c>
      <c r="M482">
        <f>RAVLT_Rec!N482</f>
        <v>47.6</v>
      </c>
      <c r="O482" t="e">
        <f>ABS(L482-RAVLT_Rec!$C$34)</f>
        <v>#REF!</v>
      </c>
      <c r="P482">
        <f t="shared" si="8"/>
        <v>47.6</v>
      </c>
    </row>
    <row r="483" spans="10:16">
      <c r="J483" s="5"/>
      <c r="L483">
        <f>RAVLT_Rec!M483</f>
        <v>0.136934</v>
      </c>
      <c r="M483">
        <f>RAVLT_Rec!N483</f>
        <v>47.7</v>
      </c>
      <c r="O483" t="e">
        <f>ABS(L483-RAVLT_Rec!$C$34)</f>
        <v>#REF!</v>
      </c>
      <c r="P483">
        <f t="shared" si="8"/>
        <v>47.7</v>
      </c>
    </row>
    <row r="484" spans="10:16">
      <c r="J484" s="5"/>
      <c r="L484">
        <f>RAVLT_Rec!M484</f>
        <v>0.136934</v>
      </c>
      <c r="M484">
        <f>RAVLT_Rec!N484</f>
        <v>47.8</v>
      </c>
      <c r="O484" t="e">
        <f>ABS(L484-RAVLT_Rec!$C$34)</f>
        <v>#REF!</v>
      </c>
      <c r="P484">
        <f t="shared" si="8"/>
        <v>47.8</v>
      </c>
    </row>
    <row r="485" spans="10:16">
      <c r="J485" s="5"/>
      <c r="L485">
        <f>RAVLT_Rec!M485</f>
        <v>0.144633594000001</v>
      </c>
      <c r="M485">
        <f>RAVLT_Rec!N485</f>
        <v>47.9</v>
      </c>
      <c r="O485" t="e">
        <f>ABS(L485-RAVLT_Rec!$C$34)</f>
        <v>#REF!</v>
      </c>
      <c r="P485">
        <f t="shared" si="8"/>
        <v>47.9</v>
      </c>
    </row>
    <row r="486" spans="10:16">
      <c r="J486" s="5"/>
      <c r="L486">
        <f>RAVLT_Rec!M486</f>
        <v>0.15360828000000001</v>
      </c>
      <c r="M486">
        <f>RAVLT_Rec!N486</f>
        <v>48</v>
      </c>
      <c r="O486" t="e">
        <f>ABS(L486-RAVLT_Rec!$C$34)</f>
        <v>#REF!</v>
      </c>
      <c r="P486">
        <f t="shared" si="8"/>
        <v>48</v>
      </c>
    </row>
    <row r="487" spans="10:16">
      <c r="J487" s="5"/>
      <c r="L487">
        <f>RAVLT_Rec!M487</f>
        <v>0.16145499999999999</v>
      </c>
      <c r="M487">
        <f>RAVLT_Rec!N487</f>
        <v>48.1</v>
      </c>
      <c r="O487" t="e">
        <f>ABS(L487-RAVLT_Rec!$C$34)</f>
        <v>#REF!</v>
      </c>
      <c r="P487">
        <f t="shared" si="8"/>
        <v>48.1</v>
      </c>
    </row>
    <row r="488" spans="10:16">
      <c r="J488" s="5"/>
      <c r="L488">
        <f>RAVLT_Rec!M488</f>
        <v>0.16145499999999999</v>
      </c>
      <c r="M488">
        <f>RAVLT_Rec!N488</f>
        <v>48.2</v>
      </c>
      <c r="O488" t="e">
        <f>ABS(L488-RAVLT_Rec!$C$34)</f>
        <v>#REF!</v>
      </c>
      <c r="P488">
        <f t="shared" si="8"/>
        <v>48.2</v>
      </c>
    </row>
    <row r="489" spans="10:16">
      <c r="J489" s="5"/>
      <c r="L489">
        <f>RAVLT_Rec!M489</f>
        <v>0.16145499999999999</v>
      </c>
      <c r="M489">
        <f>RAVLT_Rec!N489</f>
        <v>48.3</v>
      </c>
      <c r="O489" t="e">
        <f>ABS(L489-RAVLT_Rec!$C$34)</f>
        <v>#REF!</v>
      </c>
      <c r="P489">
        <f t="shared" si="8"/>
        <v>48.3</v>
      </c>
    </row>
    <row r="490" spans="10:16">
      <c r="J490" s="5"/>
      <c r="L490">
        <f>RAVLT_Rec!M490</f>
        <v>0.16145499999999999</v>
      </c>
      <c r="M490">
        <f>RAVLT_Rec!N490</f>
        <v>48.4</v>
      </c>
      <c r="O490" t="e">
        <f>ABS(L490-RAVLT_Rec!$C$34)</f>
        <v>#REF!</v>
      </c>
      <c r="P490">
        <f t="shared" si="8"/>
        <v>48.4</v>
      </c>
    </row>
    <row r="491" spans="10:16">
      <c r="J491" s="5"/>
      <c r="L491">
        <f>RAVLT_Rec!M491</f>
        <v>0.16145499999999999</v>
      </c>
      <c r="M491">
        <f>RAVLT_Rec!N491</f>
        <v>48.5</v>
      </c>
      <c r="O491" t="e">
        <f>ABS(L491-RAVLT_Rec!$C$34)</f>
        <v>#REF!</v>
      </c>
      <c r="P491">
        <f t="shared" si="8"/>
        <v>48.5</v>
      </c>
    </row>
    <row r="492" spans="10:16">
      <c r="J492" s="5"/>
      <c r="L492">
        <f>RAVLT_Rec!M492</f>
        <v>0.16145499999999999</v>
      </c>
      <c r="M492">
        <f>RAVLT_Rec!N492</f>
        <v>48.6</v>
      </c>
      <c r="O492" t="e">
        <f>ABS(L492-RAVLT_Rec!$C$34)</f>
        <v>#REF!</v>
      </c>
      <c r="P492">
        <f t="shared" si="8"/>
        <v>48.6</v>
      </c>
    </row>
    <row r="493" spans="10:16">
      <c r="J493" s="5"/>
      <c r="L493">
        <f>RAVLT_Rec!M493</f>
        <v>0.16145499999999999</v>
      </c>
      <c r="M493">
        <f>RAVLT_Rec!N493</f>
        <v>48.7</v>
      </c>
      <c r="O493" t="e">
        <f>ABS(L493-RAVLT_Rec!$C$34)</f>
        <v>#REF!</v>
      </c>
      <c r="P493">
        <f t="shared" si="8"/>
        <v>48.7</v>
      </c>
    </row>
    <row r="494" spans="10:16">
      <c r="J494" s="5"/>
      <c r="L494">
        <f>RAVLT_Rec!M494</f>
        <v>0.16145499999999999</v>
      </c>
      <c r="M494">
        <f>RAVLT_Rec!N494</f>
        <v>48.8</v>
      </c>
      <c r="O494" t="e">
        <f>ABS(L494-RAVLT_Rec!$C$34)</f>
        <v>#REF!</v>
      </c>
      <c r="P494">
        <f t="shared" si="8"/>
        <v>48.8</v>
      </c>
    </row>
    <row r="495" spans="10:16">
      <c r="J495" s="5"/>
      <c r="L495">
        <f>RAVLT_Rec!M495</f>
        <v>0.16145499999999999</v>
      </c>
      <c r="M495">
        <f>RAVLT_Rec!N495</f>
        <v>48.9</v>
      </c>
      <c r="O495" t="e">
        <f>ABS(L495-RAVLT_Rec!$C$34)</f>
        <v>#REF!</v>
      </c>
      <c r="P495">
        <f t="shared" si="8"/>
        <v>48.9</v>
      </c>
    </row>
    <row r="496" spans="10:16">
      <c r="J496" s="5"/>
      <c r="L496">
        <f>RAVLT_Rec!M496</f>
        <v>0.16145499999999999</v>
      </c>
      <c r="M496">
        <f>RAVLT_Rec!N496</f>
        <v>49</v>
      </c>
      <c r="O496" t="e">
        <f>ABS(L496-RAVLT_Rec!$C$34)</f>
        <v>#REF!</v>
      </c>
      <c r="P496">
        <f t="shared" si="8"/>
        <v>49</v>
      </c>
    </row>
    <row r="497" spans="10:16">
      <c r="J497" s="5"/>
      <c r="L497">
        <f>RAVLT_Rec!M497</f>
        <v>0.16145499999999999</v>
      </c>
      <c r="M497">
        <f>RAVLT_Rec!N497</f>
        <v>49.1</v>
      </c>
      <c r="O497" t="e">
        <f>ABS(L497-RAVLT_Rec!$C$34)</f>
        <v>#REF!</v>
      </c>
      <c r="P497">
        <f t="shared" si="8"/>
        <v>49.1</v>
      </c>
    </row>
    <row r="498" spans="10:16">
      <c r="J498" s="5"/>
      <c r="L498">
        <f>RAVLT_Rec!M498</f>
        <v>0.16145499999999999</v>
      </c>
      <c r="M498">
        <f>RAVLT_Rec!N498</f>
        <v>49.2</v>
      </c>
      <c r="O498" t="e">
        <f>ABS(L498-RAVLT_Rec!$C$34)</f>
        <v>#REF!</v>
      </c>
      <c r="P498">
        <f t="shared" si="8"/>
        <v>49.2</v>
      </c>
    </row>
    <row r="499" spans="10:16">
      <c r="J499" s="5"/>
      <c r="L499">
        <f>RAVLT_Rec!M499</f>
        <v>0.16145499999999999</v>
      </c>
      <c r="M499">
        <f>RAVLT_Rec!N499</f>
        <v>49.3</v>
      </c>
      <c r="O499" t="e">
        <f>ABS(L499-RAVLT_Rec!$C$34)</f>
        <v>#REF!</v>
      </c>
      <c r="P499">
        <f t="shared" si="8"/>
        <v>49.3</v>
      </c>
    </row>
    <row r="500" spans="10:16">
      <c r="J500" s="5"/>
      <c r="L500">
        <f>RAVLT_Rec!M500</f>
        <v>0.16145499999999999</v>
      </c>
      <c r="M500">
        <f>RAVLT_Rec!N500</f>
        <v>49.4</v>
      </c>
      <c r="O500" t="e">
        <f>ABS(L500-RAVLT_Rec!$C$34)</f>
        <v>#REF!</v>
      </c>
      <c r="P500">
        <f t="shared" si="8"/>
        <v>49.4</v>
      </c>
    </row>
    <row r="501" spans="10:16">
      <c r="J501" s="5"/>
      <c r="L501">
        <f>RAVLT_Rec!M501</f>
        <v>0.16145499999999999</v>
      </c>
      <c r="M501">
        <f>RAVLT_Rec!N501</f>
        <v>49.5</v>
      </c>
      <c r="O501" t="e">
        <f>ABS(L501-RAVLT_Rec!$C$34)</f>
        <v>#REF!</v>
      </c>
      <c r="P501">
        <f t="shared" si="8"/>
        <v>49.5</v>
      </c>
    </row>
    <row r="502" spans="10:16">
      <c r="J502" s="5"/>
      <c r="L502">
        <f>RAVLT_Rec!M502</f>
        <v>0.16145499999999999</v>
      </c>
      <c r="M502">
        <f>RAVLT_Rec!N502</f>
        <v>49.6</v>
      </c>
      <c r="O502" t="e">
        <f>ABS(L502-RAVLT_Rec!$C$34)</f>
        <v>#REF!</v>
      </c>
      <c r="P502">
        <f t="shared" si="8"/>
        <v>49.6</v>
      </c>
    </row>
    <row r="503" spans="10:16">
      <c r="J503" s="5"/>
      <c r="L503">
        <f>RAVLT_Rec!M503</f>
        <v>0.16145499999999999</v>
      </c>
      <c r="M503">
        <f>RAVLT_Rec!N503</f>
        <v>49.7</v>
      </c>
      <c r="O503" t="e">
        <f>ABS(L503-RAVLT_Rec!$C$34)</f>
        <v>#REF!</v>
      </c>
      <c r="P503">
        <f t="shared" si="8"/>
        <v>49.7</v>
      </c>
    </row>
    <row r="504" spans="10:16">
      <c r="J504" s="5"/>
      <c r="L504">
        <f>RAVLT_Rec!M504</f>
        <v>0.16145499999999999</v>
      </c>
      <c r="M504">
        <f>RAVLT_Rec!N504</f>
        <v>49.8</v>
      </c>
      <c r="O504" t="e">
        <f>ABS(L504-RAVLT_Rec!$C$34)</f>
        <v>#REF!</v>
      </c>
      <c r="P504">
        <f t="shared" si="8"/>
        <v>49.8</v>
      </c>
    </row>
    <row r="505" spans="10:16">
      <c r="J505" s="5"/>
      <c r="L505">
        <f>RAVLT_Rec!M505</f>
        <v>0.16145499999999999</v>
      </c>
      <c r="M505">
        <f>RAVLT_Rec!N505</f>
        <v>49.9</v>
      </c>
      <c r="O505" t="e">
        <f>ABS(L505-RAVLT_Rec!$C$34)</f>
        <v>#REF!</v>
      </c>
      <c r="P505">
        <f t="shared" si="8"/>
        <v>49.9</v>
      </c>
    </row>
    <row r="506" spans="10:16">
      <c r="J506" s="5"/>
      <c r="L506">
        <f>RAVLT_Rec!M506</f>
        <v>0.16145499999999999</v>
      </c>
      <c r="M506">
        <f>RAVLT_Rec!N506</f>
        <v>50</v>
      </c>
      <c r="O506" t="e">
        <f>ABS(L506-RAVLT_Rec!$C$34)</f>
        <v>#REF!</v>
      </c>
      <c r="P506">
        <f t="shared" si="8"/>
        <v>50</v>
      </c>
    </row>
    <row r="507" spans="10:16">
      <c r="J507" s="5"/>
      <c r="L507">
        <f>RAVLT_Rec!M507</f>
        <v>0.16924567600000001</v>
      </c>
      <c r="M507">
        <f>RAVLT_Rec!N507</f>
        <v>50.1</v>
      </c>
      <c r="O507" t="e">
        <f>ABS(L507-RAVLT_Rec!$C$34)</f>
        <v>#REF!</v>
      </c>
      <c r="P507">
        <f t="shared" si="8"/>
        <v>50.1</v>
      </c>
    </row>
    <row r="508" spans="10:16">
      <c r="J508" s="5"/>
      <c r="L508">
        <f>RAVLT_Rec!M508</f>
        <v>0.17703635200000001</v>
      </c>
      <c r="M508">
        <f>RAVLT_Rec!N508</f>
        <v>50.2</v>
      </c>
      <c r="O508" t="e">
        <f>ABS(L508-RAVLT_Rec!$C$34)</f>
        <v>#REF!</v>
      </c>
      <c r="P508">
        <f t="shared" si="8"/>
        <v>50.2</v>
      </c>
    </row>
    <row r="509" spans="10:16">
      <c r="J509" s="5"/>
      <c r="L509">
        <f>RAVLT_Rec!M509</f>
        <v>0.182881238</v>
      </c>
      <c r="M509">
        <f>RAVLT_Rec!N509</f>
        <v>50.3</v>
      </c>
      <c r="O509" t="e">
        <f>ABS(L509-RAVLT_Rec!$C$34)</f>
        <v>#REF!</v>
      </c>
      <c r="P509">
        <f t="shared" si="8"/>
        <v>50.3</v>
      </c>
    </row>
    <row r="510" spans="10:16">
      <c r="J510" s="5"/>
      <c r="L510">
        <f>RAVLT_Rec!M510</f>
        <v>0.18340498399999999</v>
      </c>
      <c r="M510">
        <f>RAVLT_Rec!N510</f>
        <v>50.4</v>
      </c>
      <c r="O510" t="e">
        <f>ABS(L510-RAVLT_Rec!$C$34)</f>
        <v>#REF!</v>
      </c>
      <c r="P510">
        <f t="shared" si="8"/>
        <v>50.4</v>
      </c>
    </row>
    <row r="511" spans="10:16">
      <c r="J511" s="5"/>
      <c r="L511">
        <f>RAVLT_Rec!M511</f>
        <v>0.18392873000000001</v>
      </c>
      <c r="M511">
        <f>RAVLT_Rec!N511</f>
        <v>50.5</v>
      </c>
      <c r="O511" t="e">
        <f>ABS(L511-RAVLT_Rec!$C$34)</f>
        <v>#REF!</v>
      </c>
      <c r="P511">
        <f t="shared" si="8"/>
        <v>50.5</v>
      </c>
    </row>
    <row r="512" spans="10:16">
      <c r="J512" s="5"/>
      <c r="L512">
        <f>RAVLT_Rec!M512</f>
        <v>0.184172</v>
      </c>
      <c r="M512">
        <f>RAVLT_Rec!N512</f>
        <v>50.6</v>
      </c>
      <c r="O512" t="e">
        <f>ABS(L512-RAVLT_Rec!$C$34)</f>
        <v>#REF!</v>
      </c>
      <c r="P512">
        <f t="shared" si="8"/>
        <v>50.6</v>
      </c>
    </row>
    <row r="513" spans="10:16">
      <c r="J513" s="5"/>
      <c r="L513">
        <f>RAVLT_Rec!M513</f>
        <v>0.184172</v>
      </c>
      <c r="M513">
        <f>RAVLT_Rec!N513</f>
        <v>50.7</v>
      </c>
      <c r="O513" t="e">
        <f>ABS(L513-RAVLT_Rec!$C$34)</f>
        <v>#REF!</v>
      </c>
      <c r="P513">
        <f t="shared" si="8"/>
        <v>50.7</v>
      </c>
    </row>
    <row r="514" spans="10:16">
      <c r="J514" s="5"/>
      <c r="L514">
        <f>RAVLT_Rec!M514</f>
        <v>0.184172</v>
      </c>
      <c r="M514">
        <f>RAVLT_Rec!N514</f>
        <v>50.8</v>
      </c>
      <c r="O514" t="e">
        <f>ABS(L514-RAVLT_Rec!$C$34)</f>
        <v>#REF!</v>
      </c>
      <c r="P514">
        <f t="shared" si="8"/>
        <v>50.8</v>
      </c>
    </row>
    <row r="515" spans="10:16">
      <c r="J515" s="5"/>
      <c r="L515">
        <f>RAVLT_Rec!M515</f>
        <v>0.184172</v>
      </c>
      <c r="M515">
        <f>RAVLT_Rec!N515</f>
        <v>50.9</v>
      </c>
      <c r="O515" t="e">
        <f>ABS(L515-RAVLT_Rec!$C$34)</f>
        <v>#REF!</v>
      </c>
      <c r="P515">
        <f t="shared" si="8"/>
        <v>50.9</v>
      </c>
    </row>
    <row r="516" spans="10:16">
      <c r="J516" s="5"/>
      <c r="L516">
        <f>RAVLT_Rec!M516</f>
        <v>0.184172</v>
      </c>
      <c r="M516">
        <f>RAVLT_Rec!N516</f>
        <v>51</v>
      </c>
      <c r="O516" t="e">
        <f>ABS(L516-RAVLT_Rec!$C$34)</f>
        <v>#REF!</v>
      </c>
      <c r="P516">
        <f t="shared" si="8"/>
        <v>51</v>
      </c>
    </row>
    <row r="517" spans="10:16">
      <c r="J517" s="5"/>
      <c r="L517">
        <f>RAVLT_Rec!M517</f>
        <v>0.184172</v>
      </c>
      <c r="M517">
        <f>RAVLT_Rec!N517</f>
        <v>51.1</v>
      </c>
      <c r="O517" t="e">
        <f>ABS(L517-RAVLT_Rec!$C$34)</f>
        <v>#REF!</v>
      </c>
      <c r="P517">
        <f t="shared" si="8"/>
        <v>51.1</v>
      </c>
    </row>
    <row r="518" spans="10:16">
      <c r="J518" s="5"/>
      <c r="L518">
        <f>RAVLT_Rec!M518</f>
        <v>0.184172</v>
      </c>
      <c r="M518">
        <f>RAVLT_Rec!N518</f>
        <v>51.2</v>
      </c>
      <c r="O518" t="e">
        <f>ABS(L518-RAVLT_Rec!$C$34)</f>
        <v>#REF!</v>
      </c>
      <c r="P518">
        <f t="shared" si="8"/>
        <v>51.2</v>
      </c>
    </row>
    <row r="519" spans="10:16">
      <c r="J519" s="5"/>
      <c r="L519">
        <f>RAVLT_Rec!M519</f>
        <v>0.184172</v>
      </c>
      <c r="M519">
        <f>RAVLT_Rec!N519</f>
        <v>51.3</v>
      </c>
      <c r="O519" t="e">
        <f>ABS(L519-RAVLT_Rec!$C$34)</f>
        <v>#REF!</v>
      </c>
      <c r="P519">
        <f t="shared" ref="P519:P582" si="9">M519</f>
        <v>51.3</v>
      </c>
    </row>
    <row r="520" spans="10:16">
      <c r="J520" s="5"/>
      <c r="L520">
        <f>RAVLT_Rec!M520</f>
        <v>0.184172</v>
      </c>
      <c r="M520">
        <f>RAVLT_Rec!N520</f>
        <v>51.4</v>
      </c>
      <c r="O520" t="e">
        <f>ABS(L520-RAVLT_Rec!$C$34)</f>
        <v>#REF!</v>
      </c>
      <c r="P520">
        <f t="shared" si="9"/>
        <v>51.4</v>
      </c>
    </row>
    <row r="521" spans="10:16">
      <c r="J521" s="5"/>
      <c r="L521">
        <f>RAVLT_Rec!M521</f>
        <v>0.184172</v>
      </c>
      <c r="M521">
        <f>RAVLT_Rec!N521</f>
        <v>51.5</v>
      </c>
      <c r="O521" t="e">
        <f>ABS(L521-RAVLT_Rec!$C$34)</f>
        <v>#REF!</v>
      </c>
      <c r="P521">
        <f t="shared" si="9"/>
        <v>51.5</v>
      </c>
    </row>
    <row r="522" spans="10:16">
      <c r="J522" s="5"/>
      <c r="L522">
        <f>RAVLT_Rec!M522</f>
        <v>0.184172</v>
      </c>
      <c r="M522">
        <f>RAVLT_Rec!N522</f>
        <v>51.6</v>
      </c>
      <c r="O522" t="e">
        <f>ABS(L522-RAVLT_Rec!$C$34)</f>
        <v>#REF!</v>
      </c>
      <c r="P522">
        <f t="shared" si="9"/>
        <v>51.6</v>
      </c>
    </row>
    <row r="523" spans="10:16">
      <c r="J523" s="5"/>
      <c r="L523">
        <f>RAVLT_Rec!M523</f>
        <v>0.184172</v>
      </c>
      <c r="M523">
        <f>RAVLT_Rec!N523</f>
        <v>51.7</v>
      </c>
      <c r="O523" t="e">
        <f>ABS(L523-RAVLT_Rec!$C$34)</f>
        <v>#REF!</v>
      </c>
      <c r="P523">
        <f t="shared" si="9"/>
        <v>51.7</v>
      </c>
    </row>
    <row r="524" spans="10:16">
      <c r="J524" s="5"/>
      <c r="L524">
        <f>RAVLT_Rec!M524</f>
        <v>0.184172</v>
      </c>
      <c r="M524">
        <f>RAVLT_Rec!N524</f>
        <v>51.8</v>
      </c>
      <c r="O524" t="e">
        <f>ABS(L524-RAVLT_Rec!$C$34)</f>
        <v>#REF!</v>
      </c>
      <c r="P524">
        <f t="shared" si="9"/>
        <v>51.8</v>
      </c>
    </row>
    <row r="525" spans="10:16">
      <c r="J525" s="5"/>
      <c r="L525">
        <f>RAVLT_Rec!M525</f>
        <v>0.184172</v>
      </c>
      <c r="M525">
        <f>RAVLT_Rec!N525</f>
        <v>51.9</v>
      </c>
      <c r="O525" t="e">
        <f>ABS(L525-RAVLT_Rec!$C$34)</f>
        <v>#REF!</v>
      </c>
      <c r="P525">
        <f t="shared" si="9"/>
        <v>51.9</v>
      </c>
    </row>
    <row r="526" spans="10:16">
      <c r="J526" s="5"/>
      <c r="L526">
        <f>RAVLT_Rec!M526</f>
        <v>0.19073296000000001</v>
      </c>
      <c r="M526">
        <f>RAVLT_Rec!N526</f>
        <v>52</v>
      </c>
      <c r="O526" t="e">
        <f>ABS(L526-RAVLT_Rec!$C$34)</f>
        <v>#REF!</v>
      </c>
      <c r="P526">
        <f t="shared" si="9"/>
        <v>52</v>
      </c>
    </row>
    <row r="527" spans="10:16">
      <c r="J527" s="5"/>
      <c r="L527">
        <f>RAVLT_Rec!M527</f>
        <v>0.19823705799999999</v>
      </c>
      <c r="M527">
        <f>RAVLT_Rec!N527</f>
        <v>52.1</v>
      </c>
      <c r="O527" t="e">
        <f>ABS(L527-RAVLT_Rec!$C$34)</f>
        <v>#REF!</v>
      </c>
      <c r="P527">
        <f t="shared" si="9"/>
        <v>52.1</v>
      </c>
    </row>
    <row r="528" spans="10:16">
      <c r="J528" s="5"/>
      <c r="L528">
        <f>RAVLT_Rec!M528</f>
        <v>0.204675</v>
      </c>
      <c r="M528">
        <f>RAVLT_Rec!N528</f>
        <v>52.2</v>
      </c>
      <c r="O528" t="e">
        <f>ABS(L528-RAVLT_Rec!$C$34)</f>
        <v>#REF!</v>
      </c>
      <c r="P528">
        <f t="shared" si="9"/>
        <v>52.2</v>
      </c>
    </row>
    <row r="529" spans="10:16">
      <c r="J529" s="5"/>
      <c r="L529">
        <f>RAVLT_Rec!M529</f>
        <v>0.204675</v>
      </c>
      <c r="M529">
        <f>RAVLT_Rec!N529</f>
        <v>52.3</v>
      </c>
      <c r="O529" t="e">
        <f>ABS(L529-RAVLT_Rec!$C$34)</f>
        <v>#REF!</v>
      </c>
      <c r="P529">
        <f t="shared" si="9"/>
        <v>52.3</v>
      </c>
    </row>
    <row r="530" spans="10:16">
      <c r="J530" s="5"/>
      <c r="L530">
        <f>RAVLT_Rec!M530</f>
        <v>0.204675</v>
      </c>
      <c r="M530">
        <f>RAVLT_Rec!N530</f>
        <v>52.4</v>
      </c>
      <c r="O530" t="e">
        <f>ABS(L530-RAVLT_Rec!$C$34)</f>
        <v>#REF!</v>
      </c>
      <c r="P530">
        <f t="shared" si="9"/>
        <v>52.4</v>
      </c>
    </row>
    <row r="531" spans="10:16">
      <c r="J531" s="5"/>
      <c r="L531">
        <f>RAVLT_Rec!M531</f>
        <v>0.204675</v>
      </c>
      <c r="M531">
        <f>RAVLT_Rec!N531</f>
        <v>52.5</v>
      </c>
      <c r="O531" t="e">
        <f>ABS(L531-RAVLT_Rec!$C$34)</f>
        <v>#REF!</v>
      </c>
      <c r="P531">
        <f t="shared" si="9"/>
        <v>52.5</v>
      </c>
    </row>
    <row r="532" spans="10:16">
      <c r="J532" s="5"/>
      <c r="L532">
        <f>RAVLT_Rec!M532</f>
        <v>0.204675</v>
      </c>
      <c r="M532">
        <f>RAVLT_Rec!N532</f>
        <v>52.6</v>
      </c>
      <c r="O532" t="e">
        <f>ABS(L532-RAVLT_Rec!$C$34)</f>
        <v>#REF!</v>
      </c>
      <c r="P532">
        <f t="shared" si="9"/>
        <v>52.6</v>
      </c>
    </row>
    <row r="533" spans="10:16">
      <c r="J533" s="5"/>
      <c r="L533">
        <f>RAVLT_Rec!M533</f>
        <v>0.204675</v>
      </c>
      <c r="M533">
        <f>RAVLT_Rec!N533</f>
        <v>52.7</v>
      </c>
      <c r="O533" t="e">
        <f>ABS(L533-RAVLT_Rec!$C$34)</f>
        <v>#REF!</v>
      </c>
      <c r="P533">
        <f t="shared" si="9"/>
        <v>52.7</v>
      </c>
    </row>
    <row r="534" spans="10:16">
      <c r="J534" s="5"/>
      <c r="L534">
        <f>RAVLT_Rec!M534</f>
        <v>0.20487265599999999</v>
      </c>
      <c r="M534">
        <f>RAVLT_Rec!N534</f>
        <v>52.8</v>
      </c>
      <c r="O534" t="e">
        <f>ABS(L534-RAVLT_Rec!$C$34)</f>
        <v>#REF!</v>
      </c>
      <c r="P534">
        <f t="shared" si="9"/>
        <v>52.8</v>
      </c>
    </row>
    <row r="535" spans="10:16">
      <c r="J535" s="5"/>
      <c r="L535">
        <f>RAVLT_Rec!M535</f>
        <v>0.20516435799999999</v>
      </c>
      <c r="M535">
        <f>RAVLT_Rec!N535</f>
        <v>52.9</v>
      </c>
      <c r="O535" t="e">
        <f>ABS(L535-RAVLT_Rec!$C$34)</f>
        <v>#REF!</v>
      </c>
      <c r="P535">
        <f t="shared" si="9"/>
        <v>52.9</v>
      </c>
    </row>
    <row r="536" spans="10:16">
      <c r="J536" s="5"/>
      <c r="L536">
        <f>RAVLT_Rec!M536</f>
        <v>0.20545606</v>
      </c>
      <c r="M536">
        <f>RAVLT_Rec!N536</f>
        <v>53</v>
      </c>
      <c r="O536" t="e">
        <f>ABS(L536-RAVLT_Rec!$C$34)</f>
        <v>#REF!</v>
      </c>
      <c r="P536">
        <f t="shared" si="9"/>
        <v>53</v>
      </c>
    </row>
    <row r="537" spans="10:16">
      <c r="J537" s="5"/>
      <c r="L537">
        <f>RAVLT_Rec!M537</f>
        <v>0.21142493000000001</v>
      </c>
      <c r="M537">
        <f>RAVLT_Rec!N537</f>
        <v>53.1</v>
      </c>
      <c r="O537" t="e">
        <f>ABS(L537-RAVLT_Rec!$C$34)</f>
        <v>#REF!</v>
      </c>
      <c r="P537">
        <f t="shared" si="9"/>
        <v>53.1</v>
      </c>
    </row>
    <row r="538" spans="10:16">
      <c r="J538" s="5"/>
      <c r="L538">
        <f>RAVLT_Rec!M538</f>
        <v>0.21772195999999999</v>
      </c>
      <c r="M538">
        <f>RAVLT_Rec!N538</f>
        <v>53.2</v>
      </c>
      <c r="O538" t="e">
        <f>ABS(L538-RAVLT_Rec!$C$34)</f>
        <v>#REF!</v>
      </c>
      <c r="P538">
        <f t="shared" si="9"/>
        <v>53.2</v>
      </c>
    </row>
    <row r="539" spans="10:16">
      <c r="J539" s="5"/>
      <c r="L539">
        <f>RAVLT_Rec!M539</f>
        <v>0.22267700000000001</v>
      </c>
      <c r="M539">
        <f>RAVLT_Rec!N539</f>
        <v>53.3</v>
      </c>
      <c r="O539" t="e">
        <f>ABS(L539-RAVLT_Rec!$C$34)</f>
        <v>#REF!</v>
      </c>
      <c r="P539">
        <f t="shared" si="9"/>
        <v>53.3</v>
      </c>
    </row>
    <row r="540" spans="10:16">
      <c r="J540" s="5"/>
      <c r="L540">
        <f>RAVLT_Rec!M540</f>
        <v>0.22267700000000001</v>
      </c>
      <c r="M540">
        <f>RAVLT_Rec!N540</f>
        <v>53.4</v>
      </c>
      <c r="O540" t="e">
        <f>ABS(L540-RAVLT_Rec!$C$34)</f>
        <v>#REF!</v>
      </c>
      <c r="P540">
        <f t="shared" si="9"/>
        <v>53.4</v>
      </c>
    </row>
    <row r="541" spans="10:16">
      <c r="J541" s="5"/>
      <c r="L541">
        <f>RAVLT_Rec!M541</f>
        <v>0.22267700000000001</v>
      </c>
      <c r="M541">
        <f>RAVLT_Rec!N541</f>
        <v>53.5</v>
      </c>
      <c r="O541" t="e">
        <f>ABS(L541-RAVLT_Rec!$C$34)</f>
        <v>#REF!</v>
      </c>
      <c r="P541">
        <f t="shared" si="9"/>
        <v>53.5</v>
      </c>
    </row>
    <row r="542" spans="10:16">
      <c r="J542" s="5"/>
      <c r="L542">
        <f>RAVLT_Rec!M542</f>
        <v>0.223787032</v>
      </c>
      <c r="M542">
        <f>RAVLT_Rec!N542</f>
        <v>53.6</v>
      </c>
      <c r="O542" t="e">
        <f>ABS(L542-RAVLT_Rec!$C$34)</f>
        <v>#REF!</v>
      </c>
      <c r="P542">
        <f t="shared" si="9"/>
        <v>53.6</v>
      </c>
    </row>
    <row r="543" spans="10:16">
      <c r="J543" s="5"/>
      <c r="L543">
        <f>RAVLT_Rec!M543</f>
        <v>0.22609539400000001</v>
      </c>
      <c r="M543">
        <f>RAVLT_Rec!N543</f>
        <v>53.7</v>
      </c>
      <c r="O543" t="e">
        <f>ABS(L543-RAVLT_Rec!$C$34)</f>
        <v>#REF!</v>
      </c>
      <c r="P543">
        <f t="shared" si="9"/>
        <v>53.7</v>
      </c>
    </row>
    <row r="544" spans="10:16">
      <c r="J544" s="5"/>
      <c r="L544">
        <f>RAVLT_Rec!M544</f>
        <v>0.22840375600000001</v>
      </c>
      <c r="M544">
        <f>RAVLT_Rec!N544</f>
        <v>53.8</v>
      </c>
      <c r="O544" t="e">
        <f>ABS(L544-RAVLT_Rec!$C$34)</f>
        <v>#REF!</v>
      </c>
      <c r="P544">
        <f t="shared" si="9"/>
        <v>53.8</v>
      </c>
    </row>
    <row r="545" spans="10:16">
      <c r="J545" s="5"/>
      <c r="L545">
        <f>RAVLT_Rec!M545</f>
        <v>0.22898399999999999</v>
      </c>
      <c r="M545">
        <f>RAVLT_Rec!N545</f>
        <v>53.9</v>
      </c>
      <c r="O545" t="e">
        <f>ABS(L545-RAVLT_Rec!$C$34)</f>
        <v>#REF!</v>
      </c>
      <c r="P545">
        <f t="shared" si="9"/>
        <v>53.9</v>
      </c>
    </row>
    <row r="546" spans="10:16">
      <c r="J546" s="5"/>
      <c r="L546">
        <f>RAVLT_Rec!M546</f>
        <v>0.22898399999999999</v>
      </c>
      <c r="M546">
        <f>RAVLT_Rec!N546</f>
        <v>54</v>
      </c>
      <c r="O546" t="e">
        <f>ABS(L546-RAVLT_Rec!$C$34)</f>
        <v>#REF!</v>
      </c>
      <c r="P546">
        <f t="shared" si="9"/>
        <v>54</v>
      </c>
    </row>
    <row r="547" spans="10:16">
      <c r="J547" s="5"/>
      <c r="L547">
        <f>RAVLT_Rec!M547</f>
        <v>0.22898399999999999</v>
      </c>
      <c r="M547">
        <f>RAVLT_Rec!N547</f>
        <v>54.1</v>
      </c>
      <c r="O547" t="e">
        <f>ABS(L547-RAVLT_Rec!$C$34)</f>
        <v>#REF!</v>
      </c>
      <c r="P547">
        <f t="shared" si="9"/>
        <v>54.1</v>
      </c>
    </row>
    <row r="548" spans="10:16">
      <c r="J548" s="5"/>
      <c r="L548">
        <f>RAVLT_Rec!M548</f>
        <v>0.22898399999999999</v>
      </c>
      <c r="M548">
        <f>RAVLT_Rec!N548</f>
        <v>54.2</v>
      </c>
      <c r="O548" t="e">
        <f>ABS(L548-RAVLT_Rec!$C$34)</f>
        <v>#REF!</v>
      </c>
      <c r="P548">
        <f t="shared" si="9"/>
        <v>54.2</v>
      </c>
    </row>
    <row r="549" spans="10:16">
      <c r="J549" s="5"/>
      <c r="L549">
        <f>RAVLT_Rec!M549</f>
        <v>0.22898399999999999</v>
      </c>
      <c r="M549">
        <f>RAVLT_Rec!N549</f>
        <v>54.3</v>
      </c>
      <c r="O549" t="e">
        <f>ABS(L549-RAVLT_Rec!$C$34)</f>
        <v>#REF!</v>
      </c>
      <c r="P549">
        <f t="shared" si="9"/>
        <v>54.3</v>
      </c>
    </row>
    <row r="550" spans="10:16">
      <c r="J550" s="5"/>
      <c r="L550">
        <f>RAVLT_Rec!M550</f>
        <v>0.22898399999999999</v>
      </c>
      <c r="M550">
        <f>RAVLT_Rec!N550</f>
        <v>54.4</v>
      </c>
      <c r="O550" t="e">
        <f>ABS(L550-RAVLT_Rec!$C$34)</f>
        <v>#REF!</v>
      </c>
      <c r="P550">
        <f t="shared" si="9"/>
        <v>54.4</v>
      </c>
    </row>
    <row r="551" spans="10:16">
      <c r="J551" s="5"/>
      <c r="L551">
        <f>RAVLT_Rec!M551</f>
        <v>0.22898399999999999</v>
      </c>
      <c r="M551">
        <f>RAVLT_Rec!N551</f>
        <v>54.5</v>
      </c>
      <c r="O551" t="e">
        <f>ABS(L551-RAVLT_Rec!$C$34)</f>
        <v>#REF!</v>
      </c>
      <c r="P551">
        <f t="shared" si="9"/>
        <v>54.5</v>
      </c>
    </row>
    <row r="552" spans="10:16">
      <c r="J552" s="5"/>
      <c r="L552">
        <f>RAVLT_Rec!M552</f>
        <v>0.22898399999999999</v>
      </c>
      <c r="M552">
        <f>RAVLT_Rec!N552</f>
        <v>54.6</v>
      </c>
      <c r="O552" t="e">
        <f>ABS(L552-RAVLT_Rec!$C$34)</f>
        <v>#REF!</v>
      </c>
      <c r="P552">
        <f t="shared" si="9"/>
        <v>54.6</v>
      </c>
    </row>
    <row r="553" spans="10:16">
      <c r="J553" s="5"/>
      <c r="L553">
        <f>RAVLT_Rec!M553</f>
        <v>0.23081331199999999</v>
      </c>
      <c r="M553">
        <f>RAVLT_Rec!N553</f>
        <v>54.7</v>
      </c>
      <c r="O553" t="e">
        <f>ABS(L553-RAVLT_Rec!$C$34)</f>
        <v>#REF!</v>
      </c>
      <c r="P553">
        <f t="shared" si="9"/>
        <v>54.7</v>
      </c>
    </row>
    <row r="554" spans="10:16">
      <c r="J554" s="5"/>
      <c r="L554">
        <f>RAVLT_Rec!M554</f>
        <v>0.23412780799999999</v>
      </c>
      <c r="M554">
        <f>RAVLT_Rec!N554</f>
        <v>54.8</v>
      </c>
      <c r="O554" t="e">
        <f>ABS(L554-RAVLT_Rec!$C$34)</f>
        <v>#REF!</v>
      </c>
      <c r="P554">
        <f t="shared" si="9"/>
        <v>54.8</v>
      </c>
    </row>
    <row r="555" spans="10:16">
      <c r="J555" s="5"/>
      <c r="L555">
        <f>RAVLT_Rec!M555</f>
        <v>0.23744230399999999</v>
      </c>
      <c r="M555">
        <f>RAVLT_Rec!N555</f>
        <v>54.9</v>
      </c>
      <c r="O555" t="e">
        <f>ABS(L555-RAVLT_Rec!$C$34)</f>
        <v>#REF!</v>
      </c>
      <c r="P555">
        <f t="shared" si="9"/>
        <v>54.9</v>
      </c>
    </row>
    <row r="556" spans="10:16">
      <c r="J556" s="5"/>
      <c r="L556">
        <f>RAVLT_Rec!M556</f>
        <v>0.23804</v>
      </c>
      <c r="M556">
        <f>RAVLT_Rec!N556</f>
        <v>55</v>
      </c>
      <c r="O556" t="e">
        <f>ABS(L556-RAVLT_Rec!$C$34)</f>
        <v>#REF!</v>
      </c>
      <c r="P556">
        <f t="shared" si="9"/>
        <v>55</v>
      </c>
    </row>
    <row r="557" spans="10:16">
      <c r="J557" s="5"/>
      <c r="L557">
        <f>RAVLT_Rec!M557</f>
        <v>0.23804</v>
      </c>
      <c r="M557">
        <f>RAVLT_Rec!N557</f>
        <v>55.1</v>
      </c>
      <c r="O557" t="e">
        <f>ABS(L557-RAVLT_Rec!$C$34)</f>
        <v>#REF!</v>
      </c>
      <c r="P557">
        <f t="shared" si="9"/>
        <v>55.1</v>
      </c>
    </row>
    <row r="558" spans="10:16">
      <c r="J558" s="5"/>
      <c r="L558">
        <f>RAVLT_Rec!M558</f>
        <v>0.23804</v>
      </c>
      <c r="M558">
        <f>RAVLT_Rec!N558</f>
        <v>55.2</v>
      </c>
      <c r="O558" t="e">
        <f>ABS(L558-RAVLT_Rec!$C$34)</f>
        <v>#REF!</v>
      </c>
      <c r="P558">
        <f t="shared" si="9"/>
        <v>55.2</v>
      </c>
    </row>
    <row r="559" spans="10:16">
      <c r="J559" s="5"/>
      <c r="L559">
        <f>RAVLT_Rec!M559</f>
        <v>0.23804</v>
      </c>
      <c r="M559">
        <f>RAVLT_Rec!N559</f>
        <v>55.3</v>
      </c>
      <c r="O559" t="e">
        <f>ABS(L559-RAVLT_Rec!$C$34)</f>
        <v>#REF!</v>
      </c>
      <c r="P559">
        <f t="shared" si="9"/>
        <v>55.3</v>
      </c>
    </row>
    <row r="560" spans="10:16">
      <c r="J560" s="5"/>
      <c r="L560">
        <f>RAVLT_Rec!M560</f>
        <v>0.23804</v>
      </c>
      <c r="M560">
        <f>RAVLT_Rec!N560</f>
        <v>55.4</v>
      </c>
      <c r="O560" t="e">
        <f>ABS(L560-RAVLT_Rec!$C$34)</f>
        <v>#REF!</v>
      </c>
      <c r="P560">
        <f t="shared" si="9"/>
        <v>55.4</v>
      </c>
    </row>
    <row r="561" spans="10:16">
      <c r="J561" s="5"/>
      <c r="L561">
        <f>RAVLT_Rec!M561</f>
        <v>0.23804</v>
      </c>
      <c r="M561">
        <f>RAVLT_Rec!N561</f>
        <v>55.5</v>
      </c>
      <c r="O561" t="e">
        <f>ABS(L561-RAVLT_Rec!$C$34)</f>
        <v>#REF!</v>
      </c>
      <c r="P561">
        <f t="shared" si="9"/>
        <v>55.5</v>
      </c>
    </row>
    <row r="562" spans="10:16">
      <c r="J562" s="5"/>
      <c r="L562">
        <f>RAVLT_Rec!M562</f>
        <v>0.23804</v>
      </c>
      <c r="M562">
        <f>RAVLT_Rec!N562</f>
        <v>55.6</v>
      </c>
      <c r="O562" t="e">
        <f>ABS(L562-RAVLT_Rec!$C$34)</f>
        <v>#REF!</v>
      </c>
      <c r="P562">
        <f t="shared" si="9"/>
        <v>55.6</v>
      </c>
    </row>
    <row r="563" spans="10:16">
      <c r="J563" s="5"/>
      <c r="L563">
        <f>RAVLT_Rec!M563</f>
        <v>0.23804</v>
      </c>
      <c r="M563">
        <f>RAVLT_Rec!N563</f>
        <v>55.7</v>
      </c>
      <c r="O563" t="e">
        <f>ABS(L563-RAVLT_Rec!$C$34)</f>
        <v>#REF!</v>
      </c>
      <c r="P563">
        <f t="shared" si="9"/>
        <v>55.7</v>
      </c>
    </row>
    <row r="564" spans="10:16">
      <c r="J564" s="5"/>
      <c r="L564">
        <f>RAVLT_Rec!M564</f>
        <v>0.24094312400000001</v>
      </c>
      <c r="M564">
        <f>RAVLT_Rec!N564</f>
        <v>55.8</v>
      </c>
      <c r="O564" t="e">
        <f>ABS(L564-RAVLT_Rec!$C$34)</f>
        <v>#REF!</v>
      </c>
      <c r="P564">
        <f t="shared" si="9"/>
        <v>55.8</v>
      </c>
    </row>
    <row r="565" spans="10:16">
      <c r="J565" s="5"/>
      <c r="L565">
        <f>RAVLT_Rec!M565</f>
        <v>0.245603402</v>
      </c>
      <c r="M565">
        <f>RAVLT_Rec!N565</f>
        <v>55.9</v>
      </c>
      <c r="O565" t="e">
        <f>ABS(L565-RAVLT_Rec!$C$34)</f>
        <v>#REF!</v>
      </c>
      <c r="P565">
        <f t="shared" si="9"/>
        <v>55.9</v>
      </c>
    </row>
    <row r="566" spans="10:16">
      <c r="J566" s="5"/>
      <c r="L566">
        <f>RAVLT_Rec!M566</f>
        <v>0.25026367999999999</v>
      </c>
      <c r="M566">
        <f>RAVLT_Rec!N566</f>
        <v>56</v>
      </c>
      <c r="O566" t="e">
        <f>ABS(L566-RAVLT_Rec!$C$34)</f>
        <v>#REF!</v>
      </c>
      <c r="P566">
        <f t="shared" si="9"/>
        <v>56</v>
      </c>
    </row>
    <row r="567" spans="10:16">
      <c r="J567" s="5"/>
      <c r="L567">
        <f>RAVLT_Rec!M567</f>
        <v>0.25077300000000002</v>
      </c>
      <c r="M567">
        <f>RAVLT_Rec!N567</f>
        <v>56.1</v>
      </c>
      <c r="O567" t="e">
        <f>ABS(L567-RAVLT_Rec!$C$34)</f>
        <v>#REF!</v>
      </c>
      <c r="P567">
        <f t="shared" si="9"/>
        <v>56.1</v>
      </c>
    </row>
    <row r="568" spans="10:16">
      <c r="J568" s="5"/>
      <c r="L568">
        <f>RAVLT_Rec!M568</f>
        <v>0.25077300000000002</v>
      </c>
      <c r="M568">
        <f>RAVLT_Rec!N568</f>
        <v>56.2</v>
      </c>
      <c r="O568" t="e">
        <f>ABS(L568-RAVLT_Rec!$C$34)</f>
        <v>#REF!</v>
      </c>
      <c r="P568">
        <f t="shared" si="9"/>
        <v>56.2</v>
      </c>
    </row>
    <row r="569" spans="10:16">
      <c r="J569" s="5"/>
      <c r="L569">
        <f>RAVLT_Rec!M569</f>
        <v>0.25077300000000002</v>
      </c>
      <c r="M569">
        <f>RAVLT_Rec!N569</f>
        <v>56.3</v>
      </c>
      <c r="O569" t="e">
        <f>ABS(L569-RAVLT_Rec!$C$34)</f>
        <v>#REF!</v>
      </c>
      <c r="P569">
        <f t="shared" si="9"/>
        <v>56.3</v>
      </c>
    </row>
    <row r="570" spans="10:16">
      <c r="J570" s="5"/>
      <c r="L570">
        <f>RAVLT_Rec!M570</f>
        <v>0.25077300000000002</v>
      </c>
      <c r="M570">
        <f>RAVLT_Rec!N570</f>
        <v>56.4</v>
      </c>
      <c r="O570" t="e">
        <f>ABS(L570-RAVLT_Rec!$C$34)</f>
        <v>#REF!</v>
      </c>
      <c r="P570">
        <f t="shared" si="9"/>
        <v>56.4</v>
      </c>
    </row>
    <row r="571" spans="10:16">
      <c r="J571" s="5"/>
      <c r="L571">
        <f>RAVLT_Rec!M571</f>
        <v>0.25077300000000002</v>
      </c>
      <c r="M571">
        <f>RAVLT_Rec!N571</f>
        <v>56.5</v>
      </c>
      <c r="O571" t="e">
        <f>ABS(L571-RAVLT_Rec!$C$34)</f>
        <v>#REF!</v>
      </c>
      <c r="P571">
        <f t="shared" si="9"/>
        <v>56.5</v>
      </c>
    </row>
    <row r="572" spans="10:16">
      <c r="J572" s="5"/>
      <c r="L572">
        <f>RAVLT_Rec!M572</f>
        <v>0.253607676000001</v>
      </c>
      <c r="M572">
        <f>RAVLT_Rec!N572</f>
        <v>56.6</v>
      </c>
      <c r="O572" t="e">
        <f>ABS(L572-RAVLT_Rec!$C$34)</f>
        <v>#REF!</v>
      </c>
      <c r="P572">
        <f t="shared" si="9"/>
        <v>56.6</v>
      </c>
    </row>
    <row r="573" spans="10:16">
      <c r="J573" s="5"/>
      <c r="L573">
        <f>RAVLT_Rec!M573</f>
        <v>0.26025826200000002</v>
      </c>
      <c r="M573">
        <f>RAVLT_Rec!N573</f>
        <v>56.7</v>
      </c>
      <c r="O573" t="e">
        <f>ABS(L573-RAVLT_Rec!$C$34)</f>
        <v>#REF!</v>
      </c>
      <c r="P573">
        <f t="shared" si="9"/>
        <v>56.7</v>
      </c>
    </row>
    <row r="574" spans="10:16">
      <c r="J574" s="5"/>
      <c r="L574">
        <f>RAVLT_Rec!M574</f>
        <v>0.26690884800000098</v>
      </c>
      <c r="M574">
        <f>RAVLT_Rec!N574</f>
        <v>56.8</v>
      </c>
      <c r="O574" t="e">
        <f>ABS(L574-RAVLT_Rec!$C$34)</f>
        <v>#REF!</v>
      </c>
      <c r="P574">
        <f t="shared" si="9"/>
        <v>56.8</v>
      </c>
    </row>
    <row r="575" spans="10:16">
      <c r="J575" s="5"/>
      <c r="L575">
        <f>RAVLT_Rec!M575</f>
        <v>0.26894400000000002</v>
      </c>
      <c r="M575">
        <f>RAVLT_Rec!N575</f>
        <v>56.9</v>
      </c>
      <c r="O575" t="e">
        <f>ABS(L575-RAVLT_Rec!$C$34)</f>
        <v>#REF!</v>
      </c>
      <c r="P575">
        <f t="shared" si="9"/>
        <v>56.9</v>
      </c>
    </row>
    <row r="576" spans="10:16">
      <c r="J576" s="5"/>
      <c r="L576">
        <f>RAVLT_Rec!M576</f>
        <v>0.26894400000000002</v>
      </c>
      <c r="M576">
        <f>RAVLT_Rec!N576</f>
        <v>57</v>
      </c>
      <c r="O576" t="e">
        <f>ABS(L576-RAVLT_Rec!$C$34)</f>
        <v>#REF!</v>
      </c>
      <c r="P576">
        <f t="shared" si="9"/>
        <v>57</v>
      </c>
    </row>
    <row r="577" spans="10:16">
      <c r="J577" s="5"/>
      <c r="L577">
        <f>RAVLT_Rec!M577</f>
        <v>0.26894400000000002</v>
      </c>
      <c r="M577">
        <f>RAVLT_Rec!N577</f>
        <v>57.1</v>
      </c>
      <c r="O577" t="e">
        <f>ABS(L577-RAVLT_Rec!$C$34)</f>
        <v>#REF!</v>
      </c>
      <c r="P577">
        <f t="shared" si="9"/>
        <v>57.1</v>
      </c>
    </row>
    <row r="578" spans="10:16">
      <c r="J578" s="5"/>
      <c r="L578">
        <f>RAVLT_Rec!M578</f>
        <v>0.27102608</v>
      </c>
      <c r="M578">
        <f>RAVLT_Rec!N578</f>
        <v>57.2</v>
      </c>
      <c r="O578" t="e">
        <f>ABS(L578-RAVLT_Rec!$C$34)</f>
        <v>#REF!</v>
      </c>
      <c r="P578">
        <f t="shared" si="9"/>
        <v>57.2</v>
      </c>
    </row>
    <row r="579" spans="10:16">
      <c r="J579" s="5"/>
      <c r="L579">
        <f>RAVLT_Rec!M579</f>
        <v>0.27319096999999998</v>
      </c>
      <c r="M579">
        <f>RAVLT_Rec!N579</f>
        <v>57.3</v>
      </c>
      <c r="O579" t="e">
        <f>ABS(L579-RAVLT_Rec!$C$34)</f>
        <v>#REF!</v>
      </c>
      <c r="P579">
        <f t="shared" si="9"/>
        <v>57.3</v>
      </c>
    </row>
    <row r="580" spans="10:16">
      <c r="J580" s="5"/>
      <c r="L580">
        <f>RAVLT_Rec!M580</f>
        <v>0.27520045999999998</v>
      </c>
      <c r="M580">
        <f>RAVLT_Rec!N580</f>
        <v>57.4</v>
      </c>
      <c r="O580" t="e">
        <f>ABS(L580-RAVLT_Rec!$C$34)</f>
        <v>#REF!</v>
      </c>
      <c r="P580">
        <f t="shared" si="9"/>
        <v>57.4</v>
      </c>
    </row>
    <row r="581" spans="10:16">
      <c r="J581" s="5"/>
      <c r="L581">
        <f>RAVLT_Rec!M581</f>
        <v>0.27668825000000002</v>
      </c>
      <c r="M581">
        <f>RAVLT_Rec!N581</f>
        <v>57.5</v>
      </c>
      <c r="O581" t="e">
        <f>ABS(L581-RAVLT_Rec!$C$34)</f>
        <v>#REF!</v>
      </c>
      <c r="P581">
        <f t="shared" si="9"/>
        <v>57.5</v>
      </c>
    </row>
    <row r="582" spans="10:16">
      <c r="J582" s="5"/>
      <c r="L582">
        <f>RAVLT_Rec!M582</f>
        <v>0.27817604000000001</v>
      </c>
      <c r="M582">
        <f>RAVLT_Rec!N582</f>
        <v>57.6</v>
      </c>
      <c r="O582" t="e">
        <f>ABS(L582-RAVLT_Rec!$C$34)</f>
        <v>#REF!</v>
      </c>
      <c r="P582">
        <f t="shared" si="9"/>
        <v>57.6</v>
      </c>
    </row>
    <row r="583" spans="10:16">
      <c r="J583" s="5"/>
      <c r="L583">
        <f>RAVLT_Rec!M583</f>
        <v>0.27892400000000001</v>
      </c>
      <c r="M583">
        <f>RAVLT_Rec!N583</f>
        <v>57.7</v>
      </c>
      <c r="O583" t="e">
        <f>ABS(L583-RAVLT_Rec!$C$34)</f>
        <v>#REF!</v>
      </c>
      <c r="P583">
        <f t="shared" ref="P583:P646" si="10">M583</f>
        <v>57.7</v>
      </c>
    </row>
    <row r="584" spans="10:16">
      <c r="J584" s="5"/>
      <c r="L584">
        <f>RAVLT_Rec!M584</f>
        <v>0.27892400000000001</v>
      </c>
      <c r="M584">
        <f>RAVLT_Rec!N584</f>
        <v>57.8</v>
      </c>
      <c r="O584" t="e">
        <f>ABS(L584-RAVLT_Rec!$C$34)</f>
        <v>#REF!</v>
      </c>
      <c r="P584">
        <f t="shared" si="10"/>
        <v>57.8</v>
      </c>
    </row>
    <row r="585" spans="10:16">
      <c r="J585" s="5"/>
      <c r="L585">
        <f>RAVLT_Rec!M585</f>
        <v>0.27892400000000001</v>
      </c>
      <c r="M585">
        <f>RAVLT_Rec!N585</f>
        <v>57.9</v>
      </c>
      <c r="O585" t="e">
        <f>ABS(L585-RAVLT_Rec!$C$34)</f>
        <v>#REF!</v>
      </c>
      <c r="P585">
        <f t="shared" si="10"/>
        <v>57.9</v>
      </c>
    </row>
    <row r="586" spans="10:16">
      <c r="J586" s="5"/>
      <c r="L586">
        <f>RAVLT_Rec!M586</f>
        <v>0.27993087999999999</v>
      </c>
      <c r="M586">
        <f>RAVLT_Rec!N586</f>
        <v>58</v>
      </c>
      <c r="O586" t="e">
        <f>ABS(L586-RAVLT_Rec!$C$34)</f>
        <v>#REF!</v>
      </c>
      <c r="P586">
        <f t="shared" si="10"/>
        <v>58</v>
      </c>
    </row>
    <row r="587" spans="10:16">
      <c r="J587" s="5"/>
      <c r="L587">
        <f>RAVLT_Rec!M587</f>
        <v>0.28124701600000002</v>
      </c>
      <c r="M587">
        <f>RAVLT_Rec!N587</f>
        <v>58.1</v>
      </c>
      <c r="O587" t="e">
        <f>ABS(L587-RAVLT_Rec!$C$34)</f>
        <v>#REF!</v>
      </c>
      <c r="P587">
        <f t="shared" si="10"/>
        <v>58.1</v>
      </c>
    </row>
    <row r="588" spans="10:16">
      <c r="J588" s="5"/>
      <c r="L588">
        <f>RAVLT_Rec!M588</f>
        <v>0.28251999999999999</v>
      </c>
      <c r="M588">
        <f>RAVLT_Rec!N588</f>
        <v>58.2</v>
      </c>
      <c r="O588" t="e">
        <f>ABS(L588-RAVLT_Rec!$C$34)</f>
        <v>#REF!</v>
      </c>
      <c r="P588">
        <f t="shared" si="10"/>
        <v>58.2</v>
      </c>
    </row>
    <row r="589" spans="10:16">
      <c r="J589" s="5"/>
      <c r="L589">
        <f>RAVLT_Rec!M589</f>
        <v>0.28251999999999999</v>
      </c>
      <c r="M589">
        <f>RAVLT_Rec!N589</f>
        <v>58.3</v>
      </c>
      <c r="O589" t="e">
        <f>ABS(L589-RAVLT_Rec!$C$34)</f>
        <v>#REF!</v>
      </c>
      <c r="P589">
        <f t="shared" si="10"/>
        <v>58.3</v>
      </c>
    </row>
    <row r="590" spans="10:16">
      <c r="J590" s="5"/>
      <c r="L590">
        <f>RAVLT_Rec!M590</f>
        <v>0.28251999999999999</v>
      </c>
      <c r="M590">
        <f>RAVLT_Rec!N590</f>
        <v>58.4</v>
      </c>
      <c r="O590" t="e">
        <f>ABS(L590-RAVLT_Rec!$C$34)</f>
        <v>#REF!</v>
      </c>
      <c r="P590">
        <f t="shared" si="10"/>
        <v>58.4</v>
      </c>
    </row>
    <row r="591" spans="10:16">
      <c r="J591" s="5"/>
      <c r="L591">
        <f>RAVLT_Rec!M591</f>
        <v>0.28505450999999998</v>
      </c>
      <c r="M591">
        <f>RAVLT_Rec!N591</f>
        <v>58.5</v>
      </c>
      <c r="O591" t="e">
        <f>ABS(L591-RAVLT_Rec!$C$34)</f>
        <v>#REF!</v>
      </c>
      <c r="P591">
        <f t="shared" si="10"/>
        <v>58.5</v>
      </c>
    </row>
    <row r="592" spans="10:16">
      <c r="J592" s="5"/>
      <c r="L592">
        <f>RAVLT_Rec!M592</f>
        <v>0.293487516</v>
      </c>
      <c r="M592">
        <f>RAVLT_Rec!N592</f>
        <v>58.6</v>
      </c>
      <c r="O592" t="e">
        <f>ABS(L592-RAVLT_Rec!$C$34)</f>
        <v>#REF!</v>
      </c>
      <c r="P592">
        <f t="shared" si="10"/>
        <v>58.6</v>
      </c>
    </row>
    <row r="593" spans="10:16">
      <c r="J593" s="5"/>
      <c r="L593">
        <f>RAVLT_Rec!M593</f>
        <v>0.30192052200000002</v>
      </c>
      <c r="M593">
        <f>RAVLT_Rec!N593</f>
        <v>58.7</v>
      </c>
      <c r="O593" t="e">
        <f>ABS(L593-RAVLT_Rec!$C$34)</f>
        <v>#REF!</v>
      </c>
      <c r="P593">
        <f t="shared" si="10"/>
        <v>58.7</v>
      </c>
    </row>
    <row r="594" spans="10:16">
      <c r="J594" s="5"/>
      <c r="L594">
        <f>RAVLT_Rec!M594</f>
        <v>0.30556100000000003</v>
      </c>
      <c r="M594">
        <f>RAVLT_Rec!N594</f>
        <v>58.8</v>
      </c>
      <c r="O594" t="e">
        <f>ABS(L594-RAVLT_Rec!$C$34)</f>
        <v>#REF!</v>
      </c>
      <c r="P594">
        <f t="shared" si="10"/>
        <v>58.8</v>
      </c>
    </row>
    <row r="595" spans="10:16">
      <c r="J595" s="5"/>
      <c r="L595">
        <f>RAVLT_Rec!M595</f>
        <v>0.30556100000000003</v>
      </c>
      <c r="M595">
        <f>RAVLT_Rec!N595</f>
        <v>58.9</v>
      </c>
      <c r="O595" t="e">
        <f>ABS(L595-RAVLT_Rec!$C$34)</f>
        <v>#REF!</v>
      </c>
      <c r="P595">
        <f t="shared" si="10"/>
        <v>58.9</v>
      </c>
    </row>
    <row r="596" spans="10:16">
      <c r="J596" s="5"/>
      <c r="L596">
        <f>RAVLT_Rec!M596</f>
        <v>0.30556100000000003</v>
      </c>
      <c r="M596">
        <f>RAVLT_Rec!N596</f>
        <v>59</v>
      </c>
      <c r="O596" t="e">
        <f>ABS(L596-RAVLT_Rec!$C$34)</f>
        <v>#REF!</v>
      </c>
      <c r="P596">
        <f t="shared" si="10"/>
        <v>59</v>
      </c>
    </row>
    <row r="597" spans="10:16">
      <c r="J597" s="5"/>
      <c r="L597">
        <f>RAVLT_Rec!M597</f>
        <v>0.31407575599999998</v>
      </c>
      <c r="M597">
        <f>RAVLT_Rec!N597</f>
        <v>59.1</v>
      </c>
      <c r="O597" t="e">
        <f>ABS(L597-RAVLT_Rec!$C$34)</f>
        <v>#REF!</v>
      </c>
      <c r="P597">
        <f t="shared" si="10"/>
        <v>59.1</v>
      </c>
    </row>
    <row r="598" spans="10:16">
      <c r="J598" s="5"/>
      <c r="L598">
        <f>RAVLT_Rec!M598</f>
        <v>0.32426007200000001</v>
      </c>
      <c r="M598">
        <f>RAVLT_Rec!N598</f>
        <v>59.2</v>
      </c>
      <c r="O598" t="e">
        <f>ABS(L598-RAVLT_Rec!$C$34)</f>
        <v>#REF!</v>
      </c>
      <c r="P598">
        <f t="shared" si="10"/>
        <v>59.2</v>
      </c>
    </row>
    <row r="599" spans="10:16">
      <c r="J599" s="5"/>
      <c r="L599">
        <f>RAVLT_Rec!M599</f>
        <v>0.33448945600000002</v>
      </c>
      <c r="M599">
        <f>RAVLT_Rec!N599</f>
        <v>59.3</v>
      </c>
      <c r="O599" t="e">
        <f>ABS(L599-RAVLT_Rec!$C$34)</f>
        <v>#REF!</v>
      </c>
      <c r="P599">
        <f t="shared" si="10"/>
        <v>59.3</v>
      </c>
    </row>
    <row r="600" spans="10:16">
      <c r="J600" s="5"/>
      <c r="L600">
        <f>RAVLT_Rec!M600</f>
        <v>0.34510784799999999</v>
      </c>
      <c r="M600">
        <f>RAVLT_Rec!N600</f>
        <v>59.4</v>
      </c>
      <c r="O600" t="e">
        <f>ABS(L600-RAVLT_Rec!$C$34)</f>
        <v>#REF!</v>
      </c>
      <c r="P600">
        <f t="shared" si="10"/>
        <v>59.4</v>
      </c>
    </row>
    <row r="601" spans="10:16">
      <c r="J601" s="5"/>
      <c r="L601">
        <f>RAVLT_Rec!M601</f>
        <v>0.35572623999999903</v>
      </c>
      <c r="M601">
        <f>RAVLT_Rec!N601</f>
        <v>59.5</v>
      </c>
      <c r="O601" t="e">
        <f>ABS(L601-RAVLT_Rec!$C$34)</f>
        <v>#REF!</v>
      </c>
      <c r="P601">
        <f t="shared" si="10"/>
        <v>59.5</v>
      </c>
    </row>
    <row r="602" spans="10:16">
      <c r="J602" s="5"/>
      <c r="L602">
        <f>RAVLT_Rec!M602</f>
        <v>0.36239900000000003</v>
      </c>
      <c r="M602">
        <f>RAVLT_Rec!N602</f>
        <v>59.6</v>
      </c>
      <c r="O602" t="e">
        <f>ABS(L602-RAVLT_Rec!$C$34)</f>
        <v>#REF!</v>
      </c>
      <c r="P602">
        <f t="shared" si="10"/>
        <v>59.6</v>
      </c>
    </row>
    <row r="603" spans="10:16">
      <c r="J603" s="5"/>
      <c r="L603">
        <f>RAVLT_Rec!M603</f>
        <v>0.36239900000000003</v>
      </c>
      <c r="M603">
        <f>RAVLT_Rec!N603</f>
        <v>59.7</v>
      </c>
      <c r="O603" t="e">
        <f>ABS(L603-RAVLT_Rec!$C$34)</f>
        <v>#REF!</v>
      </c>
      <c r="P603">
        <f t="shared" si="10"/>
        <v>59.7</v>
      </c>
    </row>
    <row r="604" spans="10:16">
      <c r="J604" s="5"/>
      <c r="L604">
        <f>RAVLT_Rec!M604</f>
        <v>0.36239900000000003</v>
      </c>
      <c r="M604">
        <f>RAVLT_Rec!N604</f>
        <v>59.8</v>
      </c>
      <c r="O604" t="e">
        <f>ABS(L604-RAVLT_Rec!$C$34)</f>
        <v>#REF!</v>
      </c>
      <c r="P604">
        <f t="shared" si="10"/>
        <v>59.8</v>
      </c>
    </row>
    <row r="605" spans="10:16">
      <c r="J605" s="5"/>
      <c r="L605">
        <f>RAVLT_Rec!M605</f>
        <v>0.36239900000000003</v>
      </c>
      <c r="M605">
        <f>RAVLT_Rec!N605</f>
        <v>59.9</v>
      </c>
      <c r="O605" t="e">
        <f>ABS(L605-RAVLT_Rec!$C$34)</f>
        <v>#REF!</v>
      </c>
      <c r="P605">
        <f t="shared" si="10"/>
        <v>59.9</v>
      </c>
    </row>
    <row r="606" spans="10:16">
      <c r="J606" s="5"/>
      <c r="L606">
        <f>RAVLT_Rec!M606</f>
        <v>0.36239900000000003</v>
      </c>
      <c r="M606">
        <f>RAVLT_Rec!N606</f>
        <v>60</v>
      </c>
      <c r="O606" t="e">
        <f>ABS(L606-RAVLT_Rec!$C$34)</f>
        <v>#REF!</v>
      </c>
      <c r="P606">
        <f t="shared" si="10"/>
        <v>60</v>
      </c>
    </row>
    <row r="607" spans="10:16">
      <c r="J607" s="5"/>
      <c r="L607">
        <f>RAVLT_Rec!M607</f>
        <v>0.36239900000000003</v>
      </c>
      <c r="M607">
        <f>RAVLT_Rec!N607</f>
        <v>60.1</v>
      </c>
      <c r="O607" t="e">
        <f>ABS(L607-RAVLT_Rec!$C$34)</f>
        <v>#REF!</v>
      </c>
      <c r="P607">
        <f t="shared" si="10"/>
        <v>60.1</v>
      </c>
    </row>
    <row r="608" spans="10:16">
      <c r="J608" s="5"/>
      <c r="L608">
        <f>RAVLT_Rec!M608</f>
        <v>0.37240116400000001</v>
      </c>
      <c r="M608">
        <f>RAVLT_Rec!N608</f>
        <v>60.2</v>
      </c>
      <c r="O608" t="e">
        <f>ABS(L608-RAVLT_Rec!$C$34)</f>
        <v>#REF!</v>
      </c>
      <c r="P608">
        <f t="shared" si="10"/>
        <v>60.2</v>
      </c>
    </row>
    <row r="609" spans="10:16">
      <c r="J609" s="5"/>
      <c r="L609">
        <f>RAVLT_Rec!M609</f>
        <v>0.38342764599999901</v>
      </c>
      <c r="M609">
        <f>RAVLT_Rec!N609</f>
        <v>60.3</v>
      </c>
      <c r="O609" t="e">
        <f>ABS(L609-RAVLT_Rec!$C$34)</f>
        <v>#REF!</v>
      </c>
      <c r="P609">
        <f t="shared" si="10"/>
        <v>60.3</v>
      </c>
    </row>
    <row r="610" spans="10:16">
      <c r="J610" s="5"/>
      <c r="L610">
        <f>RAVLT_Rec!M610</f>
        <v>0.39252599999999999</v>
      </c>
      <c r="M610">
        <f>RAVLT_Rec!N610</f>
        <v>60.4</v>
      </c>
      <c r="O610" t="e">
        <f>ABS(L610-RAVLT_Rec!$C$34)</f>
        <v>#REF!</v>
      </c>
      <c r="P610">
        <f t="shared" si="10"/>
        <v>60.4</v>
      </c>
    </row>
    <row r="611" spans="10:16">
      <c r="J611" s="5"/>
      <c r="L611">
        <f>RAVLT_Rec!M611</f>
        <v>0.39252599999999999</v>
      </c>
      <c r="M611">
        <f>RAVLT_Rec!N611</f>
        <v>60.5</v>
      </c>
      <c r="O611" t="e">
        <f>ABS(L611-RAVLT_Rec!$C$34)</f>
        <v>#REF!</v>
      </c>
      <c r="P611">
        <f t="shared" si="10"/>
        <v>60.5</v>
      </c>
    </row>
    <row r="612" spans="10:16">
      <c r="J612" s="5"/>
      <c r="L612">
        <f>RAVLT_Rec!M612</f>
        <v>0.39252599999999999</v>
      </c>
      <c r="M612">
        <f>RAVLT_Rec!N612</f>
        <v>60.6</v>
      </c>
      <c r="O612" t="e">
        <f>ABS(L612-RAVLT_Rec!$C$34)</f>
        <v>#REF!</v>
      </c>
      <c r="P612">
        <f t="shared" si="10"/>
        <v>60.6</v>
      </c>
    </row>
    <row r="613" spans="10:16">
      <c r="J613" s="5"/>
      <c r="L613">
        <f>RAVLT_Rec!M613</f>
        <v>0.39252599999999999</v>
      </c>
      <c r="M613">
        <f>RAVLT_Rec!N613</f>
        <v>60.7</v>
      </c>
      <c r="O613" t="e">
        <f>ABS(L613-RAVLT_Rec!$C$34)</f>
        <v>#REF!</v>
      </c>
      <c r="P613">
        <f t="shared" si="10"/>
        <v>60.7</v>
      </c>
    </row>
    <row r="614" spans="10:16">
      <c r="J614" s="5"/>
      <c r="L614">
        <f>RAVLT_Rec!M614</f>
        <v>0.39252599999999999</v>
      </c>
      <c r="M614">
        <f>RAVLT_Rec!N614</f>
        <v>60.8</v>
      </c>
      <c r="O614" t="e">
        <f>ABS(L614-RAVLT_Rec!$C$34)</f>
        <v>#REF!</v>
      </c>
      <c r="P614">
        <f t="shared" si="10"/>
        <v>60.8</v>
      </c>
    </row>
    <row r="615" spans="10:16">
      <c r="J615" s="5"/>
      <c r="L615">
        <f>RAVLT_Rec!M615</f>
        <v>0.39252599999999999</v>
      </c>
      <c r="M615">
        <f>RAVLT_Rec!N615</f>
        <v>60.9</v>
      </c>
      <c r="O615" t="e">
        <f>ABS(L615-RAVLT_Rec!$C$34)</f>
        <v>#REF!</v>
      </c>
      <c r="P615">
        <f t="shared" si="10"/>
        <v>60.9</v>
      </c>
    </row>
    <row r="616" spans="10:16">
      <c r="J616" s="5"/>
      <c r="L616">
        <f>RAVLT_Rec!M616</f>
        <v>0.39252599999999999</v>
      </c>
      <c r="M616">
        <f>RAVLT_Rec!N616</f>
        <v>61</v>
      </c>
      <c r="O616" t="e">
        <f>ABS(L616-RAVLT_Rec!$C$34)</f>
        <v>#REF!</v>
      </c>
      <c r="P616">
        <f t="shared" si="10"/>
        <v>61</v>
      </c>
    </row>
    <row r="617" spans="10:16">
      <c r="J617" s="5"/>
      <c r="L617">
        <f>RAVLT_Rec!M617</f>
        <v>0.39252599999999999</v>
      </c>
      <c r="M617">
        <f>RAVLT_Rec!N617</f>
        <v>61.1</v>
      </c>
      <c r="O617" t="e">
        <f>ABS(L617-RAVLT_Rec!$C$34)</f>
        <v>#REF!</v>
      </c>
      <c r="P617">
        <f t="shared" si="10"/>
        <v>61.1</v>
      </c>
    </row>
    <row r="618" spans="10:16">
      <c r="J618" s="5"/>
      <c r="L618">
        <f>RAVLT_Rec!M618</f>
        <v>0.39252599999999999</v>
      </c>
      <c r="M618">
        <f>RAVLT_Rec!N618</f>
        <v>61.2</v>
      </c>
      <c r="O618" t="e">
        <f>ABS(L618-RAVLT_Rec!$C$34)</f>
        <v>#REF!</v>
      </c>
      <c r="P618">
        <f t="shared" si="10"/>
        <v>61.2</v>
      </c>
    </row>
    <row r="619" spans="10:16">
      <c r="J619" s="5"/>
      <c r="L619">
        <f>RAVLT_Rec!M619</f>
        <v>0.403651924</v>
      </c>
      <c r="M619">
        <f>RAVLT_Rec!N619</f>
        <v>61.3</v>
      </c>
      <c r="O619" t="e">
        <f>ABS(L619-RAVLT_Rec!$C$34)</f>
        <v>#REF!</v>
      </c>
      <c r="P619">
        <f t="shared" si="10"/>
        <v>61.3</v>
      </c>
    </row>
    <row r="620" spans="10:16">
      <c r="J620" s="5"/>
      <c r="L620">
        <f>RAVLT_Rec!M620</f>
        <v>0.41502647199999998</v>
      </c>
      <c r="M620">
        <f>RAVLT_Rec!N620</f>
        <v>61.4</v>
      </c>
      <c r="O620" t="e">
        <f>ABS(L620-RAVLT_Rec!$C$34)</f>
        <v>#REF!</v>
      </c>
      <c r="P620">
        <f t="shared" si="10"/>
        <v>61.4</v>
      </c>
    </row>
    <row r="621" spans="10:16">
      <c r="J621" s="5"/>
      <c r="L621">
        <f>RAVLT_Rec!M621</f>
        <v>0.42360399999999998</v>
      </c>
      <c r="M621">
        <f>RAVLT_Rec!N621</f>
        <v>61.5</v>
      </c>
      <c r="O621" t="e">
        <f>ABS(L621-RAVLT_Rec!$C$34)</f>
        <v>#REF!</v>
      </c>
      <c r="P621">
        <f t="shared" si="10"/>
        <v>61.5</v>
      </c>
    </row>
    <row r="622" spans="10:16">
      <c r="J622" s="5"/>
      <c r="L622">
        <f>RAVLT_Rec!M622</f>
        <v>0.42360399999999998</v>
      </c>
      <c r="M622">
        <f>RAVLT_Rec!N622</f>
        <v>61.6</v>
      </c>
      <c r="O622" t="e">
        <f>ABS(L622-RAVLT_Rec!$C$34)</f>
        <v>#REF!</v>
      </c>
      <c r="P622">
        <f t="shared" si="10"/>
        <v>61.6</v>
      </c>
    </row>
    <row r="623" spans="10:16">
      <c r="J623" s="5"/>
      <c r="L623">
        <f>RAVLT_Rec!M623</f>
        <v>0.42360399999999998</v>
      </c>
      <c r="M623">
        <f>RAVLT_Rec!N623</f>
        <v>61.7</v>
      </c>
      <c r="O623" t="e">
        <f>ABS(L623-RAVLT_Rec!$C$34)</f>
        <v>#REF!</v>
      </c>
      <c r="P623">
        <f t="shared" si="10"/>
        <v>61.7</v>
      </c>
    </row>
    <row r="624" spans="10:16">
      <c r="J624" s="5"/>
      <c r="L624">
        <f>RAVLT_Rec!M624</f>
        <v>0.42360399999999998</v>
      </c>
      <c r="M624">
        <f>RAVLT_Rec!N624</f>
        <v>61.8</v>
      </c>
      <c r="O624" t="e">
        <f>ABS(L624-RAVLT_Rec!$C$34)</f>
        <v>#REF!</v>
      </c>
      <c r="P624">
        <f t="shared" si="10"/>
        <v>61.8</v>
      </c>
    </row>
    <row r="625" spans="10:16">
      <c r="J625" s="5"/>
      <c r="L625">
        <f>RAVLT_Rec!M625</f>
        <v>0.42360399999999998</v>
      </c>
      <c r="M625">
        <f>RAVLT_Rec!N625</f>
        <v>61.9</v>
      </c>
      <c r="O625" t="e">
        <f>ABS(L625-RAVLT_Rec!$C$34)</f>
        <v>#REF!</v>
      </c>
      <c r="P625">
        <f t="shared" si="10"/>
        <v>61.9</v>
      </c>
    </row>
    <row r="626" spans="10:16">
      <c r="J626" s="5"/>
      <c r="L626">
        <f>RAVLT_Rec!M626</f>
        <v>0.42360399999999998</v>
      </c>
      <c r="M626">
        <f>RAVLT_Rec!N626</f>
        <v>62</v>
      </c>
      <c r="O626" t="e">
        <f>ABS(L626-RAVLT_Rec!$C$34)</f>
        <v>#REF!</v>
      </c>
      <c r="P626">
        <f t="shared" si="10"/>
        <v>62</v>
      </c>
    </row>
    <row r="627" spans="10:16">
      <c r="J627" s="5"/>
      <c r="L627">
        <f>RAVLT_Rec!M627</f>
        <v>0.42360399999999998</v>
      </c>
      <c r="M627">
        <f>RAVLT_Rec!N627</f>
        <v>62.1</v>
      </c>
      <c r="O627" t="e">
        <f>ABS(L627-RAVLT_Rec!$C$34)</f>
        <v>#REF!</v>
      </c>
      <c r="P627">
        <f t="shared" si="10"/>
        <v>62.1</v>
      </c>
    </row>
    <row r="628" spans="10:16">
      <c r="J628" s="5"/>
      <c r="L628">
        <f>RAVLT_Rec!M628</f>
        <v>0.42360399999999998</v>
      </c>
      <c r="M628">
        <f>RAVLT_Rec!N628</f>
        <v>62.2</v>
      </c>
      <c r="O628" t="e">
        <f>ABS(L628-RAVLT_Rec!$C$34)</f>
        <v>#REF!</v>
      </c>
      <c r="P628">
        <f t="shared" si="10"/>
        <v>62.2</v>
      </c>
    </row>
    <row r="629" spans="10:16">
      <c r="J629" s="5"/>
      <c r="L629">
        <f>RAVLT_Rec!M629</f>
        <v>0.42417566200000001</v>
      </c>
      <c r="M629">
        <f>RAVLT_Rec!N629</f>
        <v>62.3</v>
      </c>
      <c r="O629" t="e">
        <f>ABS(L629-RAVLT_Rec!$C$34)</f>
        <v>#REF!</v>
      </c>
      <c r="P629">
        <f t="shared" si="10"/>
        <v>62.3</v>
      </c>
    </row>
    <row r="630" spans="10:16">
      <c r="J630" s="5"/>
      <c r="L630">
        <f>RAVLT_Rec!M630</f>
        <v>0.43579945599999997</v>
      </c>
      <c r="M630">
        <f>RAVLT_Rec!N630</f>
        <v>62.4</v>
      </c>
      <c r="O630" t="e">
        <f>ABS(L630-RAVLT_Rec!$C$34)</f>
        <v>#REF!</v>
      </c>
      <c r="P630">
        <f t="shared" si="10"/>
        <v>62.4</v>
      </c>
    </row>
    <row r="631" spans="10:16">
      <c r="J631" s="5"/>
      <c r="L631">
        <f>RAVLT_Rec!M631</f>
        <v>0.44742324999999999</v>
      </c>
      <c r="M631">
        <f>RAVLT_Rec!N631</f>
        <v>62.5</v>
      </c>
      <c r="O631" t="e">
        <f>ABS(L631-RAVLT_Rec!$C$34)</f>
        <v>#REF!</v>
      </c>
      <c r="P631">
        <f t="shared" si="10"/>
        <v>62.5</v>
      </c>
    </row>
    <row r="632" spans="10:16">
      <c r="J632" s="5"/>
      <c r="L632">
        <f>RAVLT_Rec!M632</f>
        <v>0.45536300000000002</v>
      </c>
      <c r="M632">
        <f>RAVLT_Rec!N632</f>
        <v>62.6</v>
      </c>
      <c r="O632" t="e">
        <f>ABS(L632-RAVLT_Rec!$C$34)</f>
        <v>#REF!</v>
      </c>
      <c r="P632">
        <f t="shared" si="10"/>
        <v>62.6</v>
      </c>
    </row>
    <row r="633" spans="10:16">
      <c r="J633" s="5"/>
      <c r="L633">
        <f>RAVLT_Rec!M633</f>
        <v>0.45536300000000002</v>
      </c>
      <c r="M633">
        <f>RAVLT_Rec!N633</f>
        <v>62.7</v>
      </c>
      <c r="O633" t="e">
        <f>ABS(L633-RAVLT_Rec!$C$34)</f>
        <v>#REF!</v>
      </c>
      <c r="P633">
        <f t="shared" si="10"/>
        <v>62.7</v>
      </c>
    </row>
    <row r="634" spans="10:16">
      <c r="J634" s="5"/>
      <c r="L634">
        <f>RAVLT_Rec!M634</f>
        <v>0.45536300000000002</v>
      </c>
      <c r="M634">
        <f>RAVLT_Rec!N634</f>
        <v>62.8</v>
      </c>
      <c r="O634" t="e">
        <f>ABS(L634-RAVLT_Rec!$C$34)</f>
        <v>#REF!</v>
      </c>
      <c r="P634">
        <f t="shared" si="10"/>
        <v>62.8</v>
      </c>
    </row>
    <row r="635" spans="10:16">
      <c r="J635" s="5"/>
      <c r="L635">
        <f>RAVLT_Rec!M635</f>
        <v>0.45536300000000002</v>
      </c>
      <c r="M635">
        <f>RAVLT_Rec!N635</f>
        <v>62.9</v>
      </c>
      <c r="O635" t="e">
        <f>ABS(L635-RAVLT_Rec!$C$34)</f>
        <v>#REF!</v>
      </c>
      <c r="P635">
        <f t="shared" si="10"/>
        <v>62.9</v>
      </c>
    </row>
    <row r="636" spans="10:16">
      <c r="J636" s="5"/>
      <c r="L636">
        <f>RAVLT_Rec!M636</f>
        <v>0.45536300000000002</v>
      </c>
      <c r="M636">
        <f>RAVLT_Rec!N636</f>
        <v>63</v>
      </c>
      <c r="O636" t="e">
        <f>ABS(L636-RAVLT_Rec!$C$34)</f>
        <v>#REF!</v>
      </c>
      <c r="P636">
        <f t="shared" si="10"/>
        <v>63</v>
      </c>
    </row>
    <row r="637" spans="10:16">
      <c r="J637" s="5"/>
      <c r="L637">
        <f>RAVLT_Rec!M637</f>
        <v>0.45536300000000002</v>
      </c>
      <c r="M637">
        <f>RAVLT_Rec!N637</f>
        <v>63.1</v>
      </c>
      <c r="O637" t="e">
        <f>ABS(L637-RAVLT_Rec!$C$34)</f>
        <v>#REF!</v>
      </c>
      <c r="P637">
        <f t="shared" si="10"/>
        <v>63.1</v>
      </c>
    </row>
    <row r="638" spans="10:16">
      <c r="J638" s="5"/>
      <c r="L638">
        <f>RAVLT_Rec!M638</f>
        <v>0.46535760799999998</v>
      </c>
      <c r="M638">
        <f>RAVLT_Rec!N638</f>
        <v>63.2</v>
      </c>
      <c r="O638" t="e">
        <f>ABS(L638-RAVLT_Rec!$C$34)</f>
        <v>#REF!</v>
      </c>
      <c r="P638">
        <f t="shared" si="10"/>
        <v>63.2</v>
      </c>
    </row>
    <row r="639" spans="10:16">
      <c r="J639" s="5"/>
      <c r="L639">
        <f>RAVLT_Rec!M639</f>
        <v>0.47708205199999998</v>
      </c>
      <c r="M639">
        <f>RAVLT_Rec!N639</f>
        <v>63.3</v>
      </c>
      <c r="O639" t="e">
        <f>ABS(L639-RAVLT_Rec!$C$34)</f>
        <v>#REF!</v>
      </c>
      <c r="P639">
        <f t="shared" si="10"/>
        <v>63.3</v>
      </c>
    </row>
    <row r="640" spans="10:16">
      <c r="J640" s="5"/>
      <c r="L640">
        <f>RAVLT_Rec!M640</f>
        <v>0.48739700000000002</v>
      </c>
      <c r="M640">
        <f>RAVLT_Rec!N640</f>
        <v>63.4</v>
      </c>
      <c r="O640" t="e">
        <f>ABS(L640-RAVLT_Rec!$C$34)</f>
        <v>#REF!</v>
      </c>
      <c r="P640">
        <f t="shared" si="10"/>
        <v>63.4</v>
      </c>
    </row>
    <row r="641" spans="10:16">
      <c r="J641" s="5"/>
      <c r="L641">
        <f>RAVLT_Rec!M641</f>
        <v>0.48739700000000002</v>
      </c>
      <c r="M641">
        <f>RAVLT_Rec!N641</f>
        <v>63.5</v>
      </c>
      <c r="O641" t="e">
        <f>ABS(L641-RAVLT_Rec!$C$34)</f>
        <v>#REF!</v>
      </c>
      <c r="P641">
        <f t="shared" si="10"/>
        <v>63.5</v>
      </c>
    </row>
    <row r="642" spans="10:16">
      <c r="J642" s="5"/>
      <c r="L642">
        <f>RAVLT_Rec!M642</f>
        <v>0.48739700000000002</v>
      </c>
      <c r="M642">
        <f>RAVLT_Rec!N642</f>
        <v>63.6</v>
      </c>
      <c r="O642" t="e">
        <f>ABS(L642-RAVLT_Rec!$C$34)</f>
        <v>#REF!</v>
      </c>
      <c r="P642">
        <f t="shared" si="10"/>
        <v>63.6</v>
      </c>
    </row>
    <row r="643" spans="10:16">
      <c r="J643" s="5"/>
      <c r="L643">
        <f>RAVLT_Rec!M643</f>
        <v>0.49190692000000003</v>
      </c>
      <c r="M643">
        <f>RAVLT_Rec!N643</f>
        <v>63.7</v>
      </c>
      <c r="O643" t="e">
        <f>ABS(L643-RAVLT_Rec!$C$34)</f>
        <v>#REF!</v>
      </c>
      <c r="P643">
        <f t="shared" si="10"/>
        <v>63.7</v>
      </c>
    </row>
    <row r="644" spans="10:16">
      <c r="J644" s="5"/>
      <c r="L644">
        <f>RAVLT_Rec!M644</f>
        <v>0.50353108000000002</v>
      </c>
      <c r="M644">
        <f>RAVLT_Rec!N644</f>
        <v>63.8</v>
      </c>
      <c r="O644" t="e">
        <f>ABS(L644-RAVLT_Rec!$C$34)</f>
        <v>#REF!</v>
      </c>
      <c r="P644">
        <f t="shared" si="10"/>
        <v>63.8</v>
      </c>
    </row>
    <row r="645" spans="10:16">
      <c r="J645" s="5"/>
      <c r="L645">
        <f>RAVLT_Rec!M645</f>
        <v>0.51515524000000001</v>
      </c>
      <c r="M645">
        <f>RAVLT_Rec!N645</f>
        <v>63.9</v>
      </c>
      <c r="O645" t="e">
        <f>ABS(L645-RAVLT_Rec!$C$34)</f>
        <v>#REF!</v>
      </c>
      <c r="P645">
        <f t="shared" si="10"/>
        <v>63.9</v>
      </c>
    </row>
    <row r="646" spans="10:16">
      <c r="J646" s="5"/>
      <c r="L646">
        <f>RAVLT_Rec!M646</f>
        <v>0.51915699999999998</v>
      </c>
      <c r="M646">
        <f>RAVLT_Rec!N646</f>
        <v>64</v>
      </c>
      <c r="O646" t="e">
        <f>ABS(L646-RAVLT_Rec!$C$34)</f>
        <v>#REF!</v>
      </c>
      <c r="P646">
        <f t="shared" si="10"/>
        <v>64</v>
      </c>
    </row>
    <row r="647" spans="10:16">
      <c r="J647" s="5"/>
      <c r="L647">
        <f>RAVLT_Rec!M647</f>
        <v>0.51915699999999998</v>
      </c>
      <c r="M647">
        <f>RAVLT_Rec!N647</f>
        <v>64.099999999999994</v>
      </c>
      <c r="O647" t="e">
        <f>ABS(L647-RAVLT_Rec!$C$34)</f>
        <v>#REF!</v>
      </c>
      <c r="P647">
        <f t="shared" ref="P647:P710" si="11">M647</f>
        <v>64.099999999999994</v>
      </c>
    </row>
    <row r="648" spans="10:16">
      <c r="J648" s="5"/>
      <c r="L648">
        <f>RAVLT_Rec!M648</f>
        <v>0.51915699999999998</v>
      </c>
      <c r="M648">
        <f>RAVLT_Rec!N648</f>
        <v>64.2</v>
      </c>
      <c r="O648" t="e">
        <f>ABS(L648-RAVLT_Rec!$C$34)</f>
        <v>#REF!</v>
      </c>
      <c r="P648">
        <f t="shared" si="11"/>
        <v>64.2</v>
      </c>
    </row>
    <row r="649" spans="10:16">
      <c r="J649" s="5"/>
      <c r="L649">
        <f>RAVLT_Rec!M649</f>
        <v>0.51915699999999998</v>
      </c>
      <c r="M649">
        <f>RAVLT_Rec!N649</f>
        <v>64.3</v>
      </c>
      <c r="O649" t="e">
        <f>ABS(L649-RAVLT_Rec!$C$34)</f>
        <v>#REF!</v>
      </c>
      <c r="P649">
        <f t="shared" si="11"/>
        <v>64.3</v>
      </c>
    </row>
    <row r="650" spans="10:16">
      <c r="J650" s="5"/>
      <c r="L650">
        <f>RAVLT_Rec!M650</f>
        <v>0.51915699999999998</v>
      </c>
      <c r="M650">
        <f>RAVLT_Rec!N650</f>
        <v>64.400000000000006</v>
      </c>
      <c r="O650" t="e">
        <f>ABS(L650-RAVLT_Rec!$C$34)</f>
        <v>#REF!</v>
      </c>
      <c r="P650">
        <f t="shared" si="11"/>
        <v>64.400000000000006</v>
      </c>
    </row>
    <row r="651" spans="10:16">
      <c r="J651" s="5"/>
      <c r="L651">
        <f>RAVLT_Rec!M651</f>
        <v>0.51915699999999998</v>
      </c>
      <c r="M651">
        <f>RAVLT_Rec!N651</f>
        <v>64.5</v>
      </c>
      <c r="O651" t="e">
        <f>ABS(L651-RAVLT_Rec!$C$34)</f>
        <v>#REF!</v>
      </c>
      <c r="P651">
        <f t="shared" si="11"/>
        <v>64.5</v>
      </c>
    </row>
    <row r="652" spans="10:16">
      <c r="J652" s="5"/>
      <c r="L652">
        <f>RAVLT_Rec!M652</f>
        <v>0.51915699999999998</v>
      </c>
      <c r="M652">
        <f>RAVLT_Rec!N652</f>
        <v>64.599999999999994</v>
      </c>
      <c r="O652" t="e">
        <f>ABS(L652-RAVLT_Rec!$C$34)</f>
        <v>#REF!</v>
      </c>
      <c r="P652">
        <f t="shared" si="11"/>
        <v>64.599999999999994</v>
      </c>
    </row>
    <row r="653" spans="10:16">
      <c r="J653" s="5"/>
      <c r="L653">
        <f>RAVLT_Rec!M653</f>
        <v>0.51915699999999998</v>
      </c>
      <c r="M653">
        <f>RAVLT_Rec!N653</f>
        <v>64.7</v>
      </c>
      <c r="O653" t="e">
        <f>ABS(L653-RAVLT_Rec!$C$34)</f>
        <v>#REF!</v>
      </c>
      <c r="P653">
        <f t="shared" si="11"/>
        <v>64.7</v>
      </c>
    </row>
    <row r="654" spans="10:16">
      <c r="J654" s="5"/>
      <c r="L654">
        <f>RAVLT_Rec!M654</f>
        <v>0.51915699999999998</v>
      </c>
      <c r="M654">
        <f>RAVLT_Rec!N654</f>
        <v>64.8</v>
      </c>
      <c r="O654" t="e">
        <f>ABS(L654-RAVLT_Rec!$C$34)</f>
        <v>#REF!</v>
      </c>
      <c r="P654">
        <f t="shared" si="11"/>
        <v>64.8</v>
      </c>
    </row>
    <row r="655" spans="10:16">
      <c r="J655" s="5"/>
      <c r="L655">
        <f>RAVLT_Rec!M655</f>
        <v>0.51915699999999998</v>
      </c>
      <c r="M655">
        <f>RAVLT_Rec!N655</f>
        <v>64.900000000000006</v>
      </c>
      <c r="O655" t="e">
        <f>ABS(L655-RAVLT_Rec!$C$34)</f>
        <v>#REF!</v>
      </c>
      <c r="P655">
        <f t="shared" si="11"/>
        <v>64.900000000000006</v>
      </c>
    </row>
    <row r="656" spans="10:16">
      <c r="J656" s="5"/>
      <c r="L656">
        <f>RAVLT_Rec!M656</f>
        <v>0.51915699999999998</v>
      </c>
      <c r="M656">
        <f>RAVLT_Rec!N656</f>
        <v>65</v>
      </c>
      <c r="O656" t="e">
        <f>ABS(L656-RAVLT_Rec!$C$34)</f>
        <v>#REF!</v>
      </c>
      <c r="P656">
        <f t="shared" si="11"/>
        <v>65</v>
      </c>
    </row>
    <row r="657" spans="10:16">
      <c r="J657" s="5"/>
      <c r="L657">
        <f>RAVLT_Rec!M657</f>
        <v>0.52734767200000099</v>
      </c>
      <c r="M657">
        <f>RAVLT_Rec!N657</f>
        <v>65.099999999999994</v>
      </c>
      <c r="O657" t="e">
        <f>ABS(L657-RAVLT_Rec!$C$34)</f>
        <v>#REF!</v>
      </c>
      <c r="P657">
        <f t="shared" si="11"/>
        <v>65.099999999999994</v>
      </c>
    </row>
    <row r="658" spans="10:16">
      <c r="J658" s="5"/>
      <c r="L658">
        <f>RAVLT_Rec!M658</f>
        <v>0.53861754399999995</v>
      </c>
      <c r="M658">
        <f>RAVLT_Rec!N658</f>
        <v>65.2</v>
      </c>
      <c r="O658" t="e">
        <f>ABS(L658-RAVLT_Rec!$C$34)</f>
        <v>#REF!</v>
      </c>
      <c r="P658">
        <f t="shared" si="11"/>
        <v>65.2</v>
      </c>
    </row>
    <row r="659" spans="10:16">
      <c r="J659" s="5"/>
      <c r="L659">
        <f>RAVLT_Rec!M659</f>
        <v>0.54988741600000102</v>
      </c>
      <c r="M659">
        <f>RAVLT_Rec!N659</f>
        <v>65.3</v>
      </c>
      <c r="O659" t="e">
        <f>ABS(L659-RAVLT_Rec!$C$34)</f>
        <v>#REF!</v>
      </c>
      <c r="P659">
        <f t="shared" si="11"/>
        <v>65.3</v>
      </c>
    </row>
    <row r="660" spans="10:16">
      <c r="J660" s="5"/>
      <c r="L660">
        <f>RAVLT_Rec!M660</f>
        <v>0.56050791200000005</v>
      </c>
      <c r="M660">
        <f>RAVLT_Rec!N660</f>
        <v>65.400000000000006</v>
      </c>
      <c r="O660" t="e">
        <f>ABS(L660-RAVLT_Rec!$C$34)</f>
        <v>#REF!</v>
      </c>
      <c r="P660">
        <f t="shared" si="11"/>
        <v>65.400000000000006</v>
      </c>
    </row>
    <row r="661" spans="10:16">
      <c r="J661" s="5"/>
      <c r="L661">
        <f>RAVLT_Rec!M661</f>
        <v>0.57112484000000097</v>
      </c>
      <c r="M661">
        <f>RAVLT_Rec!N661</f>
        <v>65.5</v>
      </c>
      <c r="O661" t="e">
        <f>ABS(L661-RAVLT_Rec!$C$34)</f>
        <v>#REF!</v>
      </c>
      <c r="P661">
        <f t="shared" si="11"/>
        <v>65.5</v>
      </c>
    </row>
    <row r="662" spans="10:16">
      <c r="J662" s="5"/>
      <c r="L662">
        <f>RAVLT_Rec!M662</f>
        <v>0.57895700000000005</v>
      </c>
      <c r="M662">
        <f>RAVLT_Rec!N662</f>
        <v>65.599999999999994</v>
      </c>
      <c r="O662" t="e">
        <f>ABS(L662-RAVLT_Rec!$C$34)</f>
        <v>#REF!</v>
      </c>
      <c r="P662">
        <f t="shared" si="11"/>
        <v>65.599999999999994</v>
      </c>
    </row>
    <row r="663" spans="10:16">
      <c r="J663" s="5"/>
      <c r="L663">
        <f>RAVLT_Rec!M663</f>
        <v>0.57895700000000005</v>
      </c>
      <c r="M663">
        <f>RAVLT_Rec!N663</f>
        <v>65.7</v>
      </c>
      <c r="O663" t="e">
        <f>ABS(L663-RAVLT_Rec!$C$34)</f>
        <v>#REF!</v>
      </c>
      <c r="P663">
        <f t="shared" si="11"/>
        <v>65.7</v>
      </c>
    </row>
    <row r="664" spans="10:16">
      <c r="J664" s="5"/>
      <c r="L664">
        <f>RAVLT_Rec!M664</f>
        <v>0.57895700000000005</v>
      </c>
      <c r="M664">
        <f>RAVLT_Rec!N664</f>
        <v>65.8</v>
      </c>
      <c r="O664" t="e">
        <f>ABS(L664-RAVLT_Rec!$C$34)</f>
        <v>#REF!</v>
      </c>
      <c r="P664">
        <f t="shared" si="11"/>
        <v>65.8</v>
      </c>
    </row>
    <row r="665" spans="10:16">
      <c r="J665" s="5"/>
      <c r="L665">
        <f>RAVLT_Rec!M665</f>
        <v>0.57895700000000005</v>
      </c>
      <c r="M665">
        <f>RAVLT_Rec!N665</f>
        <v>65.900000000000006</v>
      </c>
      <c r="O665" t="e">
        <f>ABS(L665-RAVLT_Rec!$C$34)</f>
        <v>#REF!</v>
      </c>
      <c r="P665">
        <f t="shared" si="11"/>
        <v>65.900000000000006</v>
      </c>
    </row>
    <row r="666" spans="10:16">
      <c r="J666" s="5"/>
      <c r="L666">
        <f>RAVLT_Rec!M666</f>
        <v>0.57895700000000005</v>
      </c>
      <c r="M666">
        <f>RAVLT_Rec!N666</f>
        <v>66</v>
      </c>
      <c r="O666" t="e">
        <f>ABS(L666-RAVLT_Rec!$C$34)</f>
        <v>#REF!</v>
      </c>
      <c r="P666">
        <f t="shared" si="11"/>
        <v>66</v>
      </c>
    </row>
    <row r="667" spans="10:16">
      <c r="J667" s="5"/>
      <c r="L667">
        <f>RAVLT_Rec!M667</f>
        <v>0.57895700000000005</v>
      </c>
      <c r="M667">
        <f>RAVLT_Rec!N667</f>
        <v>66.099999999999994</v>
      </c>
      <c r="O667" t="e">
        <f>ABS(L667-RAVLT_Rec!$C$34)</f>
        <v>#REF!</v>
      </c>
      <c r="P667">
        <f t="shared" si="11"/>
        <v>66.099999999999994</v>
      </c>
    </row>
    <row r="668" spans="10:16">
      <c r="J668" s="5"/>
      <c r="L668">
        <f>RAVLT_Rec!M668</f>
        <v>0.57920987199999996</v>
      </c>
      <c r="M668">
        <f>RAVLT_Rec!N668</f>
        <v>66.2</v>
      </c>
      <c r="O668" t="e">
        <f>ABS(L668-RAVLT_Rec!$C$34)</f>
        <v>#REF!</v>
      </c>
      <c r="P668">
        <f t="shared" si="11"/>
        <v>66.2</v>
      </c>
    </row>
    <row r="669" spans="10:16">
      <c r="J669" s="5"/>
      <c r="L669">
        <f>RAVLT_Rec!M669</f>
        <v>0.57952682799999999</v>
      </c>
      <c r="M669">
        <f>RAVLT_Rec!N669</f>
        <v>66.3</v>
      </c>
      <c r="O669" t="e">
        <f>ABS(L669-RAVLT_Rec!$C$34)</f>
        <v>#REF!</v>
      </c>
      <c r="P669">
        <f t="shared" si="11"/>
        <v>66.3</v>
      </c>
    </row>
    <row r="670" spans="10:16">
      <c r="J670" s="5"/>
      <c r="L670">
        <f>RAVLT_Rec!M670</f>
        <v>0.58043456800000004</v>
      </c>
      <c r="M670">
        <f>RAVLT_Rec!N670</f>
        <v>66.400000000000006</v>
      </c>
      <c r="O670" t="e">
        <f>ABS(L670-RAVLT_Rec!$C$34)</f>
        <v>#REF!</v>
      </c>
      <c r="P670">
        <f t="shared" si="11"/>
        <v>66.400000000000006</v>
      </c>
    </row>
    <row r="671" spans="10:16">
      <c r="J671" s="5"/>
      <c r="L671">
        <f>RAVLT_Rec!M671</f>
        <v>0.58976097999999999</v>
      </c>
      <c r="M671">
        <f>RAVLT_Rec!N671</f>
        <v>66.5</v>
      </c>
      <c r="O671" t="e">
        <f>ABS(L671-RAVLT_Rec!$C$34)</f>
        <v>#REF!</v>
      </c>
      <c r="P671">
        <f t="shared" si="11"/>
        <v>66.5</v>
      </c>
    </row>
    <row r="672" spans="10:16">
      <c r="J672" s="5"/>
      <c r="L672">
        <f>RAVLT_Rec!M672</f>
        <v>0.59908739200000005</v>
      </c>
      <c r="M672">
        <f>RAVLT_Rec!N672</f>
        <v>66.599999999999994</v>
      </c>
      <c r="O672" t="e">
        <f>ABS(L672-RAVLT_Rec!$C$34)</f>
        <v>#REF!</v>
      </c>
      <c r="P672">
        <f t="shared" si="11"/>
        <v>66.599999999999994</v>
      </c>
    </row>
    <row r="673" spans="10:16">
      <c r="J673" s="5"/>
      <c r="L673">
        <f>RAVLT_Rec!M673</f>
        <v>0.60530499999999998</v>
      </c>
      <c r="M673">
        <f>RAVLT_Rec!N673</f>
        <v>66.7</v>
      </c>
      <c r="O673" t="e">
        <f>ABS(L673-RAVLT_Rec!$C$34)</f>
        <v>#REF!</v>
      </c>
      <c r="P673">
        <f t="shared" si="11"/>
        <v>66.7</v>
      </c>
    </row>
    <row r="674" spans="10:16">
      <c r="J674" s="5"/>
      <c r="L674">
        <f>RAVLT_Rec!M674</f>
        <v>0.60530499999999998</v>
      </c>
      <c r="M674">
        <f>RAVLT_Rec!N674</f>
        <v>66.8</v>
      </c>
      <c r="O674" t="e">
        <f>ABS(L674-RAVLT_Rec!$C$34)</f>
        <v>#REF!</v>
      </c>
      <c r="P674">
        <f t="shared" si="11"/>
        <v>66.8</v>
      </c>
    </row>
    <row r="675" spans="10:16">
      <c r="J675" s="5"/>
      <c r="L675">
        <f>RAVLT_Rec!M675</f>
        <v>0.60530499999999998</v>
      </c>
      <c r="M675">
        <f>RAVLT_Rec!N675</f>
        <v>66.900000000000006</v>
      </c>
      <c r="O675" t="e">
        <f>ABS(L675-RAVLT_Rec!$C$34)</f>
        <v>#REF!</v>
      </c>
      <c r="P675">
        <f t="shared" si="11"/>
        <v>66.900000000000006</v>
      </c>
    </row>
    <row r="676" spans="10:16">
      <c r="J676" s="5"/>
      <c r="L676">
        <f>RAVLT_Rec!M676</f>
        <v>0.610326060000001</v>
      </c>
      <c r="M676">
        <f>RAVLT_Rec!N676</f>
        <v>67</v>
      </c>
      <c r="O676" t="e">
        <f>ABS(L676-RAVLT_Rec!$C$34)</f>
        <v>#REF!</v>
      </c>
      <c r="P676">
        <f t="shared" si="11"/>
        <v>67</v>
      </c>
    </row>
    <row r="677" spans="10:16">
      <c r="J677" s="5"/>
      <c r="L677">
        <f>RAVLT_Rec!M677</f>
        <v>0.618679278</v>
      </c>
      <c r="M677">
        <f>RAVLT_Rec!N677</f>
        <v>67.099999999999994</v>
      </c>
      <c r="O677" t="e">
        <f>ABS(L677-RAVLT_Rec!$C$34)</f>
        <v>#REF!</v>
      </c>
      <c r="P677">
        <f t="shared" si="11"/>
        <v>67.099999999999994</v>
      </c>
    </row>
    <row r="678" spans="10:16">
      <c r="J678" s="5"/>
      <c r="L678">
        <f>RAVLT_Rec!M678</f>
        <v>0.62703249600000099</v>
      </c>
      <c r="M678">
        <f>RAVLT_Rec!N678</f>
        <v>67.2</v>
      </c>
      <c r="O678" t="e">
        <f>ABS(L678-RAVLT_Rec!$C$34)</f>
        <v>#REF!</v>
      </c>
      <c r="P678">
        <f t="shared" si="11"/>
        <v>67.2</v>
      </c>
    </row>
    <row r="679" spans="10:16">
      <c r="J679" s="5"/>
      <c r="L679">
        <f>RAVLT_Rec!M679</f>
        <v>0.62812800000000002</v>
      </c>
      <c r="M679">
        <f>RAVLT_Rec!N679</f>
        <v>67.3</v>
      </c>
      <c r="O679" t="e">
        <f>ABS(L679-RAVLT_Rec!$C$34)</f>
        <v>#REF!</v>
      </c>
      <c r="P679">
        <f t="shared" si="11"/>
        <v>67.3</v>
      </c>
    </row>
    <row r="680" spans="10:16">
      <c r="J680" s="5"/>
      <c r="L680">
        <f>RAVLT_Rec!M680</f>
        <v>0.62812800000000002</v>
      </c>
      <c r="M680">
        <f>RAVLT_Rec!N680</f>
        <v>67.400000000000006</v>
      </c>
      <c r="O680" t="e">
        <f>ABS(L680-RAVLT_Rec!$C$34)</f>
        <v>#REF!</v>
      </c>
      <c r="P680">
        <f t="shared" si="11"/>
        <v>67.400000000000006</v>
      </c>
    </row>
    <row r="681" spans="10:16">
      <c r="J681" s="5"/>
      <c r="L681">
        <f>RAVLT_Rec!M681</f>
        <v>0.62812800000000002</v>
      </c>
      <c r="M681">
        <f>RAVLT_Rec!N681</f>
        <v>67.5</v>
      </c>
      <c r="O681" t="e">
        <f>ABS(L681-RAVLT_Rec!$C$34)</f>
        <v>#REF!</v>
      </c>
      <c r="P681">
        <f t="shared" si="11"/>
        <v>67.5</v>
      </c>
    </row>
    <row r="682" spans="10:16">
      <c r="J682" s="5"/>
      <c r="L682">
        <f>RAVLT_Rec!M682</f>
        <v>0.62812800000000002</v>
      </c>
      <c r="M682">
        <f>RAVLT_Rec!N682</f>
        <v>67.599999999999994</v>
      </c>
      <c r="O682" t="e">
        <f>ABS(L682-RAVLT_Rec!$C$34)</f>
        <v>#REF!</v>
      </c>
      <c r="P682">
        <f t="shared" si="11"/>
        <v>67.599999999999994</v>
      </c>
    </row>
    <row r="683" spans="10:16">
      <c r="J683" s="5"/>
      <c r="L683">
        <f>RAVLT_Rec!M683</f>
        <v>0.62812800000000002</v>
      </c>
      <c r="M683">
        <f>RAVLT_Rec!N683</f>
        <v>67.7</v>
      </c>
      <c r="O683" t="e">
        <f>ABS(L683-RAVLT_Rec!$C$34)</f>
        <v>#REF!</v>
      </c>
      <c r="P683">
        <f t="shared" si="11"/>
        <v>67.7</v>
      </c>
    </row>
    <row r="684" spans="10:16">
      <c r="J684" s="5"/>
      <c r="L684">
        <f>RAVLT_Rec!M684</f>
        <v>0.63036753599999995</v>
      </c>
      <c r="M684">
        <f>RAVLT_Rec!N684</f>
        <v>67.8</v>
      </c>
      <c r="O684" t="e">
        <f>ABS(L684-RAVLT_Rec!$C$34)</f>
        <v>#REF!</v>
      </c>
      <c r="P684">
        <f t="shared" si="11"/>
        <v>67.8</v>
      </c>
    </row>
    <row r="685" spans="10:16">
      <c r="J685" s="5"/>
      <c r="L685">
        <f>RAVLT_Rec!M685</f>
        <v>0.63590584800000005</v>
      </c>
      <c r="M685">
        <f>RAVLT_Rec!N685</f>
        <v>67.900000000000006</v>
      </c>
      <c r="O685" t="e">
        <f>ABS(L685-RAVLT_Rec!$C$34)</f>
        <v>#REF!</v>
      </c>
      <c r="P685">
        <f t="shared" si="11"/>
        <v>67.900000000000006</v>
      </c>
    </row>
    <row r="686" spans="10:16">
      <c r="J686" s="5"/>
      <c r="L686">
        <f>RAVLT_Rec!M686</f>
        <v>0.64144416000000004</v>
      </c>
      <c r="M686">
        <f>RAVLT_Rec!N686</f>
        <v>68</v>
      </c>
      <c r="O686" t="e">
        <f>ABS(L686-RAVLT_Rec!$C$34)</f>
        <v>#REF!</v>
      </c>
      <c r="P686">
        <f t="shared" si="11"/>
        <v>68</v>
      </c>
    </row>
    <row r="687" spans="10:16">
      <c r="J687" s="5"/>
      <c r="L687">
        <f>RAVLT_Rec!M687</f>
        <v>0.64410181200000005</v>
      </c>
      <c r="M687">
        <f>RAVLT_Rec!N687</f>
        <v>68.099999999999994</v>
      </c>
      <c r="O687" t="e">
        <f>ABS(L687-RAVLT_Rec!$C$34)</f>
        <v>#REF!</v>
      </c>
      <c r="P687">
        <f t="shared" si="11"/>
        <v>68.099999999999994</v>
      </c>
    </row>
    <row r="688" spans="10:16">
      <c r="J688" s="5"/>
      <c r="L688">
        <f>RAVLT_Rec!M688</f>
        <v>0.64535426399999996</v>
      </c>
      <c r="M688">
        <f>RAVLT_Rec!N688</f>
        <v>68.2</v>
      </c>
      <c r="O688" t="e">
        <f>ABS(L688-RAVLT_Rec!$C$34)</f>
        <v>#REF!</v>
      </c>
      <c r="P688">
        <f t="shared" si="11"/>
        <v>68.2</v>
      </c>
    </row>
    <row r="689" spans="10:16">
      <c r="J689" s="5"/>
      <c r="L689">
        <f>RAVLT_Rec!M689</f>
        <v>0.64660671599999997</v>
      </c>
      <c r="M689">
        <f>RAVLT_Rec!N689</f>
        <v>68.3</v>
      </c>
      <c r="O689" t="e">
        <f>ABS(L689-RAVLT_Rec!$C$34)</f>
        <v>#REF!</v>
      </c>
      <c r="P689">
        <f t="shared" si="11"/>
        <v>68.3</v>
      </c>
    </row>
    <row r="690" spans="10:16">
      <c r="J690" s="5"/>
      <c r="L690">
        <f>RAVLT_Rec!M690</f>
        <v>0.64668199999999998</v>
      </c>
      <c r="M690">
        <f>RAVLT_Rec!N690</f>
        <v>68.400000000000006</v>
      </c>
      <c r="O690" t="e">
        <f>ABS(L690-RAVLT_Rec!$C$34)</f>
        <v>#REF!</v>
      </c>
      <c r="P690">
        <f t="shared" si="11"/>
        <v>68.400000000000006</v>
      </c>
    </row>
    <row r="691" spans="10:16">
      <c r="J691" s="5"/>
      <c r="L691">
        <f>RAVLT_Rec!M691</f>
        <v>0.64668199999999998</v>
      </c>
      <c r="M691">
        <f>RAVLT_Rec!N691</f>
        <v>68.5</v>
      </c>
      <c r="O691" t="e">
        <f>ABS(L691-RAVLT_Rec!$C$34)</f>
        <v>#REF!</v>
      </c>
      <c r="P691">
        <f t="shared" si="11"/>
        <v>68.5</v>
      </c>
    </row>
    <row r="692" spans="10:16">
      <c r="J692" s="5"/>
      <c r="L692">
        <f>RAVLT_Rec!M692</f>
        <v>0.64668199999999998</v>
      </c>
      <c r="M692">
        <f>RAVLT_Rec!N692</f>
        <v>68.599999999999994</v>
      </c>
      <c r="O692" t="e">
        <f>ABS(L692-RAVLT_Rec!$C$34)</f>
        <v>#REF!</v>
      </c>
      <c r="P692">
        <f t="shared" si="11"/>
        <v>68.599999999999994</v>
      </c>
    </row>
    <row r="693" spans="10:16">
      <c r="J693" s="5"/>
      <c r="L693">
        <f>RAVLT_Rec!M693</f>
        <v>0.64668199999999998</v>
      </c>
      <c r="M693">
        <f>RAVLT_Rec!N693</f>
        <v>68.7</v>
      </c>
      <c r="O693" t="e">
        <f>ABS(L693-RAVLT_Rec!$C$34)</f>
        <v>#REF!</v>
      </c>
      <c r="P693">
        <f t="shared" si="11"/>
        <v>68.7</v>
      </c>
    </row>
    <row r="694" spans="10:16">
      <c r="J694" s="5"/>
      <c r="L694">
        <f>RAVLT_Rec!M694</f>
        <v>0.64668199999999998</v>
      </c>
      <c r="M694">
        <f>RAVLT_Rec!N694</f>
        <v>68.8</v>
      </c>
      <c r="O694" t="e">
        <f>ABS(L694-RAVLT_Rec!$C$34)</f>
        <v>#REF!</v>
      </c>
      <c r="P694">
        <f t="shared" si="11"/>
        <v>68.8</v>
      </c>
    </row>
    <row r="695" spans="10:16">
      <c r="J695" s="5"/>
      <c r="L695">
        <f>RAVLT_Rec!M695</f>
        <v>0.64668199999999998</v>
      </c>
      <c r="M695">
        <f>RAVLT_Rec!N695</f>
        <v>68.900000000000006</v>
      </c>
      <c r="O695" t="e">
        <f>ABS(L695-RAVLT_Rec!$C$34)</f>
        <v>#REF!</v>
      </c>
      <c r="P695">
        <f t="shared" si="11"/>
        <v>68.900000000000006</v>
      </c>
    </row>
    <row r="696" spans="10:16">
      <c r="J696" s="5"/>
      <c r="L696">
        <f>RAVLT_Rec!M696</f>
        <v>0.64668199999999998</v>
      </c>
      <c r="M696">
        <f>RAVLT_Rec!N696</f>
        <v>69</v>
      </c>
      <c r="O696" t="e">
        <f>ABS(L696-RAVLT_Rec!$C$34)</f>
        <v>#REF!</v>
      </c>
      <c r="P696">
        <f t="shared" si="11"/>
        <v>69</v>
      </c>
    </row>
    <row r="697" spans="10:16">
      <c r="J697" s="5"/>
      <c r="L697">
        <f>RAVLT_Rec!M697</f>
        <v>0.64668199999999998</v>
      </c>
      <c r="M697">
        <f>RAVLT_Rec!N697</f>
        <v>69.099999999999994</v>
      </c>
      <c r="O697" t="e">
        <f>ABS(L697-RAVLT_Rec!$C$34)</f>
        <v>#REF!</v>
      </c>
      <c r="P697">
        <f t="shared" si="11"/>
        <v>69.099999999999994</v>
      </c>
    </row>
    <row r="698" spans="10:16">
      <c r="J698" s="5"/>
      <c r="L698">
        <f>RAVLT_Rec!M698</f>
        <v>0.64668199999999998</v>
      </c>
      <c r="M698">
        <f>RAVLT_Rec!N698</f>
        <v>69.2</v>
      </c>
      <c r="O698" t="e">
        <f>ABS(L698-RAVLT_Rec!$C$34)</f>
        <v>#REF!</v>
      </c>
      <c r="P698">
        <f t="shared" si="11"/>
        <v>69.2</v>
      </c>
    </row>
    <row r="699" spans="10:16">
      <c r="J699" s="5"/>
      <c r="L699">
        <f>RAVLT_Rec!M699</f>
        <v>0.64668199999999998</v>
      </c>
      <c r="M699">
        <f>RAVLT_Rec!N699</f>
        <v>69.3</v>
      </c>
      <c r="O699" t="e">
        <f>ABS(L699-RAVLT_Rec!$C$34)</f>
        <v>#REF!</v>
      </c>
      <c r="P699">
        <f t="shared" si="11"/>
        <v>69.3</v>
      </c>
    </row>
    <row r="700" spans="10:16">
      <c r="J700" s="5"/>
      <c r="L700">
        <f>RAVLT_Rec!M700</f>
        <v>0.64668519999999996</v>
      </c>
      <c r="M700">
        <f>RAVLT_Rec!N700</f>
        <v>69.400000000000006</v>
      </c>
      <c r="O700" t="e">
        <f>ABS(L700-RAVLT_Rec!$C$34)</f>
        <v>#REF!</v>
      </c>
      <c r="P700">
        <f t="shared" si="11"/>
        <v>69.400000000000006</v>
      </c>
    </row>
    <row r="701" spans="10:16">
      <c r="J701" s="5"/>
      <c r="L701">
        <f>RAVLT_Rec!M701</f>
        <v>0.64697800000000005</v>
      </c>
      <c r="M701">
        <f>RAVLT_Rec!N701</f>
        <v>69.5</v>
      </c>
      <c r="O701" t="e">
        <f>ABS(L701-RAVLT_Rec!$C$34)</f>
        <v>#REF!</v>
      </c>
      <c r="P701">
        <f t="shared" si="11"/>
        <v>69.5</v>
      </c>
    </row>
    <row r="702" spans="10:16">
      <c r="J702" s="5"/>
      <c r="L702">
        <f>RAVLT_Rec!M702</f>
        <v>0.64727080000000004</v>
      </c>
      <c r="M702">
        <f>RAVLT_Rec!N702</f>
        <v>69.599999999999994</v>
      </c>
      <c r="O702" t="e">
        <f>ABS(L702-RAVLT_Rec!$C$34)</f>
        <v>#REF!</v>
      </c>
      <c r="P702">
        <f t="shared" si="11"/>
        <v>69.599999999999994</v>
      </c>
    </row>
    <row r="703" spans="10:16">
      <c r="J703" s="5"/>
      <c r="L703">
        <f>RAVLT_Rec!M703</f>
        <v>0.64880310399999996</v>
      </c>
      <c r="M703">
        <f>RAVLT_Rec!N703</f>
        <v>69.7</v>
      </c>
      <c r="O703" t="e">
        <f>ABS(L703-RAVLT_Rec!$C$34)</f>
        <v>#REF!</v>
      </c>
      <c r="P703">
        <f t="shared" si="11"/>
        <v>69.7</v>
      </c>
    </row>
    <row r="704" spans="10:16">
      <c r="J704" s="5"/>
      <c r="L704">
        <f>RAVLT_Rec!M704</f>
        <v>0.65354353600000004</v>
      </c>
      <c r="M704">
        <f>RAVLT_Rec!N704</f>
        <v>69.8</v>
      </c>
      <c r="O704" t="e">
        <f>ABS(L704-RAVLT_Rec!$C$34)</f>
        <v>#REF!</v>
      </c>
      <c r="P704">
        <f t="shared" si="11"/>
        <v>69.8</v>
      </c>
    </row>
    <row r="705" spans="10:16">
      <c r="J705" s="5"/>
      <c r="L705">
        <f>RAVLT_Rec!M705</f>
        <v>0.658283968000001</v>
      </c>
      <c r="M705">
        <f>RAVLT_Rec!N705</f>
        <v>69.900000000000006</v>
      </c>
      <c r="O705" t="e">
        <f>ABS(L705-RAVLT_Rec!$C$34)</f>
        <v>#REF!</v>
      </c>
      <c r="P705">
        <f t="shared" si="11"/>
        <v>69.900000000000006</v>
      </c>
    </row>
    <row r="706" spans="10:16">
      <c r="J706" s="5"/>
      <c r="L706">
        <f>RAVLT_Rec!M706</f>
        <v>0.66043399999999997</v>
      </c>
      <c r="M706">
        <f>RAVLT_Rec!N706</f>
        <v>70</v>
      </c>
      <c r="O706" t="e">
        <f>ABS(L706-RAVLT_Rec!$C$34)</f>
        <v>#REF!</v>
      </c>
      <c r="P706">
        <f t="shared" si="11"/>
        <v>70</v>
      </c>
    </row>
    <row r="707" spans="10:16">
      <c r="J707" s="5"/>
      <c r="L707">
        <f>RAVLT_Rec!M707</f>
        <v>0.66043399999999997</v>
      </c>
      <c r="M707">
        <f>RAVLT_Rec!N707</f>
        <v>70.099999999999994</v>
      </c>
      <c r="O707" t="e">
        <f>ABS(L707-RAVLT_Rec!$C$34)</f>
        <v>#REF!</v>
      </c>
      <c r="P707">
        <f t="shared" si="11"/>
        <v>70.099999999999994</v>
      </c>
    </row>
    <row r="708" spans="10:16">
      <c r="J708" s="5"/>
      <c r="L708">
        <f>RAVLT_Rec!M708</f>
        <v>0.66043399999999997</v>
      </c>
      <c r="M708">
        <f>RAVLT_Rec!N708</f>
        <v>70.2</v>
      </c>
      <c r="O708" t="e">
        <f>ABS(L708-RAVLT_Rec!$C$34)</f>
        <v>#REF!</v>
      </c>
      <c r="P708">
        <f t="shared" si="11"/>
        <v>70.2</v>
      </c>
    </row>
    <row r="709" spans="10:16">
      <c r="J709" s="5"/>
      <c r="L709">
        <f>RAVLT_Rec!M709</f>
        <v>0.66043399999999997</v>
      </c>
      <c r="M709">
        <f>RAVLT_Rec!N709</f>
        <v>70.3</v>
      </c>
      <c r="O709" t="e">
        <f>ABS(L709-RAVLT_Rec!$C$34)</f>
        <v>#REF!</v>
      </c>
      <c r="P709">
        <f t="shared" si="11"/>
        <v>70.3</v>
      </c>
    </row>
    <row r="710" spans="10:16">
      <c r="J710" s="5"/>
      <c r="L710">
        <f>RAVLT_Rec!M710</f>
        <v>0.66043399999999997</v>
      </c>
      <c r="M710">
        <f>RAVLT_Rec!N710</f>
        <v>70.400000000000006</v>
      </c>
      <c r="O710" t="e">
        <f>ABS(L710-RAVLT_Rec!$C$34)</f>
        <v>#REF!</v>
      </c>
      <c r="P710">
        <f t="shared" si="11"/>
        <v>70.400000000000006</v>
      </c>
    </row>
    <row r="711" spans="10:16">
      <c r="J711" s="5"/>
      <c r="L711">
        <f>RAVLT_Rec!M711</f>
        <v>0.66043399999999997</v>
      </c>
      <c r="M711">
        <f>RAVLT_Rec!N711</f>
        <v>70.5</v>
      </c>
      <c r="O711" t="e">
        <f>ABS(L711-RAVLT_Rec!$C$34)</f>
        <v>#REF!</v>
      </c>
      <c r="P711">
        <f t="shared" ref="P711:P774" si="12">M711</f>
        <v>70.5</v>
      </c>
    </row>
    <row r="712" spans="10:16">
      <c r="J712" s="5"/>
      <c r="L712">
        <f>RAVLT_Rec!M712</f>
        <v>0.66043399999999997</v>
      </c>
      <c r="M712">
        <f>RAVLT_Rec!N712</f>
        <v>70.599999999999994</v>
      </c>
      <c r="O712" t="e">
        <f>ABS(L712-RAVLT_Rec!$C$34)</f>
        <v>#REF!</v>
      </c>
      <c r="P712">
        <f t="shared" si="12"/>
        <v>70.599999999999994</v>
      </c>
    </row>
    <row r="713" spans="10:16">
      <c r="J713" s="5"/>
      <c r="L713">
        <f>RAVLT_Rec!M713</f>
        <v>0.66043399999999997</v>
      </c>
      <c r="M713">
        <f>RAVLT_Rec!N713</f>
        <v>70.7</v>
      </c>
      <c r="O713" t="e">
        <f>ABS(L713-RAVLT_Rec!$C$34)</f>
        <v>#REF!</v>
      </c>
      <c r="P713">
        <f t="shared" si="12"/>
        <v>70.7</v>
      </c>
    </row>
    <row r="714" spans="10:16">
      <c r="J714" s="5"/>
      <c r="L714">
        <f>RAVLT_Rec!M714</f>
        <v>0.66121799999999997</v>
      </c>
      <c r="M714">
        <f>RAVLT_Rec!N714</f>
        <v>70.8</v>
      </c>
      <c r="O714" t="e">
        <f>ABS(L714-RAVLT_Rec!$C$34)</f>
        <v>#REF!</v>
      </c>
      <c r="P714">
        <f t="shared" si="12"/>
        <v>70.8</v>
      </c>
    </row>
    <row r="715" spans="10:16">
      <c r="J715" s="5"/>
      <c r="L715">
        <f>RAVLT_Rec!M715</f>
        <v>0.66345975000000001</v>
      </c>
      <c r="M715">
        <f>RAVLT_Rec!N715</f>
        <v>70.900000000000006</v>
      </c>
      <c r="O715" t="e">
        <f>ABS(L715-RAVLT_Rec!$C$34)</f>
        <v>#REF!</v>
      </c>
      <c r="P715">
        <f t="shared" si="12"/>
        <v>70.900000000000006</v>
      </c>
    </row>
    <row r="716" spans="10:16">
      <c r="J716" s="5"/>
      <c r="L716">
        <f>RAVLT_Rec!M716</f>
        <v>0.66570149999999995</v>
      </c>
      <c r="M716">
        <f>RAVLT_Rec!N716</f>
        <v>71</v>
      </c>
      <c r="O716" t="e">
        <f>ABS(L716-RAVLT_Rec!$C$34)</f>
        <v>#REF!</v>
      </c>
      <c r="P716">
        <f t="shared" si="12"/>
        <v>71</v>
      </c>
    </row>
    <row r="717" spans="10:16">
      <c r="J717" s="5"/>
      <c r="L717">
        <f>RAVLT_Rec!M717</f>
        <v>0.66655900000000001</v>
      </c>
      <c r="M717">
        <f>RAVLT_Rec!N717</f>
        <v>71.099999999999994</v>
      </c>
      <c r="O717" t="e">
        <f>ABS(L717-RAVLT_Rec!$C$34)</f>
        <v>#REF!</v>
      </c>
      <c r="P717">
        <f t="shared" si="12"/>
        <v>71.099999999999994</v>
      </c>
    </row>
    <row r="718" spans="10:16">
      <c r="J718" s="5"/>
      <c r="L718">
        <f>RAVLT_Rec!M718</f>
        <v>0.66655900000000001</v>
      </c>
      <c r="M718">
        <f>RAVLT_Rec!N718</f>
        <v>71.2</v>
      </c>
      <c r="O718" t="e">
        <f>ABS(L718-RAVLT_Rec!$C$34)</f>
        <v>#REF!</v>
      </c>
      <c r="P718">
        <f t="shared" si="12"/>
        <v>71.2</v>
      </c>
    </row>
    <row r="719" spans="10:16">
      <c r="J719" s="5"/>
      <c r="L719">
        <f>RAVLT_Rec!M719</f>
        <v>0.66655900000000001</v>
      </c>
      <c r="M719">
        <f>RAVLT_Rec!N719</f>
        <v>71.3</v>
      </c>
      <c r="O719" t="e">
        <f>ABS(L719-RAVLT_Rec!$C$34)</f>
        <v>#REF!</v>
      </c>
      <c r="P719">
        <f t="shared" si="12"/>
        <v>71.3</v>
      </c>
    </row>
    <row r="720" spans="10:16">
      <c r="J720" s="5"/>
      <c r="L720">
        <f>RAVLT_Rec!M720</f>
        <v>0.66739556799999999</v>
      </c>
      <c r="M720">
        <f>RAVLT_Rec!N720</f>
        <v>71.400000000000006</v>
      </c>
      <c r="O720" t="e">
        <f>ABS(L720-RAVLT_Rec!$C$34)</f>
        <v>#REF!</v>
      </c>
      <c r="P720">
        <f t="shared" si="12"/>
        <v>71.400000000000006</v>
      </c>
    </row>
    <row r="721" spans="10:16">
      <c r="J721" s="5"/>
      <c r="L721">
        <f>RAVLT_Rec!M721</f>
        <v>0.66834057999999996</v>
      </c>
      <c r="M721">
        <f>RAVLT_Rec!N721</f>
        <v>71.5</v>
      </c>
      <c r="O721" t="e">
        <f>ABS(L721-RAVLT_Rec!$C$34)</f>
        <v>#REF!</v>
      </c>
      <c r="P721">
        <f t="shared" si="12"/>
        <v>71.5</v>
      </c>
    </row>
    <row r="722" spans="10:16">
      <c r="J722" s="5"/>
      <c r="L722">
        <f>RAVLT_Rec!M722</f>
        <v>0.66914099999999999</v>
      </c>
      <c r="M722">
        <f>RAVLT_Rec!N722</f>
        <v>71.599999999999994</v>
      </c>
      <c r="O722" t="e">
        <f>ABS(L722-RAVLT_Rec!$C$34)</f>
        <v>#REF!</v>
      </c>
      <c r="P722">
        <f t="shared" si="12"/>
        <v>71.599999999999994</v>
      </c>
    </row>
    <row r="723" spans="10:16">
      <c r="J723" s="5"/>
      <c r="L723">
        <f>RAVLT_Rec!M723</f>
        <v>0.66914099999999999</v>
      </c>
      <c r="M723">
        <f>RAVLT_Rec!N723</f>
        <v>71.7</v>
      </c>
      <c r="O723" t="e">
        <f>ABS(L723-RAVLT_Rec!$C$34)</f>
        <v>#REF!</v>
      </c>
      <c r="P723">
        <f t="shared" si="12"/>
        <v>71.7</v>
      </c>
    </row>
    <row r="724" spans="10:16">
      <c r="J724" s="5"/>
      <c r="L724">
        <f>RAVLT_Rec!M724</f>
        <v>0.66914099999999999</v>
      </c>
      <c r="M724">
        <f>RAVLT_Rec!N724</f>
        <v>71.8</v>
      </c>
      <c r="O724" t="e">
        <f>ABS(L724-RAVLT_Rec!$C$34)</f>
        <v>#REF!</v>
      </c>
      <c r="P724">
        <f t="shared" si="12"/>
        <v>71.8</v>
      </c>
    </row>
    <row r="725" spans="10:16">
      <c r="J725" s="5"/>
      <c r="L725">
        <f>RAVLT_Rec!M725</f>
        <v>0.66914099999999999</v>
      </c>
      <c r="M725">
        <f>RAVLT_Rec!N725</f>
        <v>71.900000000000006</v>
      </c>
      <c r="O725" t="e">
        <f>ABS(L725-RAVLT_Rec!$C$34)</f>
        <v>#REF!</v>
      </c>
      <c r="P725">
        <f t="shared" si="12"/>
        <v>71.900000000000006</v>
      </c>
    </row>
    <row r="726" spans="10:16">
      <c r="J726" s="5"/>
      <c r="L726">
        <f>RAVLT_Rec!M726</f>
        <v>0.66914099999999999</v>
      </c>
      <c r="M726">
        <f>RAVLT_Rec!N726</f>
        <v>72</v>
      </c>
      <c r="O726" t="e">
        <f>ABS(L726-RAVLT_Rec!$C$34)</f>
        <v>#REF!</v>
      </c>
      <c r="P726">
        <f t="shared" si="12"/>
        <v>72</v>
      </c>
    </row>
    <row r="727" spans="10:16">
      <c r="J727" s="5"/>
      <c r="L727">
        <f>RAVLT_Rec!M727</f>
        <v>0.66914099999999999</v>
      </c>
      <c r="M727">
        <f>RAVLT_Rec!N727</f>
        <v>72.099999999999994</v>
      </c>
      <c r="O727" t="e">
        <f>ABS(L727-RAVLT_Rec!$C$34)</f>
        <v>#REF!</v>
      </c>
      <c r="P727">
        <f t="shared" si="12"/>
        <v>72.099999999999994</v>
      </c>
    </row>
    <row r="728" spans="10:16">
      <c r="J728" s="5"/>
      <c r="L728">
        <f>RAVLT_Rec!M728</f>
        <v>0.66914099999999999</v>
      </c>
      <c r="M728">
        <f>RAVLT_Rec!N728</f>
        <v>72.2</v>
      </c>
      <c r="O728" t="e">
        <f>ABS(L728-RAVLT_Rec!$C$34)</f>
        <v>#REF!</v>
      </c>
      <c r="P728">
        <f t="shared" si="12"/>
        <v>72.2</v>
      </c>
    </row>
    <row r="729" spans="10:16">
      <c r="J729" s="5"/>
      <c r="L729">
        <f>RAVLT_Rec!M729</f>
        <v>0.66914099999999999</v>
      </c>
      <c r="M729">
        <f>RAVLT_Rec!N729</f>
        <v>72.3</v>
      </c>
      <c r="O729" t="e">
        <f>ABS(L729-RAVLT_Rec!$C$34)</f>
        <v>#REF!</v>
      </c>
      <c r="P729">
        <f t="shared" si="12"/>
        <v>72.3</v>
      </c>
    </row>
    <row r="730" spans="10:16">
      <c r="J730" s="5"/>
      <c r="L730">
        <f>RAVLT_Rec!M730</f>
        <v>0.66914099999999999</v>
      </c>
      <c r="M730">
        <f>RAVLT_Rec!N730</f>
        <v>72.400000000000006</v>
      </c>
      <c r="O730" t="e">
        <f>ABS(L730-RAVLT_Rec!$C$34)</f>
        <v>#REF!</v>
      </c>
      <c r="P730">
        <f t="shared" si="12"/>
        <v>72.400000000000006</v>
      </c>
    </row>
    <row r="731" spans="10:16">
      <c r="J731" s="5"/>
      <c r="L731">
        <f>RAVLT_Rec!M731</f>
        <v>0.66914099999999999</v>
      </c>
      <c r="M731">
        <f>RAVLT_Rec!N731</f>
        <v>72.5</v>
      </c>
      <c r="O731" t="e">
        <f>ABS(L731-RAVLT_Rec!$C$34)</f>
        <v>#REF!</v>
      </c>
      <c r="P731">
        <f t="shared" si="12"/>
        <v>72.5</v>
      </c>
    </row>
    <row r="732" spans="10:16">
      <c r="J732" s="5"/>
      <c r="L732">
        <f>RAVLT_Rec!M732</f>
        <v>0.66914099999999999</v>
      </c>
      <c r="M732">
        <f>RAVLT_Rec!N732</f>
        <v>72.599999999999994</v>
      </c>
      <c r="O732" t="e">
        <f>ABS(L732-RAVLT_Rec!$C$34)</f>
        <v>#REF!</v>
      </c>
      <c r="P732">
        <f t="shared" si="12"/>
        <v>72.599999999999994</v>
      </c>
    </row>
    <row r="733" spans="10:16">
      <c r="J733" s="5"/>
      <c r="L733">
        <f>RAVLT_Rec!M733</f>
        <v>0.66937150199999995</v>
      </c>
      <c r="M733">
        <f>RAVLT_Rec!N733</f>
        <v>72.7</v>
      </c>
      <c r="O733" t="e">
        <f>ABS(L733-RAVLT_Rec!$C$34)</f>
        <v>#REF!</v>
      </c>
      <c r="P733">
        <f t="shared" si="12"/>
        <v>72.7</v>
      </c>
    </row>
    <row r="734" spans="10:16">
      <c r="J734" s="5"/>
      <c r="L734">
        <f>RAVLT_Rec!M734</f>
        <v>0.67040032800000005</v>
      </c>
      <c r="M734">
        <f>RAVLT_Rec!N734</f>
        <v>72.8</v>
      </c>
      <c r="O734" t="e">
        <f>ABS(L734-RAVLT_Rec!$C$34)</f>
        <v>#REF!</v>
      </c>
      <c r="P734">
        <f t="shared" si="12"/>
        <v>72.8</v>
      </c>
    </row>
    <row r="735" spans="10:16">
      <c r="J735" s="5"/>
      <c r="L735">
        <f>RAVLT_Rec!M735</f>
        <v>0.67142915400000003</v>
      </c>
      <c r="M735">
        <f>RAVLT_Rec!N735</f>
        <v>72.900000000000006</v>
      </c>
      <c r="O735" t="e">
        <f>ABS(L735-RAVLT_Rec!$C$34)</f>
        <v>#REF!</v>
      </c>
      <c r="P735">
        <f t="shared" si="12"/>
        <v>72.900000000000006</v>
      </c>
    </row>
    <row r="736" spans="10:16">
      <c r="J736" s="5"/>
      <c r="L736">
        <f>RAVLT_Rec!M736</f>
        <v>0.67195199999999999</v>
      </c>
      <c r="M736">
        <f>RAVLT_Rec!N736</f>
        <v>73</v>
      </c>
      <c r="O736" t="e">
        <f>ABS(L736-RAVLT_Rec!$C$34)</f>
        <v>#REF!</v>
      </c>
      <c r="P736">
        <f t="shared" si="12"/>
        <v>73</v>
      </c>
    </row>
    <row r="737" spans="10:16">
      <c r="J737" s="5"/>
      <c r="L737">
        <f>RAVLT_Rec!M737</f>
        <v>0.67195199999999999</v>
      </c>
      <c r="M737">
        <f>RAVLT_Rec!N737</f>
        <v>73.099999999999994</v>
      </c>
      <c r="O737" t="e">
        <f>ABS(L737-RAVLT_Rec!$C$34)</f>
        <v>#REF!</v>
      </c>
      <c r="P737">
        <f t="shared" si="12"/>
        <v>73.099999999999994</v>
      </c>
    </row>
    <row r="738" spans="10:16">
      <c r="J738" s="5"/>
      <c r="L738">
        <f>RAVLT_Rec!M738</f>
        <v>0.67195199999999999</v>
      </c>
      <c r="M738">
        <f>RAVLT_Rec!N738</f>
        <v>73.2</v>
      </c>
      <c r="O738" t="e">
        <f>ABS(L738-RAVLT_Rec!$C$34)</f>
        <v>#REF!</v>
      </c>
      <c r="P738">
        <f t="shared" si="12"/>
        <v>73.2</v>
      </c>
    </row>
    <row r="739" spans="10:16">
      <c r="J739" s="5"/>
      <c r="L739">
        <f>RAVLT_Rec!M739</f>
        <v>0.67195199999999999</v>
      </c>
      <c r="M739">
        <f>RAVLT_Rec!N739</f>
        <v>73.3</v>
      </c>
      <c r="O739" t="e">
        <f>ABS(L739-RAVLT_Rec!$C$34)</f>
        <v>#REF!</v>
      </c>
      <c r="P739">
        <f t="shared" si="12"/>
        <v>73.3</v>
      </c>
    </row>
    <row r="740" spans="10:16">
      <c r="J740" s="5"/>
      <c r="L740">
        <f>RAVLT_Rec!M740</f>
        <v>0.67195199999999999</v>
      </c>
      <c r="M740">
        <f>RAVLT_Rec!N740</f>
        <v>73.400000000000006</v>
      </c>
      <c r="O740" t="e">
        <f>ABS(L740-RAVLT_Rec!$C$34)</f>
        <v>#REF!</v>
      </c>
      <c r="P740">
        <f t="shared" si="12"/>
        <v>73.400000000000006</v>
      </c>
    </row>
    <row r="741" spans="10:16">
      <c r="J741" s="5"/>
      <c r="L741">
        <f>RAVLT_Rec!M741</f>
        <v>0.67196113000000002</v>
      </c>
      <c r="M741">
        <f>RAVLT_Rec!N741</f>
        <v>73.5</v>
      </c>
      <c r="O741" t="e">
        <f>ABS(L741-RAVLT_Rec!$C$34)</f>
        <v>#REF!</v>
      </c>
      <c r="P741">
        <f t="shared" si="12"/>
        <v>73.5</v>
      </c>
    </row>
    <row r="742" spans="10:16">
      <c r="J742" s="5"/>
      <c r="L742">
        <f>RAVLT_Rec!M742</f>
        <v>0.67229528800000005</v>
      </c>
      <c r="M742">
        <f>RAVLT_Rec!N742</f>
        <v>73.599999999999994</v>
      </c>
      <c r="O742" t="e">
        <f>ABS(L742-RAVLT_Rec!$C$34)</f>
        <v>#REF!</v>
      </c>
      <c r="P742">
        <f t="shared" si="12"/>
        <v>73.599999999999994</v>
      </c>
    </row>
    <row r="743" spans="10:16">
      <c r="J743" s="5"/>
      <c r="L743">
        <f>RAVLT_Rec!M743</f>
        <v>0.67262944599999996</v>
      </c>
      <c r="M743">
        <f>RAVLT_Rec!N743</f>
        <v>73.7</v>
      </c>
      <c r="O743" t="e">
        <f>ABS(L743-RAVLT_Rec!$C$34)</f>
        <v>#REF!</v>
      </c>
      <c r="P743">
        <f t="shared" si="12"/>
        <v>73.7</v>
      </c>
    </row>
    <row r="744" spans="10:16">
      <c r="J744" s="5"/>
      <c r="L744">
        <f>RAVLT_Rec!M744</f>
        <v>0.67286500000000005</v>
      </c>
      <c r="M744">
        <f>RAVLT_Rec!N744</f>
        <v>73.8</v>
      </c>
      <c r="O744" t="e">
        <f>ABS(L744-RAVLT_Rec!$C$34)</f>
        <v>#REF!</v>
      </c>
      <c r="P744">
        <f t="shared" si="12"/>
        <v>73.8</v>
      </c>
    </row>
    <row r="745" spans="10:16">
      <c r="J745" s="5"/>
      <c r="L745">
        <f>RAVLT_Rec!M745</f>
        <v>0.67286500000000005</v>
      </c>
      <c r="M745">
        <f>RAVLT_Rec!N745</f>
        <v>73.900000000000006</v>
      </c>
      <c r="O745" t="e">
        <f>ABS(L745-RAVLT_Rec!$C$34)</f>
        <v>#REF!</v>
      </c>
      <c r="P745">
        <f t="shared" si="12"/>
        <v>73.900000000000006</v>
      </c>
    </row>
    <row r="746" spans="10:16">
      <c r="J746" s="5"/>
      <c r="L746">
        <f>RAVLT_Rec!M746</f>
        <v>0.67286500000000005</v>
      </c>
      <c r="M746">
        <f>RAVLT_Rec!N746</f>
        <v>74</v>
      </c>
      <c r="O746" t="e">
        <f>ABS(L746-RAVLT_Rec!$C$34)</f>
        <v>#REF!</v>
      </c>
      <c r="P746">
        <f t="shared" si="12"/>
        <v>74</v>
      </c>
    </row>
    <row r="747" spans="10:16">
      <c r="J747" s="5"/>
      <c r="L747">
        <f>RAVLT_Rec!M747</f>
        <v>0.67689827400000002</v>
      </c>
      <c r="M747">
        <f>RAVLT_Rec!N747</f>
        <v>74.099999999999994</v>
      </c>
      <c r="O747" t="e">
        <f>ABS(L747-RAVLT_Rec!$C$34)</f>
        <v>#REF!</v>
      </c>
      <c r="P747">
        <f t="shared" si="12"/>
        <v>74.099999999999994</v>
      </c>
    </row>
    <row r="748" spans="10:16">
      <c r="J748" s="5"/>
      <c r="L748">
        <f>RAVLT_Rec!M748</f>
        <v>0.68406418800000002</v>
      </c>
      <c r="M748">
        <f>RAVLT_Rec!N748</f>
        <v>74.2</v>
      </c>
      <c r="O748" t="e">
        <f>ABS(L748-RAVLT_Rec!$C$34)</f>
        <v>#REF!</v>
      </c>
      <c r="P748">
        <f t="shared" si="12"/>
        <v>74.2</v>
      </c>
    </row>
    <row r="749" spans="10:16">
      <c r="J749" s="5"/>
      <c r="L749">
        <f>RAVLT_Rec!M749</f>
        <v>0.69123010200000001</v>
      </c>
      <c r="M749">
        <f>RAVLT_Rec!N749</f>
        <v>74.3</v>
      </c>
      <c r="O749" t="e">
        <f>ABS(L749-RAVLT_Rec!$C$34)</f>
        <v>#REF!</v>
      </c>
      <c r="P749">
        <f t="shared" si="12"/>
        <v>74.3</v>
      </c>
    </row>
    <row r="750" spans="10:16">
      <c r="J750" s="5"/>
      <c r="L750">
        <f>RAVLT_Rec!M750</f>
        <v>0.69244399999999995</v>
      </c>
      <c r="M750">
        <f>RAVLT_Rec!N750</f>
        <v>74.400000000000006</v>
      </c>
      <c r="O750" t="e">
        <f>ABS(L750-RAVLT_Rec!$C$34)</f>
        <v>#REF!</v>
      </c>
      <c r="P750">
        <f t="shared" si="12"/>
        <v>74.400000000000006</v>
      </c>
    </row>
    <row r="751" spans="10:16">
      <c r="J751" s="5"/>
      <c r="L751">
        <f>RAVLT_Rec!M751</f>
        <v>0.69244399999999995</v>
      </c>
      <c r="M751">
        <f>RAVLT_Rec!N751</f>
        <v>74.5</v>
      </c>
      <c r="O751" t="e">
        <f>ABS(L751-RAVLT_Rec!$C$34)</f>
        <v>#REF!</v>
      </c>
      <c r="P751">
        <f t="shared" si="12"/>
        <v>74.5</v>
      </c>
    </row>
    <row r="752" spans="10:16">
      <c r="J752" s="5"/>
      <c r="L752">
        <f>RAVLT_Rec!M752</f>
        <v>0.69346481599999998</v>
      </c>
      <c r="M752">
        <f>RAVLT_Rec!N752</f>
        <v>74.599999999999994</v>
      </c>
      <c r="O752" t="e">
        <f>ABS(L752-RAVLT_Rec!$C$34)</f>
        <v>#REF!</v>
      </c>
      <c r="P752">
        <f t="shared" si="12"/>
        <v>74.599999999999994</v>
      </c>
    </row>
    <row r="753" spans="10:16">
      <c r="J753" s="5"/>
      <c r="L753">
        <f>RAVLT_Rec!M753</f>
        <v>0.70384311200000005</v>
      </c>
      <c r="M753">
        <f>RAVLT_Rec!N753</f>
        <v>74.7</v>
      </c>
      <c r="O753" t="e">
        <f>ABS(L753-RAVLT_Rec!$C$34)</f>
        <v>#REF!</v>
      </c>
      <c r="P753">
        <f t="shared" si="12"/>
        <v>74.7</v>
      </c>
    </row>
    <row r="754" spans="10:16">
      <c r="J754" s="5"/>
      <c r="L754">
        <f>RAVLT_Rec!M754</f>
        <v>0.714221407999999</v>
      </c>
      <c r="M754">
        <f>RAVLT_Rec!N754</f>
        <v>74.8</v>
      </c>
      <c r="O754" t="e">
        <f>ABS(L754-RAVLT_Rec!$C$34)</f>
        <v>#REF!</v>
      </c>
      <c r="P754">
        <f t="shared" si="12"/>
        <v>74.8</v>
      </c>
    </row>
    <row r="755" spans="10:16">
      <c r="J755" s="5"/>
      <c r="L755">
        <f>RAVLT_Rec!M755</f>
        <v>0.7208</v>
      </c>
      <c r="M755">
        <f>RAVLT_Rec!N755</f>
        <v>74.900000000000006</v>
      </c>
      <c r="O755" t="e">
        <f>ABS(L755-RAVLT_Rec!$C$34)</f>
        <v>#REF!</v>
      </c>
      <c r="P755">
        <f t="shared" si="12"/>
        <v>74.900000000000006</v>
      </c>
    </row>
    <row r="756" spans="10:16">
      <c r="J756" s="5"/>
      <c r="L756">
        <f>RAVLT_Rec!M756</f>
        <v>0.7208</v>
      </c>
      <c r="M756">
        <f>RAVLT_Rec!N756</f>
        <v>75</v>
      </c>
      <c r="O756" t="e">
        <f>ABS(L756-RAVLT_Rec!$C$34)</f>
        <v>#REF!</v>
      </c>
      <c r="P756">
        <f t="shared" si="12"/>
        <v>75</v>
      </c>
    </row>
    <row r="757" spans="10:16">
      <c r="J757" s="5"/>
      <c r="L757">
        <f>RAVLT_Rec!M757</f>
        <v>0.7208</v>
      </c>
      <c r="M757">
        <f>RAVLT_Rec!N757</f>
        <v>75.099999999999994</v>
      </c>
      <c r="O757" t="e">
        <f>ABS(L757-RAVLT_Rec!$C$34)</f>
        <v>#REF!</v>
      </c>
      <c r="P757">
        <f t="shared" si="12"/>
        <v>75.099999999999994</v>
      </c>
    </row>
    <row r="758" spans="10:16">
      <c r="J758" s="5"/>
      <c r="L758">
        <f>RAVLT_Rec!M758</f>
        <v>0.7208</v>
      </c>
      <c r="M758">
        <f>RAVLT_Rec!N758</f>
        <v>75.2</v>
      </c>
      <c r="O758" t="e">
        <f>ABS(L758-RAVLT_Rec!$C$34)</f>
        <v>#REF!</v>
      </c>
      <c r="P758">
        <f t="shared" si="12"/>
        <v>75.2</v>
      </c>
    </row>
    <row r="759" spans="10:16">
      <c r="J759" s="5"/>
      <c r="L759">
        <f>RAVLT_Rec!M759</f>
        <v>0.7208</v>
      </c>
      <c r="M759">
        <f>RAVLT_Rec!N759</f>
        <v>75.3</v>
      </c>
      <c r="O759" t="e">
        <f>ABS(L759-RAVLT_Rec!$C$34)</f>
        <v>#REF!</v>
      </c>
      <c r="P759">
        <f t="shared" si="12"/>
        <v>75.3</v>
      </c>
    </row>
    <row r="760" spans="10:16">
      <c r="J760" s="5"/>
      <c r="L760">
        <f>RAVLT_Rec!M760</f>
        <v>0.7208</v>
      </c>
      <c r="M760">
        <f>RAVLT_Rec!N760</f>
        <v>75.400000000000006</v>
      </c>
      <c r="O760" t="e">
        <f>ABS(L760-RAVLT_Rec!$C$34)</f>
        <v>#REF!</v>
      </c>
      <c r="P760">
        <f t="shared" si="12"/>
        <v>75.400000000000006</v>
      </c>
    </row>
    <row r="761" spans="10:16">
      <c r="J761" s="5"/>
      <c r="L761">
        <f>RAVLT_Rec!M761</f>
        <v>0.7208</v>
      </c>
      <c r="M761">
        <f>RAVLT_Rec!N761</f>
        <v>75.5</v>
      </c>
      <c r="O761" t="e">
        <f>ABS(L761-RAVLT_Rec!$C$34)</f>
        <v>#REF!</v>
      </c>
      <c r="P761">
        <f t="shared" si="12"/>
        <v>75.5</v>
      </c>
    </row>
    <row r="762" spans="10:16">
      <c r="J762" s="5"/>
      <c r="L762">
        <f>RAVLT_Rec!M762</f>
        <v>0.7208</v>
      </c>
      <c r="M762">
        <f>RAVLT_Rec!N762</f>
        <v>75.599999999999994</v>
      </c>
      <c r="O762" t="e">
        <f>ABS(L762-RAVLT_Rec!$C$34)</f>
        <v>#REF!</v>
      </c>
      <c r="P762">
        <f t="shared" si="12"/>
        <v>75.599999999999994</v>
      </c>
    </row>
    <row r="763" spans="10:16">
      <c r="J763" s="5"/>
      <c r="L763">
        <f>RAVLT_Rec!M763</f>
        <v>0.72270414400000005</v>
      </c>
      <c r="M763">
        <f>RAVLT_Rec!N763</f>
        <v>75.7</v>
      </c>
      <c r="O763" t="e">
        <f>ABS(L763-RAVLT_Rec!$C$34)</f>
        <v>#REF!</v>
      </c>
      <c r="P763">
        <f t="shared" si="12"/>
        <v>75.7</v>
      </c>
    </row>
    <row r="764" spans="10:16">
      <c r="J764" s="5"/>
      <c r="L764">
        <f>RAVLT_Rec!M764</f>
        <v>0.73394473599999999</v>
      </c>
      <c r="M764">
        <f>RAVLT_Rec!N764</f>
        <v>75.8</v>
      </c>
      <c r="O764" t="e">
        <f>ABS(L764-RAVLT_Rec!$C$34)</f>
        <v>#REF!</v>
      </c>
      <c r="P764">
        <f t="shared" si="12"/>
        <v>75.8</v>
      </c>
    </row>
    <row r="765" spans="10:16">
      <c r="J765" s="5"/>
      <c r="L765">
        <f>RAVLT_Rec!M765</f>
        <v>0.74518532799999904</v>
      </c>
      <c r="M765">
        <f>RAVLT_Rec!N765</f>
        <v>75.900000000000006</v>
      </c>
      <c r="O765" t="e">
        <f>ABS(L765-RAVLT_Rec!$C$34)</f>
        <v>#REF!</v>
      </c>
      <c r="P765">
        <f t="shared" si="12"/>
        <v>75.900000000000006</v>
      </c>
    </row>
    <row r="766" spans="10:16">
      <c r="J766" s="5"/>
      <c r="L766">
        <f>RAVLT_Rec!M766</f>
        <v>0.75677840000000096</v>
      </c>
      <c r="M766">
        <f>RAVLT_Rec!N766</f>
        <v>76</v>
      </c>
      <c r="O766" t="e">
        <f>ABS(L766-RAVLT_Rec!$C$34)</f>
        <v>#REF!</v>
      </c>
      <c r="P766">
        <f t="shared" si="12"/>
        <v>76</v>
      </c>
    </row>
    <row r="767" spans="10:16">
      <c r="J767" s="5"/>
      <c r="L767">
        <f>RAVLT_Rec!M767</f>
        <v>0.76882528999999999</v>
      </c>
      <c r="M767">
        <f>RAVLT_Rec!N767</f>
        <v>76.099999999999994</v>
      </c>
      <c r="O767" t="e">
        <f>ABS(L767-RAVLT_Rec!$C$34)</f>
        <v>#REF!</v>
      </c>
      <c r="P767">
        <f t="shared" si="12"/>
        <v>76.099999999999994</v>
      </c>
    </row>
    <row r="768" spans="10:16">
      <c r="J768" s="5"/>
      <c r="L768">
        <f>RAVLT_Rec!M768</f>
        <v>0.78087218000000003</v>
      </c>
      <c r="M768">
        <f>RAVLT_Rec!N768</f>
        <v>76.2</v>
      </c>
      <c r="O768" t="e">
        <f>ABS(L768-RAVLT_Rec!$C$34)</f>
        <v>#REF!</v>
      </c>
      <c r="P768">
        <f t="shared" si="12"/>
        <v>76.2</v>
      </c>
    </row>
    <row r="769" spans="10:16">
      <c r="J769" s="5"/>
      <c r="L769">
        <f>RAVLT_Rec!M769</f>
        <v>0.78442699999999999</v>
      </c>
      <c r="M769">
        <f>RAVLT_Rec!N769</f>
        <v>76.3</v>
      </c>
      <c r="O769" t="e">
        <f>ABS(L769-RAVLT_Rec!$C$34)</f>
        <v>#REF!</v>
      </c>
      <c r="P769">
        <f t="shared" si="12"/>
        <v>76.3</v>
      </c>
    </row>
    <row r="770" spans="10:16">
      <c r="J770" s="5"/>
      <c r="L770">
        <f>RAVLT_Rec!M770</f>
        <v>0.78442699999999999</v>
      </c>
      <c r="M770">
        <f>RAVLT_Rec!N770</f>
        <v>76.400000000000006</v>
      </c>
      <c r="O770" t="e">
        <f>ABS(L770-RAVLT_Rec!$C$34)</f>
        <v>#REF!</v>
      </c>
      <c r="P770">
        <f t="shared" si="12"/>
        <v>76.400000000000006</v>
      </c>
    </row>
    <row r="771" spans="10:16">
      <c r="J771" s="5"/>
      <c r="L771">
        <f>RAVLT_Rec!M771</f>
        <v>0.78442699999999999</v>
      </c>
      <c r="M771">
        <f>RAVLT_Rec!N771</f>
        <v>76.5</v>
      </c>
      <c r="O771" t="e">
        <f>ABS(L771-RAVLT_Rec!$C$34)</f>
        <v>#REF!</v>
      </c>
      <c r="P771">
        <f t="shared" si="12"/>
        <v>76.5</v>
      </c>
    </row>
    <row r="772" spans="10:16">
      <c r="J772" s="5"/>
      <c r="L772">
        <f>RAVLT_Rec!M772</f>
        <v>0.78442699999999999</v>
      </c>
      <c r="M772">
        <f>RAVLT_Rec!N772</f>
        <v>76.599999999999994</v>
      </c>
      <c r="O772" t="e">
        <f>ABS(L772-RAVLT_Rec!$C$34)</f>
        <v>#REF!</v>
      </c>
      <c r="P772">
        <f t="shared" si="12"/>
        <v>76.599999999999994</v>
      </c>
    </row>
    <row r="773" spans="10:16">
      <c r="J773" s="5"/>
      <c r="L773">
        <f>RAVLT_Rec!M773</f>
        <v>0.78442699999999999</v>
      </c>
      <c r="M773">
        <f>RAVLT_Rec!N773</f>
        <v>76.7</v>
      </c>
      <c r="O773" t="e">
        <f>ABS(L773-RAVLT_Rec!$C$34)</f>
        <v>#REF!</v>
      </c>
      <c r="P773">
        <f t="shared" si="12"/>
        <v>76.7</v>
      </c>
    </row>
    <row r="774" spans="10:16">
      <c r="J774" s="5"/>
      <c r="L774">
        <f>RAVLT_Rec!M774</f>
        <v>0.78442699999999999</v>
      </c>
      <c r="M774">
        <f>RAVLT_Rec!N774</f>
        <v>76.8</v>
      </c>
      <c r="O774" t="e">
        <f>ABS(L774-RAVLT_Rec!$C$34)</f>
        <v>#REF!</v>
      </c>
      <c r="P774">
        <f t="shared" si="12"/>
        <v>76.8</v>
      </c>
    </row>
    <row r="775" spans="10:16">
      <c r="J775" s="5"/>
      <c r="L775">
        <f>RAVLT_Rec!M775</f>
        <v>0.78442699999999999</v>
      </c>
      <c r="M775">
        <f>RAVLT_Rec!N775</f>
        <v>76.900000000000006</v>
      </c>
      <c r="O775" t="e">
        <f>ABS(L775-RAVLT_Rec!$C$34)</f>
        <v>#REF!</v>
      </c>
      <c r="P775">
        <f t="shared" ref="P775:P838" si="13">M775</f>
        <v>76.900000000000006</v>
      </c>
    </row>
    <row r="776" spans="10:16">
      <c r="J776" s="5"/>
      <c r="L776">
        <f>RAVLT_Rec!M776</f>
        <v>0.78442699999999999</v>
      </c>
      <c r="M776">
        <f>RAVLT_Rec!N776</f>
        <v>77</v>
      </c>
      <c r="O776" t="e">
        <f>ABS(L776-RAVLT_Rec!$C$34)</f>
        <v>#REF!</v>
      </c>
      <c r="P776">
        <f t="shared" si="13"/>
        <v>77</v>
      </c>
    </row>
    <row r="777" spans="10:16">
      <c r="J777" s="5"/>
      <c r="L777">
        <f>RAVLT_Rec!M777</f>
        <v>0.78442699999999999</v>
      </c>
      <c r="M777">
        <f>RAVLT_Rec!N777</f>
        <v>77.099999999999994</v>
      </c>
      <c r="O777" t="e">
        <f>ABS(L777-RAVLT_Rec!$C$34)</f>
        <v>#REF!</v>
      </c>
      <c r="P777">
        <f t="shared" si="13"/>
        <v>77.099999999999994</v>
      </c>
    </row>
    <row r="778" spans="10:16">
      <c r="J778" s="5"/>
      <c r="L778">
        <f>RAVLT_Rec!M778</f>
        <v>0.78442699999999999</v>
      </c>
      <c r="M778">
        <f>RAVLT_Rec!N778</f>
        <v>77.2</v>
      </c>
      <c r="O778" t="e">
        <f>ABS(L778-RAVLT_Rec!$C$34)</f>
        <v>#REF!</v>
      </c>
      <c r="P778">
        <f t="shared" si="13"/>
        <v>77.2</v>
      </c>
    </row>
    <row r="779" spans="10:16">
      <c r="J779" s="5"/>
      <c r="L779">
        <f>RAVLT_Rec!M779</f>
        <v>0.78442699999999999</v>
      </c>
      <c r="M779">
        <f>RAVLT_Rec!N779</f>
        <v>77.3</v>
      </c>
      <c r="O779" t="e">
        <f>ABS(L779-RAVLT_Rec!$C$34)</f>
        <v>#REF!</v>
      </c>
      <c r="P779">
        <f t="shared" si="13"/>
        <v>77.3</v>
      </c>
    </row>
    <row r="780" spans="10:16">
      <c r="J780" s="5"/>
      <c r="L780">
        <f>RAVLT_Rec!M780</f>
        <v>0.79433973599999996</v>
      </c>
      <c r="M780">
        <f>RAVLT_Rec!N780</f>
        <v>77.400000000000006</v>
      </c>
      <c r="O780" t="e">
        <f>ABS(L780-RAVLT_Rec!$C$34)</f>
        <v>#REF!</v>
      </c>
      <c r="P780">
        <f t="shared" si="13"/>
        <v>77.400000000000006</v>
      </c>
    </row>
    <row r="781" spans="10:16">
      <c r="J781" s="5"/>
      <c r="L781">
        <f>RAVLT_Rec!M781</f>
        <v>0.80711460000000101</v>
      </c>
      <c r="M781">
        <f>RAVLT_Rec!N781</f>
        <v>77.5</v>
      </c>
      <c r="O781" t="e">
        <f>ABS(L781-RAVLT_Rec!$C$34)</f>
        <v>#REF!</v>
      </c>
      <c r="P781">
        <f t="shared" si="13"/>
        <v>77.5</v>
      </c>
    </row>
    <row r="782" spans="10:16">
      <c r="J782" s="5"/>
      <c r="L782">
        <f>RAVLT_Rec!M782</f>
        <v>0.81933100000000003</v>
      </c>
      <c r="M782">
        <f>RAVLT_Rec!N782</f>
        <v>77.599999999999994</v>
      </c>
      <c r="O782" t="e">
        <f>ABS(L782-RAVLT_Rec!$C$34)</f>
        <v>#REF!</v>
      </c>
      <c r="P782">
        <f t="shared" si="13"/>
        <v>77.599999999999994</v>
      </c>
    </row>
    <row r="783" spans="10:16">
      <c r="J783" s="5"/>
      <c r="L783">
        <f>RAVLT_Rec!M783</f>
        <v>0.81933100000000003</v>
      </c>
      <c r="M783">
        <f>RAVLT_Rec!N783</f>
        <v>77.7</v>
      </c>
      <c r="O783" t="e">
        <f>ABS(L783-RAVLT_Rec!$C$34)</f>
        <v>#REF!</v>
      </c>
      <c r="P783">
        <f t="shared" si="13"/>
        <v>77.7</v>
      </c>
    </row>
    <row r="784" spans="10:16">
      <c r="J784" s="5"/>
      <c r="L784">
        <f>RAVLT_Rec!M784</f>
        <v>0.81933100000000003</v>
      </c>
      <c r="M784">
        <f>RAVLT_Rec!N784</f>
        <v>77.8</v>
      </c>
      <c r="O784" t="e">
        <f>ABS(L784-RAVLT_Rec!$C$34)</f>
        <v>#REF!</v>
      </c>
      <c r="P784">
        <f t="shared" si="13"/>
        <v>77.8</v>
      </c>
    </row>
    <row r="785" spans="10:16">
      <c r="J785" s="5"/>
      <c r="L785">
        <f>RAVLT_Rec!M785</f>
        <v>0.81933100000000003</v>
      </c>
      <c r="M785">
        <f>RAVLT_Rec!N785</f>
        <v>77.900000000000006</v>
      </c>
      <c r="O785" t="e">
        <f>ABS(L785-RAVLT_Rec!$C$34)</f>
        <v>#REF!</v>
      </c>
      <c r="P785">
        <f t="shared" si="13"/>
        <v>77.900000000000006</v>
      </c>
    </row>
    <row r="786" spans="10:16">
      <c r="J786" s="5"/>
      <c r="L786">
        <f>RAVLT_Rec!M786</f>
        <v>0.81933100000000003</v>
      </c>
      <c r="M786">
        <f>RAVLT_Rec!N786</f>
        <v>78</v>
      </c>
      <c r="O786" t="e">
        <f>ABS(L786-RAVLT_Rec!$C$34)</f>
        <v>#REF!</v>
      </c>
      <c r="P786">
        <f t="shared" si="13"/>
        <v>78</v>
      </c>
    </row>
    <row r="787" spans="10:16">
      <c r="J787" s="5"/>
      <c r="L787">
        <f>RAVLT_Rec!M787</f>
        <v>0.81933100000000003</v>
      </c>
      <c r="M787">
        <f>RAVLT_Rec!N787</f>
        <v>78.099999999999994</v>
      </c>
      <c r="O787" t="e">
        <f>ABS(L787-RAVLT_Rec!$C$34)</f>
        <v>#REF!</v>
      </c>
      <c r="P787">
        <f t="shared" si="13"/>
        <v>78.099999999999994</v>
      </c>
    </row>
    <row r="788" spans="10:16">
      <c r="J788" s="5"/>
      <c r="L788">
        <f>RAVLT_Rec!M788</f>
        <v>0.82708659600000001</v>
      </c>
      <c r="M788">
        <f>RAVLT_Rec!N788</f>
        <v>78.2</v>
      </c>
      <c r="O788" t="e">
        <f>ABS(L788-RAVLT_Rec!$C$34)</f>
        <v>#REF!</v>
      </c>
      <c r="P788">
        <f t="shared" si="13"/>
        <v>78.2</v>
      </c>
    </row>
    <row r="789" spans="10:16">
      <c r="J789" s="5"/>
      <c r="L789">
        <f>RAVLT_Rec!M789</f>
        <v>0.84047597400000096</v>
      </c>
      <c r="M789">
        <f>RAVLT_Rec!N789</f>
        <v>78.3</v>
      </c>
      <c r="O789" t="e">
        <f>ABS(L789-RAVLT_Rec!$C$34)</f>
        <v>#REF!</v>
      </c>
      <c r="P789">
        <f t="shared" si="13"/>
        <v>78.3</v>
      </c>
    </row>
    <row r="790" spans="10:16">
      <c r="J790" s="5"/>
      <c r="L790">
        <f>RAVLT_Rec!M790</f>
        <v>0.85386535200000102</v>
      </c>
      <c r="M790">
        <f>RAVLT_Rec!N790</f>
        <v>78.400000000000006</v>
      </c>
      <c r="O790" t="e">
        <f>ABS(L790-RAVLT_Rec!$C$34)</f>
        <v>#REF!</v>
      </c>
      <c r="P790">
        <f t="shared" si="13"/>
        <v>78.400000000000006</v>
      </c>
    </row>
    <row r="791" spans="10:16">
      <c r="J791" s="5"/>
      <c r="L791">
        <f>RAVLT_Rec!M791</f>
        <v>0.85591399999999995</v>
      </c>
      <c r="M791">
        <f>RAVLT_Rec!N791</f>
        <v>78.5</v>
      </c>
      <c r="O791" t="e">
        <f>ABS(L791-RAVLT_Rec!$C$34)</f>
        <v>#REF!</v>
      </c>
      <c r="P791">
        <f t="shared" si="13"/>
        <v>78.5</v>
      </c>
    </row>
    <row r="792" spans="10:16">
      <c r="J792" s="5"/>
      <c r="L792">
        <f>RAVLT_Rec!M792</f>
        <v>0.85591399999999995</v>
      </c>
      <c r="M792">
        <f>RAVLT_Rec!N792</f>
        <v>78.599999999999994</v>
      </c>
      <c r="O792" t="e">
        <f>ABS(L792-RAVLT_Rec!$C$34)</f>
        <v>#REF!</v>
      </c>
      <c r="P792">
        <f t="shared" si="13"/>
        <v>78.599999999999994</v>
      </c>
    </row>
    <row r="793" spans="10:16">
      <c r="J793" s="5"/>
      <c r="L793">
        <f>RAVLT_Rec!M793</f>
        <v>0.85591399999999995</v>
      </c>
      <c r="M793">
        <f>RAVLT_Rec!N793</f>
        <v>78.7</v>
      </c>
      <c r="O793" t="e">
        <f>ABS(L793-RAVLT_Rec!$C$34)</f>
        <v>#REF!</v>
      </c>
      <c r="P793">
        <f t="shared" si="13"/>
        <v>78.7</v>
      </c>
    </row>
    <row r="794" spans="10:16">
      <c r="J794" s="5"/>
      <c r="L794">
        <f>RAVLT_Rec!M794</f>
        <v>0.85591399999999995</v>
      </c>
      <c r="M794">
        <f>RAVLT_Rec!N794</f>
        <v>78.8</v>
      </c>
      <c r="O794" t="e">
        <f>ABS(L794-RAVLT_Rec!$C$34)</f>
        <v>#REF!</v>
      </c>
      <c r="P794">
        <f t="shared" si="13"/>
        <v>78.8</v>
      </c>
    </row>
    <row r="795" spans="10:16">
      <c r="J795" s="5"/>
      <c r="L795">
        <f>RAVLT_Rec!M795</f>
        <v>0.85591399999999995</v>
      </c>
      <c r="M795">
        <f>RAVLT_Rec!N795</f>
        <v>78.900000000000006</v>
      </c>
      <c r="O795" t="e">
        <f>ABS(L795-RAVLT_Rec!$C$34)</f>
        <v>#REF!</v>
      </c>
      <c r="P795">
        <f t="shared" si="13"/>
        <v>78.900000000000006</v>
      </c>
    </row>
    <row r="796" spans="10:16">
      <c r="J796" s="5"/>
      <c r="L796">
        <f>RAVLT_Rec!M796</f>
        <v>0.85591399999999995</v>
      </c>
      <c r="M796">
        <f>RAVLT_Rec!N796</f>
        <v>79</v>
      </c>
      <c r="O796" t="e">
        <f>ABS(L796-RAVLT_Rec!$C$34)</f>
        <v>#REF!</v>
      </c>
      <c r="P796">
        <f t="shared" si="13"/>
        <v>79</v>
      </c>
    </row>
    <row r="797" spans="10:16">
      <c r="J797" s="5"/>
      <c r="L797">
        <f>RAVLT_Rec!M797</f>
        <v>0.85591399999999995</v>
      </c>
      <c r="M797">
        <f>RAVLT_Rec!N797</f>
        <v>79.099999999999994</v>
      </c>
      <c r="O797" t="e">
        <f>ABS(L797-RAVLT_Rec!$C$34)</f>
        <v>#REF!</v>
      </c>
      <c r="P797">
        <f t="shared" si="13"/>
        <v>79.099999999999994</v>
      </c>
    </row>
    <row r="798" spans="10:16">
      <c r="J798" s="5"/>
      <c r="L798">
        <f>RAVLT_Rec!M798</f>
        <v>0.85591399999999995</v>
      </c>
      <c r="M798">
        <f>RAVLT_Rec!N798</f>
        <v>79.2</v>
      </c>
      <c r="O798" t="e">
        <f>ABS(L798-RAVLT_Rec!$C$34)</f>
        <v>#REF!</v>
      </c>
      <c r="P798">
        <f t="shared" si="13"/>
        <v>79.2</v>
      </c>
    </row>
    <row r="799" spans="10:16">
      <c r="J799" s="5"/>
      <c r="L799">
        <f>RAVLT_Rec!M799</f>
        <v>0.85750146000000005</v>
      </c>
      <c r="M799">
        <f>RAVLT_Rec!N799</f>
        <v>79.3</v>
      </c>
      <c r="O799" t="e">
        <f>ABS(L799-RAVLT_Rec!$C$34)</f>
        <v>#REF!</v>
      </c>
      <c r="P799">
        <f t="shared" si="13"/>
        <v>79.3</v>
      </c>
    </row>
    <row r="800" spans="10:16">
      <c r="J800" s="5"/>
      <c r="L800">
        <f>RAVLT_Rec!M800</f>
        <v>0.85994267999999996</v>
      </c>
      <c r="M800">
        <f>RAVLT_Rec!N800</f>
        <v>79.400000000000006</v>
      </c>
      <c r="O800" t="e">
        <f>ABS(L800-RAVLT_Rec!$C$34)</f>
        <v>#REF!</v>
      </c>
      <c r="P800">
        <f t="shared" si="13"/>
        <v>79.400000000000006</v>
      </c>
    </row>
    <row r="801" spans="10:16">
      <c r="J801" s="5"/>
      <c r="L801">
        <f>RAVLT_Rec!M801</f>
        <v>0.86238389999999998</v>
      </c>
      <c r="M801">
        <f>RAVLT_Rec!N801</f>
        <v>79.5</v>
      </c>
      <c r="O801" t="e">
        <f>ABS(L801-RAVLT_Rec!$C$34)</f>
        <v>#REF!</v>
      </c>
      <c r="P801">
        <f t="shared" si="13"/>
        <v>79.5</v>
      </c>
    </row>
    <row r="802" spans="10:16">
      <c r="J802" s="5"/>
      <c r="L802">
        <f>RAVLT_Rec!M802</f>
        <v>0.86258400000000002</v>
      </c>
      <c r="M802">
        <f>RAVLT_Rec!N802</f>
        <v>79.599999999999994</v>
      </c>
      <c r="O802" t="e">
        <f>ABS(L802-RAVLT_Rec!$C$34)</f>
        <v>#REF!</v>
      </c>
      <c r="P802">
        <f t="shared" si="13"/>
        <v>79.599999999999994</v>
      </c>
    </row>
    <row r="803" spans="10:16">
      <c r="J803" s="5"/>
      <c r="L803">
        <f>RAVLT_Rec!M803</f>
        <v>0.86258400000000002</v>
      </c>
      <c r="M803">
        <f>RAVLT_Rec!N803</f>
        <v>79.7</v>
      </c>
      <c r="O803" t="e">
        <f>ABS(L803-RAVLT_Rec!$C$34)</f>
        <v>#REF!</v>
      </c>
      <c r="P803">
        <f t="shared" si="13"/>
        <v>79.7</v>
      </c>
    </row>
    <row r="804" spans="10:16">
      <c r="J804" s="5"/>
      <c r="L804">
        <f>RAVLT_Rec!M804</f>
        <v>0.86470213200000101</v>
      </c>
      <c r="M804">
        <f>RAVLT_Rec!N804</f>
        <v>79.8</v>
      </c>
      <c r="O804" t="e">
        <f>ABS(L804-RAVLT_Rec!$C$34)</f>
        <v>#REF!</v>
      </c>
      <c r="P804">
        <f t="shared" si="13"/>
        <v>79.8</v>
      </c>
    </row>
    <row r="805" spans="10:16">
      <c r="J805" s="5"/>
      <c r="L805">
        <f>RAVLT_Rec!M805</f>
        <v>0.87610266600000097</v>
      </c>
      <c r="M805">
        <f>RAVLT_Rec!N805</f>
        <v>79.900000000000006</v>
      </c>
      <c r="O805" t="e">
        <f>ABS(L805-RAVLT_Rec!$C$34)</f>
        <v>#REF!</v>
      </c>
      <c r="P805">
        <f t="shared" si="13"/>
        <v>79.900000000000006</v>
      </c>
    </row>
    <row r="806" spans="10:16">
      <c r="J806" s="5"/>
      <c r="L806">
        <f>RAVLT_Rec!M806</f>
        <v>0.88750320000000005</v>
      </c>
      <c r="M806">
        <f>RAVLT_Rec!N806</f>
        <v>80</v>
      </c>
      <c r="O806" t="e">
        <f>ABS(L806-RAVLT_Rec!$C$34)</f>
        <v>#REF!</v>
      </c>
      <c r="P806">
        <f t="shared" si="13"/>
        <v>80</v>
      </c>
    </row>
    <row r="807" spans="10:16">
      <c r="J807" s="5"/>
      <c r="L807">
        <f>RAVLT_Rec!M807</f>
        <v>0.893733</v>
      </c>
      <c r="M807">
        <f>RAVLT_Rec!N807</f>
        <v>80.099999999999994</v>
      </c>
      <c r="O807" t="e">
        <f>ABS(L807-RAVLT_Rec!$C$34)</f>
        <v>#REF!</v>
      </c>
      <c r="P807">
        <f t="shared" si="13"/>
        <v>80.099999999999994</v>
      </c>
    </row>
    <row r="808" spans="10:16">
      <c r="J808" s="5"/>
      <c r="L808">
        <f>RAVLT_Rec!M808</f>
        <v>0.893733</v>
      </c>
      <c r="M808">
        <f>RAVLT_Rec!N808</f>
        <v>80.2</v>
      </c>
      <c r="O808" t="e">
        <f>ABS(L808-RAVLT_Rec!$C$34)</f>
        <v>#REF!</v>
      </c>
      <c r="P808">
        <f t="shared" si="13"/>
        <v>80.2</v>
      </c>
    </row>
    <row r="809" spans="10:16">
      <c r="J809" s="5"/>
      <c r="L809">
        <f>RAVLT_Rec!M809</f>
        <v>0.893733</v>
      </c>
      <c r="M809">
        <f>RAVLT_Rec!N809</f>
        <v>80.3</v>
      </c>
      <c r="O809" t="e">
        <f>ABS(L809-RAVLT_Rec!$C$34)</f>
        <v>#REF!</v>
      </c>
      <c r="P809">
        <f t="shared" si="13"/>
        <v>80.3</v>
      </c>
    </row>
    <row r="810" spans="10:16">
      <c r="J810" s="5"/>
      <c r="L810">
        <f>RAVLT_Rec!M810</f>
        <v>0.893733</v>
      </c>
      <c r="M810">
        <f>RAVLT_Rec!N810</f>
        <v>80.400000000000006</v>
      </c>
      <c r="O810" t="e">
        <f>ABS(L810-RAVLT_Rec!$C$34)</f>
        <v>#REF!</v>
      </c>
      <c r="P810">
        <f t="shared" si="13"/>
        <v>80.400000000000006</v>
      </c>
    </row>
    <row r="811" spans="10:16">
      <c r="J811" s="5"/>
      <c r="L811">
        <f>RAVLT_Rec!M811</f>
        <v>0.893733</v>
      </c>
      <c r="M811">
        <f>RAVLT_Rec!N811</f>
        <v>80.5</v>
      </c>
      <c r="O811" t="e">
        <f>ABS(L811-RAVLT_Rec!$C$34)</f>
        <v>#REF!</v>
      </c>
      <c r="P811">
        <f t="shared" si="13"/>
        <v>80.5</v>
      </c>
    </row>
    <row r="812" spans="10:16">
      <c r="J812" s="5"/>
      <c r="L812">
        <f>RAVLT_Rec!M812</f>
        <v>0.893733</v>
      </c>
      <c r="M812">
        <f>RAVLT_Rec!N812</f>
        <v>80.599999999999994</v>
      </c>
      <c r="O812" t="e">
        <f>ABS(L812-RAVLT_Rec!$C$34)</f>
        <v>#REF!</v>
      </c>
      <c r="P812">
        <f t="shared" si="13"/>
        <v>80.599999999999994</v>
      </c>
    </row>
    <row r="813" spans="10:16">
      <c r="J813" s="5"/>
      <c r="L813">
        <f>RAVLT_Rec!M813</f>
        <v>0.90600697200000102</v>
      </c>
      <c r="M813">
        <f>RAVLT_Rec!N813</f>
        <v>80.7</v>
      </c>
      <c r="O813" t="e">
        <f>ABS(L813-RAVLT_Rec!$C$34)</f>
        <v>#REF!</v>
      </c>
      <c r="P813">
        <f t="shared" si="13"/>
        <v>80.7</v>
      </c>
    </row>
    <row r="814" spans="10:16">
      <c r="J814" s="5"/>
      <c r="L814">
        <f>RAVLT_Rec!M814</f>
        <v>0.91841656800000004</v>
      </c>
      <c r="M814">
        <f>RAVLT_Rec!N814</f>
        <v>80.8</v>
      </c>
      <c r="O814" t="e">
        <f>ABS(L814-RAVLT_Rec!$C$34)</f>
        <v>#REF!</v>
      </c>
      <c r="P814">
        <f t="shared" si="13"/>
        <v>80.8</v>
      </c>
    </row>
    <row r="815" spans="10:16">
      <c r="J815" s="5"/>
      <c r="L815">
        <f>RAVLT_Rec!M815</f>
        <v>0.92806604199999998</v>
      </c>
      <c r="M815">
        <f>RAVLT_Rec!N815</f>
        <v>80.900000000000006</v>
      </c>
      <c r="O815" t="e">
        <f>ABS(L815-RAVLT_Rec!$C$34)</f>
        <v>#REF!</v>
      </c>
      <c r="P815">
        <f t="shared" si="13"/>
        <v>80.900000000000006</v>
      </c>
    </row>
    <row r="816" spans="10:16">
      <c r="J816" s="5"/>
      <c r="L816">
        <f>RAVLT_Rec!M816</f>
        <v>0.92972878000000003</v>
      </c>
      <c r="M816">
        <f>RAVLT_Rec!N816</f>
        <v>81</v>
      </c>
      <c r="O816" t="e">
        <f>ABS(L816-RAVLT_Rec!$C$34)</f>
        <v>#REF!</v>
      </c>
      <c r="P816">
        <f t="shared" si="13"/>
        <v>81</v>
      </c>
    </row>
    <row r="817" spans="10:16">
      <c r="J817" s="5"/>
      <c r="L817">
        <f>RAVLT_Rec!M817</f>
        <v>0.93139151799999997</v>
      </c>
      <c r="M817">
        <f>RAVLT_Rec!N817</f>
        <v>81.099999999999994</v>
      </c>
      <c r="O817" t="e">
        <f>ABS(L817-RAVLT_Rec!$C$34)</f>
        <v>#REF!</v>
      </c>
      <c r="P817">
        <f t="shared" si="13"/>
        <v>81.099999999999994</v>
      </c>
    </row>
    <row r="818" spans="10:16">
      <c r="J818" s="5"/>
      <c r="L818">
        <f>RAVLT_Rec!M818</f>
        <v>0.93218199999999996</v>
      </c>
      <c r="M818">
        <f>RAVLT_Rec!N818</f>
        <v>81.2</v>
      </c>
      <c r="O818" t="e">
        <f>ABS(L818-RAVLT_Rec!$C$34)</f>
        <v>#REF!</v>
      </c>
      <c r="P818">
        <f t="shared" si="13"/>
        <v>81.2</v>
      </c>
    </row>
    <row r="819" spans="10:16">
      <c r="J819" s="5"/>
      <c r="L819">
        <f>RAVLT_Rec!M819</f>
        <v>0.93218199999999996</v>
      </c>
      <c r="M819">
        <f>RAVLT_Rec!N819</f>
        <v>81.3</v>
      </c>
      <c r="O819" t="e">
        <f>ABS(L819-RAVLT_Rec!$C$34)</f>
        <v>#REF!</v>
      </c>
      <c r="P819">
        <f t="shared" si="13"/>
        <v>81.3</v>
      </c>
    </row>
    <row r="820" spans="10:16">
      <c r="J820" s="5"/>
      <c r="L820">
        <f>RAVLT_Rec!M820</f>
        <v>0.93218199999999996</v>
      </c>
      <c r="M820">
        <f>RAVLT_Rec!N820</f>
        <v>81.400000000000006</v>
      </c>
      <c r="O820" t="e">
        <f>ABS(L820-RAVLT_Rec!$C$34)</f>
        <v>#REF!</v>
      </c>
      <c r="P820">
        <f t="shared" si="13"/>
        <v>81.400000000000006</v>
      </c>
    </row>
    <row r="821" spans="10:16">
      <c r="J821" s="5"/>
      <c r="L821">
        <f>RAVLT_Rec!M821</f>
        <v>0.94328378000000102</v>
      </c>
      <c r="M821">
        <f>RAVLT_Rec!N821</f>
        <v>81.5</v>
      </c>
      <c r="O821" t="e">
        <f>ABS(L821-RAVLT_Rec!$C$34)</f>
        <v>#REF!</v>
      </c>
      <c r="P821">
        <f t="shared" si="13"/>
        <v>81.5</v>
      </c>
    </row>
    <row r="822" spans="10:16">
      <c r="J822" s="5"/>
      <c r="L822">
        <f>RAVLT_Rec!M822</f>
        <v>0.95729499200000001</v>
      </c>
      <c r="M822">
        <f>RAVLT_Rec!N822</f>
        <v>81.599999999999994</v>
      </c>
      <c r="O822" t="e">
        <f>ABS(L822-RAVLT_Rec!$C$34)</f>
        <v>#REF!</v>
      </c>
      <c r="P822">
        <f t="shared" si="13"/>
        <v>81.599999999999994</v>
      </c>
    </row>
    <row r="823" spans="10:16">
      <c r="J823" s="5"/>
      <c r="L823">
        <f>RAVLT_Rec!M823</f>
        <v>0.97046399999999999</v>
      </c>
      <c r="M823">
        <f>RAVLT_Rec!N823</f>
        <v>81.7</v>
      </c>
      <c r="O823" t="e">
        <f>ABS(L823-RAVLT_Rec!$C$34)</f>
        <v>#REF!</v>
      </c>
      <c r="P823">
        <f t="shared" si="13"/>
        <v>81.7</v>
      </c>
    </row>
    <row r="824" spans="10:16">
      <c r="J824" s="5"/>
      <c r="L824">
        <f>RAVLT_Rec!M824</f>
        <v>0.97046399999999999</v>
      </c>
      <c r="M824">
        <f>RAVLT_Rec!N824</f>
        <v>81.8</v>
      </c>
      <c r="O824" t="e">
        <f>ABS(L824-RAVLT_Rec!$C$34)</f>
        <v>#REF!</v>
      </c>
      <c r="P824">
        <f t="shared" si="13"/>
        <v>81.8</v>
      </c>
    </row>
    <row r="825" spans="10:16">
      <c r="J825" s="5"/>
      <c r="L825">
        <f>RAVLT_Rec!M825</f>
        <v>0.97046399999999999</v>
      </c>
      <c r="M825">
        <f>RAVLT_Rec!N825</f>
        <v>81.900000000000006</v>
      </c>
      <c r="O825" t="e">
        <f>ABS(L825-RAVLT_Rec!$C$34)</f>
        <v>#REF!</v>
      </c>
      <c r="P825">
        <f t="shared" si="13"/>
        <v>81.900000000000006</v>
      </c>
    </row>
    <row r="826" spans="10:16">
      <c r="J826" s="5"/>
      <c r="L826">
        <f>RAVLT_Rec!M826</f>
        <v>0.97491779999999995</v>
      </c>
      <c r="M826">
        <f>RAVLT_Rec!N826</f>
        <v>82</v>
      </c>
      <c r="O826" t="e">
        <f>ABS(L826-RAVLT_Rec!$C$34)</f>
        <v>#REF!</v>
      </c>
      <c r="P826">
        <f t="shared" si="13"/>
        <v>82</v>
      </c>
    </row>
    <row r="827" spans="10:16">
      <c r="J827" s="5"/>
      <c r="L827">
        <f>RAVLT_Rec!M827</f>
        <v>0.98850189000000199</v>
      </c>
      <c r="M827">
        <f>RAVLT_Rec!N827</f>
        <v>82.1</v>
      </c>
      <c r="O827" t="e">
        <f>ABS(L827-RAVLT_Rec!$C$34)</f>
        <v>#REF!</v>
      </c>
      <c r="P827">
        <f t="shared" si="13"/>
        <v>82.1</v>
      </c>
    </row>
    <row r="828" spans="10:16">
      <c r="J828" s="5"/>
      <c r="L828">
        <f>RAVLT_Rec!M828</f>
        <v>1.0020859799999999</v>
      </c>
      <c r="M828">
        <f>RAVLT_Rec!N828</f>
        <v>82.2</v>
      </c>
      <c r="O828" t="e">
        <f>ABS(L828-RAVLT_Rec!$C$34)</f>
        <v>#REF!</v>
      </c>
      <c r="P828">
        <f t="shared" si="13"/>
        <v>82.2</v>
      </c>
    </row>
    <row r="829" spans="10:16">
      <c r="J829" s="5"/>
      <c r="L829">
        <f>RAVLT_Rec!M829</f>
        <v>1.007579</v>
      </c>
      <c r="M829">
        <f>RAVLT_Rec!N829</f>
        <v>82.3</v>
      </c>
      <c r="O829" t="e">
        <f>ABS(L829-RAVLT_Rec!$C$34)</f>
        <v>#REF!</v>
      </c>
      <c r="P829">
        <f t="shared" si="13"/>
        <v>82.3</v>
      </c>
    </row>
    <row r="830" spans="10:16">
      <c r="J830" s="5"/>
      <c r="L830">
        <f>RAVLT_Rec!M830</f>
        <v>1.007579</v>
      </c>
      <c r="M830">
        <f>RAVLT_Rec!N830</f>
        <v>82.4</v>
      </c>
      <c r="O830" t="e">
        <f>ABS(L830-RAVLT_Rec!$C$34)</f>
        <v>#REF!</v>
      </c>
      <c r="P830">
        <f t="shared" si="13"/>
        <v>82.4</v>
      </c>
    </row>
    <row r="831" spans="10:16">
      <c r="J831" s="5"/>
      <c r="L831">
        <f>RAVLT_Rec!M831</f>
        <v>1.007579</v>
      </c>
      <c r="M831">
        <f>RAVLT_Rec!N831</f>
        <v>82.5</v>
      </c>
      <c r="O831" t="e">
        <f>ABS(L831-RAVLT_Rec!$C$34)</f>
        <v>#REF!</v>
      </c>
      <c r="P831">
        <f t="shared" si="13"/>
        <v>82.5</v>
      </c>
    </row>
    <row r="832" spans="10:16">
      <c r="J832" s="5"/>
      <c r="L832">
        <f>RAVLT_Rec!M832</f>
        <v>1.007579</v>
      </c>
      <c r="M832">
        <f>RAVLT_Rec!N832</f>
        <v>82.6</v>
      </c>
      <c r="O832" t="e">
        <f>ABS(L832-RAVLT_Rec!$C$34)</f>
        <v>#REF!</v>
      </c>
      <c r="P832">
        <f t="shared" si="13"/>
        <v>82.6</v>
      </c>
    </row>
    <row r="833" spans="10:16">
      <c r="J833" s="5"/>
      <c r="L833">
        <f>RAVLT_Rec!M833</f>
        <v>1.007579</v>
      </c>
      <c r="M833">
        <f>RAVLT_Rec!N833</f>
        <v>82.7</v>
      </c>
      <c r="O833" t="e">
        <f>ABS(L833-RAVLT_Rec!$C$34)</f>
        <v>#REF!</v>
      </c>
      <c r="P833">
        <f t="shared" si="13"/>
        <v>82.7</v>
      </c>
    </row>
    <row r="834" spans="10:16">
      <c r="J834" s="5"/>
      <c r="L834">
        <f>RAVLT_Rec!M834</f>
        <v>1.0084642159999999</v>
      </c>
      <c r="M834">
        <f>RAVLT_Rec!N834</f>
        <v>82.8</v>
      </c>
      <c r="O834" t="e">
        <f>ABS(L834-RAVLT_Rec!$C$34)</f>
        <v>#REF!</v>
      </c>
      <c r="P834">
        <f t="shared" si="13"/>
        <v>82.8</v>
      </c>
    </row>
    <row r="835" spans="10:16">
      <c r="J835" s="5"/>
      <c r="L835">
        <f>RAVLT_Rec!M835</f>
        <v>1.015213988</v>
      </c>
      <c r="M835">
        <f>RAVLT_Rec!N835</f>
        <v>82.9</v>
      </c>
      <c r="O835" t="e">
        <f>ABS(L835-RAVLT_Rec!$C$34)</f>
        <v>#REF!</v>
      </c>
      <c r="P835">
        <f t="shared" si="13"/>
        <v>82.9</v>
      </c>
    </row>
    <row r="836" spans="10:16">
      <c r="J836" s="5"/>
      <c r="L836">
        <f>RAVLT_Rec!M836</f>
        <v>1.02196376</v>
      </c>
      <c r="M836">
        <f>RAVLT_Rec!N836</f>
        <v>83</v>
      </c>
      <c r="O836" t="e">
        <f>ABS(L836-RAVLT_Rec!$C$34)</f>
        <v>#REF!</v>
      </c>
      <c r="P836">
        <f t="shared" si="13"/>
        <v>83</v>
      </c>
    </row>
    <row r="837" spans="10:16">
      <c r="J837" s="5"/>
      <c r="L837">
        <f>RAVLT_Rec!M837</f>
        <v>1.0260210000000001</v>
      </c>
      <c r="M837">
        <f>RAVLT_Rec!N837</f>
        <v>83.1</v>
      </c>
      <c r="O837" t="e">
        <f>ABS(L837-RAVLT_Rec!$C$34)</f>
        <v>#REF!</v>
      </c>
      <c r="P837">
        <f t="shared" si="13"/>
        <v>83.1</v>
      </c>
    </row>
    <row r="838" spans="10:16">
      <c r="J838" s="5"/>
      <c r="L838">
        <f>RAVLT_Rec!M838</f>
        <v>1.0260210000000001</v>
      </c>
      <c r="M838">
        <f>RAVLT_Rec!N838</f>
        <v>83.2</v>
      </c>
      <c r="O838" t="e">
        <f>ABS(L838-RAVLT_Rec!$C$34)</f>
        <v>#REF!</v>
      </c>
      <c r="P838">
        <f t="shared" si="13"/>
        <v>83.2</v>
      </c>
    </row>
    <row r="839" spans="10:16">
      <c r="J839" s="5"/>
      <c r="L839">
        <f>RAVLT_Rec!M839</f>
        <v>1.0260210000000001</v>
      </c>
      <c r="M839">
        <f>RAVLT_Rec!N839</f>
        <v>83.3</v>
      </c>
      <c r="O839" t="e">
        <f>ABS(L839-RAVLT_Rec!$C$34)</f>
        <v>#REF!</v>
      </c>
      <c r="P839">
        <f t="shared" ref="P839:P902" si="14">M839</f>
        <v>83.3</v>
      </c>
    </row>
    <row r="840" spans="10:16">
      <c r="J840" s="5"/>
      <c r="L840">
        <f>RAVLT_Rec!M840</f>
        <v>1.0260210000000001</v>
      </c>
      <c r="M840">
        <f>RAVLT_Rec!N840</f>
        <v>83.4</v>
      </c>
      <c r="O840" t="e">
        <f>ABS(L840-RAVLT_Rec!$C$34)</f>
        <v>#REF!</v>
      </c>
      <c r="P840">
        <f t="shared" si="14"/>
        <v>83.4</v>
      </c>
    </row>
    <row r="841" spans="10:16">
      <c r="J841" s="5"/>
      <c r="L841">
        <f>RAVLT_Rec!M841</f>
        <v>1.0260210000000001</v>
      </c>
      <c r="M841">
        <f>RAVLT_Rec!N841</f>
        <v>83.5</v>
      </c>
      <c r="O841" t="e">
        <f>ABS(L841-RAVLT_Rec!$C$34)</f>
        <v>#REF!</v>
      </c>
      <c r="P841">
        <f t="shared" si="14"/>
        <v>83.5</v>
      </c>
    </row>
    <row r="842" spans="10:16">
      <c r="J842" s="5"/>
      <c r="L842">
        <f>RAVLT_Rec!M842</f>
        <v>1.0260210000000001</v>
      </c>
      <c r="M842">
        <f>RAVLT_Rec!N842</f>
        <v>83.6</v>
      </c>
      <c r="O842" t="e">
        <f>ABS(L842-RAVLT_Rec!$C$34)</f>
        <v>#REF!</v>
      </c>
      <c r="P842">
        <f t="shared" si="14"/>
        <v>83.6</v>
      </c>
    </row>
    <row r="843" spans="10:16">
      <c r="J843" s="5"/>
      <c r="L843">
        <f>RAVLT_Rec!M843</f>
        <v>1.0316024399999999</v>
      </c>
      <c r="M843">
        <f>RAVLT_Rec!N843</f>
        <v>83.7</v>
      </c>
      <c r="O843" t="e">
        <f>ABS(L843-RAVLT_Rec!$C$34)</f>
        <v>#REF!</v>
      </c>
      <c r="P843">
        <f t="shared" si="14"/>
        <v>83.7</v>
      </c>
    </row>
    <row r="844" spans="10:16">
      <c r="J844" s="5"/>
      <c r="L844">
        <f>RAVLT_Rec!M844</f>
        <v>1.0375755600000001</v>
      </c>
      <c r="M844">
        <f>RAVLT_Rec!N844</f>
        <v>83.8</v>
      </c>
      <c r="O844" t="e">
        <f>ABS(L844-RAVLT_Rec!$C$34)</f>
        <v>#REF!</v>
      </c>
      <c r="P844">
        <f t="shared" si="14"/>
        <v>83.8</v>
      </c>
    </row>
    <row r="845" spans="10:16">
      <c r="J845" s="5"/>
      <c r="L845">
        <f>RAVLT_Rec!M845</f>
        <v>1.042341</v>
      </c>
      <c r="M845">
        <f>RAVLT_Rec!N845</f>
        <v>83.9</v>
      </c>
      <c r="O845" t="e">
        <f>ABS(L845-RAVLT_Rec!$C$34)</f>
        <v>#REF!</v>
      </c>
      <c r="P845">
        <f t="shared" si="14"/>
        <v>83.9</v>
      </c>
    </row>
    <row r="846" spans="10:16">
      <c r="J846" s="5"/>
      <c r="L846">
        <f>RAVLT_Rec!M846</f>
        <v>1.042341</v>
      </c>
      <c r="M846">
        <f>RAVLT_Rec!N846</f>
        <v>84</v>
      </c>
      <c r="O846" t="e">
        <f>ABS(L846-RAVLT_Rec!$C$34)</f>
        <v>#REF!</v>
      </c>
      <c r="P846">
        <f t="shared" si="14"/>
        <v>84</v>
      </c>
    </row>
    <row r="847" spans="10:16">
      <c r="J847" s="5"/>
      <c r="L847">
        <f>RAVLT_Rec!M847</f>
        <v>1.042341</v>
      </c>
      <c r="M847">
        <f>RAVLT_Rec!N847</f>
        <v>84.1</v>
      </c>
      <c r="O847" t="e">
        <f>ABS(L847-RAVLT_Rec!$C$34)</f>
        <v>#REF!</v>
      </c>
      <c r="P847">
        <f t="shared" si="14"/>
        <v>84.1</v>
      </c>
    </row>
    <row r="848" spans="10:16">
      <c r="J848" s="5"/>
      <c r="L848">
        <f>RAVLT_Rec!M848</f>
        <v>1.0439509199999999</v>
      </c>
      <c r="M848">
        <f>RAVLT_Rec!N848</f>
        <v>84.2</v>
      </c>
      <c r="O848" t="e">
        <f>ABS(L848-RAVLT_Rec!$C$34)</f>
        <v>#REF!</v>
      </c>
      <c r="P848">
        <f t="shared" si="14"/>
        <v>84.2</v>
      </c>
    </row>
    <row r="849" spans="10:16">
      <c r="J849" s="5"/>
      <c r="L849">
        <f>RAVLT_Rec!M849</f>
        <v>1.0473766799999999</v>
      </c>
      <c r="M849">
        <f>RAVLT_Rec!N849</f>
        <v>84.3</v>
      </c>
      <c r="O849" t="e">
        <f>ABS(L849-RAVLT_Rec!$C$34)</f>
        <v>#REF!</v>
      </c>
      <c r="P849">
        <f t="shared" si="14"/>
        <v>84.3</v>
      </c>
    </row>
    <row r="850" spans="10:16">
      <c r="J850" s="5"/>
      <c r="L850">
        <f>RAVLT_Rec!M850</f>
        <v>1.05080244</v>
      </c>
      <c r="M850">
        <f>RAVLT_Rec!N850</f>
        <v>84.4</v>
      </c>
      <c r="O850" t="e">
        <f>ABS(L850-RAVLT_Rec!$C$34)</f>
        <v>#REF!</v>
      </c>
      <c r="P850">
        <f t="shared" si="14"/>
        <v>84.4</v>
      </c>
    </row>
    <row r="851" spans="10:16">
      <c r="J851" s="5"/>
      <c r="L851">
        <f>RAVLT_Rec!M851</f>
        <v>1.05464913</v>
      </c>
      <c r="M851">
        <f>RAVLT_Rec!N851</f>
        <v>84.5</v>
      </c>
      <c r="O851" t="e">
        <f>ABS(L851-RAVLT_Rec!$C$34)</f>
        <v>#REF!</v>
      </c>
      <c r="P851">
        <f t="shared" si="14"/>
        <v>84.5</v>
      </c>
    </row>
    <row r="852" spans="10:16">
      <c r="J852" s="5"/>
      <c r="L852">
        <f>RAVLT_Rec!M852</f>
        <v>1.0586454839999999</v>
      </c>
      <c r="M852">
        <f>RAVLT_Rec!N852</f>
        <v>84.6</v>
      </c>
      <c r="O852" t="e">
        <f>ABS(L852-RAVLT_Rec!$C$34)</f>
        <v>#REF!</v>
      </c>
      <c r="P852">
        <f t="shared" si="14"/>
        <v>84.6</v>
      </c>
    </row>
    <row r="853" spans="10:16">
      <c r="J853" s="5"/>
      <c r="L853">
        <f>RAVLT_Rec!M853</f>
        <v>1.0626199999999999</v>
      </c>
      <c r="M853">
        <f>RAVLT_Rec!N853</f>
        <v>84.7</v>
      </c>
      <c r="O853" t="e">
        <f>ABS(L853-RAVLT_Rec!$C$34)</f>
        <v>#REF!</v>
      </c>
      <c r="P853">
        <f t="shared" si="14"/>
        <v>84.7</v>
      </c>
    </row>
    <row r="854" spans="10:16">
      <c r="J854" s="5"/>
      <c r="L854">
        <f>RAVLT_Rec!M854</f>
        <v>1.0626199999999999</v>
      </c>
      <c r="M854">
        <f>RAVLT_Rec!N854</f>
        <v>84.8</v>
      </c>
      <c r="O854" t="e">
        <f>ABS(L854-RAVLT_Rec!$C$34)</f>
        <v>#REF!</v>
      </c>
      <c r="P854">
        <f t="shared" si="14"/>
        <v>84.8</v>
      </c>
    </row>
    <row r="855" spans="10:16">
      <c r="J855" s="5"/>
      <c r="L855">
        <f>RAVLT_Rec!M855</f>
        <v>1.0626199999999999</v>
      </c>
      <c r="M855">
        <f>RAVLT_Rec!N855</f>
        <v>84.9</v>
      </c>
      <c r="O855" t="e">
        <f>ABS(L855-RAVLT_Rec!$C$34)</f>
        <v>#REF!</v>
      </c>
      <c r="P855">
        <f t="shared" si="14"/>
        <v>84.9</v>
      </c>
    </row>
    <row r="856" spans="10:16">
      <c r="J856" s="5"/>
      <c r="L856">
        <f>RAVLT_Rec!M856</f>
        <v>1.0637011999999999</v>
      </c>
      <c r="M856">
        <f>RAVLT_Rec!N856</f>
        <v>85</v>
      </c>
      <c r="O856" t="e">
        <f>ABS(L856-RAVLT_Rec!$C$34)</f>
        <v>#REF!</v>
      </c>
      <c r="P856">
        <f t="shared" si="14"/>
        <v>85</v>
      </c>
    </row>
    <row r="857" spans="10:16">
      <c r="J857" s="5"/>
      <c r="L857">
        <f>RAVLT_Rec!M857</f>
        <v>1.067658392</v>
      </c>
      <c r="M857">
        <f>RAVLT_Rec!N857</f>
        <v>85.1</v>
      </c>
      <c r="O857" t="e">
        <f>ABS(L857-RAVLT_Rec!$C$34)</f>
        <v>#REF!</v>
      </c>
      <c r="P857">
        <f t="shared" si="14"/>
        <v>85.1</v>
      </c>
    </row>
    <row r="858" spans="10:16">
      <c r="J858" s="5"/>
      <c r="L858">
        <f>RAVLT_Rec!M858</f>
        <v>1.0716155839999999</v>
      </c>
      <c r="M858">
        <f>RAVLT_Rec!N858</f>
        <v>85.2</v>
      </c>
      <c r="O858" t="e">
        <f>ABS(L858-RAVLT_Rec!$C$34)</f>
        <v>#REF!</v>
      </c>
      <c r="P858">
        <f t="shared" si="14"/>
        <v>85.2</v>
      </c>
    </row>
    <row r="859" spans="10:16">
      <c r="J859" s="5"/>
      <c r="L859">
        <f>RAVLT_Rec!M859</f>
        <v>1.0734319999999999</v>
      </c>
      <c r="M859">
        <f>RAVLT_Rec!N859</f>
        <v>85.3</v>
      </c>
      <c r="O859" t="e">
        <f>ABS(L859-RAVLT_Rec!$C$34)</f>
        <v>#REF!</v>
      </c>
      <c r="P859">
        <f t="shared" si="14"/>
        <v>85.3</v>
      </c>
    </row>
    <row r="860" spans="10:16">
      <c r="J860" s="5"/>
      <c r="L860">
        <f>RAVLT_Rec!M860</f>
        <v>1.0734319999999999</v>
      </c>
      <c r="M860">
        <f>RAVLT_Rec!N860</f>
        <v>85.4</v>
      </c>
      <c r="O860" t="e">
        <f>ABS(L860-RAVLT_Rec!$C$34)</f>
        <v>#REF!</v>
      </c>
      <c r="P860">
        <f t="shared" si="14"/>
        <v>85.4</v>
      </c>
    </row>
    <row r="861" spans="10:16">
      <c r="J861" s="5"/>
      <c r="L861">
        <f>RAVLT_Rec!M861</f>
        <v>1.0734319999999999</v>
      </c>
      <c r="M861">
        <f>RAVLT_Rec!N861</f>
        <v>85.5</v>
      </c>
      <c r="O861" t="e">
        <f>ABS(L861-RAVLT_Rec!$C$34)</f>
        <v>#REF!</v>
      </c>
      <c r="P861">
        <f t="shared" si="14"/>
        <v>85.5</v>
      </c>
    </row>
    <row r="862" spans="10:16">
      <c r="J862" s="5"/>
      <c r="L862">
        <f>RAVLT_Rec!M862</f>
        <v>1.0734319999999999</v>
      </c>
      <c r="M862">
        <f>RAVLT_Rec!N862</f>
        <v>85.6</v>
      </c>
      <c r="O862" t="e">
        <f>ABS(L862-RAVLT_Rec!$C$34)</f>
        <v>#REF!</v>
      </c>
      <c r="P862">
        <f t="shared" si="14"/>
        <v>85.6</v>
      </c>
    </row>
    <row r="863" spans="10:16">
      <c r="J863" s="5"/>
      <c r="L863">
        <f>RAVLT_Rec!M863</f>
        <v>1.0734319999999999</v>
      </c>
      <c r="M863">
        <f>RAVLT_Rec!N863</f>
        <v>85.7</v>
      </c>
      <c r="O863" t="e">
        <f>ABS(L863-RAVLT_Rec!$C$34)</f>
        <v>#REF!</v>
      </c>
      <c r="P863">
        <f t="shared" si="14"/>
        <v>85.7</v>
      </c>
    </row>
    <row r="864" spans="10:16">
      <c r="J864" s="5"/>
      <c r="L864">
        <f>RAVLT_Rec!M864</f>
        <v>1.0736452480000001</v>
      </c>
      <c r="M864">
        <f>RAVLT_Rec!N864</f>
        <v>85.8</v>
      </c>
      <c r="O864" t="e">
        <f>ABS(L864-RAVLT_Rec!$C$34)</f>
        <v>#REF!</v>
      </c>
      <c r="P864">
        <f t="shared" si="14"/>
        <v>85.8</v>
      </c>
    </row>
    <row r="865" spans="10:16">
      <c r="J865" s="5"/>
      <c r="L865">
        <f>RAVLT_Rec!M865</f>
        <v>1.0764327039999999</v>
      </c>
      <c r="M865">
        <f>RAVLT_Rec!N865</f>
        <v>85.9</v>
      </c>
      <c r="O865" t="e">
        <f>ABS(L865-RAVLT_Rec!$C$34)</f>
        <v>#REF!</v>
      </c>
      <c r="P865">
        <f t="shared" si="14"/>
        <v>85.9</v>
      </c>
    </row>
    <row r="866" spans="10:16">
      <c r="J866" s="5"/>
      <c r="L866">
        <f>RAVLT_Rec!M866</f>
        <v>1.07922016</v>
      </c>
      <c r="M866">
        <f>RAVLT_Rec!N866</f>
        <v>86</v>
      </c>
      <c r="O866" t="e">
        <f>ABS(L866-RAVLT_Rec!$C$34)</f>
        <v>#REF!</v>
      </c>
      <c r="P866">
        <f t="shared" si="14"/>
        <v>86</v>
      </c>
    </row>
    <row r="867" spans="10:16">
      <c r="J867" s="5"/>
      <c r="L867">
        <f>RAVLT_Rec!M867</f>
        <v>1.0833737080000001</v>
      </c>
      <c r="M867">
        <f>RAVLT_Rec!N867</f>
        <v>86.1</v>
      </c>
      <c r="O867" t="e">
        <f>ABS(L867-RAVLT_Rec!$C$34)</f>
        <v>#REF!</v>
      </c>
      <c r="P867">
        <f t="shared" si="14"/>
        <v>86.1</v>
      </c>
    </row>
    <row r="868" spans="10:16">
      <c r="J868" s="5"/>
      <c r="L868">
        <f>RAVLT_Rec!M868</f>
        <v>1.0901293359999999</v>
      </c>
      <c r="M868">
        <f>RAVLT_Rec!N868</f>
        <v>86.2</v>
      </c>
      <c r="O868" t="e">
        <f>ABS(L868-RAVLT_Rec!$C$34)</f>
        <v>#REF!</v>
      </c>
      <c r="P868">
        <f t="shared" si="14"/>
        <v>86.2</v>
      </c>
    </row>
    <row r="869" spans="10:16">
      <c r="J869" s="5"/>
      <c r="L869">
        <f>RAVLT_Rec!M869</f>
        <v>1.096884964</v>
      </c>
      <c r="M869">
        <f>RAVLT_Rec!N869</f>
        <v>86.3</v>
      </c>
      <c r="O869" t="e">
        <f>ABS(L869-RAVLT_Rec!$C$34)</f>
        <v>#REF!</v>
      </c>
      <c r="P869">
        <f t="shared" si="14"/>
        <v>86.3</v>
      </c>
    </row>
    <row r="870" spans="10:16">
      <c r="J870" s="5"/>
      <c r="L870">
        <f>RAVLT_Rec!M870</f>
        <v>1.0995060000000001</v>
      </c>
      <c r="M870">
        <f>RAVLT_Rec!N870</f>
        <v>86.4</v>
      </c>
      <c r="O870" t="e">
        <f>ABS(L870-RAVLT_Rec!$C$34)</f>
        <v>#REF!</v>
      </c>
      <c r="P870">
        <f t="shared" si="14"/>
        <v>86.4</v>
      </c>
    </row>
    <row r="871" spans="10:16">
      <c r="J871" s="5"/>
      <c r="L871">
        <f>RAVLT_Rec!M871</f>
        <v>1.0995060000000001</v>
      </c>
      <c r="M871">
        <f>RAVLT_Rec!N871</f>
        <v>86.5</v>
      </c>
      <c r="O871" t="e">
        <f>ABS(L871-RAVLT_Rec!$C$34)</f>
        <v>#REF!</v>
      </c>
      <c r="P871">
        <f t="shared" si="14"/>
        <v>86.5</v>
      </c>
    </row>
    <row r="872" spans="10:16">
      <c r="J872" s="5"/>
      <c r="L872">
        <f>RAVLT_Rec!M872</f>
        <v>1.0995060000000001</v>
      </c>
      <c r="M872">
        <f>RAVLT_Rec!N872</f>
        <v>86.6</v>
      </c>
      <c r="O872" t="e">
        <f>ABS(L872-RAVLT_Rec!$C$34)</f>
        <v>#REF!</v>
      </c>
      <c r="P872">
        <f t="shared" si="14"/>
        <v>86.6</v>
      </c>
    </row>
    <row r="873" spans="10:16">
      <c r="J873" s="5"/>
      <c r="L873">
        <f>RAVLT_Rec!M873</f>
        <v>1.100996538</v>
      </c>
      <c r="M873">
        <f>RAVLT_Rec!N873</f>
        <v>86.7</v>
      </c>
      <c r="O873" t="e">
        <f>ABS(L873-RAVLT_Rec!$C$34)</f>
        <v>#REF!</v>
      </c>
      <c r="P873">
        <f t="shared" si="14"/>
        <v>86.7</v>
      </c>
    </row>
    <row r="874" spans="10:16">
      <c r="J874" s="5"/>
      <c r="L874">
        <f>RAVLT_Rec!M874</f>
        <v>1.102690752</v>
      </c>
      <c r="M874">
        <f>RAVLT_Rec!N874</f>
        <v>86.8</v>
      </c>
      <c r="O874" t="e">
        <f>ABS(L874-RAVLT_Rec!$C$34)</f>
        <v>#REF!</v>
      </c>
      <c r="P874">
        <f t="shared" si="14"/>
        <v>86.8</v>
      </c>
    </row>
    <row r="875" spans="10:16">
      <c r="J875" s="5"/>
      <c r="L875">
        <f>RAVLT_Rec!M875</f>
        <v>1.1042283660000001</v>
      </c>
      <c r="M875">
        <f>RAVLT_Rec!N875</f>
        <v>86.9</v>
      </c>
      <c r="O875" t="e">
        <f>ABS(L875-RAVLT_Rec!$C$34)</f>
        <v>#REF!</v>
      </c>
      <c r="P875">
        <f t="shared" si="14"/>
        <v>86.9</v>
      </c>
    </row>
    <row r="876" spans="10:16">
      <c r="J876" s="5"/>
      <c r="L876">
        <f>RAVLT_Rec!M876</f>
        <v>1.1048611800000001</v>
      </c>
      <c r="M876">
        <f>RAVLT_Rec!N876</f>
        <v>87</v>
      </c>
      <c r="O876" t="e">
        <f>ABS(L876-RAVLT_Rec!$C$34)</f>
        <v>#REF!</v>
      </c>
      <c r="P876">
        <f t="shared" si="14"/>
        <v>87</v>
      </c>
    </row>
    <row r="877" spans="10:16">
      <c r="J877" s="5"/>
      <c r="L877">
        <f>RAVLT_Rec!M877</f>
        <v>1.1054939939999999</v>
      </c>
      <c r="M877">
        <f>RAVLT_Rec!N877</f>
        <v>87.1</v>
      </c>
      <c r="O877" t="e">
        <f>ABS(L877-RAVLT_Rec!$C$34)</f>
        <v>#REF!</v>
      </c>
      <c r="P877">
        <f t="shared" si="14"/>
        <v>87.1</v>
      </c>
    </row>
    <row r="878" spans="10:16">
      <c r="J878" s="5"/>
      <c r="L878">
        <f>RAVLT_Rec!M878</f>
        <v>1.105864</v>
      </c>
      <c r="M878">
        <f>RAVLT_Rec!N878</f>
        <v>87.2</v>
      </c>
      <c r="O878" t="e">
        <f>ABS(L878-RAVLT_Rec!$C$34)</f>
        <v>#REF!</v>
      </c>
      <c r="P878">
        <f t="shared" si="14"/>
        <v>87.2</v>
      </c>
    </row>
    <row r="879" spans="10:16">
      <c r="J879" s="5"/>
      <c r="L879">
        <f>RAVLT_Rec!M879</f>
        <v>1.105864</v>
      </c>
      <c r="M879">
        <f>RAVLT_Rec!N879</f>
        <v>87.3</v>
      </c>
      <c r="O879" t="e">
        <f>ABS(L879-RAVLT_Rec!$C$34)</f>
        <v>#REF!</v>
      </c>
      <c r="P879">
        <f t="shared" si="14"/>
        <v>87.3</v>
      </c>
    </row>
    <row r="880" spans="10:16">
      <c r="J880" s="5"/>
      <c r="L880">
        <f>RAVLT_Rec!M880</f>
        <v>1.105864</v>
      </c>
      <c r="M880">
        <f>RAVLT_Rec!N880</f>
        <v>87.4</v>
      </c>
      <c r="O880" t="e">
        <f>ABS(L880-RAVLT_Rec!$C$34)</f>
        <v>#REF!</v>
      </c>
      <c r="P880">
        <f t="shared" si="14"/>
        <v>87.4</v>
      </c>
    </row>
    <row r="881" spans="10:16">
      <c r="J881" s="5"/>
      <c r="L881">
        <f>RAVLT_Rec!M881</f>
        <v>1.1092285</v>
      </c>
      <c r="M881">
        <f>RAVLT_Rec!N881</f>
        <v>87.5</v>
      </c>
      <c r="O881" t="e">
        <f>ABS(L881-RAVLT_Rec!$C$34)</f>
        <v>#REF!</v>
      </c>
      <c r="P881">
        <f t="shared" si="14"/>
        <v>87.5</v>
      </c>
    </row>
    <row r="882" spans="10:16">
      <c r="J882" s="5"/>
      <c r="L882">
        <f>RAVLT_Rec!M882</f>
        <v>1.114154128</v>
      </c>
      <c r="M882">
        <f>RAVLT_Rec!N882</f>
        <v>87.6</v>
      </c>
      <c r="O882" t="e">
        <f>ABS(L882-RAVLT_Rec!$C$34)</f>
        <v>#REF!</v>
      </c>
      <c r="P882">
        <f t="shared" si="14"/>
        <v>87.6</v>
      </c>
    </row>
    <row r="883" spans="10:16">
      <c r="J883" s="5"/>
      <c r="L883">
        <f>RAVLT_Rec!M883</f>
        <v>1.1190797560000001</v>
      </c>
      <c r="M883">
        <f>RAVLT_Rec!N883</f>
        <v>87.7</v>
      </c>
      <c r="O883" t="e">
        <f>ABS(L883-RAVLT_Rec!$C$34)</f>
        <v>#REF!</v>
      </c>
      <c r="P883">
        <f t="shared" si="14"/>
        <v>87.7</v>
      </c>
    </row>
    <row r="884" spans="10:16">
      <c r="J884" s="5"/>
      <c r="L884">
        <f>RAVLT_Rec!M884</f>
        <v>1.1193219999999999</v>
      </c>
      <c r="M884">
        <f>RAVLT_Rec!N884</f>
        <v>87.8</v>
      </c>
      <c r="O884" t="e">
        <f>ABS(L884-RAVLT_Rec!$C$34)</f>
        <v>#REF!</v>
      </c>
      <c r="P884">
        <f t="shared" si="14"/>
        <v>87.8</v>
      </c>
    </row>
    <row r="885" spans="10:16">
      <c r="J885" s="5"/>
      <c r="L885">
        <f>RAVLT_Rec!M885</f>
        <v>1.1193219999999999</v>
      </c>
      <c r="M885">
        <f>RAVLT_Rec!N885</f>
        <v>87.9</v>
      </c>
      <c r="O885" t="e">
        <f>ABS(L885-RAVLT_Rec!$C$34)</f>
        <v>#REF!</v>
      </c>
      <c r="P885">
        <f t="shared" si="14"/>
        <v>87.9</v>
      </c>
    </row>
    <row r="886" spans="10:16">
      <c r="J886" s="5"/>
      <c r="L886">
        <f>RAVLT_Rec!M886</f>
        <v>1.1193219999999999</v>
      </c>
      <c r="M886">
        <f>RAVLT_Rec!N886</f>
        <v>88</v>
      </c>
      <c r="O886" t="e">
        <f>ABS(L886-RAVLT_Rec!$C$34)</f>
        <v>#REF!</v>
      </c>
      <c r="P886">
        <f t="shared" si="14"/>
        <v>88</v>
      </c>
    </row>
    <row r="887" spans="10:16">
      <c r="J887" s="5"/>
      <c r="L887">
        <f>RAVLT_Rec!M887</f>
        <v>1.1193219999999999</v>
      </c>
      <c r="M887">
        <f>RAVLT_Rec!N887</f>
        <v>88.1</v>
      </c>
      <c r="O887" t="e">
        <f>ABS(L887-RAVLT_Rec!$C$34)</f>
        <v>#REF!</v>
      </c>
      <c r="P887">
        <f t="shared" si="14"/>
        <v>88.1</v>
      </c>
    </row>
    <row r="888" spans="10:16">
      <c r="J888" s="5"/>
      <c r="L888">
        <f>RAVLT_Rec!M888</f>
        <v>1.1193219999999999</v>
      </c>
      <c r="M888">
        <f>RAVLT_Rec!N888</f>
        <v>88.2</v>
      </c>
      <c r="O888" t="e">
        <f>ABS(L888-RAVLT_Rec!$C$34)</f>
        <v>#REF!</v>
      </c>
      <c r="P888">
        <f t="shared" si="14"/>
        <v>88.2</v>
      </c>
    </row>
    <row r="889" spans="10:16">
      <c r="J889" s="5"/>
      <c r="L889">
        <f>RAVLT_Rec!M889</f>
        <v>1.1214823860000001</v>
      </c>
      <c r="M889">
        <f>RAVLT_Rec!N889</f>
        <v>88.3</v>
      </c>
      <c r="O889" t="e">
        <f>ABS(L889-RAVLT_Rec!$C$34)</f>
        <v>#REF!</v>
      </c>
      <c r="P889">
        <f t="shared" si="14"/>
        <v>88.3</v>
      </c>
    </row>
    <row r="890" spans="10:16">
      <c r="J890" s="5"/>
      <c r="L890">
        <f>RAVLT_Rec!M890</f>
        <v>1.1259245280000001</v>
      </c>
      <c r="M890">
        <f>RAVLT_Rec!N890</f>
        <v>88.4</v>
      </c>
      <c r="O890" t="e">
        <f>ABS(L890-RAVLT_Rec!$C$34)</f>
        <v>#REF!</v>
      </c>
      <c r="P890">
        <f t="shared" si="14"/>
        <v>88.4</v>
      </c>
    </row>
    <row r="891" spans="10:16">
      <c r="J891" s="5"/>
      <c r="L891">
        <f>RAVLT_Rec!M891</f>
        <v>1.1303666699999999</v>
      </c>
      <c r="M891">
        <f>RAVLT_Rec!N891</f>
        <v>88.5</v>
      </c>
      <c r="O891" t="e">
        <f>ABS(L891-RAVLT_Rec!$C$34)</f>
        <v>#REF!</v>
      </c>
      <c r="P891">
        <f t="shared" si="14"/>
        <v>88.5</v>
      </c>
    </row>
    <row r="892" spans="10:16">
      <c r="J892" s="5"/>
      <c r="L892">
        <f>RAVLT_Rec!M892</f>
        <v>1.131459</v>
      </c>
      <c r="M892">
        <f>RAVLT_Rec!N892</f>
        <v>88.6</v>
      </c>
      <c r="O892" t="e">
        <f>ABS(L892-RAVLT_Rec!$C$34)</f>
        <v>#REF!</v>
      </c>
      <c r="P892">
        <f t="shared" si="14"/>
        <v>88.6</v>
      </c>
    </row>
    <row r="893" spans="10:16">
      <c r="J893" s="5"/>
      <c r="L893">
        <f>RAVLT_Rec!M893</f>
        <v>1.131459</v>
      </c>
      <c r="M893">
        <f>RAVLT_Rec!N893</f>
        <v>88.7</v>
      </c>
      <c r="O893" t="e">
        <f>ABS(L893-RAVLT_Rec!$C$34)</f>
        <v>#REF!</v>
      </c>
      <c r="P893">
        <f t="shared" si="14"/>
        <v>88.7</v>
      </c>
    </row>
    <row r="894" spans="10:16">
      <c r="J894" s="5"/>
      <c r="L894">
        <f>RAVLT_Rec!M894</f>
        <v>1.1314625920000001</v>
      </c>
      <c r="M894">
        <f>RAVLT_Rec!N894</f>
        <v>88.8</v>
      </c>
      <c r="O894" t="e">
        <f>ABS(L894-RAVLT_Rec!$C$34)</f>
        <v>#REF!</v>
      </c>
      <c r="P894">
        <f t="shared" si="14"/>
        <v>88.8</v>
      </c>
    </row>
    <row r="895" spans="10:16">
      <c r="J895" s="5"/>
      <c r="L895">
        <f>RAVLT_Rec!M895</f>
        <v>1.131626926</v>
      </c>
      <c r="M895">
        <f>RAVLT_Rec!N895</f>
        <v>88.9</v>
      </c>
      <c r="O895" t="e">
        <f>ABS(L895-RAVLT_Rec!$C$34)</f>
        <v>#REF!</v>
      </c>
      <c r="P895">
        <f t="shared" si="14"/>
        <v>88.9</v>
      </c>
    </row>
    <row r="896" spans="10:16">
      <c r="J896" s="5"/>
      <c r="L896">
        <f>RAVLT_Rec!M896</f>
        <v>1.13179126</v>
      </c>
      <c r="M896">
        <f>RAVLT_Rec!N896</f>
        <v>89</v>
      </c>
      <c r="O896" t="e">
        <f>ABS(L896-RAVLT_Rec!$C$34)</f>
        <v>#REF!</v>
      </c>
      <c r="P896">
        <f t="shared" si="14"/>
        <v>89</v>
      </c>
    </row>
    <row r="897" spans="10:16">
      <c r="J897" s="5"/>
      <c r="L897">
        <f>RAVLT_Rec!M897</f>
        <v>1.1319079999999999</v>
      </c>
      <c r="M897">
        <f>RAVLT_Rec!N897</f>
        <v>89.1</v>
      </c>
      <c r="O897" t="e">
        <f>ABS(L897-RAVLT_Rec!$C$34)</f>
        <v>#REF!</v>
      </c>
      <c r="P897">
        <f t="shared" si="14"/>
        <v>89.1</v>
      </c>
    </row>
    <row r="898" spans="10:16">
      <c r="J898" s="5"/>
      <c r="L898">
        <f>RAVLT_Rec!M898</f>
        <v>1.1319079999999999</v>
      </c>
      <c r="M898">
        <f>RAVLT_Rec!N898</f>
        <v>89.2</v>
      </c>
      <c r="O898" t="e">
        <f>ABS(L898-RAVLT_Rec!$C$34)</f>
        <v>#REF!</v>
      </c>
      <c r="P898">
        <f t="shared" si="14"/>
        <v>89.2</v>
      </c>
    </row>
    <row r="899" spans="10:16">
      <c r="J899" s="5"/>
      <c r="L899">
        <f>RAVLT_Rec!M899</f>
        <v>1.1319079999999999</v>
      </c>
      <c r="M899">
        <f>RAVLT_Rec!N899</f>
        <v>89.3</v>
      </c>
      <c r="O899" t="e">
        <f>ABS(L899-RAVLT_Rec!$C$34)</f>
        <v>#REF!</v>
      </c>
      <c r="P899">
        <f t="shared" si="14"/>
        <v>89.3</v>
      </c>
    </row>
    <row r="900" spans="10:16">
      <c r="J900" s="5"/>
      <c r="L900">
        <f>RAVLT_Rec!M900</f>
        <v>1.1322545959999999</v>
      </c>
      <c r="M900">
        <f>RAVLT_Rec!N900</f>
        <v>89.4</v>
      </c>
      <c r="O900" t="e">
        <f>ABS(L900-RAVLT_Rec!$C$34)</f>
        <v>#REF!</v>
      </c>
      <c r="P900">
        <f t="shared" si="14"/>
        <v>89.4</v>
      </c>
    </row>
    <row r="901" spans="10:16">
      <c r="J901" s="5"/>
      <c r="L901">
        <f>RAVLT_Rec!M901</f>
        <v>1.13287643</v>
      </c>
      <c r="M901">
        <f>RAVLT_Rec!N901</f>
        <v>89.5</v>
      </c>
      <c r="O901" t="e">
        <f>ABS(L901-RAVLT_Rec!$C$34)</f>
        <v>#REF!</v>
      </c>
      <c r="P901">
        <f t="shared" si="14"/>
        <v>89.5</v>
      </c>
    </row>
    <row r="902" spans="10:16">
      <c r="J902" s="5"/>
      <c r="L902">
        <f>RAVLT_Rec!M902</f>
        <v>1.133498264</v>
      </c>
      <c r="M902">
        <f>RAVLT_Rec!N902</f>
        <v>89.6</v>
      </c>
      <c r="O902" t="e">
        <f>ABS(L902-RAVLT_Rec!$C$34)</f>
        <v>#REF!</v>
      </c>
      <c r="P902">
        <f t="shared" si="14"/>
        <v>89.6</v>
      </c>
    </row>
    <row r="903" spans="10:16">
      <c r="J903" s="5"/>
      <c r="L903">
        <f>RAVLT_Rec!M903</f>
        <v>1.133607</v>
      </c>
      <c r="M903">
        <f>RAVLT_Rec!N903</f>
        <v>89.7</v>
      </c>
      <c r="O903" t="e">
        <f>ABS(L903-RAVLT_Rec!$C$34)</f>
        <v>#REF!</v>
      </c>
      <c r="P903">
        <f t="shared" ref="P903:P966" si="15">M903</f>
        <v>89.7</v>
      </c>
    </row>
    <row r="904" spans="10:16">
      <c r="J904" s="5"/>
      <c r="L904">
        <f>RAVLT_Rec!M904</f>
        <v>1.133607</v>
      </c>
      <c r="M904">
        <f>RAVLT_Rec!N904</f>
        <v>89.8</v>
      </c>
      <c r="O904" t="e">
        <f>ABS(L904-RAVLT_Rec!$C$34)</f>
        <v>#REF!</v>
      </c>
      <c r="P904">
        <f t="shared" si="15"/>
        <v>89.8</v>
      </c>
    </row>
    <row r="905" spans="10:16">
      <c r="J905" s="5"/>
      <c r="L905">
        <f>RAVLT_Rec!M905</f>
        <v>1.133712026</v>
      </c>
      <c r="M905">
        <f>RAVLT_Rec!N905</f>
        <v>89.9</v>
      </c>
      <c r="O905" t="e">
        <f>ABS(L905-RAVLT_Rec!$C$34)</f>
        <v>#REF!</v>
      </c>
      <c r="P905">
        <f t="shared" si="15"/>
        <v>89.9</v>
      </c>
    </row>
    <row r="906" spans="10:16">
      <c r="J906" s="5"/>
      <c r="L906">
        <f>RAVLT_Rec!M906</f>
        <v>1.1348426</v>
      </c>
      <c r="M906">
        <f>RAVLT_Rec!N906</f>
        <v>90</v>
      </c>
      <c r="O906" t="e">
        <f>ABS(L906-RAVLT_Rec!$C$34)</f>
        <v>#REF!</v>
      </c>
      <c r="P906">
        <f t="shared" si="15"/>
        <v>90</v>
      </c>
    </row>
    <row r="907" spans="10:16">
      <c r="J907" s="5"/>
      <c r="L907">
        <f>RAVLT_Rec!M907</f>
        <v>1.1359731740000001</v>
      </c>
      <c r="M907">
        <f>RAVLT_Rec!N907</f>
        <v>90.1</v>
      </c>
      <c r="O907" t="e">
        <f>ABS(L907-RAVLT_Rec!$C$34)</f>
        <v>#REF!</v>
      </c>
      <c r="P907">
        <f t="shared" si="15"/>
        <v>90.1</v>
      </c>
    </row>
    <row r="908" spans="10:16">
      <c r="J908" s="5"/>
      <c r="L908">
        <f>RAVLT_Rec!M908</f>
        <v>1.1425227440000001</v>
      </c>
      <c r="M908">
        <f>RAVLT_Rec!N908</f>
        <v>90.2</v>
      </c>
      <c r="O908" t="e">
        <f>ABS(L908-RAVLT_Rec!$C$34)</f>
        <v>#REF!</v>
      </c>
      <c r="P908">
        <f t="shared" si="15"/>
        <v>90.2</v>
      </c>
    </row>
    <row r="909" spans="10:16">
      <c r="J909" s="5"/>
      <c r="L909">
        <f>RAVLT_Rec!M909</f>
        <v>1.1586787160000001</v>
      </c>
      <c r="M909">
        <f>RAVLT_Rec!N909</f>
        <v>90.3</v>
      </c>
      <c r="O909" t="e">
        <f>ABS(L909-RAVLT_Rec!$C$34)</f>
        <v>#REF!</v>
      </c>
      <c r="P909">
        <f t="shared" si="15"/>
        <v>90.3</v>
      </c>
    </row>
    <row r="910" spans="10:16">
      <c r="J910" s="5"/>
      <c r="L910">
        <f>RAVLT_Rec!M910</f>
        <v>1.174834688</v>
      </c>
      <c r="M910">
        <f>RAVLT_Rec!N910</f>
        <v>90.4</v>
      </c>
      <c r="O910" t="e">
        <f>ABS(L910-RAVLT_Rec!$C$34)</f>
        <v>#REF!</v>
      </c>
      <c r="P910">
        <f t="shared" si="15"/>
        <v>90.4</v>
      </c>
    </row>
    <row r="911" spans="10:16">
      <c r="J911" s="5"/>
      <c r="L911">
        <f>RAVLT_Rec!M911</f>
        <v>1.1846615199999999</v>
      </c>
      <c r="M911">
        <f>RAVLT_Rec!N911</f>
        <v>90.5</v>
      </c>
      <c r="O911" t="e">
        <f>ABS(L911-RAVLT_Rec!$C$34)</f>
        <v>#REF!</v>
      </c>
      <c r="P911">
        <f t="shared" si="15"/>
        <v>90.5</v>
      </c>
    </row>
    <row r="912" spans="10:16">
      <c r="J912" s="5"/>
      <c r="L912">
        <f>RAVLT_Rec!M912</f>
        <v>1.1907459039999999</v>
      </c>
      <c r="M912">
        <f>RAVLT_Rec!N912</f>
        <v>90.6</v>
      </c>
      <c r="O912" t="e">
        <f>ABS(L912-RAVLT_Rec!$C$34)</f>
        <v>#REF!</v>
      </c>
      <c r="P912">
        <f t="shared" si="15"/>
        <v>90.6</v>
      </c>
    </row>
    <row r="913" spans="10:16">
      <c r="J913" s="5"/>
      <c r="L913">
        <f>RAVLT_Rec!M913</f>
        <v>1.1968302879999999</v>
      </c>
      <c r="M913">
        <f>RAVLT_Rec!N913</f>
        <v>90.7</v>
      </c>
      <c r="O913" t="e">
        <f>ABS(L913-RAVLT_Rec!$C$34)</f>
        <v>#REF!</v>
      </c>
      <c r="P913">
        <f t="shared" si="15"/>
        <v>90.7</v>
      </c>
    </row>
    <row r="914" spans="10:16">
      <c r="J914" s="5"/>
      <c r="L914">
        <f>RAVLT_Rec!M914</f>
        <v>1.2099276400000001</v>
      </c>
      <c r="M914">
        <f>RAVLT_Rec!N914</f>
        <v>90.8</v>
      </c>
      <c r="O914" t="e">
        <f>ABS(L914-RAVLT_Rec!$C$34)</f>
        <v>#REF!</v>
      </c>
      <c r="P914">
        <f t="shared" si="15"/>
        <v>90.8</v>
      </c>
    </row>
    <row r="915" spans="10:16">
      <c r="J915" s="5"/>
      <c r="L915">
        <f>RAVLT_Rec!M915</f>
        <v>1.2238374700000001</v>
      </c>
      <c r="M915">
        <f>RAVLT_Rec!N915</f>
        <v>90.9</v>
      </c>
      <c r="O915" t="e">
        <f>ABS(L915-RAVLT_Rec!$C$34)</f>
        <v>#REF!</v>
      </c>
      <c r="P915">
        <f t="shared" si="15"/>
        <v>90.9</v>
      </c>
    </row>
    <row r="916" spans="10:16">
      <c r="J916" s="5"/>
      <c r="L916">
        <f>RAVLT_Rec!M916</f>
        <v>1.2354670000000001</v>
      </c>
      <c r="M916">
        <f>RAVLT_Rec!N916</f>
        <v>91</v>
      </c>
      <c r="O916" t="e">
        <f>ABS(L916-RAVLT_Rec!$C$34)</f>
        <v>#REF!</v>
      </c>
      <c r="P916">
        <f t="shared" si="15"/>
        <v>91</v>
      </c>
    </row>
    <row r="917" spans="10:16">
      <c r="J917" s="5"/>
      <c r="L917">
        <f>RAVLT_Rec!M917</f>
        <v>1.2354670000000001</v>
      </c>
      <c r="M917">
        <f>RAVLT_Rec!N917</f>
        <v>91.1</v>
      </c>
      <c r="O917" t="e">
        <f>ABS(L917-RAVLT_Rec!$C$34)</f>
        <v>#REF!</v>
      </c>
      <c r="P917">
        <f t="shared" si="15"/>
        <v>91.1</v>
      </c>
    </row>
    <row r="918" spans="10:16">
      <c r="J918" s="5"/>
      <c r="L918">
        <f>RAVLT_Rec!M918</f>
        <v>1.2354670000000001</v>
      </c>
      <c r="M918">
        <f>RAVLT_Rec!N918</f>
        <v>91.2</v>
      </c>
      <c r="O918" t="e">
        <f>ABS(L918-RAVLT_Rec!$C$34)</f>
        <v>#REF!</v>
      </c>
      <c r="P918">
        <f t="shared" si="15"/>
        <v>91.2</v>
      </c>
    </row>
    <row r="919" spans="10:16">
      <c r="J919" s="5"/>
      <c r="L919">
        <f>RAVLT_Rec!M919</f>
        <v>1.2419127679999999</v>
      </c>
      <c r="M919">
        <f>RAVLT_Rec!N919</f>
        <v>91.3</v>
      </c>
      <c r="O919" t="e">
        <f>ABS(L919-RAVLT_Rec!$C$34)</f>
        <v>#REF!</v>
      </c>
      <c r="P919">
        <f t="shared" si="15"/>
        <v>91.3</v>
      </c>
    </row>
    <row r="920" spans="10:16">
      <c r="J920" s="5"/>
      <c r="L920">
        <f>RAVLT_Rec!M920</f>
        <v>1.256844104</v>
      </c>
      <c r="M920">
        <f>RAVLT_Rec!N920</f>
        <v>91.4</v>
      </c>
      <c r="O920" t="e">
        <f>ABS(L920-RAVLT_Rec!$C$34)</f>
        <v>#REF!</v>
      </c>
      <c r="P920">
        <f t="shared" si="15"/>
        <v>91.4</v>
      </c>
    </row>
    <row r="921" spans="10:16">
      <c r="J921" s="5"/>
      <c r="L921">
        <f>RAVLT_Rec!M921</f>
        <v>1.2717754400000001</v>
      </c>
      <c r="M921">
        <f>RAVLT_Rec!N921</f>
        <v>91.5</v>
      </c>
      <c r="O921" t="e">
        <f>ABS(L921-RAVLT_Rec!$C$34)</f>
        <v>#REF!</v>
      </c>
      <c r="P921">
        <f t="shared" si="15"/>
        <v>91.5</v>
      </c>
    </row>
    <row r="922" spans="10:16">
      <c r="J922" s="5"/>
      <c r="L922">
        <f>RAVLT_Rec!M922</f>
        <v>1.2872809839999999</v>
      </c>
      <c r="M922">
        <f>RAVLT_Rec!N922</f>
        <v>91.6</v>
      </c>
      <c r="O922" t="e">
        <f>ABS(L922-RAVLT_Rec!$C$34)</f>
        <v>#REF!</v>
      </c>
      <c r="P922">
        <f t="shared" si="15"/>
        <v>91.6</v>
      </c>
    </row>
    <row r="923" spans="10:16">
      <c r="J923" s="5"/>
      <c r="L923">
        <f>RAVLT_Rec!M923</f>
        <v>1.3030332579999999</v>
      </c>
      <c r="M923">
        <f>RAVLT_Rec!N923</f>
        <v>91.7</v>
      </c>
      <c r="O923" t="e">
        <f>ABS(L923-RAVLT_Rec!$C$34)</f>
        <v>#REF!</v>
      </c>
      <c r="P923">
        <f t="shared" si="15"/>
        <v>91.7</v>
      </c>
    </row>
    <row r="924" spans="10:16">
      <c r="J924" s="5"/>
      <c r="L924">
        <f>RAVLT_Rec!M924</f>
        <v>1.3187855319999999</v>
      </c>
      <c r="M924">
        <f>RAVLT_Rec!N924</f>
        <v>91.8</v>
      </c>
      <c r="O924" t="e">
        <f>ABS(L924-RAVLT_Rec!$C$34)</f>
        <v>#REF!</v>
      </c>
      <c r="P924">
        <f t="shared" si="15"/>
        <v>91.8</v>
      </c>
    </row>
    <row r="925" spans="10:16">
      <c r="J925" s="5"/>
      <c r="L925">
        <f>RAVLT_Rec!M925</f>
        <v>1.319302</v>
      </c>
      <c r="M925">
        <f>RAVLT_Rec!N925</f>
        <v>91.9</v>
      </c>
      <c r="O925" t="e">
        <f>ABS(L925-RAVLT_Rec!$C$34)</f>
        <v>#REF!</v>
      </c>
      <c r="P925">
        <f t="shared" si="15"/>
        <v>91.9</v>
      </c>
    </row>
    <row r="926" spans="10:16">
      <c r="J926" s="5"/>
      <c r="L926">
        <f>RAVLT_Rec!M926</f>
        <v>1.319302</v>
      </c>
      <c r="M926">
        <f>RAVLT_Rec!N926</f>
        <v>92</v>
      </c>
      <c r="O926" t="e">
        <f>ABS(L926-RAVLT_Rec!$C$34)</f>
        <v>#REF!</v>
      </c>
      <c r="P926">
        <f t="shared" si="15"/>
        <v>92</v>
      </c>
    </row>
    <row r="927" spans="10:16">
      <c r="J927" s="5"/>
      <c r="L927">
        <f>RAVLT_Rec!M927</f>
        <v>1.32224535</v>
      </c>
      <c r="M927">
        <f>RAVLT_Rec!N927</f>
        <v>92.1</v>
      </c>
      <c r="O927" t="e">
        <f>ABS(L927-RAVLT_Rec!$C$34)</f>
        <v>#REF!</v>
      </c>
      <c r="P927">
        <f t="shared" si="15"/>
        <v>92.1</v>
      </c>
    </row>
    <row r="928" spans="10:16">
      <c r="J928" s="5"/>
      <c r="L928">
        <f>RAVLT_Rec!M928</f>
        <v>1.3347716999999999</v>
      </c>
      <c r="M928">
        <f>RAVLT_Rec!N928</f>
        <v>92.2</v>
      </c>
      <c r="O928" t="e">
        <f>ABS(L928-RAVLT_Rec!$C$34)</f>
        <v>#REF!</v>
      </c>
      <c r="P928">
        <f t="shared" si="15"/>
        <v>92.2</v>
      </c>
    </row>
    <row r="929" spans="10:16">
      <c r="J929" s="5"/>
      <c r="L929">
        <f>RAVLT_Rec!M929</f>
        <v>1.34729805</v>
      </c>
      <c r="M929">
        <f>RAVLT_Rec!N929</f>
        <v>92.3</v>
      </c>
      <c r="O929" t="e">
        <f>ABS(L929-RAVLT_Rec!$C$34)</f>
        <v>#REF!</v>
      </c>
      <c r="P929">
        <f t="shared" si="15"/>
        <v>92.3</v>
      </c>
    </row>
    <row r="930" spans="10:16">
      <c r="J930" s="5"/>
      <c r="L930">
        <f>RAVLT_Rec!M930</f>
        <v>1.3535269999999999</v>
      </c>
      <c r="M930">
        <f>RAVLT_Rec!N930</f>
        <v>92.4</v>
      </c>
      <c r="O930" t="e">
        <f>ABS(L930-RAVLT_Rec!$C$34)</f>
        <v>#REF!</v>
      </c>
      <c r="P930">
        <f t="shared" si="15"/>
        <v>92.4</v>
      </c>
    </row>
    <row r="931" spans="10:16">
      <c r="J931" s="5"/>
      <c r="L931">
        <f>RAVLT_Rec!M931</f>
        <v>1.3535269999999999</v>
      </c>
      <c r="M931">
        <f>RAVLT_Rec!N931</f>
        <v>92.5</v>
      </c>
      <c r="O931" t="e">
        <f>ABS(L931-RAVLT_Rec!$C$34)</f>
        <v>#REF!</v>
      </c>
      <c r="P931">
        <f t="shared" si="15"/>
        <v>92.5</v>
      </c>
    </row>
    <row r="932" spans="10:16">
      <c r="J932" s="5"/>
      <c r="L932">
        <f>RAVLT_Rec!M932</f>
        <v>1.3535269999999999</v>
      </c>
      <c r="M932">
        <f>RAVLT_Rec!N932</f>
        <v>92.6</v>
      </c>
      <c r="O932" t="e">
        <f>ABS(L932-RAVLT_Rec!$C$34)</f>
        <v>#REF!</v>
      </c>
      <c r="P932">
        <f t="shared" si="15"/>
        <v>92.6</v>
      </c>
    </row>
    <row r="933" spans="10:16">
      <c r="J933" s="5"/>
      <c r="L933">
        <f>RAVLT_Rec!M933</f>
        <v>1.367918306</v>
      </c>
      <c r="M933">
        <f>RAVLT_Rec!N933</f>
        <v>92.7</v>
      </c>
      <c r="O933" t="e">
        <f>ABS(L933-RAVLT_Rec!$C$34)</f>
        <v>#REF!</v>
      </c>
      <c r="P933">
        <f t="shared" si="15"/>
        <v>92.7</v>
      </c>
    </row>
    <row r="934" spans="10:16">
      <c r="J934" s="5"/>
      <c r="L934">
        <f>RAVLT_Rec!M934</f>
        <v>1.386596384</v>
      </c>
      <c r="M934">
        <f>RAVLT_Rec!N934</f>
        <v>92.8</v>
      </c>
      <c r="O934" t="e">
        <f>ABS(L934-RAVLT_Rec!$C$34)</f>
        <v>#REF!</v>
      </c>
      <c r="P934">
        <f t="shared" si="15"/>
        <v>92.8</v>
      </c>
    </row>
    <row r="935" spans="10:16">
      <c r="J935" s="5"/>
      <c r="L935">
        <f>RAVLT_Rec!M935</f>
        <v>1.404622174</v>
      </c>
      <c r="M935">
        <f>RAVLT_Rec!N935</f>
        <v>92.9</v>
      </c>
      <c r="O935" t="e">
        <f>ABS(L935-RAVLT_Rec!$C$34)</f>
        <v>#REF!</v>
      </c>
      <c r="P935">
        <f t="shared" si="15"/>
        <v>92.9</v>
      </c>
    </row>
    <row r="936" spans="10:16">
      <c r="J936" s="5"/>
      <c r="L936">
        <f>RAVLT_Rec!M936</f>
        <v>1.4062475800000001</v>
      </c>
      <c r="M936">
        <f>RAVLT_Rec!N936</f>
        <v>93</v>
      </c>
      <c r="O936" t="e">
        <f>ABS(L936-RAVLT_Rec!$C$34)</f>
        <v>#REF!</v>
      </c>
      <c r="P936">
        <f t="shared" si="15"/>
        <v>93</v>
      </c>
    </row>
    <row r="937" spans="10:16">
      <c r="J937" s="5"/>
      <c r="L937">
        <f>RAVLT_Rec!M937</f>
        <v>1.4078729860000001</v>
      </c>
      <c r="M937">
        <f>RAVLT_Rec!N937</f>
        <v>93.1</v>
      </c>
      <c r="O937" t="e">
        <f>ABS(L937-RAVLT_Rec!$C$34)</f>
        <v>#REF!</v>
      </c>
      <c r="P937">
        <f t="shared" si="15"/>
        <v>93.1</v>
      </c>
    </row>
    <row r="938" spans="10:16">
      <c r="J938" s="5"/>
      <c r="L938">
        <f>RAVLT_Rec!M938</f>
        <v>1.4090009999999999</v>
      </c>
      <c r="M938">
        <f>RAVLT_Rec!N938</f>
        <v>93.2</v>
      </c>
      <c r="O938" t="e">
        <f>ABS(L938-RAVLT_Rec!$C$34)</f>
        <v>#REF!</v>
      </c>
      <c r="P938">
        <f t="shared" si="15"/>
        <v>93.2</v>
      </c>
    </row>
    <row r="939" spans="10:16">
      <c r="J939" s="5"/>
      <c r="L939">
        <f>RAVLT_Rec!M939</f>
        <v>1.4090009999999999</v>
      </c>
      <c r="M939">
        <f>RAVLT_Rec!N939</f>
        <v>93.3</v>
      </c>
      <c r="O939" t="e">
        <f>ABS(L939-RAVLT_Rec!$C$34)</f>
        <v>#REF!</v>
      </c>
      <c r="P939">
        <f t="shared" si="15"/>
        <v>93.3</v>
      </c>
    </row>
    <row r="940" spans="10:16">
      <c r="J940" s="5"/>
      <c r="L940">
        <f>RAVLT_Rec!M940</f>
        <v>1.4090009999999999</v>
      </c>
      <c r="M940">
        <f>RAVLT_Rec!N940</f>
        <v>93.4</v>
      </c>
      <c r="O940" t="e">
        <f>ABS(L940-RAVLT_Rec!$C$34)</f>
        <v>#REF!</v>
      </c>
      <c r="P940">
        <f t="shared" si="15"/>
        <v>93.4</v>
      </c>
    </row>
    <row r="941" spans="10:16">
      <c r="J941" s="5"/>
      <c r="L941">
        <f>RAVLT_Rec!M941</f>
        <v>1.41835209</v>
      </c>
      <c r="M941">
        <f>RAVLT_Rec!N941</f>
        <v>93.5</v>
      </c>
      <c r="O941" t="e">
        <f>ABS(L941-RAVLT_Rec!$C$34)</f>
        <v>#REF!</v>
      </c>
      <c r="P941">
        <f t="shared" si="15"/>
        <v>93.5</v>
      </c>
    </row>
    <row r="942" spans="10:16">
      <c r="J942" s="5"/>
      <c r="L942">
        <f>RAVLT_Rec!M942</f>
        <v>1.4346497039999999</v>
      </c>
      <c r="M942">
        <f>RAVLT_Rec!N942</f>
        <v>93.6</v>
      </c>
      <c r="O942" t="e">
        <f>ABS(L942-RAVLT_Rec!$C$34)</f>
        <v>#REF!</v>
      </c>
      <c r="P942">
        <f t="shared" si="15"/>
        <v>93.6</v>
      </c>
    </row>
    <row r="943" spans="10:16">
      <c r="J943" s="5"/>
      <c r="L943">
        <f>RAVLT_Rec!M943</f>
        <v>1.4509473180000001</v>
      </c>
      <c r="M943">
        <f>RAVLT_Rec!N943</f>
        <v>93.7</v>
      </c>
      <c r="O943" t="e">
        <f>ABS(L943-RAVLT_Rec!$C$34)</f>
        <v>#REF!</v>
      </c>
      <c r="P943">
        <f t="shared" si="15"/>
        <v>93.7</v>
      </c>
    </row>
    <row r="944" spans="10:16">
      <c r="J944" s="5"/>
      <c r="L944">
        <f>RAVLT_Rec!M944</f>
        <v>1.45353</v>
      </c>
      <c r="M944">
        <f>RAVLT_Rec!N944</f>
        <v>93.8</v>
      </c>
      <c r="O944" t="e">
        <f>ABS(L944-RAVLT_Rec!$C$34)</f>
        <v>#REF!</v>
      </c>
      <c r="P944">
        <f t="shared" si="15"/>
        <v>93.8</v>
      </c>
    </row>
    <row r="945" spans="10:16">
      <c r="J945" s="5"/>
      <c r="L945">
        <f>RAVLT_Rec!M945</f>
        <v>1.45353</v>
      </c>
      <c r="M945">
        <f>RAVLT_Rec!N945</f>
        <v>93.9</v>
      </c>
      <c r="O945" t="e">
        <f>ABS(L945-RAVLT_Rec!$C$34)</f>
        <v>#REF!</v>
      </c>
      <c r="P945">
        <f t="shared" si="15"/>
        <v>93.9</v>
      </c>
    </row>
    <row r="946" spans="10:16">
      <c r="J946" s="5"/>
      <c r="L946">
        <f>RAVLT_Rec!M946</f>
        <v>1.45522884</v>
      </c>
      <c r="M946">
        <f>RAVLT_Rec!N946</f>
        <v>94</v>
      </c>
      <c r="O946" t="e">
        <f>ABS(L946-RAVLT_Rec!$C$34)</f>
        <v>#REF!</v>
      </c>
      <c r="P946">
        <f t="shared" si="15"/>
        <v>94</v>
      </c>
    </row>
    <row r="947" spans="10:16">
      <c r="J947" s="5"/>
      <c r="L947">
        <f>RAVLT_Rec!M947</f>
        <v>1.4707732259999999</v>
      </c>
      <c r="M947">
        <f>RAVLT_Rec!N947</f>
        <v>94.1</v>
      </c>
      <c r="O947" t="e">
        <f>ABS(L947-RAVLT_Rec!$C$34)</f>
        <v>#REF!</v>
      </c>
      <c r="P947">
        <f t="shared" si="15"/>
        <v>94.1</v>
      </c>
    </row>
    <row r="948" spans="10:16">
      <c r="J948" s="5"/>
      <c r="L948">
        <f>RAVLT_Rec!M948</f>
        <v>1.4863176119999999</v>
      </c>
      <c r="M948">
        <f>RAVLT_Rec!N948</f>
        <v>94.2</v>
      </c>
      <c r="O948" t="e">
        <f>ABS(L948-RAVLT_Rec!$C$34)</f>
        <v>#REF!</v>
      </c>
      <c r="P948">
        <f t="shared" si="15"/>
        <v>94.2</v>
      </c>
    </row>
    <row r="949" spans="10:16">
      <c r="J949" s="5"/>
      <c r="L949">
        <f>RAVLT_Rec!M949</f>
        <v>1.4960009999999999</v>
      </c>
      <c r="M949">
        <f>RAVLT_Rec!N949</f>
        <v>94.3</v>
      </c>
      <c r="O949" t="e">
        <f>ABS(L949-RAVLT_Rec!$C$34)</f>
        <v>#REF!</v>
      </c>
      <c r="P949">
        <f t="shared" si="15"/>
        <v>94.3</v>
      </c>
    </row>
    <row r="950" spans="10:16">
      <c r="J950" s="5"/>
      <c r="L950">
        <f>RAVLT_Rec!M950</f>
        <v>1.4960009999999999</v>
      </c>
      <c r="M950">
        <f>RAVLT_Rec!N950</f>
        <v>94.4</v>
      </c>
      <c r="O950" t="e">
        <f>ABS(L950-RAVLT_Rec!$C$34)</f>
        <v>#REF!</v>
      </c>
      <c r="P950">
        <f t="shared" si="15"/>
        <v>94.4</v>
      </c>
    </row>
    <row r="951" spans="10:16">
      <c r="J951" s="5"/>
      <c r="L951">
        <f>RAVLT_Rec!M951</f>
        <v>1.4960009999999999</v>
      </c>
      <c r="M951">
        <f>RAVLT_Rec!N951</f>
        <v>94.5</v>
      </c>
      <c r="O951" t="e">
        <f>ABS(L951-RAVLT_Rec!$C$34)</f>
        <v>#REF!</v>
      </c>
      <c r="P951">
        <f t="shared" si="15"/>
        <v>94.5</v>
      </c>
    </row>
    <row r="952" spans="10:16">
      <c r="J952" s="5"/>
      <c r="L952">
        <f>RAVLT_Rec!M952</f>
        <v>1.4960009999999999</v>
      </c>
      <c r="M952">
        <f>RAVLT_Rec!N952</f>
        <v>94.6</v>
      </c>
      <c r="O952" t="e">
        <f>ABS(L952-RAVLT_Rec!$C$34)</f>
        <v>#REF!</v>
      </c>
      <c r="P952">
        <f t="shared" si="15"/>
        <v>94.6</v>
      </c>
    </row>
    <row r="953" spans="10:16">
      <c r="J953" s="5"/>
      <c r="L953">
        <f>RAVLT_Rec!M953</f>
        <v>1.4960009999999999</v>
      </c>
      <c r="M953">
        <f>RAVLT_Rec!N953</f>
        <v>94.7</v>
      </c>
      <c r="O953" t="e">
        <f>ABS(L953-RAVLT_Rec!$C$34)</f>
        <v>#REF!</v>
      </c>
      <c r="P953">
        <f t="shared" si="15"/>
        <v>94.7</v>
      </c>
    </row>
    <row r="954" spans="10:16">
      <c r="J954" s="5"/>
      <c r="L954">
        <f>RAVLT_Rec!M954</f>
        <v>1.4960009999999999</v>
      </c>
      <c r="M954">
        <f>RAVLT_Rec!N954</f>
        <v>94.8</v>
      </c>
      <c r="O954" t="e">
        <f>ABS(L954-RAVLT_Rec!$C$34)</f>
        <v>#REF!</v>
      </c>
      <c r="P954">
        <f t="shared" si="15"/>
        <v>94.8</v>
      </c>
    </row>
    <row r="955" spans="10:16">
      <c r="J955" s="5"/>
      <c r="L955">
        <f>RAVLT_Rec!M955</f>
        <v>1.4960009999999999</v>
      </c>
      <c r="M955">
        <f>RAVLT_Rec!N955</f>
        <v>94.9</v>
      </c>
      <c r="O955" t="e">
        <f>ABS(L955-RAVLT_Rec!$C$34)</f>
        <v>#REF!</v>
      </c>
      <c r="P955">
        <f t="shared" si="15"/>
        <v>94.9</v>
      </c>
    </row>
    <row r="956" spans="10:16">
      <c r="J956" s="5"/>
      <c r="L956">
        <f>RAVLT_Rec!M956</f>
        <v>1.4960009999999999</v>
      </c>
      <c r="M956">
        <f>RAVLT_Rec!N956</f>
        <v>95</v>
      </c>
      <c r="O956" t="e">
        <f>ABS(L956-RAVLT_Rec!$C$34)</f>
        <v>#REF!</v>
      </c>
      <c r="P956">
        <f t="shared" si="15"/>
        <v>95</v>
      </c>
    </row>
    <row r="957" spans="10:16">
      <c r="J957" s="5"/>
      <c r="L957">
        <f>RAVLT_Rec!M957</f>
        <v>1.4960009999999999</v>
      </c>
      <c r="M957">
        <f>RAVLT_Rec!N957</f>
        <v>95.1</v>
      </c>
      <c r="O957" t="e">
        <f>ABS(L957-RAVLT_Rec!$C$34)</f>
        <v>#REF!</v>
      </c>
      <c r="P957">
        <f t="shared" si="15"/>
        <v>95.1</v>
      </c>
    </row>
    <row r="958" spans="10:16">
      <c r="J958" s="5"/>
      <c r="L958">
        <f>RAVLT_Rec!M958</f>
        <v>1.4960009999999999</v>
      </c>
      <c r="M958">
        <f>RAVLT_Rec!N958</f>
        <v>95.2</v>
      </c>
      <c r="O958" t="e">
        <f>ABS(L958-RAVLT_Rec!$C$34)</f>
        <v>#REF!</v>
      </c>
      <c r="P958">
        <f t="shared" si="15"/>
        <v>95.2</v>
      </c>
    </row>
    <row r="959" spans="10:16">
      <c r="J959" s="5"/>
      <c r="L959">
        <f>RAVLT_Rec!M959</f>
        <v>1.4960009999999999</v>
      </c>
      <c r="M959">
        <f>RAVLT_Rec!N959</f>
        <v>95.3</v>
      </c>
      <c r="O959" t="e">
        <f>ABS(L959-RAVLT_Rec!$C$34)</f>
        <v>#REF!</v>
      </c>
      <c r="P959">
        <f t="shared" si="15"/>
        <v>95.3</v>
      </c>
    </row>
    <row r="960" spans="10:16">
      <c r="J960" s="5"/>
      <c r="L960">
        <f>RAVLT_Rec!M960</f>
        <v>1.496545808</v>
      </c>
      <c r="M960">
        <f>RAVLT_Rec!N960</f>
        <v>95.4</v>
      </c>
      <c r="O960" t="e">
        <f>ABS(L960-RAVLT_Rec!$C$34)</f>
        <v>#REF!</v>
      </c>
      <c r="P960">
        <f t="shared" si="15"/>
        <v>95.4</v>
      </c>
    </row>
    <row r="961" spans="10:16">
      <c r="J961" s="5"/>
      <c r="L961">
        <f>RAVLT_Rec!M961</f>
        <v>1.4977616600000001</v>
      </c>
      <c r="M961">
        <f>RAVLT_Rec!N961</f>
        <v>95.5</v>
      </c>
      <c r="O961" t="e">
        <f>ABS(L961-RAVLT_Rec!$C$34)</f>
        <v>#REF!</v>
      </c>
      <c r="P961">
        <f t="shared" si="15"/>
        <v>95.5</v>
      </c>
    </row>
    <row r="962" spans="10:16">
      <c r="J962" s="5"/>
      <c r="L962">
        <f>RAVLT_Rec!M962</f>
        <v>1.498977512</v>
      </c>
      <c r="M962">
        <f>RAVLT_Rec!N962</f>
        <v>95.6</v>
      </c>
      <c r="O962" t="e">
        <f>ABS(L962-RAVLT_Rec!$C$34)</f>
        <v>#REF!</v>
      </c>
      <c r="P962">
        <f t="shared" si="15"/>
        <v>95.6</v>
      </c>
    </row>
    <row r="963" spans="10:16">
      <c r="J963" s="5"/>
      <c r="L963">
        <f>RAVLT_Rec!M963</f>
        <v>1.508600682</v>
      </c>
      <c r="M963">
        <f>RAVLT_Rec!N963</f>
        <v>95.7</v>
      </c>
      <c r="O963" t="e">
        <f>ABS(L963-RAVLT_Rec!$C$34)</f>
        <v>#REF!</v>
      </c>
      <c r="P963">
        <f t="shared" si="15"/>
        <v>95.7</v>
      </c>
    </row>
    <row r="964" spans="10:16">
      <c r="J964" s="5"/>
      <c r="L964">
        <f>RAVLT_Rec!M964</f>
        <v>1.521561108</v>
      </c>
      <c r="M964">
        <f>RAVLT_Rec!N964</f>
        <v>95.8</v>
      </c>
      <c r="O964" t="e">
        <f>ABS(L964-RAVLT_Rec!$C$34)</f>
        <v>#REF!</v>
      </c>
      <c r="P964">
        <f t="shared" si="15"/>
        <v>95.8</v>
      </c>
    </row>
    <row r="965" spans="10:16">
      <c r="J965" s="5"/>
      <c r="L965">
        <f>RAVLT_Rec!M965</f>
        <v>1.534521534</v>
      </c>
      <c r="M965">
        <f>RAVLT_Rec!N965</f>
        <v>95.9</v>
      </c>
      <c r="O965" t="e">
        <f>ABS(L965-RAVLT_Rec!$C$34)</f>
        <v>#REF!</v>
      </c>
      <c r="P965">
        <f t="shared" si="15"/>
        <v>95.9</v>
      </c>
    </row>
    <row r="966" spans="10:16">
      <c r="J966" s="5"/>
      <c r="L966">
        <f>RAVLT_Rec!M966</f>
        <v>1.534734</v>
      </c>
      <c r="M966">
        <f>RAVLT_Rec!N966</f>
        <v>96</v>
      </c>
      <c r="O966" t="e">
        <f>ABS(L966-RAVLT_Rec!$C$34)</f>
        <v>#REF!</v>
      </c>
      <c r="P966">
        <f t="shared" si="15"/>
        <v>96</v>
      </c>
    </row>
    <row r="967" spans="10:16">
      <c r="J967" s="5"/>
      <c r="L967">
        <f>RAVLT_Rec!M967</f>
        <v>1.534734</v>
      </c>
      <c r="M967">
        <f>RAVLT_Rec!N967</f>
        <v>96.1</v>
      </c>
      <c r="O967" t="e">
        <f>ABS(L967-RAVLT_Rec!$C$34)</f>
        <v>#REF!</v>
      </c>
      <c r="P967">
        <f t="shared" ref="P967:P1006" si="16">M967</f>
        <v>96.1</v>
      </c>
    </row>
    <row r="968" spans="10:16">
      <c r="J968" s="5"/>
      <c r="L968">
        <f>RAVLT_Rec!M968</f>
        <v>1.534734</v>
      </c>
      <c r="M968">
        <f>RAVLT_Rec!N968</f>
        <v>96.2</v>
      </c>
      <c r="O968" t="e">
        <f>ABS(L968-RAVLT_Rec!$C$34)</f>
        <v>#REF!</v>
      </c>
      <c r="P968">
        <f t="shared" si="16"/>
        <v>96.2</v>
      </c>
    </row>
    <row r="969" spans="10:16">
      <c r="J969" s="5"/>
      <c r="L969">
        <f>RAVLT_Rec!M969</f>
        <v>1.534734</v>
      </c>
      <c r="M969">
        <f>RAVLT_Rec!N969</f>
        <v>96.3</v>
      </c>
      <c r="O969" t="e">
        <f>ABS(L969-RAVLT_Rec!$C$34)</f>
        <v>#REF!</v>
      </c>
      <c r="P969">
        <f t="shared" si="16"/>
        <v>96.3</v>
      </c>
    </row>
    <row r="970" spans="10:16">
      <c r="J970" s="5"/>
      <c r="L970">
        <f>RAVLT_Rec!M970</f>
        <v>1.534734</v>
      </c>
      <c r="M970">
        <f>RAVLT_Rec!N970</f>
        <v>96.4</v>
      </c>
      <c r="O970" t="e">
        <f>ABS(L970-RAVLT_Rec!$C$34)</f>
        <v>#REF!</v>
      </c>
      <c r="P970">
        <f t="shared" si="16"/>
        <v>96.4</v>
      </c>
    </row>
    <row r="971" spans="10:16">
      <c r="J971" s="5"/>
      <c r="L971">
        <f>RAVLT_Rec!M971</f>
        <v>1.53569179</v>
      </c>
      <c r="M971">
        <f>RAVLT_Rec!N971</f>
        <v>96.5</v>
      </c>
      <c r="O971" t="e">
        <f>ABS(L971-RAVLT_Rec!$C$34)</f>
        <v>#REF!</v>
      </c>
      <c r="P971">
        <f t="shared" si="16"/>
        <v>96.5</v>
      </c>
    </row>
    <row r="972" spans="10:16">
      <c r="J972" s="5"/>
      <c r="L972">
        <f>RAVLT_Rec!M972</f>
        <v>1.5375367959999999</v>
      </c>
      <c r="M972">
        <f>RAVLT_Rec!N972</f>
        <v>96.6</v>
      </c>
      <c r="O972" t="e">
        <f>ABS(L972-RAVLT_Rec!$C$34)</f>
        <v>#REF!</v>
      </c>
      <c r="P972">
        <f t="shared" si="16"/>
        <v>96.6</v>
      </c>
    </row>
    <row r="973" spans="10:16">
      <c r="J973" s="5"/>
      <c r="L973">
        <f>RAVLT_Rec!M973</f>
        <v>1.5393818020000001</v>
      </c>
      <c r="M973">
        <f>RAVLT_Rec!N973</f>
        <v>96.7</v>
      </c>
      <c r="O973" t="e">
        <f>ABS(L973-RAVLT_Rec!$C$34)</f>
        <v>#REF!</v>
      </c>
      <c r="P973">
        <f t="shared" si="16"/>
        <v>96.7</v>
      </c>
    </row>
    <row r="974" spans="10:16">
      <c r="J974" s="5"/>
      <c r="L974">
        <f>RAVLT_Rec!M974</f>
        <v>1.5478770159999999</v>
      </c>
      <c r="M974">
        <f>RAVLT_Rec!N974</f>
        <v>96.8</v>
      </c>
      <c r="O974" t="e">
        <f>ABS(L974-RAVLT_Rec!$C$34)</f>
        <v>#REF!</v>
      </c>
      <c r="P974">
        <f t="shared" si="16"/>
        <v>96.8</v>
      </c>
    </row>
    <row r="975" spans="10:16">
      <c r="J975" s="5"/>
      <c r="L975">
        <f>RAVLT_Rec!M975</f>
        <v>1.5581733280000001</v>
      </c>
      <c r="M975">
        <f>RAVLT_Rec!N975</f>
        <v>96.9</v>
      </c>
      <c r="O975" t="e">
        <f>ABS(L975-RAVLT_Rec!$C$34)</f>
        <v>#REF!</v>
      </c>
      <c r="P975">
        <f t="shared" si="16"/>
        <v>96.9</v>
      </c>
    </row>
    <row r="976" spans="10:16">
      <c r="J976" s="5"/>
      <c r="L976">
        <f>RAVLT_Rec!M976</f>
        <v>1.5679069999999999</v>
      </c>
      <c r="M976">
        <f>RAVLT_Rec!N976</f>
        <v>97</v>
      </c>
      <c r="O976" t="e">
        <f>ABS(L976-RAVLT_Rec!$C$34)</f>
        <v>#REF!</v>
      </c>
      <c r="P976">
        <f t="shared" si="16"/>
        <v>97</v>
      </c>
    </row>
    <row r="977" spans="10:16">
      <c r="J977" s="5"/>
      <c r="L977">
        <f>RAVLT_Rec!M977</f>
        <v>1.5679069999999999</v>
      </c>
      <c r="M977">
        <f>RAVLT_Rec!N977</f>
        <v>97.1</v>
      </c>
      <c r="O977" t="e">
        <f>ABS(L977-RAVLT_Rec!$C$34)</f>
        <v>#REF!</v>
      </c>
      <c r="P977">
        <f t="shared" si="16"/>
        <v>97.1</v>
      </c>
    </row>
    <row r="978" spans="10:16">
      <c r="J978" s="5"/>
      <c r="L978">
        <f>RAVLT_Rec!M978</f>
        <v>1.5679069999999999</v>
      </c>
      <c r="M978">
        <f>RAVLT_Rec!N978</f>
        <v>97.2</v>
      </c>
      <c r="O978" t="e">
        <f>ABS(L978-RAVLT_Rec!$C$34)</f>
        <v>#REF!</v>
      </c>
      <c r="P978">
        <f t="shared" si="16"/>
        <v>97.2</v>
      </c>
    </row>
    <row r="979" spans="10:16">
      <c r="J979" s="5"/>
      <c r="L979">
        <f>RAVLT_Rec!M979</f>
        <v>1.5679069999999999</v>
      </c>
      <c r="M979">
        <f>RAVLT_Rec!N979</f>
        <v>97.3</v>
      </c>
      <c r="O979" t="e">
        <f>ABS(L979-RAVLT_Rec!$C$34)</f>
        <v>#REF!</v>
      </c>
      <c r="P979">
        <f t="shared" si="16"/>
        <v>97.3</v>
      </c>
    </row>
    <row r="980" spans="10:16">
      <c r="J980" s="5"/>
      <c r="L980">
        <f>RAVLT_Rec!M980</f>
        <v>1.5679069999999999</v>
      </c>
      <c r="M980">
        <f>RAVLT_Rec!N980</f>
        <v>97.4</v>
      </c>
      <c r="O980" t="e">
        <f>ABS(L980-RAVLT_Rec!$C$34)</f>
        <v>#REF!</v>
      </c>
      <c r="P980">
        <f t="shared" si="16"/>
        <v>97.4</v>
      </c>
    </row>
    <row r="981" spans="10:16">
      <c r="J981" s="5"/>
      <c r="L981">
        <f>RAVLT_Rec!M981</f>
        <v>1.5679069999999999</v>
      </c>
      <c r="M981">
        <f>RAVLT_Rec!N981</f>
        <v>97.5</v>
      </c>
      <c r="O981" t="e">
        <f>ABS(L981-RAVLT_Rec!$C$34)</f>
        <v>#REF!</v>
      </c>
      <c r="P981">
        <f t="shared" si="16"/>
        <v>97.5</v>
      </c>
    </row>
    <row r="982" spans="10:16">
      <c r="J982" s="5"/>
      <c r="L982">
        <f>RAVLT_Rec!M982</f>
        <v>1.5690595759999999</v>
      </c>
      <c r="M982">
        <f>RAVLT_Rec!N982</f>
        <v>97.6</v>
      </c>
      <c r="O982" t="e">
        <f>ABS(L982-RAVLT_Rec!$C$34)</f>
        <v>#REF!</v>
      </c>
      <c r="P982">
        <f t="shared" si="16"/>
        <v>97.6</v>
      </c>
    </row>
    <row r="983" spans="10:16">
      <c r="J983" s="5"/>
      <c r="L983">
        <f>RAVLT_Rec!M983</f>
        <v>1.571012552</v>
      </c>
      <c r="M983">
        <f>RAVLT_Rec!N983</f>
        <v>97.7</v>
      </c>
      <c r="O983" t="e">
        <f>ABS(L983-RAVLT_Rec!$C$34)</f>
        <v>#REF!</v>
      </c>
      <c r="P983">
        <f t="shared" si="16"/>
        <v>97.7</v>
      </c>
    </row>
    <row r="984" spans="10:16">
      <c r="J984" s="5"/>
      <c r="L984">
        <f>RAVLT_Rec!M984</f>
        <v>1.5729655279999999</v>
      </c>
      <c r="M984">
        <f>RAVLT_Rec!N984</f>
        <v>97.8</v>
      </c>
      <c r="O984" t="e">
        <f>ABS(L984-RAVLT_Rec!$C$34)</f>
        <v>#REF!</v>
      </c>
      <c r="P984">
        <f t="shared" si="16"/>
        <v>97.8</v>
      </c>
    </row>
    <row r="985" spans="10:16">
      <c r="J985" s="5"/>
      <c r="L985">
        <f>RAVLT_Rec!M985</f>
        <v>1.5810399340000001</v>
      </c>
      <c r="M985">
        <f>RAVLT_Rec!N985</f>
        <v>97.9</v>
      </c>
      <c r="O985" t="e">
        <f>ABS(L985-RAVLT_Rec!$C$34)</f>
        <v>#REF!</v>
      </c>
      <c r="P985">
        <f t="shared" si="16"/>
        <v>97.9</v>
      </c>
    </row>
    <row r="986" spans="10:16">
      <c r="J986" s="5"/>
      <c r="L986">
        <f>RAVLT_Rec!M986</f>
        <v>1.5901280799999999</v>
      </c>
      <c r="M986">
        <f>RAVLT_Rec!N986</f>
        <v>98</v>
      </c>
      <c r="O986" t="e">
        <f>ABS(L986-RAVLT_Rec!$C$34)</f>
        <v>#REF!</v>
      </c>
      <c r="P986">
        <f t="shared" si="16"/>
        <v>98</v>
      </c>
    </row>
    <row r="987" spans="10:16">
      <c r="J987" s="5"/>
      <c r="L987">
        <f>RAVLT_Rec!M987</f>
        <v>1.598074</v>
      </c>
      <c r="M987">
        <f>RAVLT_Rec!N987</f>
        <v>98.1</v>
      </c>
      <c r="O987" t="e">
        <f>ABS(L987-RAVLT_Rec!$C$34)</f>
        <v>#REF!</v>
      </c>
      <c r="P987">
        <f t="shared" si="16"/>
        <v>98.1</v>
      </c>
    </row>
    <row r="988" spans="10:16">
      <c r="J988" s="5"/>
      <c r="L988">
        <f>RAVLT_Rec!M988</f>
        <v>1.598074</v>
      </c>
      <c r="M988">
        <f>RAVLT_Rec!N988</f>
        <v>98.2</v>
      </c>
      <c r="O988" t="e">
        <f>ABS(L988-RAVLT_Rec!$C$34)</f>
        <v>#REF!</v>
      </c>
      <c r="P988">
        <f t="shared" si="16"/>
        <v>98.2</v>
      </c>
    </row>
    <row r="989" spans="10:16">
      <c r="J989" s="5"/>
      <c r="L989">
        <f>RAVLT_Rec!M989</f>
        <v>1.598074</v>
      </c>
      <c r="M989">
        <f>RAVLT_Rec!N989</f>
        <v>98.3</v>
      </c>
      <c r="O989" t="e">
        <f>ABS(L989-RAVLT_Rec!$C$34)</f>
        <v>#REF!</v>
      </c>
      <c r="P989">
        <f t="shared" si="16"/>
        <v>98.3</v>
      </c>
    </row>
    <row r="990" spans="10:16">
      <c r="J990" s="5"/>
      <c r="L990">
        <f>RAVLT_Rec!M990</f>
        <v>1.599865648</v>
      </c>
      <c r="M990">
        <f>RAVLT_Rec!N990</f>
        <v>98.4</v>
      </c>
      <c r="O990" t="e">
        <f>ABS(L990-RAVLT_Rec!$C$34)</f>
        <v>#REF!</v>
      </c>
      <c r="P990">
        <f t="shared" si="16"/>
        <v>98.4</v>
      </c>
    </row>
    <row r="991" spans="10:16">
      <c r="J991" s="5"/>
      <c r="L991">
        <f>RAVLT_Rec!M991</f>
        <v>1.6044194199999999</v>
      </c>
      <c r="M991">
        <f>RAVLT_Rec!N991</f>
        <v>98.5</v>
      </c>
      <c r="O991" t="e">
        <f>ABS(L991-RAVLT_Rec!$C$34)</f>
        <v>#REF!</v>
      </c>
      <c r="P991">
        <f t="shared" si="16"/>
        <v>98.5</v>
      </c>
    </row>
    <row r="992" spans="10:16">
      <c r="J992" s="5"/>
      <c r="L992">
        <f>RAVLT_Rec!M992</f>
        <v>1.6089731920000001</v>
      </c>
      <c r="M992">
        <f>RAVLT_Rec!N992</f>
        <v>98.6</v>
      </c>
      <c r="O992" t="e">
        <f>ABS(L992-RAVLT_Rec!$C$34)</f>
        <v>#REF!</v>
      </c>
      <c r="P992">
        <f t="shared" si="16"/>
        <v>98.6</v>
      </c>
    </row>
    <row r="993" spans="10:16">
      <c r="J993" s="5"/>
      <c r="L993">
        <f>RAVLT_Rec!M993</f>
        <v>1.6105160000000001</v>
      </c>
      <c r="M993">
        <f>RAVLT_Rec!N993</f>
        <v>98.7</v>
      </c>
      <c r="O993" t="e">
        <f>ABS(L993-RAVLT_Rec!$C$34)</f>
        <v>#REF!</v>
      </c>
      <c r="P993">
        <f t="shared" si="16"/>
        <v>98.7</v>
      </c>
    </row>
    <row r="994" spans="10:16">
      <c r="J994" s="5"/>
      <c r="L994">
        <f>RAVLT_Rec!M994</f>
        <v>1.6105160000000001</v>
      </c>
      <c r="M994">
        <f>RAVLT_Rec!N994</f>
        <v>98.8</v>
      </c>
      <c r="O994" t="e">
        <f>ABS(L994-RAVLT_Rec!$C$34)</f>
        <v>#REF!</v>
      </c>
      <c r="P994">
        <f t="shared" si="16"/>
        <v>98.8</v>
      </c>
    </row>
    <row r="995" spans="10:16">
      <c r="J995" s="5"/>
      <c r="L995">
        <f>RAVLT_Rec!M995</f>
        <v>1.6105160000000001</v>
      </c>
      <c r="M995">
        <f>RAVLT_Rec!N995</f>
        <v>98.9</v>
      </c>
      <c r="O995" t="e">
        <f>ABS(L995-RAVLT_Rec!$C$34)</f>
        <v>#REF!</v>
      </c>
      <c r="P995">
        <f t="shared" si="16"/>
        <v>98.9</v>
      </c>
    </row>
    <row r="996" spans="10:16">
      <c r="J996" s="5"/>
      <c r="L996">
        <f>RAVLT_Rec!M996</f>
        <v>1.6105160000000001</v>
      </c>
      <c r="M996">
        <f>RAVLT_Rec!N996</f>
        <v>99</v>
      </c>
      <c r="O996" t="e">
        <f>ABS(L996-RAVLT_Rec!$C$34)</f>
        <v>#REF!</v>
      </c>
      <c r="P996">
        <f t="shared" si="16"/>
        <v>99</v>
      </c>
    </row>
    <row r="997" spans="10:16">
      <c r="J997" s="5"/>
      <c r="L997">
        <f>RAVLT_Rec!M997</f>
        <v>1.6105160000000001</v>
      </c>
      <c r="M997">
        <f>RAVLT_Rec!N997</f>
        <v>99.1</v>
      </c>
      <c r="O997" t="e">
        <f>ABS(L997-RAVLT_Rec!$C$34)</f>
        <v>#REF!</v>
      </c>
      <c r="P997">
        <f t="shared" si="16"/>
        <v>99.1</v>
      </c>
    </row>
    <row r="998" spans="10:16">
      <c r="J998" s="5"/>
      <c r="L998">
        <f>RAVLT_Rec!M998</f>
        <v>1.6105160000000001</v>
      </c>
      <c r="M998">
        <f>RAVLT_Rec!N998</f>
        <v>99.2</v>
      </c>
      <c r="O998" t="e">
        <f>ABS(L998-RAVLT_Rec!$C$34)</f>
        <v>#REF!</v>
      </c>
      <c r="P998">
        <f t="shared" si="16"/>
        <v>99.2</v>
      </c>
    </row>
    <row r="999" spans="10:16">
      <c r="J999" s="5"/>
      <c r="L999">
        <f>RAVLT_Rec!M999</f>
        <v>1.6105160000000001</v>
      </c>
      <c r="M999">
        <f>RAVLT_Rec!N999</f>
        <v>99.3</v>
      </c>
      <c r="O999" t="e">
        <f>ABS(L999-RAVLT_Rec!$C$34)</f>
        <v>#REF!</v>
      </c>
      <c r="P999">
        <f t="shared" si="16"/>
        <v>99.3</v>
      </c>
    </row>
    <row r="1000" spans="10:16">
      <c r="J1000" s="5"/>
      <c r="L1000">
        <f>RAVLT_Rec!M1000</f>
        <v>1.6105160000000001</v>
      </c>
      <c r="M1000">
        <f>RAVLT_Rec!N1000</f>
        <v>99.4</v>
      </c>
      <c r="O1000" t="e">
        <f>ABS(L1000-RAVLT_Rec!$C$34)</f>
        <v>#REF!</v>
      </c>
      <c r="P1000">
        <f t="shared" si="16"/>
        <v>99.4</v>
      </c>
    </row>
    <row r="1001" spans="10:16">
      <c r="J1001" s="5"/>
      <c r="L1001">
        <f>RAVLT_Rec!M1001</f>
        <v>1.6109311399999999</v>
      </c>
      <c r="M1001">
        <f>RAVLT_Rec!N1001</f>
        <v>99.5</v>
      </c>
      <c r="O1001" t="e">
        <f>ABS(L1001-RAVLT_Rec!$C$34)</f>
        <v>#REF!</v>
      </c>
      <c r="P1001">
        <f t="shared" si="16"/>
        <v>99.5</v>
      </c>
    </row>
    <row r="1002" spans="10:16">
      <c r="J1002" s="5"/>
      <c r="L1002">
        <f>RAVLT_Rec!M1002</f>
        <v>1.6118249120000001</v>
      </c>
      <c r="M1002">
        <f>RAVLT_Rec!N1002</f>
        <v>99.6</v>
      </c>
      <c r="O1002" t="e">
        <f>ABS(L1002-RAVLT_Rec!$C$34)</f>
        <v>#REF!</v>
      </c>
      <c r="P1002">
        <f t="shared" si="16"/>
        <v>99.6</v>
      </c>
    </row>
    <row r="1003" spans="10:16">
      <c r="J1003" s="5"/>
      <c r="L1003">
        <f>RAVLT_Rec!M1003</f>
        <v>1.6127186840000001</v>
      </c>
      <c r="M1003">
        <f>RAVLT_Rec!N1003</f>
        <v>99.7</v>
      </c>
      <c r="O1003" t="e">
        <f>ABS(L1003-RAVLT_Rec!$C$34)</f>
        <v>#REF!</v>
      </c>
      <c r="P1003">
        <f t="shared" si="16"/>
        <v>99.7</v>
      </c>
    </row>
    <row r="1004" spans="10:16">
      <c r="J1004" s="5"/>
      <c r="L1004">
        <f>RAVLT_Rec!M1004</f>
        <v>1.6140774360000001</v>
      </c>
      <c r="M1004">
        <f>RAVLT_Rec!N1004</f>
        <v>99.8</v>
      </c>
      <c r="O1004" t="e">
        <f>ABS(L1004-RAVLT_Rec!$C$34)</f>
        <v>#REF!</v>
      </c>
      <c r="P1004">
        <f t="shared" si="16"/>
        <v>99.8</v>
      </c>
    </row>
    <row r="1005" spans="10:16">
      <c r="J1005" s="5"/>
      <c r="L1005">
        <f>RAVLT_Rec!M1005</f>
        <v>1.6156062179999999</v>
      </c>
      <c r="M1005">
        <f>RAVLT_Rec!N1005</f>
        <v>99.9</v>
      </c>
      <c r="O1005" t="e">
        <f>ABS(L1005-RAVLT_Rec!$C$34)</f>
        <v>#REF!</v>
      </c>
      <c r="P1005">
        <f t="shared" si="16"/>
        <v>99.9</v>
      </c>
    </row>
    <row r="1006" spans="10:16">
      <c r="J1006" s="5"/>
      <c r="L1006">
        <f>RAVLT_Rec!M1006</f>
        <v>1.617135</v>
      </c>
      <c r="M1006">
        <f>RAVLT_Rec!N1006</f>
        <v>100</v>
      </c>
      <c r="O1006" t="e">
        <f>ABS(L1006-RAVLT_Rec!$C$34)</f>
        <v>#REF!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8"/>
  <sheetViews>
    <sheetView topLeftCell="A5" workbookViewId="0">
      <selection activeCell="K25" sqref="K25"/>
    </sheetView>
  </sheetViews>
  <sheetFormatPr baseColWidth="10" defaultRowHeight="15.5"/>
  <sheetData>
    <row r="1" spans="1:16">
      <c r="A1" s="2" t="s">
        <v>4</v>
      </c>
      <c r="J1" s="5"/>
      <c r="L1" s="2" t="s">
        <v>13</v>
      </c>
    </row>
    <row r="2" spans="1:16">
      <c r="A2" s="2"/>
      <c r="J2" s="5"/>
      <c r="L2" s="2"/>
    </row>
    <row r="3" spans="1:16">
      <c r="A3" s="23" t="s">
        <v>18</v>
      </c>
      <c r="G3" s="21">
        <f>SQRT(RAVLT_Delayed!J6)</f>
        <v>0</v>
      </c>
      <c r="J3" s="5"/>
    </row>
    <row r="4" spans="1:16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RAVLT_Delayed!M5</f>
        <v>Delta</v>
      </c>
      <c r="M4" t="str">
        <f>RAVLT_Delayed!N5</f>
        <v>Percentile rank</v>
      </c>
      <c r="O4" t="s">
        <v>14</v>
      </c>
      <c r="P4" t="s">
        <v>10</v>
      </c>
    </row>
    <row r="5" spans="1:16">
      <c r="J5" s="5"/>
      <c r="L5">
        <f>RAVLT_Delayed!M6</f>
        <v>-4.7534243088228996</v>
      </c>
      <c r="M5">
        <f>RAVLT_Delayed!N6</f>
        <v>0</v>
      </c>
      <c r="O5">
        <f>ABS(L5-RAVLT_Delayed!$C$34)</f>
        <v>3.2253763280902068</v>
      </c>
      <c r="P5">
        <f>M5</f>
        <v>0</v>
      </c>
    </row>
    <row r="6" spans="1:16">
      <c r="A6" s="2" t="s">
        <v>28</v>
      </c>
      <c r="J6" s="5"/>
      <c r="L6">
        <f>RAVLT_Delayed!M7</f>
        <v>-3.0902323061678101</v>
      </c>
      <c r="M6">
        <f>RAVLT_Delayed!N7</f>
        <v>0.1</v>
      </c>
      <c r="O6">
        <f>ABS(L6-RAVLT_Delayed!$C$34)</f>
        <v>1.5621843254351173</v>
      </c>
      <c r="P6">
        <f t="shared" ref="P6:P70" si="0">M6</f>
        <v>0.1</v>
      </c>
    </row>
    <row r="7" spans="1:16">
      <c r="J7" s="5"/>
      <c r="L7">
        <f>RAVLT_Delayed!M8</f>
        <v>-2.8781617390954799</v>
      </c>
      <c r="M7">
        <f>RAVLT_Delayed!N8</f>
        <v>0.2</v>
      </c>
      <c r="O7">
        <f>ABS(L7-RAVLT_Delayed!$C$34)</f>
        <v>1.3501137583627871</v>
      </c>
      <c r="P7">
        <f t="shared" si="0"/>
        <v>0.2</v>
      </c>
    </row>
    <row r="8" spans="1:16">
      <c r="A8" t="s">
        <v>16</v>
      </c>
      <c r="B8">
        <f>RAVLT_Delayed!C27</f>
        <v>15.50033701796572</v>
      </c>
      <c r="J8" s="5"/>
    </row>
    <row r="9" spans="1:16">
      <c r="J9" s="5"/>
      <c r="L9">
        <f>RAVLT_Delayed!M9</f>
        <v>-2.74778138544499</v>
      </c>
      <c r="M9">
        <f>RAVLT_Delayed!N9</f>
        <v>0.3</v>
      </c>
      <c r="O9">
        <f>ABS(L9-RAVLT_Delayed!$C$34)</f>
        <v>1.2197334047122972</v>
      </c>
      <c r="P9">
        <f t="shared" si="0"/>
        <v>0.3</v>
      </c>
    </row>
    <row r="10" spans="1:16">
      <c r="B10" t="str">
        <f>RAVLT_Learning!J10</f>
        <v>Residual variance</v>
      </c>
      <c r="C10" t="str">
        <f>RAVLT_Learning!I10</f>
        <v>Predicted test score</v>
      </c>
      <c r="J10" s="5"/>
      <c r="L10">
        <f>RAVLT_Delayed!M10</f>
        <v>-2.6520698079021998</v>
      </c>
      <c r="M10">
        <f>RAVLT_Delayed!N10</f>
        <v>0.4</v>
      </c>
      <c r="O10">
        <f>ABS(L10-RAVLT_Delayed!$C$34)</f>
        <v>1.124021827169507</v>
      </c>
      <c r="P10">
        <f t="shared" si="0"/>
        <v>0.4</v>
      </c>
    </row>
    <row r="11" spans="1:16">
      <c r="B11">
        <f>RAVLT_Delayed!J11</f>
        <v>0</v>
      </c>
      <c r="C11">
        <f>RAVLT_Delayed!I11</f>
        <v>0</v>
      </c>
      <c r="J11" s="5"/>
      <c r="L11">
        <f>RAVLT_Delayed!M11</f>
        <v>-2.5758293035488999</v>
      </c>
      <c r="M11">
        <f>RAVLT_Delayed!N11</f>
        <v>0.5</v>
      </c>
      <c r="O11">
        <f>ABS(L11-RAVLT_Delayed!$C$34)</f>
        <v>1.0477813228162072</v>
      </c>
      <c r="P11">
        <f t="shared" si="0"/>
        <v>0.5</v>
      </c>
    </row>
    <row r="12" spans="1:16">
      <c r="B12">
        <f>RAVLT_Delayed!J12</f>
        <v>0</v>
      </c>
      <c r="C12">
        <f>RAVLT_Delayed!I12</f>
        <v>0</v>
      </c>
      <c r="J12" s="5"/>
      <c r="L12">
        <f>RAVLT_Delayed!M12</f>
        <v>-2.5121443279304598</v>
      </c>
      <c r="M12">
        <f>RAVLT_Delayed!N12</f>
        <v>0.6</v>
      </c>
      <c r="O12">
        <f>ABS(L12-RAVLT_Delayed!$C$34)</f>
        <v>0.98409634719776706</v>
      </c>
      <c r="P12">
        <f t="shared" si="0"/>
        <v>0.6</v>
      </c>
    </row>
    <row r="13" spans="1:16">
      <c r="B13">
        <f>RAVLT_Delayed!J13</f>
        <v>0</v>
      </c>
      <c r="C13">
        <f>RAVLT_Delayed!I13</f>
        <v>0</v>
      </c>
      <c r="J13" s="5"/>
      <c r="L13">
        <f>RAVLT_Delayed!M13</f>
        <v>-2.4572633902054402</v>
      </c>
      <c r="M13">
        <f>RAVLT_Delayed!N13</f>
        <v>0.7</v>
      </c>
      <c r="O13">
        <f>ABS(L13-RAVLT_Delayed!$C$34)</f>
        <v>0.92921540947274739</v>
      </c>
      <c r="P13">
        <f t="shared" si="0"/>
        <v>0.7</v>
      </c>
    </row>
    <row r="14" spans="1:16">
      <c r="B14">
        <f>RAVLT_Delayed!J14</f>
        <v>0</v>
      </c>
      <c r="C14">
        <f>RAVLT_Delayed!I14</f>
        <v>0</v>
      </c>
      <c r="J14" s="5"/>
      <c r="L14">
        <f>RAVLT_Delayed!M14</f>
        <v>-2.4089155458154599</v>
      </c>
      <c r="M14">
        <f>RAVLT_Delayed!N14</f>
        <v>0.8</v>
      </c>
      <c r="O14">
        <f>ABS(L14-RAVLT_Delayed!$C$34)</f>
        <v>0.88086756508276709</v>
      </c>
      <c r="P14">
        <f t="shared" si="0"/>
        <v>0.8</v>
      </c>
    </row>
    <row r="15" spans="1:16">
      <c r="B15">
        <f>RAVLT_Delayed!J15</f>
        <v>0</v>
      </c>
      <c r="C15">
        <f>RAVLT_Delayed!I15</f>
        <v>0</v>
      </c>
      <c r="J15" s="5"/>
      <c r="L15">
        <f>RAVLT_Delayed!M15</f>
        <v>-2.3656181268642902</v>
      </c>
      <c r="M15">
        <f>RAVLT_Delayed!N15</f>
        <v>0.9</v>
      </c>
      <c r="O15">
        <f>ABS(L15-RAVLT_Delayed!$C$34)</f>
        <v>0.83757014613159742</v>
      </c>
      <c r="P15">
        <f t="shared" si="0"/>
        <v>0.9</v>
      </c>
    </row>
    <row r="16" spans="1:16">
      <c r="B16">
        <f>RAVLT_Delayed!J16</f>
        <v>0</v>
      </c>
      <c r="C16">
        <f>RAVLT_Delayed!I16</f>
        <v>0</v>
      </c>
      <c r="J16" s="5"/>
      <c r="L16">
        <f>RAVLT_Delayed!M16</f>
        <v>-2.3263478740408399</v>
      </c>
      <c r="M16">
        <f>RAVLT_Delayed!N16</f>
        <v>1</v>
      </c>
      <c r="O16">
        <f>ABS(L16-RAVLT_Delayed!$C$34)</f>
        <v>0.7982998933081471</v>
      </c>
      <c r="P16">
        <f t="shared" si="0"/>
        <v>1</v>
      </c>
    </row>
    <row r="17" spans="1:16">
      <c r="B17">
        <f>RAVLT_Delayed!J17</f>
        <v>0</v>
      </c>
      <c r="C17">
        <f>RAVLT_Delayed!I17</f>
        <v>0</v>
      </c>
      <c r="J17" s="5"/>
      <c r="L17">
        <f>RAVLT_Delayed!M17</f>
        <v>-2.2903678778552701</v>
      </c>
      <c r="M17">
        <f>RAVLT_Delayed!N17</f>
        <v>1.1000000000000001</v>
      </c>
      <c r="O17">
        <f>ABS(L17-RAVLT_Delayed!$C$34)</f>
        <v>0.76231989712257731</v>
      </c>
      <c r="P17">
        <f t="shared" si="0"/>
        <v>1.1000000000000001</v>
      </c>
    </row>
    <row r="18" spans="1:16">
      <c r="B18">
        <f>RAVLT_Delayed!J18</f>
        <v>0</v>
      </c>
      <c r="C18">
        <f>RAVLT_Delayed!I18</f>
        <v>0</v>
      </c>
      <c r="J18" s="5"/>
      <c r="L18">
        <f>RAVLT_Delayed!M18</f>
        <v>-2.2571292444862201</v>
      </c>
      <c r="M18">
        <f>RAVLT_Delayed!N18</f>
        <v>1.2</v>
      </c>
      <c r="O18">
        <f>ABS(L18-RAVLT_Delayed!$C$34)</f>
        <v>0.72908126375352733</v>
      </c>
      <c r="P18">
        <f t="shared" si="0"/>
        <v>1.2</v>
      </c>
    </row>
    <row r="19" spans="1:16">
      <c r="B19">
        <f>RAVLT_Delayed!J19</f>
        <v>0</v>
      </c>
      <c r="C19">
        <f>RAVLT_Delayed!I19</f>
        <v>0</v>
      </c>
      <c r="J19" s="5"/>
      <c r="L19">
        <f>RAVLT_Delayed!M19</f>
        <v>-2.2262117693171799</v>
      </c>
      <c r="M19">
        <f>RAVLT_Delayed!N19</f>
        <v>1.3</v>
      </c>
      <c r="O19">
        <f>ABS(L19-RAVLT_Delayed!$C$34)</f>
        <v>0.69816378858448713</v>
      </c>
      <c r="P19">
        <f t="shared" si="0"/>
        <v>1.3</v>
      </c>
    </row>
    <row r="20" spans="1:16">
      <c r="B20">
        <f>RAVLT_Delayed!J20</f>
        <v>0</v>
      </c>
      <c r="C20">
        <f>RAVLT_Delayed!I20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RAVLT_Delayed!M20</f>
        <v>-2.19728637664105</v>
      </c>
      <c r="M20">
        <f>RAVLT_Delayed!N20</f>
        <v>1.4</v>
      </c>
      <c r="O20">
        <f>ABS(L20-RAVLT_Delayed!$C$34)</f>
        <v>0.66923839590835721</v>
      </c>
      <c r="P20">
        <f t="shared" si="0"/>
        <v>1.4</v>
      </c>
    </row>
    <row r="21" spans="1:16">
      <c r="B21">
        <f>RAVLT_Delayed!J21</f>
        <v>0</v>
      </c>
      <c r="C21">
        <f>RAVLT_Delayed!I21</f>
        <v>0</v>
      </c>
      <c r="E21" t="s">
        <v>38</v>
      </c>
      <c r="G21" s="21">
        <f>SQRT(G20)</f>
        <v>0</v>
      </c>
      <c r="J21" s="5"/>
      <c r="L21">
        <f>RAVLT_Delayed!M21</f>
        <v>-2.1700903775845601</v>
      </c>
      <c r="M21">
        <f>RAVLT_Delayed!N21</f>
        <v>1.5</v>
      </c>
      <c r="O21">
        <f>ABS(L21-RAVLT_Delayed!$C$34)</f>
        <v>0.64204239685186737</v>
      </c>
      <c r="P21">
        <f t="shared" si="0"/>
        <v>1.5</v>
      </c>
    </row>
    <row r="22" spans="1:16">
      <c r="B22">
        <f>RAVLT_Delayed!J22</f>
        <v>0</v>
      </c>
      <c r="C22">
        <f>RAVLT_Delayed!I22</f>
        <v>0</v>
      </c>
      <c r="J22" s="5"/>
      <c r="L22">
        <f>RAVLT_Delayed!M22</f>
        <v>-2.1444106209118399</v>
      </c>
      <c r="M22">
        <f>RAVLT_Delayed!N22</f>
        <v>1.6</v>
      </c>
      <c r="O22">
        <f>ABS(L22-RAVLT_Delayed!$C$34)</f>
        <v>0.6163626401791471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RAVLT_Delayed!M23</f>
        <v>-2.1200716897421499</v>
      </c>
      <c r="M23">
        <f>RAVLT_Delayed!N23</f>
        <v>1.7</v>
      </c>
      <c r="O23">
        <f>ABS(L23-RAVLT_Delayed!$C$34)</f>
        <v>0.59202370900945711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RAVLT_Delayed!M24</f>
        <v>-2.0969274291643401</v>
      </c>
      <c r="M24">
        <f>RAVLT_Delayed!N24</f>
        <v>1.8</v>
      </c>
      <c r="O24">
        <f>ABS(L24-RAVLT_Delayed!$C$34)</f>
        <v>0.56887944843164728</v>
      </c>
      <c r="P24">
        <f t="shared" si="0"/>
        <v>1.8</v>
      </c>
    </row>
    <row r="25" spans="1:16">
      <c r="A25" s="2" t="s">
        <v>27</v>
      </c>
      <c r="J25" s="5"/>
      <c r="L25">
        <f>RAVLT_Delayed!M25</f>
        <v>-2.0748547343933099</v>
      </c>
      <c r="M25">
        <f>RAVLT_Delayed!N25</f>
        <v>1.9</v>
      </c>
      <c r="O25">
        <f>ABS(L25-RAVLT_Delayed!$C$34)</f>
        <v>0.54680675366061715</v>
      </c>
      <c r="P25">
        <f t="shared" si="0"/>
        <v>1.9</v>
      </c>
    </row>
    <row r="26" spans="1:16">
      <c r="H26" s="1"/>
      <c r="J26" s="5"/>
      <c r="L26">
        <f>RAVLT_Delayed!M26</f>
        <v>-2.0537489106318199</v>
      </c>
      <c r="M26">
        <f>RAVLT_Delayed!N26</f>
        <v>2</v>
      </c>
      <c r="O26">
        <f>ABS(L26-RAVLT_Delayed!$C$34)</f>
        <v>0.52570092989912709</v>
      </c>
      <c r="P26">
        <f t="shared" si="0"/>
        <v>2</v>
      </c>
    </row>
    <row r="27" spans="1:16">
      <c r="A27" t="str">
        <f>RAVLT_Learning!I26</f>
        <v/>
      </c>
      <c r="B27" t="str">
        <f>RAVLT_Delayed!J26</f>
        <v>Estimate</v>
      </c>
      <c r="C27" t="s">
        <v>29</v>
      </c>
      <c r="D27" t="s">
        <v>30</v>
      </c>
      <c r="J27" s="5"/>
      <c r="L27">
        <f>RAVLT_Delayed!M27</f>
        <v>-2.0335201492530501</v>
      </c>
      <c r="M27">
        <f>RAVLT_Delayed!N27</f>
        <v>2.1</v>
      </c>
      <c r="O27">
        <f>ABS(L27-RAVLT_Delayed!$C$34)</f>
        <v>0.50547216852035737</v>
      </c>
      <c r="P27">
        <f t="shared" si="0"/>
        <v>2.1</v>
      </c>
    </row>
    <row r="28" spans="1:16">
      <c r="A28" t="str">
        <f>RAVLT_Delayed!I27</f>
        <v>(Intercept)</v>
      </c>
      <c r="B28">
        <f>RAVLT_Delayed!J27</f>
        <v>-59.699209533753702</v>
      </c>
      <c r="C28">
        <v>1</v>
      </c>
      <c r="D28">
        <f>B28*C28</f>
        <v>-59.699209533753702</v>
      </c>
      <c r="J28" s="5"/>
      <c r="L28">
        <f>RAVLT_Delayed!M28</f>
        <v>-2.0140908120181402</v>
      </c>
      <c r="M28">
        <f>RAVLT_Delayed!N28</f>
        <v>2.2000000000000002</v>
      </c>
      <c r="O28">
        <f>ABS(L28-RAVLT_Delayed!$C$34)</f>
        <v>0.48604283128544745</v>
      </c>
      <c r="P28">
        <f t="shared" si="0"/>
        <v>2.2000000000000002</v>
      </c>
    </row>
    <row r="29" spans="1:16">
      <c r="A29" t="str">
        <f>RAVLT_Delayed!I28</f>
        <v>Pred.Y</v>
      </c>
      <c r="B29">
        <f>RAVLT_Delayed!J28</f>
        <v>29.103683438862699</v>
      </c>
      <c r="C29">
        <f>B8</f>
        <v>15.50033701796572</v>
      </c>
      <c r="D29">
        <f t="shared" ref="D29:D33" si="1">B29*C29</f>
        <v>451.11690176655935</v>
      </c>
      <c r="J29" s="5"/>
      <c r="L29">
        <f>RAVLT_Delayed!M29</f>
        <v>-1.9953933101678201</v>
      </c>
      <c r="M29">
        <f>RAVLT_Delayed!N29</f>
        <v>2.2999999999999998</v>
      </c>
      <c r="O29">
        <f>ABS(L29-RAVLT_Delayed!$C$34)</f>
        <v>0.4673453294351273</v>
      </c>
      <c r="P29">
        <f t="shared" si="0"/>
        <v>2.2999999999999998</v>
      </c>
    </row>
    <row r="30" spans="1:16">
      <c r="A30" t="str">
        <f>RAVLT_Delayed!I29</f>
        <v>Pred.Y.2</v>
      </c>
      <c r="B30">
        <f>RAVLT_Delayed!J29</f>
        <v>-4.0759444790063197</v>
      </c>
      <c r="C30">
        <f>B8^2</f>
        <v>240.26044767051843</v>
      </c>
      <c r="D30">
        <f t="shared" si="1"/>
        <v>-979.28824520623641</v>
      </c>
      <c r="J30" s="5"/>
      <c r="L30">
        <f>RAVLT_Delayed!M30</f>
        <v>-1.9773684281819499</v>
      </c>
      <c r="M30">
        <f>RAVLT_Delayed!N30</f>
        <v>2.4</v>
      </c>
      <c r="O30">
        <f>ABS(L30-RAVLT_Delayed!$C$34)</f>
        <v>0.44932044744925714</v>
      </c>
      <c r="P30">
        <f t="shared" si="0"/>
        <v>2.4</v>
      </c>
    </row>
    <row r="31" spans="1:16">
      <c r="A31" t="str">
        <f>RAVLT_Delayed!I30</f>
        <v>Pred.Y.3</v>
      </c>
      <c r="B31">
        <f>RAVLT_Delayed!J30</f>
        <v>0.185485232496539</v>
      </c>
      <c r="C31">
        <f>B8^3</f>
        <v>3724.1179109803525</v>
      </c>
      <c r="D31">
        <f t="shared" si="1"/>
        <v>690.76887656271583</v>
      </c>
      <c r="J31" s="5"/>
      <c r="L31">
        <f>RAVLT_Delayed!M31</f>
        <v>-1.9599639845400501</v>
      </c>
      <c r="M31">
        <f>RAVLT_Delayed!N31</f>
        <v>2.5</v>
      </c>
      <c r="O31">
        <f>ABS(L31-RAVLT_Delayed!$C$34)</f>
        <v>0.43191600380735728</v>
      </c>
      <c r="P31">
        <f t="shared" si="0"/>
        <v>2.5</v>
      </c>
    </row>
    <row r="32" spans="1:16">
      <c r="A32">
        <f>RAVLT_Delayed!I31</f>
        <v>0</v>
      </c>
      <c r="B32">
        <f>RAVLT_Delayed!J31</f>
        <v>0</v>
      </c>
      <c r="C32">
        <f>B8^4</f>
        <v>57725.082714837925</v>
      </c>
      <c r="D32">
        <f t="shared" si="1"/>
        <v>0</v>
      </c>
      <c r="J32" s="5"/>
      <c r="L32">
        <f>RAVLT_Delayed!M32</f>
        <v>-1.9431337511050699</v>
      </c>
      <c r="M32">
        <f>RAVLT_Delayed!N32</f>
        <v>2.6</v>
      </c>
      <c r="O32">
        <f>ABS(L32-RAVLT_Delayed!$C$34)</f>
        <v>0.41508577037237715</v>
      </c>
      <c r="P32">
        <f t="shared" si="0"/>
        <v>2.6</v>
      </c>
    </row>
    <row r="33" spans="1:16">
      <c r="A33">
        <f>RAVLT_Delayed!I32</f>
        <v>0</v>
      </c>
      <c r="B33">
        <f>RAVLT_Delayed!J32</f>
        <v>0</v>
      </c>
      <c r="C33">
        <f>B8^5</f>
        <v>894758.23646993539</v>
      </c>
      <c r="D33">
        <f t="shared" si="1"/>
        <v>0</v>
      </c>
      <c r="J33" s="5"/>
      <c r="L33">
        <f>RAVLT_Delayed!M33</f>
        <v>-1.9268365732639099</v>
      </c>
      <c r="M33">
        <f>RAVLT_Delayed!N33</f>
        <v>2.7</v>
      </c>
      <c r="O33">
        <f>ABS(L33-RAVLT_Delayed!$C$34)</f>
        <v>0.39878859253121712</v>
      </c>
      <c r="P33">
        <f t="shared" si="0"/>
        <v>2.7</v>
      </c>
    </row>
    <row r="34" spans="1:16">
      <c r="G34" s="21">
        <f>SQRT(D35)</f>
        <v>10.14388109104622</v>
      </c>
      <c r="J34" s="5"/>
      <c r="L34">
        <f>RAVLT_Delayed!M34</f>
        <v>-1.9110356475491199</v>
      </c>
      <c r="M34">
        <f>RAVLT_Delayed!N34</f>
        <v>2.8</v>
      </c>
      <c r="O34">
        <f>ABS(L34-RAVLT_Delayed!$C$34)</f>
        <v>0.38298766681642715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102.89832358928504</v>
      </c>
      <c r="E35" s="18"/>
      <c r="F35" s="18"/>
      <c r="G35" s="18"/>
      <c r="H35" s="18"/>
      <c r="I35" s="18"/>
      <c r="J35" s="19"/>
      <c r="L35">
        <f>RAVLT_Delayed!M35</f>
        <v>-1.8956979239918399</v>
      </c>
      <c r="M35">
        <f>RAVLT_Delayed!N35</f>
        <v>2.9</v>
      </c>
      <c r="O35">
        <f>ABS(L35-RAVLT_Delayed!$C$34)</f>
        <v>0.36764994325914713</v>
      </c>
      <c r="P35">
        <f t="shared" si="0"/>
        <v>2.9</v>
      </c>
    </row>
    <row r="36" spans="1:16">
      <c r="J36" s="5"/>
      <c r="L36">
        <f>RAVLT_Delayed!M36</f>
        <v>-1.88079360815125</v>
      </c>
      <c r="M36">
        <f>RAVLT_Delayed!N36</f>
        <v>3</v>
      </c>
      <c r="O36">
        <f>ABS(L36-RAVLT_Delayed!$C$34)</f>
        <v>0.35274562741855719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RAVLT_Delayed!M37</f>
        <v>-1.86629574345811</v>
      </c>
      <c r="M37">
        <f>RAVLT_Delayed!N37</f>
        <v>3.1</v>
      </c>
      <c r="O37">
        <f>ABS(L37-RAVLT_Delayed!$C$34)</f>
        <v>0.33824776272541723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0</v>
      </c>
      <c r="E38" s="24"/>
      <c r="F38" s="24"/>
      <c r="G38" s="2" t="s">
        <v>21</v>
      </c>
      <c r="H38" s="2"/>
      <c r="I38" s="2">
        <f>IF(D41=1, G3+G21+G34, )</f>
        <v>10.14388109104622</v>
      </c>
      <c r="J38" s="5"/>
      <c r="L38">
        <f>RAVLT_Delayed!M38</f>
        <v>-1.8521798587690499</v>
      </c>
      <c r="M38">
        <f>RAVLT_Delayed!N38</f>
        <v>3.2</v>
      </c>
      <c r="O38">
        <f>ABS(L38-RAVLT_Delayed!$C$34)</f>
        <v>0.32413187803635712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RAVLT_Delayed!M39</f>
        <v>-1.83842366924778</v>
      </c>
      <c r="M39">
        <f>RAVLT_Delayed!N39</f>
        <v>3.3</v>
      </c>
      <c r="O39">
        <f>ABS(L39-RAVLT_Delayed!$C$34)</f>
        <v>0.31037568851508723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1</v>
      </c>
      <c r="E40" s="24"/>
      <c r="F40" s="24"/>
      <c r="J40" s="5"/>
      <c r="L40">
        <f>RAVLT_Delayed!M40</f>
        <v>-1.8250068211463999</v>
      </c>
      <c r="M40">
        <f>RAVLT_Delayed!N40</f>
        <v>3.4</v>
      </c>
      <c r="O40">
        <f>ABS(L40-RAVLT_Delayed!$C$34)</f>
        <v>0.29695884041370713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RAVLT_Delayed!M41</f>
        <v>-1.8119106729526</v>
      </c>
      <c r="M41">
        <f>RAVLT_Delayed!N41</f>
        <v>3.5</v>
      </c>
      <c r="O41">
        <f>ABS(L41-RAVLT_Delayed!$C$34)</f>
        <v>0.28386269221990723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RAVLT_Delayed!M42</f>
        <v>-1.79911810683797</v>
      </c>
      <c r="M42">
        <f>RAVLT_Delayed!N42</f>
        <v>3.6</v>
      </c>
      <c r="O42">
        <f>ABS(L42-RAVLT_Delayed!$C$34)</f>
        <v>0.27107012610527725</v>
      </c>
      <c r="P42">
        <f t="shared" si="0"/>
        <v>3.6</v>
      </c>
    </row>
    <row r="43" spans="1:16">
      <c r="A43" s="22"/>
      <c r="J43" s="5"/>
      <c r="L43">
        <f>RAVLT_Delayed!M43</f>
        <v>-1.7866133654934699</v>
      </c>
      <c r="M43">
        <f>RAVLT_Delayed!N43</f>
        <v>3.7</v>
      </c>
      <c r="O43">
        <f>ABS(L43-RAVLT_Delayed!$C$34)</f>
        <v>0.25856538476077717</v>
      </c>
      <c r="P43">
        <f t="shared" si="0"/>
        <v>3.7</v>
      </c>
    </row>
    <row r="44" spans="1:16">
      <c r="J44" s="5"/>
      <c r="L44">
        <f>RAVLT_Delayed!M44</f>
        <v>-1.7743819103449601</v>
      </c>
      <c r="M44">
        <f>RAVLT_Delayed!N44</f>
        <v>3.8</v>
      </c>
      <c r="O44">
        <f>ABS(L44-RAVLT_Delayed!$C$34)</f>
        <v>0.2463339296122673</v>
      </c>
      <c r="P44">
        <f t="shared" si="0"/>
        <v>3.8</v>
      </c>
    </row>
    <row r="45" spans="1:16">
      <c r="J45" s="5"/>
      <c r="L45">
        <f>RAVLT_Delayed!M45</f>
        <v>-1.7624102978623899</v>
      </c>
      <c r="M45">
        <f>RAVLT_Delayed!N45</f>
        <v>3.9</v>
      </c>
      <c r="O45">
        <f>ABS(L45-RAVLT_Delayed!$C$34)</f>
        <v>0.23436231712969713</v>
      </c>
      <c r="P45">
        <f t="shared" si="0"/>
        <v>3.9</v>
      </c>
    </row>
    <row r="46" spans="1:16">
      <c r="J46" s="5"/>
      <c r="L46">
        <f>RAVLT_Delayed!M46</f>
        <v>-1.7506860712521699</v>
      </c>
      <c r="M46">
        <f>RAVLT_Delayed!N46</f>
        <v>4</v>
      </c>
      <c r="O46">
        <f>ABS(L46-RAVLT_Delayed!$C$34)</f>
        <v>0.22263809051947714</v>
      </c>
      <c r="P46">
        <f t="shared" si="0"/>
        <v>4</v>
      </c>
    </row>
    <row r="47" spans="1:16">
      <c r="J47" s="5"/>
      <c r="L47">
        <f>RAVLT_Delayed!M47</f>
        <v>-1.7391976652852501</v>
      </c>
      <c r="M47">
        <f>RAVLT_Delayed!N47</f>
        <v>4.0999999999999996</v>
      </c>
      <c r="O47">
        <f>ABS(L47-RAVLT_Delayed!$C$34)</f>
        <v>0.21114968455255734</v>
      </c>
      <c r="P47">
        <f t="shared" si="0"/>
        <v>4.0999999999999996</v>
      </c>
    </row>
    <row r="48" spans="1:16">
      <c r="J48" s="5"/>
      <c r="L48">
        <f>RAVLT_Delayed!M48</f>
        <v>-1.72793432238842</v>
      </c>
      <c r="M48">
        <f>RAVLT_Delayed!N48</f>
        <v>4.2</v>
      </c>
      <c r="O48">
        <f>ABS(L48-RAVLT_Delayed!$C$34)</f>
        <v>0.19988634165572727</v>
      </c>
      <c r="P48">
        <f t="shared" si="0"/>
        <v>4.2</v>
      </c>
    </row>
    <row r="49" spans="10:16">
      <c r="J49" s="5"/>
      <c r="L49">
        <f>RAVLT_Delayed!M49</f>
        <v>-1.7168860184310399</v>
      </c>
      <c r="M49">
        <f>RAVLT_Delayed!N49</f>
        <v>4.3</v>
      </c>
      <c r="O49">
        <f>ABS(L49-RAVLT_Delayed!$C$34)</f>
        <v>0.18883803769834717</v>
      </c>
      <c r="P49">
        <f t="shared" si="0"/>
        <v>4.3</v>
      </c>
    </row>
    <row r="50" spans="10:16">
      <c r="J50" s="5"/>
      <c r="L50">
        <f>RAVLT_Delayed!M50</f>
        <v>-1.7060433968889599</v>
      </c>
      <c r="M50">
        <f>RAVLT_Delayed!N50</f>
        <v>4.4000000000000004</v>
      </c>
      <c r="O50">
        <f>ABS(L50-RAVLT_Delayed!$C$34)</f>
        <v>0.17799541615626713</v>
      </c>
      <c r="P50">
        <f t="shared" si="0"/>
        <v>4.4000000000000004</v>
      </c>
    </row>
    <row r="51" spans="10:16">
      <c r="J51" s="5"/>
      <c r="L51">
        <f>RAVLT_Delayed!M51</f>
        <v>-1.69539771027214</v>
      </c>
      <c r="M51">
        <f>RAVLT_Delayed!N51</f>
        <v>4.5</v>
      </c>
      <c r="O51">
        <f>ABS(L51-RAVLT_Delayed!$C$34)</f>
        <v>0.16734972953944727</v>
      </c>
      <c r="P51">
        <f t="shared" si="0"/>
        <v>4.5</v>
      </c>
    </row>
    <row r="52" spans="10:16">
      <c r="J52" s="5"/>
      <c r="L52">
        <f>RAVLT_Delayed!M52</f>
        <v>-1.6849407678719099</v>
      </c>
      <c r="M52">
        <f>RAVLT_Delayed!N52</f>
        <v>4.5999999999999996</v>
      </c>
      <c r="O52">
        <f>ABS(L52-RAVLT_Delayed!$C$34)</f>
        <v>0.15689278713921717</v>
      </c>
      <c r="P52">
        <f t="shared" si="0"/>
        <v>4.5999999999999996</v>
      </c>
    </row>
    <row r="53" spans="10:16">
      <c r="J53" s="5"/>
      <c r="L53">
        <f>RAVLT_Delayed!M53</f>
        <v>-1.6746648890243301</v>
      </c>
      <c r="M53">
        <f>RAVLT_Delayed!N53</f>
        <v>4.7</v>
      </c>
      <c r="O53">
        <f>ABS(L53-RAVLT_Delayed!$C$34)</f>
        <v>0.14661690829163732</v>
      </c>
      <c r="P53">
        <f t="shared" si="0"/>
        <v>4.7</v>
      </c>
    </row>
    <row r="54" spans="10:16">
      <c r="J54" s="5"/>
      <c r="L54">
        <f>RAVLT_Delayed!M54</f>
        <v>-1.6645628612027199</v>
      </c>
      <c r="M54">
        <f>RAVLT_Delayed!N54</f>
        <v>4.8</v>
      </c>
      <c r="O54">
        <f>ABS(L54-RAVLT_Delayed!$C$34)</f>
        <v>0.13651488047002713</v>
      </c>
      <c r="P54">
        <f t="shared" si="0"/>
        <v>4.8</v>
      </c>
    </row>
    <row r="55" spans="10:16">
      <c r="J55" s="5"/>
      <c r="L55">
        <f>RAVLT_Delayed!M55</f>
        <v>-1.6546279023510799</v>
      </c>
      <c r="M55">
        <f>RAVLT_Delayed!N55</f>
        <v>4.9000000000000004</v>
      </c>
      <c r="O55">
        <f>ABS(L55-RAVLT_Delayed!$C$34)</f>
        <v>0.12657992161838716</v>
      </c>
      <c r="P55">
        <f t="shared" si="0"/>
        <v>4.9000000000000004</v>
      </c>
    </row>
    <row r="56" spans="10:16">
      <c r="J56" s="5"/>
      <c r="L56">
        <f>RAVLT_Delayed!M56</f>
        <v>-1.64485362695147</v>
      </c>
      <c r="M56">
        <f>RAVLT_Delayed!N56</f>
        <v>5</v>
      </c>
      <c r="O56">
        <f>ABS(L56-RAVLT_Delayed!$C$34)</f>
        <v>0.1168056462187772</v>
      </c>
      <c r="P56">
        <f t="shared" si="0"/>
        <v>5</v>
      </c>
    </row>
    <row r="57" spans="10:16">
      <c r="J57" s="5"/>
      <c r="L57">
        <f>RAVLT_Delayed!M57</f>
        <v>-1.63523401538865</v>
      </c>
      <c r="M57">
        <f>RAVLT_Delayed!N57</f>
        <v>5.0999999999999996</v>
      </c>
      <c r="O57">
        <f>ABS(L57-RAVLT_Delayed!$C$34)</f>
        <v>0.10718603465595722</v>
      </c>
      <c r="P57">
        <f t="shared" si="0"/>
        <v>5.0999999999999996</v>
      </c>
    </row>
    <row r="58" spans="10:16">
      <c r="J58" s="5"/>
      <c r="L58">
        <f>RAVLT_Delayed!M58</f>
        <v>-1.6257633862332299</v>
      </c>
      <c r="M58">
        <f>RAVLT_Delayed!N58</f>
        <v>5.2</v>
      </c>
      <c r="O58">
        <f>ABS(L58-RAVLT_Delayed!$C$34)</f>
        <v>9.7715405500537145E-2</v>
      </c>
      <c r="P58">
        <f t="shared" si="0"/>
        <v>5.2</v>
      </c>
    </row>
    <row r="59" spans="10:16">
      <c r="J59" s="5"/>
      <c r="L59">
        <f>RAVLT_Delayed!M59</f>
        <v>-1.61643637111502</v>
      </c>
      <c r="M59">
        <f>RAVLT_Delayed!N59</f>
        <v>5.3</v>
      </c>
      <c r="O59">
        <f>ABS(L59-RAVLT_Delayed!$C$34)</f>
        <v>8.8388390382327264E-2</v>
      </c>
      <c r="P59">
        <f t="shared" si="0"/>
        <v>5.3</v>
      </c>
    </row>
    <row r="60" spans="10:16">
      <c r="J60" s="5"/>
      <c r="L60">
        <f>RAVLT_Delayed!M60</f>
        <v>-1.60724789190022</v>
      </c>
      <c r="M60">
        <f>RAVLT_Delayed!N60</f>
        <v>5.4</v>
      </c>
      <c r="O60">
        <f>ABS(L60-RAVLT_Delayed!$C$34)</f>
        <v>7.9199911167527226E-2</v>
      </c>
      <c r="P60">
        <f t="shared" si="0"/>
        <v>5.4</v>
      </c>
    </row>
    <row r="61" spans="10:16">
      <c r="J61" s="5"/>
      <c r="L61">
        <f>RAVLT_Delayed!M61</f>
        <v>-1.59819313992282</v>
      </c>
      <c r="M61">
        <f>RAVLT_Delayed!N61</f>
        <v>5.5</v>
      </c>
      <c r="O61">
        <f>ABS(L61-RAVLT_Delayed!$C$34)</f>
        <v>7.0145159190127204E-2</v>
      </c>
      <c r="P61">
        <f t="shared" si="0"/>
        <v>5.5</v>
      </c>
    </row>
    <row r="62" spans="10:16">
      <c r="J62" s="5"/>
      <c r="L62">
        <f>RAVLT_Delayed!M62</f>
        <v>-1.5892675570513899</v>
      </c>
      <c r="M62">
        <f>RAVLT_Delayed!N62</f>
        <v>5.6</v>
      </c>
      <c r="O62">
        <f>ABS(L62-RAVLT_Delayed!$C$34)</f>
        <v>6.1219576318697122E-2</v>
      </c>
      <c r="P62">
        <f t="shared" si="0"/>
        <v>5.6</v>
      </c>
    </row>
    <row r="63" spans="10:16">
      <c r="J63" s="5"/>
      <c r="L63">
        <f>RAVLT_Delayed!M63</f>
        <v>-1.58046681839936</v>
      </c>
      <c r="M63">
        <f>RAVLT_Delayed!N63</f>
        <v>5.7</v>
      </c>
      <c r="O63">
        <f>ABS(L63-RAVLT_Delayed!$C$34)</f>
        <v>5.2418837666667217E-2</v>
      </c>
      <c r="P63">
        <f t="shared" si="0"/>
        <v>5.7</v>
      </c>
    </row>
    <row r="64" spans="10:16">
      <c r="J64" s="5"/>
      <c r="L64">
        <f>RAVLT_Delayed!M64</f>
        <v>-1.5717868165098601</v>
      </c>
      <c r="M64">
        <f>RAVLT_Delayed!N64</f>
        <v>5.8</v>
      </c>
      <c r="O64">
        <f>ABS(L64-RAVLT_Delayed!$C$34)</f>
        <v>4.3738835777167306E-2</v>
      </c>
      <c r="P64">
        <f t="shared" si="0"/>
        <v>5.8</v>
      </c>
    </row>
    <row r="65" spans="10:16">
      <c r="J65" s="5"/>
      <c r="L65">
        <f>RAVLT_Delayed!M65</f>
        <v>-1.5632236468662799</v>
      </c>
      <c r="M65">
        <f>RAVLT_Delayed!N65</f>
        <v>5.9</v>
      </c>
      <c r="O65">
        <f>ABS(L65-RAVLT_Delayed!$C$34)</f>
        <v>3.5175666133587136E-2</v>
      </c>
      <c r="P65">
        <f t="shared" si="0"/>
        <v>5.9</v>
      </c>
    </row>
    <row r="66" spans="10:16">
      <c r="J66" s="5"/>
      <c r="L66">
        <f>RAVLT_Delayed!M66</f>
        <v>-1.5547735945968499</v>
      </c>
      <c r="M66">
        <f>RAVLT_Delayed!N66</f>
        <v>6</v>
      </c>
      <c r="O66">
        <f>ABS(L66-RAVLT_Delayed!$C$34)</f>
        <v>2.6725613864157172E-2</v>
      </c>
      <c r="P66">
        <f t="shared" si="0"/>
        <v>6</v>
      </c>
    </row>
    <row r="67" spans="10:16">
      <c r="J67" s="5"/>
      <c r="L67">
        <f>RAVLT_Delayed!M67</f>
        <v>-1.54643312225675</v>
      </c>
      <c r="M67">
        <f>RAVLT_Delayed!N67</f>
        <v>6.1</v>
      </c>
      <c r="O67">
        <f>ABS(L67-RAVLT_Delayed!$C$34)</f>
        <v>1.8385141524057236E-2</v>
      </c>
      <c r="P67">
        <f t="shared" si="0"/>
        <v>6.1</v>
      </c>
    </row>
    <row r="68" spans="10:16">
      <c r="J68" s="5"/>
      <c r="L68">
        <f>RAVLT_Delayed!M68</f>
        <v>-1.53819885858406</v>
      </c>
      <c r="M68">
        <f>RAVLT_Delayed!N68</f>
        <v>6.2</v>
      </c>
      <c r="O68">
        <f>ABS(L68-RAVLT_Delayed!$C$34)</f>
        <v>1.0150877851367257E-2</v>
      </c>
      <c r="P68">
        <f t="shared" si="0"/>
        <v>6.2</v>
      </c>
    </row>
    <row r="69" spans="10:16">
      <c r="J69" s="5"/>
      <c r="L69">
        <f>RAVLT_Delayed!M69</f>
        <v>-1.5300675881378301</v>
      </c>
      <c r="M69">
        <f>RAVLT_Delayed!N69</f>
        <v>6.3</v>
      </c>
      <c r="O69">
        <f>ABS(L69-RAVLT_Delayed!$C$34)</f>
        <v>2.0196074051372914E-3</v>
      </c>
      <c r="P69">
        <f t="shared" si="0"/>
        <v>6.3</v>
      </c>
    </row>
    <row r="70" spans="10:16">
      <c r="J70" s="5"/>
      <c r="L70">
        <f>RAVLT_Delayed!M70</f>
        <v>-1.5220362417358599</v>
      </c>
      <c r="M70">
        <f>RAVLT_Delayed!N70</f>
        <v>6.4</v>
      </c>
      <c r="O70">
        <f>ABS(L70-RAVLT_Delayed!$C$34)</f>
        <v>6.0117389968328272E-3</v>
      </c>
      <c r="P70">
        <f t="shared" si="0"/>
        <v>6.4</v>
      </c>
    </row>
    <row r="71" spans="10:16">
      <c r="J71" s="5"/>
      <c r="L71">
        <f>RAVLT_Delayed!M71</f>
        <v>-1.51410188761928</v>
      </c>
      <c r="M71">
        <f>RAVLT_Delayed!N71</f>
        <v>6.5</v>
      </c>
      <c r="O71">
        <f>ABS(L71-RAVLT_Delayed!$C$34)</f>
        <v>1.3946093113412772E-2</v>
      </c>
      <c r="P71">
        <f t="shared" ref="P71:P134" si="2">M71</f>
        <v>6.5</v>
      </c>
    </row>
    <row r="72" spans="10:16">
      <c r="J72" s="5"/>
      <c r="L72">
        <f>RAVLT_Delayed!M72</f>
        <v>-1.50626172327824</v>
      </c>
      <c r="M72">
        <f>RAVLT_Delayed!N72</f>
        <v>6.6</v>
      </c>
      <c r="O72">
        <f>ABS(L72-RAVLT_Delayed!$C$34)</f>
        <v>2.1786257454452729E-2</v>
      </c>
      <c r="P72">
        <f t="shared" si="2"/>
        <v>6.6</v>
      </c>
    </row>
    <row r="73" spans="10:16">
      <c r="J73" s="5"/>
      <c r="L73">
        <f>RAVLT_Delayed!M73</f>
        <v>-1.4985130678799801</v>
      </c>
      <c r="M73">
        <f>RAVLT_Delayed!N73</f>
        <v>6.7</v>
      </c>
      <c r="O73">
        <f>ABS(L73-RAVLT_Delayed!$C$34)</f>
        <v>2.9534912852712703E-2</v>
      </c>
      <c r="P73">
        <f t="shared" si="2"/>
        <v>6.7</v>
      </c>
    </row>
    <row r="74" spans="10:16">
      <c r="J74" s="5"/>
      <c r="L74">
        <f>RAVLT_Delayed!M74</f>
        <v>-1.4908533552466601</v>
      </c>
      <c r="M74">
        <f>RAVLT_Delayed!N74</f>
        <v>6.8</v>
      </c>
      <c r="O74">
        <f>ABS(L74-RAVLT_Delayed!$C$34)</f>
        <v>3.7194625486032695E-2</v>
      </c>
      <c r="P74">
        <f t="shared" si="2"/>
        <v>6.8</v>
      </c>
    </row>
    <row r="75" spans="10:16">
      <c r="J75" s="5"/>
      <c r="L75">
        <f>RAVLT_Delayed!M75</f>
        <v>-1.48328012733562</v>
      </c>
      <c r="M75">
        <f>RAVLT_Delayed!N75</f>
        <v>6.9</v>
      </c>
      <c r="O75">
        <f>ABS(L75-RAVLT_Delayed!$C$34)</f>
        <v>4.4767853397072788E-2</v>
      </c>
      <c r="P75">
        <f t="shared" si="2"/>
        <v>6.9</v>
      </c>
    </row>
    <row r="76" spans="10:16">
      <c r="J76" s="5"/>
      <c r="L76">
        <f>RAVLT_Delayed!M76</f>
        <v>-1.47579102817917</v>
      </c>
      <c r="M76">
        <f>RAVLT_Delayed!N76</f>
        <v>7</v>
      </c>
      <c r="O76">
        <f>ABS(L76-RAVLT_Delayed!$C$34)</f>
        <v>5.2256952553522806E-2</v>
      </c>
      <c r="P76">
        <f t="shared" si="2"/>
        <v>7</v>
      </c>
    </row>
    <row r="77" spans="10:16">
      <c r="J77" s="5"/>
      <c r="L77">
        <f>RAVLT_Delayed!M77</f>
        <v>-1.46838379824566</v>
      </c>
      <c r="M77">
        <f>RAVLT_Delayed!N77</f>
        <v>7.1</v>
      </c>
      <c r="O77">
        <f>ABS(L77-RAVLT_Delayed!$C$34)</f>
        <v>5.9664182487032758E-2</v>
      </c>
      <c r="P77">
        <f t="shared" si="2"/>
        <v>7.1</v>
      </c>
    </row>
    <row r="78" spans="10:16">
      <c r="J78" s="5"/>
      <c r="L78">
        <f>RAVLT_Delayed!M78</f>
        <v>-1.46105626918691</v>
      </c>
      <c r="M78">
        <f>RAVLT_Delayed!N78</f>
        <v>7.2</v>
      </c>
      <c r="O78">
        <f>ABS(L78-RAVLT_Delayed!$C$34)</f>
        <v>6.6991711545782762E-2</v>
      </c>
      <c r="P78">
        <f t="shared" si="2"/>
        <v>7.2</v>
      </c>
    </row>
    <row r="79" spans="10:16">
      <c r="J79" s="5"/>
      <c r="L79">
        <f>RAVLT_Delayed!M79</f>
        <v>-1.4538063589405701</v>
      </c>
      <c r="M79">
        <f>RAVLT_Delayed!N79</f>
        <v>7.3</v>
      </c>
      <c r="O79">
        <f>ABS(L79-RAVLT_Delayed!$C$34)</f>
        <v>7.4241621792122681E-2</v>
      </c>
      <c r="P79">
        <f t="shared" si="2"/>
        <v>7.3</v>
      </c>
    </row>
    <row r="80" spans="10:16">
      <c r="J80" s="5"/>
      <c r="L80">
        <f>RAVLT_Delayed!M80</f>
        <v>-1.4466320671589801</v>
      </c>
      <c r="M80">
        <f>RAVLT_Delayed!N80</f>
        <v>7.4</v>
      </c>
      <c r="O80">
        <f>ABS(L80-RAVLT_Delayed!$C$34)</f>
        <v>8.1415913573712695E-2</v>
      </c>
      <c r="P80">
        <f t="shared" si="2"/>
        <v>7.4</v>
      </c>
    </row>
    <row r="81" spans="10:16">
      <c r="J81" s="5"/>
      <c r="L81">
        <f>RAVLT_Delayed!M81</f>
        <v>-1.4395314709384599</v>
      </c>
      <c r="M81">
        <f>RAVLT_Delayed!N81</f>
        <v>7.5</v>
      </c>
      <c r="O81">
        <f>ABS(L81-RAVLT_Delayed!$C$34)</f>
        <v>8.8516509794232867E-2</v>
      </c>
      <c r="P81">
        <f t="shared" si="2"/>
        <v>7.5</v>
      </c>
    </row>
    <row r="82" spans="10:16">
      <c r="J82" s="5"/>
      <c r="L82">
        <f>RAVLT_Delayed!M82</f>
        <v>-1.4325027208258101</v>
      </c>
      <c r="M82">
        <f>RAVLT_Delayed!N82</f>
        <v>7.6</v>
      </c>
      <c r="O82">
        <f>ABS(L82-RAVLT_Delayed!$C$34)</f>
        <v>9.5545259906882674E-2</v>
      </c>
      <c r="P82">
        <f t="shared" si="2"/>
        <v>7.6</v>
      </c>
    </row>
    <row r="83" spans="10:16">
      <c r="J83" s="5"/>
      <c r="L83">
        <f>RAVLT_Delayed!M83</f>
        <v>-1.42554403708045</v>
      </c>
      <c r="M83">
        <f>RAVLT_Delayed!N83</f>
        <v>7.7</v>
      </c>
      <c r="O83">
        <f>ABS(L83-RAVLT_Delayed!$C$34)</f>
        <v>0.1025039436522428</v>
      </c>
      <c r="P83">
        <f t="shared" si="2"/>
        <v>7.7</v>
      </c>
    </row>
    <row r="84" spans="10:16">
      <c r="J84" s="5"/>
      <c r="L84">
        <f>RAVLT_Delayed!M84</f>
        <v>-1.41865370617274</v>
      </c>
      <c r="M84">
        <f>RAVLT_Delayed!N84</f>
        <v>7.8</v>
      </c>
      <c r="O84">
        <f>ABS(L84-RAVLT_Delayed!$C$34)</f>
        <v>0.10939427455995276</v>
      </c>
      <c r="P84">
        <f t="shared" si="2"/>
        <v>7.8</v>
      </c>
    </row>
    <row r="85" spans="10:16">
      <c r="J85" s="5"/>
      <c r="L85">
        <f>RAVLT_Delayed!M85</f>
        <v>-1.4118300775008099</v>
      </c>
      <c r="M85">
        <f>RAVLT_Delayed!N85</f>
        <v>7.9</v>
      </c>
      <c r="O85">
        <f>ABS(L85-RAVLT_Delayed!$C$34)</f>
        <v>0.11621790323188286</v>
      </c>
      <c r="P85">
        <f t="shared" si="2"/>
        <v>7.9</v>
      </c>
    </row>
    <row r="86" spans="10:16">
      <c r="J86" s="5"/>
      <c r="L86">
        <f>RAVLT_Delayed!M86</f>
        <v>-1.40507156030963</v>
      </c>
      <c r="M86">
        <f>RAVLT_Delayed!N86</f>
        <v>8</v>
      </c>
      <c r="O86">
        <f>ABS(L86-RAVLT_Delayed!$C$34)</f>
        <v>0.12297642042306278</v>
      </c>
      <c r="P86">
        <f t="shared" si="2"/>
        <v>8</v>
      </c>
    </row>
    <row r="87" spans="10:16">
      <c r="J87" s="5"/>
      <c r="L87">
        <f>RAVLT_Delayed!M87</f>
        <v>-1.3983766207974999</v>
      </c>
      <c r="M87">
        <f>RAVLT_Delayed!N87</f>
        <v>8.1</v>
      </c>
      <c r="O87">
        <f>ABS(L87-RAVLT_Delayed!$C$34)</f>
        <v>0.12967135993519285</v>
      </c>
      <c r="P87">
        <f t="shared" si="2"/>
        <v>8.1</v>
      </c>
    </row>
    <row r="88" spans="10:16">
      <c r="J88" s="5"/>
      <c r="L88">
        <f>RAVLT_Delayed!M88</f>
        <v>-1.3917437793963301</v>
      </c>
      <c r="M88">
        <f>RAVLT_Delayed!N88</f>
        <v>8.1999999999999993</v>
      </c>
      <c r="O88">
        <f>ABS(L88-RAVLT_Delayed!$C$34)</f>
        <v>0.13630420133636267</v>
      </c>
      <c r="P88">
        <f t="shared" si="2"/>
        <v>8.1999999999999993</v>
      </c>
    </row>
    <row r="89" spans="10:16">
      <c r="J89" s="5"/>
      <c r="L89">
        <f>RAVLT_Delayed!M89</f>
        <v>-1.38517160821344</v>
      </c>
      <c r="M89">
        <f>RAVLT_Delayed!N89</f>
        <v>8.3000000000000007</v>
      </c>
      <c r="O89">
        <f>ABS(L89-RAVLT_Delayed!$C$34)</f>
        <v>0.14287637251925278</v>
      </c>
      <c r="P89">
        <f t="shared" si="2"/>
        <v>8.3000000000000007</v>
      </c>
    </row>
    <row r="90" spans="10:16">
      <c r="J90" s="5"/>
      <c r="L90">
        <f>RAVLT_Delayed!M90</f>
        <v>-1.3786587286232801</v>
      </c>
      <c r="M90">
        <f>RAVLT_Delayed!N90</f>
        <v>8.4</v>
      </c>
      <c r="O90">
        <f>ABS(L90-RAVLT_Delayed!$C$34)</f>
        <v>0.14938925210941267</v>
      </c>
      <c r="P90">
        <f t="shared" si="2"/>
        <v>8.4</v>
      </c>
    </row>
    <row r="91" spans="10:16">
      <c r="J91" s="5"/>
      <c r="L91">
        <f>RAVLT_Delayed!M91</f>
        <v>-1.3722038089987301</v>
      </c>
      <c r="M91">
        <f>RAVLT_Delayed!N91</f>
        <v>8.5</v>
      </c>
      <c r="O91">
        <f>ABS(L91-RAVLT_Delayed!$C$34)</f>
        <v>0.1558441717339627</v>
      </c>
      <c r="P91">
        <f t="shared" si="2"/>
        <v>8.5</v>
      </c>
    </row>
    <row r="92" spans="10:16">
      <c r="J92" s="5"/>
      <c r="L92">
        <f>RAVLT_Delayed!M92</f>
        <v>-1.36580556257227</v>
      </c>
      <c r="M92">
        <f>RAVLT_Delayed!N92</f>
        <v>8.6</v>
      </c>
      <c r="O92">
        <f>ABS(L92-RAVLT_Delayed!$C$34)</f>
        <v>0.16224241816042273</v>
      </c>
      <c r="P92">
        <f t="shared" si="2"/>
        <v>8.6</v>
      </c>
    </row>
    <row r="93" spans="10:16">
      <c r="J93" s="5"/>
      <c r="L93">
        <f>RAVLT_Delayed!M93</f>
        <v>-1.35946274541826</v>
      </c>
      <c r="M93">
        <f>RAVLT_Delayed!N93</f>
        <v>8.6999999999999993</v>
      </c>
      <c r="O93">
        <f>ABS(L93-RAVLT_Delayed!$C$34)</f>
        <v>0.16858523531443281</v>
      </c>
      <c r="P93">
        <f t="shared" si="2"/>
        <v>8.6999999999999993</v>
      </c>
    </row>
    <row r="94" spans="10:16">
      <c r="J94" s="5"/>
      <c r="L94">
        <f>RAVLT_Delayed!M94</f>
        <v>-1.3531741545480001</v>
      </c>
      <c r="M94">
        <f>RAVLT_Delayed!N94</f>
        <v>8.8000000000000007</v>
      </c>
      <c r="O94">
        <f>ABS(L94-RAVLT_Delayed!$C$34)</f>
        <v>0.17487382618469272</v>
      </c>
      <c r="P94">
        <f t="shared" si="2"/>
        <v>8.8000000000000007</v>
      </c>
    </row>
    <row r="95" spans="10:16">
      <c r="J95" s="5"/>
      <c r="L95">
        <f>RAVLT_Delayed!M95</f>
        <v>-1.34693862611028</v>
      </c>
      <c r="M95">
        <f>RAVLT_Delayed!N95</f>
        <v>8.9</v>
      </c>
      <c r="O95">
        <f>ABS(L95-RAVLT_Delayed!$C$34)</f>
        <v>0.18110935462241273</v>
      </c>
      <c r="P95">
        <f t="shared" si="2"/>
        <v>8.9</v>
      </c>
    </row>
    <row r="96" spans="10:16">
      <c r="J96" s="5"/>
      <c r="L96">
        <f>RAVLT_Delayed!M96</f>
        <v>-1.3407550336902201</v>
      </c>
      <c r="M96">
        <f>RAVLT_Delayed!N96</f>
        <v>9</v>
      </c>
      <c r="O96">
        <f>ABS(L96-RAVLT_Delayed!$C$34)</f>
        <v>0.18729294704247268</v>
      </c>
      <c r="P96">
        <f t="shared" si="2"/>
        <v>9</v>
      </c>
    </row>
    <row r="97" spans="10:16">
      <c r="J97" s="5"/>
      <c r="L97">
        <f>RAVLT_Delayed!M97</f>
        <v>-1.33462228670019</v>
      </c>
      <c r="M97">
        <f>RAVLT_Delayed!N97</f>
        <v>9.1</v>
      </c>
      <c r="O97">
        <f>ABS(L97-RAVLT_Delayed!$C$34)</f>
        <v>0.19342569403250276</v>
      </c>
      <c r="P97">
        <f t="shared" si="2"/>
        <v>9.1</v>
      </c>
    </row>
    <row r="98" spans="10:16">
      <c r="J98" s="5"/>
      <c r="L98">
        <f>RAVLT_Delayed!M98</f>
        <v>-1.3285393288568099</v>
      </c>
      <c r="M98">
        <f>RAVLT_Delayed!N98</f>
        <v>9.1999999999999993</v>
      </c>
      <c r="O98">
        <f>ABS(L98-RAVLT_Delayed!$C$34)</f>
        <v>0.19950865187588285</v>
      </c>
      <c r="P98">
        <f t="shared" si="2"/>
        <v>9.1999999999999993</v>
      </c>
    </row>
    <row r="99" spans="10:16">
      <c r="J99" s="5"/>
      <c r="L99">
        <f>RAVLT_Delayed!M99</f>
        <v>-1.3225051367384399</v>
      </c>
      <c r="M99">
        <f>RAVLT_Delayed!N99</f>
        <v>9.3000000000000007</v>
      </c>
      <c r="O99">
        <f>ABS(L99-RAVLT_Delayed!$C$34)</f>
        <v>0.20554284399425282</v>
      </c>
      <c r="P99">
        <f t="shared" si="2"/>
        <v>9.3000000000000007</v>
      </c>
    </row>
    <row r="100" spans="10:16">
      <c r="J100" s="5"/>
      <c r="L100">
        <f>RAVLT_Delayed!M100</f>
        <v>-1.3165187184182601</v>
      </c>
      <c r="M100">
        <f>RAVLT_Delayed!N100</f>
        <v>9.4</v>
      </c>
      <c r="O100">
        <f>ABS(L100-RAVLT_Delayed!$C$34)</f>
        <v>0.2115292623144327</v>
      </c>
      <c r="P100">
        <f t="shared" si="2"/>
        <v>9.4</v>
      </c>
    </row>
    <row r="101" spans="10:16">
      <c r="J101" s="5"/>
      <c r="L101">
        <f>RAVLT_Delayed!M101</f>
        <v>-1.3105791121681301</v>
      </c>
      <c r="M101">
        <f>RAVLT_Delayed!N101</f>
        <v>9.5</v>
      </c>
      <c r="O101">
        <f>ABS(L101-RAVLT_Delayed!$C$34)</f>
        <v>0.21746886856456271</v>
      </c>
      <c r="P101">
        <f t="shared" si="2"/>
        <v>9.5</v>
      </c>
    </row>
    <row r="102" spans="10:16">
      <c r="J102" s="5"/>
      <c r="L102">
        <f>RAVLT_Delayed!M102</f>
        <v>-1.3046853852287901</v>
      </c>
      <c r="M102">
        <f>RAVLT_Delayed!N102</f>
        <v>9.6</v>
      </c>
      <c r="O102">
        <f>ABS(L102-RAVLT_Delayed!$C$34)</f>
        <v>0.22336259550390269</v>
      </c>
      <c r="P102">
        <f t="shared" si="2"/>
        <v>9.6</v>
      </c>
    </row>
    <row r="103" spans="10:16">
      <c r="J103" s="5"/>
      <c r="L103">
        <f>RAVLT_Delayed!M103</f>
        <v>-1.29883663264251</v>
      </c>
      <c r="M103">
        <f>RAVLT_Delayed!N103</f>
        <v>9.6999999999999993</v>
      </c>
      <c r="O103">
        <f>ABS(L103-RAVLT_Delayed!$C$34)</f>
        <v>0.22921134809018273</v>
      </c>
      <c r="P103">
        <f t="shared" si="2"/>
        <v>9.6999999999999993</v>
      </c>
    </row>
    <row r="104" spans="10:16">
      <c r="J104" s="5"/>
      <c r="L104">
        <f>RAVLT_Delayed!M104</f>
        <v>-1.2930319761442399</v>
      </c>
      <c r="M104">
        <f>RAVLT_Delayed!N104</f>
        <v>9.8000000000000007</v>
      </c>
      <c r="O104">
        <f>ABS(L104-RAVLT_Delayed!$C$34)</f>
        <v>0.23501600458845284</v>
      </c>
      <c r="P104">
        <f t="shared" si="2"/>
        <v>9.8000000000000007</v>
      </c>
    </row>
    <row r="105" spans="10:16">
      <c r="J105" s="5"/>
      <c r="L105">
        <f>RAVLT_Delayed!M105</f>
        <v>-1.28727056310794</v>
      </c>
      <c r="M105">
        <f>RAVLT_Delayed!N105</f>
        <v>9.9</v>
      </c>
      <c r="O105">
        <f>ABS(L105-RAVLT_Delayed!$C$34)</f>
        <v>0.2407774176247528</v>
      </c>
      <c r="P105">
        <f t="shared" si="2"/>
        <v>9.9</v>
      </c>
    </row>
    <row r="106" spans="10:16">
      <c r="J106" s="5"/>
      <c r="L106">
        <f>RAVLT_Delayed!M106</f>
        <v>-1.2815515655445999</v>
      </c>
      <c r="M106">
        <f>RAVLT_Delayed!N106</f>
        <v>10</v>
      </c>
      <c r="O106">
        <f>ABS(L106-RAVLT_Delayed!$C$34)</f>
        <v>0.24649641518809284</v>
      </c>
      <c r="P106">
        <f t="shared" si="2"/>
        <v>10</v>
      </c>
    </row>
    <row r="107" spans="10:16">
      <c r="J107" s="5"/>
      <c r="L107">
        <f>RAVLT_Delayed!M107</f>
        <v>-1.2758741791491299</v>
      </c>
      <c r="M107">
        <f>RAVLT_Delayed!N107</f>
        <v>10.1</v>
      </c>
      <c r="O107">
        <f>ABS(L107-RAVLT_Delayed!$C$34)</f>
        <v>0.25217380158356284</v>
      </c>
      <c r="P107">
        <f t="shared" si="2"/>
        <v>10.1</v>
      </c>
    </row>
    <row r="108" spans="10:16">
      <c r="J108" s="5"/>
      <c r="L108">
        <f>RAVLT_Delayed!M108</f>
        <v>-1.27023762239315</v>
      </c>
      <c r="M108">
        <f>RAVLT_Delayed!N108</f>
        <v>10.199999999999999</v>
      </c>
      <c r="O108">
        <f>ABS(L108-RAVLT_Delayed!$C$34)</f>
        <v>0.2578103583395428</v>
      </c>
      <c r="P108">
        <f t="shared" si="2"/>
        <v>10.199999999999999</v>
      </c>
    </row>
    <row r="109" spans="10:16">
      <c r="J109" s="5"/>
      <c r="L109">
        <f>RAVLT_Delayed!M109</f>
        <v>-1.2646411356610801</v>
      </c>
      <c r="M109">
        <f>RAVLT_Delayed!N109</f>
        <v>10.3</v>
      </c>
      <c r="O109">
        <f>ABS(L109-RAVLT_Delayed!$C$34)</f>
        <v>0.26340684507161272</v>
      </c>
      <c r="P109">
        <f t="shared" si="2"/>
        <v>10.3</v>
      </c>
    </row>
    <row r="110" spans="10:16">
      <c r="J110" s="5"/>
      <c r="L110">
        <f>RAVLT_Delayed!M110</f>
        <v>-1.2590839804270699</v>
      </c>
      <c r="M110">
        <f>RAVLT_Delayed!N110</f>
        <v>10.4</v>
      </c>
      <c r="O110">
        <f>ABS(L110-RAVLT_Delayed!$C$34)</f>
        <v>0.26896400030562284</v>
      </c>
      <c r="P110">
        <f t="shared" si="2"/>
        <v>10.4</v>
      </c>
    </row>
    <row r="111" spans="10:16">
      <c r="J111" s="5"/>
      <c r="L111">
        <f>RAVLT_Delayed!M111</f>
        <v>-1.25356543847045</v>
      </c>
      <c r="M111">
        <f>RAVLT_Delayed!N111</f>
        <v>10.5</v>
      </c>
      <c r="O111">
        <f>ABS(L111-RAVLT_Delayed!$C$34)</f>
        <v>0.27448254226224278</v>
      </c>
      <c r="P111">
        <f t="shared" si="2"/>
        <v>10.5</v>
      </c>
    </row>
    <row r="112" spans="10:16">
      <c r="J112" s="5"/>
      <c r="L112">
        <f>RAVLT_Delayed!M112</f>
        <v>-1.24808481112755</v>
      </c>
      <c r="M112">
        <f>RAVLT_Delayed!N112</f>
        <v>10.6</v>
      </c>
      <c r="O112">
        <f>ABS(L112-RAVLT_Delayed!$C$34)</f>
        <v>0.27996316960514278</v>
      </c>
      <c r="P112">
        <f t="shared" si="2"/>
        <v>10.6</v>
      </c>
    </row>
    <row r="113" spans="10:16">
      <c r="J113" s="5"/>
      <c r="L113">
        <f>RAVLT_Delayed!M113</f>
        <v>-1.24264141857788</v>
      </c>
      <c r="M113">
        <f>RAVLT_Delayed!N113</f>
        <v>10.7</v>
      </c>
      <c r="O113">
        <f>ABS(L113-RAVLT_Delayed!$C$34)</f>
        <v>0.28540656215481275</v>
      </c>
      <c r="P113">
        <f t="shared" si="2"/>
        <v>10.7</v>
      </c>
    </row>
    <row r="114" spans="10:16">
      <c r="J114" s="5"/>
      <c r="L114">
        <f>RAVLT_Delayed!M114</f>
        <v>-1.23723459916283</v>
      </c>
      <c r="M114">
        <f>RAVLT_Delayed!N114</f>
        <v>10.8</v>
      </c>
      <c r="O114">
        <f>ABS(L114-RAVLT_Delayed!$C$34)</f>
        <v>0.29081338156986281</v>
      </c>
      <c r="P114">
        <f t="shared" si="2"/>
        <v>10.8</v>
      </c>
    </row>
    <row r="115" spans="10:16">
      <c r="J115" s="5"/>
      <c r="L115">
        <f>RAVLT_Delayed!M115</f>
        <v>-1.23186370873498</v>
      </c>
      <c r="M115">
        <f>RAVLT_Delayed!N115</f>
        <v>10.9</v>
      </c>
      <c r="O115">
        <f>ABS(L115-RAVLT_Delayed!$C$34)</f>
        <v>0.2961842719977128</v>
      </c>
      <c r="P115">
        <f t="shared" si="2"/>
        <v>10.9</v>
      </c>
    </row>
    <row r="116" spans="10:16">
      <c r="J116" s="5"/>
      <c r="L116">
        <f>RAVLT_Delayed!M116</f>
        <v>-1.22652812003661</v>
      </c>
      <c r="M116">
        <f>RAVLT_Delayed!N116</f>
        <v>11</v>
      </c>
      <c r="O116">
        <f>ABS(L116-RAVLT_Delayed!$C$34)</f>
        <v>0.30151986069608272</v>
      </c>
      <c r="P116">
        <f t="shared" si="2"/>
        <v>11</v>
      </c>
    </row>
    <row r="117" spans="10:16">
      <c r="J117" s="5"/>
      <c r="L117">
        <f>RAVLT_Delayed!M117</f>
        <v>-1.22122722210557</v>
      </c>
      <c r="M117">
        <f>RAVLT_Delayed!N117</f>
        <v>11.1</v>
      </c>
      <c r="O117">
        <f>ABS(L117-RAVLT_Delayed!$C$34)</f>
        <v>0.30682075862712277</v>
      </c>
      <c r="P117">
        <f t="shared" si="2"/>
        <v>11.1</v>
      </c>
    </row>
    <row r="118" spans="10:16">
      <c r="J118" s="5"/>
      <c r="L118">
        <f>RAVLT_Delayed!M118</f>
        <v>-1.2159604197073199</v>
      </c>
      <c r="M118">
        <f>RAVLT_Delayed!N118</f>
        <v>11.2</v>
      </c>
      <c r="O118">
        <f>ABS(L118-RAVLT_Delayed!$C$34)</f>
        <v>0.31208756102537283</v>
      </c>
      <c r="P118">
        <f t="shared" si="2"/>
        <v>11.2</v>
      </c>
    </row>
    <row r="119" spans="10:16">
      <c r="J119" s="5"/>
      <c r="L119">
        <f>RAVLT_Delayed!M119</f>
        <v>-1.2107271327916</v>
      </c>
      <c r="M119">
        <f>RAVLT_Delayed!N119</f>
        <v>11.3</v>
      </c>
      <c r="O119">
        <f>ABS(L119-RAVLT_Delayed!$C$34)</f>
        <v>0.31732084794109272</v>
      </c>
      <c r="P119">
        <f t="shared" si="2"/>
        <v>11.3</v>
      </c>
    </row>
    <row r="120" spans="10:16">
      <c r="J120" s="5"/>
      <c r="L120">
        <f>RAVLT_Delayed!M120</f>
        <v>-1.20552679597252</v>
      </c>
      <c r="M120">
        <f>RAVLT_Delayed!N120</f>
        <v>11.4</v>
      </c>
      <c r="O120">
        <f>ABS(L120-RAVLT_Delayed!$C$34)</f>
        <v>0.32252118476017277</v>
      </c>
      <c r="P120">
        <f t="shared" si="2"/>
        <v>11.4</v>
      </c>
    </row>
    <row r="121" spans="10:16">
      <c r="J121" s="5"/>
      <c r="L121">
        <f>RAVLT_Delayed!M121</f>
        <v>-1.20035885803086</v>
      </c>
      <c r="M121">
        <f>RAVLT_Delayed!N121</f>
        <v>11.5</v>
      </c>
      <c r="O121">
        <f>ABS(L121-RAVLT_Delayed!$C$34)</f>
        <v>0.32768912270183281</v>
      </c>
      <c r="P121">
        <f t="shared" si="2"/>
        <v>11.5</v>
      </c>
    </row>
    <row r="122" spans="10:16">
      <c r="J122" s="5"/>
      <c r="L122">
        <f>RAVLT_Delayed!M122</f>
        <v>-1.1952227814374301</v>
      </c>
      <c r="M122">
        <f>RAVLT_Delayed!N122</f>
        <v>11.6</v>
      </c>
      <c r="O122">
        <f>ABS(L122-RAVLT_Delayed!$C$34)</f>
        <v>0.33282519929526266</v>
      </c>
      <c r="P122">
        <f t="shared" si="2"/>
        <v>11.6</v>
      </c>
    </row>
    <row r="123" spans="10:16">
      <c r="J123" s="5"/>
      <c r="L123">
        <f>RAVLT_Delayed!M123</f>
        <v>-1.1901180418964199</v>
      </c>
      <c r="M123">
        <f>RAVLT_Delayed!N123</f>
        <v>11.7</v>
      </c>
      <c r="O123">
        <f>ABS(L123-RAVLT_Delayed!$C$34)</f>
        <v>0.33792993883627287</v>
      </c>
      <c r="P123">
        <f t="shared" si="2"/>
        <v>11.7</v>
      </c>
    </row>
    <row r="124" spans="10:16">
      <c r="J124" s="5"/>
      <c r="L124">
        <f>RAVLT_Delayed!M124</f>
        <v>-1.1850441279078101</v>
      </c>
      <c r="M124">
        <f>RAVLT_Delayed!N124</f>
        <v>11.8</v>
      </c>
      <c r="O124">
        <f>ABS(L124-RAVLT_Delayed!$C$34)</f>
        <v>0.34300385282488266</v>
      </c>
      <c r="P124">
        <f t="shared" si="2"/>
        <v>11.8</v>
      </c>
    </row>
    <row r="125" spans="10:16">
      <c r="J125" s="5"/>
      <c r="L125">
        <f>RAVLT_Delayed!M125</f>
        <v>-1.1800005403477301</v>
      </c>
      <c r="M125">
        <f>RAVLT_Delayed!N125</f>
        <v>11.9</v>
      </c>
      <c r="O125">
        <f>ABS(L125-RAVLT_Delayed!$C$34)</f>
        <v>0.34804744038496271</v>
      </c>
      <c r="P125">
        <f t="shared" si="2"/>
        <v>11.9</v>
      </c>
    </row>
    <row r="126" spans="10:16">
      <c r="J126" s="5"/>
      <c r="L126">
        <f>RAVLT_Delayed!M126</f>
        <v>-1.1749867920660899</v>
      </c>
      <c r="M126">
        <f>RAVLT_Delayed!N126</f>
        <v>12</v>
      </c>
      <c r="O126">
        <f>ABS(L126-RAVLT_Delayed!$C$34)</f>
        <v>0.35306118866660285</v>
      </c>
      <c r="P126">
        <f t="shared" si="2"/>
        <v>12</v>
      </c>
    </row>
    <row r="127" spans="10:16">
      <c r="J127" s="5"/>
      <c r="L127">
        <f>RAVLT_Delayed!M127</f>
        <v>-1.17000240750048</v>
      </c>
      <c r="M127">
        <f>RAVLT_Delayed!N127</f>
        <v>12.1</v>
      </c>
      <c r="O127">
        <f>ABS(L127-RAVLT_Delayed!$C$34)</f>
        <v>0.35804557323221275</v>
      </c>
      <c r="P127">
        <f t="shared" si="2"/>
        <v>12.1</v>
      </c>
    </row>
    <row r="128" spans="10:16">
      <c r="J128" s="5"/>
      <c r="L128">
        <f>RAVLT_Delayed!M128</f>
        <v>-1.1650469223055999</v>
      </c>
      <c r="M128">
        <f>RAVLT_Delayed!N128</f>
        <v>12.2</v>
      </c>
      <c r="O128">
        <f>ABS(L128-RAVLT_Delayed!$C$34)</f>
        <v>0.36300105842709285</v>
      </c>
      <c r="P128">
        <f t="shared" si="2"/>
        <v>12.2</v>
      </c>
    </row>
    <row r="129" spans="10:16">
      <c r="J129" s="5"/>
      <c r="L129">
        <f>RAVLT_Delayed!M129</f>
        <v>-1.1601198829975199</v>
      </c>
      <c r="M129">
        <f>RAVLT_Delayed!N129</f>
        <v>12.3</v>
      </c>
      <c r="O129">
        <f>ABS(L129-RAVLT_Delayed!$C$34)</f>
        <v>0.36792809773517288</v>
      </c>
      <c r="P129">
        <f t="shared" si="2"/>
        <v>12.3</v>
      </c>
    </row>
    <row r="130" spans="10:16">
      <c r="J130" s="5"/>
      <c r="L130">
        <f>RAVLT_Delayed!M130</f>
        <v>-1.15522084661195</v>
      </c>
      <c r="M130">
        <f>RAVLT_Delayed!N130</f>
        <v>12.4</v>
      </c>
      <c r="O130">
        <f>ABS(L130-RAVLT_Delayed!$C$34)</f>
        <v>0.37282713412074275</v>
      </c>
      <c r="P130">
        <f t="shared" si="2"/>
        <v>12.4</v>
      </c>
    </row>
    <row r="131" spans="10:16">
      <c r="J131" s="5"/>
      <c r="L131">
        <f>RAVLT_Delayed!M131</f>
        <v>-1.1503493803760101</v>
      </c>
      <c r="M131">
        <f>RAVLT_Delayed!N131</f>
        <v>12.5</v>
      </c>
      <c r="O131">
        <f>ABS(L131-RAVLT_Delayed!$C$34)</f>
        <v>0.37769860035668268</v>
      </c>
      <c r="P131">
        <f t="shared" si="2"/>
        <v>12.5</v>
      </c>
    </row>
    <row r="132" spans="10:16">
      <c r="J132" s="5"/>
      <c r="L132">
        <f>RAVLT_Delayed!M132</f>
        <v>-1.1455050613927</v>
      </c>
      <c r="M132">
        <f>RAVLT_Delayed!N132</f>
        <v>12.6</v>
      </c>
      <c r="O132">
        <f>ABS(L132-RAVLT_Delayed!$C$34)</f>
        <v>0.38254291933999274</v>
      </c>
      <c r="P132">
        <f t="shared" si="2"/>
        <v>12.6</v>
      </c>
    </row>
    <row r="133" spans="10:16">
      <c r="J133" s="5"/>
      <c r="L133">
        <f>RAVLT_Delayed!M133</f>
        <v>-1.14068747633762</v>
      </c>
      <c r="M133">
        <f>RAVLT_Delayed!N133</f>
        <v>12.7</v>
      </c>
      <c r="O133">
        <f>ABS(L133-RAVLT_Delayed!$C$34)</f>
        <v>0.38736050439507275</v>
      </c>
      <c r="P133">
        <f t="shared" si="2"/>
        <v>12.7</v>
      </c>
    </row>
    <row r="134" spans="10:16">
      <c r="J134" s="5"/>
      <c r="L134">
        <f>RAVLT_Delayed!M134</f>
        <v>-1.13589622116731</v>
      </c>
      <c r="M134">
        <f>RAVLT_Delayed!N134</f>
        <v>12.8</v>
      </c>
      <c r="O134">
        <f>ABS(L134-RAVLT_Delayed!$C$34)</f>
        <v>0.39215175956538273</v>
      </c>
      <c r="P134">
        <f t="shared" si="2"/>
        <v>12.8</v>
      </c>
    </row>
    <row r="135" spans="10:16">
      <c r="J135" s="5"/>
      <c r="L135">
        <f>RAVLT_Delayed!M135</f>
        <v>-1.1311309008386301</v>
      </c>
      <c r="M135">
        <f>RAVLT_Delayed!N135</f>
        <v>12.9</v>
      </c>
      <c r="O135">
        <f>ABS(L135-RAVLT_Delayed!$C$34)</f>
        <v>0.39691707989406266</v>
      </c>
      <c r="P135">
        <f t="shared" ref="P135:P198" si="3">M135</f>
        <v>12.9</v>
      </c>
    </row>
    <row r="136" spans="10:16">
      <c r="J136" s="5"/>
      <c r="L136">
        <f>RAVLT_Delayed!M136</f>
        <v>-1.1263911290388</v>
      </c>
      <c r="M136">
        <f>RAVLT_Delayed!N136</f>
        <v>13</v>
      </c>
      <c r="O136">
        <f>ABS(L136-RAVLT_Delayed!$C$34)</f>
        <v>0.40165685169389276</v>
      </c>
      <c r="P136">
        <f t="shared" si="3"/>
        <v>13</v>
      </c>
    </row>
    <row r="137" spans="10:16">
      <c r="J137" s="5"/>
      <c r="L137">
        <f>RAVLT_Delayed!M137</f>
        <v>-1.1216765279254901</v>
      </c>
      <c r="M137">
        <f>RAVLT_Delayed!N137</f>
        <v>13.1</v>
      </c>
      <c r="O137">
        <f>ABS(L137-RAVLT_Delayed!$C$34)</f>
        <v>0.40637145280720266</v>
      </c>
      <c r="P137">
        <f t="shared" si="3"/>
        <v>13.1</v>
      </c>
    </row>
    <row r="138" spans="10:16">
      <c r="J138" s="5"/>
      <c r="L138">
        <f>RAVLT_Delayed!M138</f>
        <v>-1.1169867278766099</v>
      </c>
      <c r="M138">
        <f>RAVLT_Delayed!N138</f>
        <v>13.2</v>
      </c>
      <c r="O138">
        <f>ABS(L138-RAVLT_Delayed!$C$34)</f>
        <v>0.41106125285608286</v>
      </c>
      <c r="P138">
        <f t="shared" si="3"/>
        <v>13.2</v>
      </c>
    </row>
    <row r="139" spans="10:16">
      <c r="J139" s="5"/>
      <c r="L139">
        <f>RAVLT_Delayed!M139</f>
        <v>-1.11232136724931</v>
      </c>
      <c r="M139">
        <f>RAVLT_Delayed!N139</f>
        <v>13.3</v>
      </c>
      <c r="O139">
        <f>ABS(L139-RAVLT_Delayed!$C$34)</f>
        <v>0.4157266134833828</v>
      </c>
      <c r="P139">
        <f t="shared" si="3"/>
        <v>13.3</v>
      </c>
    </row>
    <row r="140" spans="10:16">
      <c r="J140" s="5"/>
      <c r="L140">
        <f>RAVLT_Delayed!M140</f>
        <v>-1.1076800921478001</v>
      </c>
      <c r="M140">
        <f>RAVLT_Delayed!N140</f>
        <v>13.4</v>
      </c>
      <c r="O140">
        <f>ABS(L140-RAVLT_Delayed!$C$34)</f>
        <v>0.42036788858489271</v>
      </c>
      <c r="P140">
        <f t="shared" si="3"/>
        <v>13.4</v>
      </c>
    </row>
    <row r="141" spans="10:16">
      <c r="J141" s="5"/>
      <c r="L141">
        <f>RAVLT_Delayed!M141</f>
        <v>-1.1030625561995999</v>
      </c>
      <c r="M141">
        <f>RAVLT_Delayed!N141</f>
        <v>13.5</v>
      </c>
      <c r="O141">
        <f>ABS(L141-RAVLT_Delayed!$C$34)</f>
        <v>0.42498542453309285</v>
      </c>
      <c r="P141">
        <f t="shared" si="3"/>
        <v>13.5</v>
      </c>
    </row>
    <row r="142" spans="10:16">
      <c r="J142" s="5"/>
      <c r="L142">
        <f>RAVLT_Delayed!M142</f>
        <v>-1.09846842033986</v>
      </c>
      <c r="M142">
        <f>RAVLT_Delayed!N142</f>
        <v>13.6</v>
      </c>
      <c r="O142">
        <f>ABS(L142-RAVLT_Delayed!$C$34)</f>
        <v>0.42957956039283274</v>
      </c>
      <c r="P142">
        <f t="shared" si="3"/>
        <v>13.6</v>
      </c>
    </row>
    <row r="143" spans="10:16">
      <c r="J143" s="5"/>
      <c r="L143">
        <f>RAVLT_Delayed!M143</f>
        <v>-1.0938973526034399</v>
      </c>
      <c r="M143">
        <f>RAVLT_Delayed!N143</f>
        <v>13.7</v>
      </c>
      <c r="O143">
        <f>ABS(L143-RAVLT_Delayed!$C$34)</f>
        <v>0.43415062812925287</v>
      </c>
      <c r="P143">
        <f t="shared" si="3"/>
        <v>13.7</v>
      </c>
    </row>
    <row r="144" spans="10:16">
      <c r="J144" s="5"/>
      <c r="L144">
        <f>RAVLT_Delayed!M144</f>
        <v>-1.0893490279242799</v>
      </c>
      <c r="M144">
        <f>RAVLT_Delayed!N144</f>
        <v>13.8</v>
      </c>
      <c r="O144">
        <f>ABS(L144-RAVLT_Delayed!$C$34)</f>
        <v>0.43869895280841287</v>
      </c>
      <c r="P144">
        <f t="shared" si="3"/>
        <v>13.8</v>
      </c>
    </row>
    <row r="145" spans="10:16">
      <c r="J145" s="5"/>
      <c r="L145">
        <f>RAVLT_Delayed!M145</f>
        <v>-1.08482312794196</v>
      </c>
      <c r="M145">
        <f>RAVLT_Delayed!N145</f>
        <v>13.9</v>
      </c>
      <c r="O145">
        <f>ABS(L145-RAVLT_Delayed!$C$34)</f>
        <v>0.44322485279073276</v>
      </c>
      <c r="P145">
        <f t="shared" si="3"/>
        <v>13.9</v>
      </c>
    </row>
    <row r="146" spans="10:16">
      <c r="J146" s="5"/>
      <c r="L146">
        <f>RAVLT_Delayed!M146</f>
        <v>-1.0803193408149601</v>
      </c>
      <c r="M146">
        <f>RAVLT_Delayed!N146</f>
        <v>14</v>
      </c>
      <c r="O146">
        <f>ABS(L146-RAVLT_Delayed!$C$34)</f>
        <v>0.44772863991773271</v>
      </c>
      <c r="P146">
        <f t="shared" si="3"/>
        <v>14</v>
      </c>
    </row>
    <row r="147" spans="10:16">
      <c r="J147" s="5"/>
      <c r="L147">
        <f>RAVLT_Delayed!M147</f>
        <v>-1.0758373610404299</v>
      </c>
      <c r="M147">
        <f>RAVLT_Delayed!N147</f>
        <v>14.1</v>
      </c>
      <c r="O147">
        <f>ABS(L147-RAVLT_Delayed!$C$34)</f>
        <v>0.45221061969226284</v>
      </c>
      <c r="P147">
        <f t="shared" si="3"/>
        <v>14.1</v>
      </c>
    </row>
    <row r="148" spans="10:16">
      <c r="J148" s="5"/>
      <c r="L148">
        <f>RAVLT_Delayed!M148</f>
        <v>-1.07137688928021</v>
      </c>
      <c r="M148">
        <f>RAVLT_Delayed!N148</f>
        <v>14.2</v>
      </c>
      <c r="O148">
        <f>ABS(L148-RAVLT_Delayed!$C$34)</f>
        <v>0.45667109145248275</v>
      </c>
      <c r="P148">
        <f t="shared" si="3"/>
        <v>14.2</v>
      </c>
    </row>
    <row r="149" spans="10:16">
      <c r="J149" s="5"/>
      <c r="L149">
        <f>RAVLT_Delayed!M149</f>
        <v>-1.0669376321927699</v>
      </c>
      <c r="M149">
        <f>RAVLT_Delayed!N149</f>
        <v>14.3</v>
      </c>
      <c r="O149">
        <f>ABS(L149-RAVLT_Delayed!$C$34)</f>
        <v>0.46111034853992283</v>
      </c>
      <c r="P149">
        <f t="shared" si="3"/>
        <v>14.3</v>
      </c>
    </row>
    <row r="150" spans="10:16">
      <c r="J150" s="5"/>
      <c r="L150">
        <f>RAVLT_Delayed!M150</f>
        <v>-1.0625193022708701</v>
      </c>
      <c r="M150">
        <f>RAVLT_Delayed!N150</f>
        <v>14.4</v>
      </c>
      <c r="O150">
        <f>ABS(L150-RAVLT_Delayed!$C$34)</f>
        <v>0.46552867846182266</v>
      </c>
      <c r="P150">
        <f t="shared" si="3"/>
        <v>14.4</v>
      </c>
    </row>
    <row r="151" spans="10:16">
      <c r="J151" s="5"/>
      <c r="L151">
        <f>RAVLT_Delayed!M151</f>
        <v>-1.0581216176847801</v>
      </c>
      <c r="M151">
        <f>RAVLT_Delayed!N151</f>
        <v>14.5</v>
      </c>
      <c r="O151">
        <f>ABS(L151-RAVLT_Delayed!$C$34)</f>
        <v>0.46992636304791269</v>
      </c>
      <c r="P151">
        <f t="shared" si="3"/>
        <v>14.5</v>
      </c>
    </row>
    <row r="152" spans="10:16">
      <c r="J152" s="5"/>
      <c r="L152">
        <f>RAVLT_Delayed!M152</f>
        <v>-1.0537443021306701</v>
      </c>
      <c r="M152">
        <f>RAVLT_Delayed!N152</f>
        <v>14.6</v>
      </c>
      <c r="O152">
        <f>ABS(L152-RAVLT_Delayed!$C$34)</f>
        <v>0.47430367860202272</v>
      </c>
      <c r="P152">
        <f t="shared" si="3"/>
        <v>14.6</v>
      </c>
    </row>
    <row r="153" spans="10:16">
      <c r="J153" s="5"/>
      <c r="L153">
        <f>RAVLT_Delayed!M153</f>
        <v>-1.0493870846841</v>
      </c>
      <c r="M153">
        <f>RAVLT_Delayed!N153</f>
        <v>14.7</v>
      </c>
      <c r="O153">
        <f>ABS(L153-RAVLT_Delayed!$C$34)</f>
        <v>0.47866089604859274</v>
      </c>
      <c r="P153">
        <f t="shared" si="3"/>
        <v>14.7</v>
      </c>
    </row>
    <row r="154" spans="10:16">
      <c r="J154" s="5"/>
      <c r="L154">
        <f>RAVLT_Delayed!M154</f>
        <v>-1.04504969965839</v>
      </c>
      <c r="M154">
        <f>RAVLT_Delayed!N154</f>
        <v>14.8</v>
      </c>
      <c r="O154">
        <f>ABS(L154-RAVLT_Delayed!$C$34)</f>
        <v>0.48299828107430276</v>
      </c>
      <c r="P154">
        <f t="shared" si="3"/>
        <v>14.8</v>
      </c>
    </row>
    <row r="155" spans="10:16">
      <c r="J155" s="5"/>
      <c r="L155">
        <f>RAVLT_Delayed!M155</f>
        <v>-1.0407318864675399</v>
      </c>
      <c r="M155">
        <f>RAVLT_Delayed!N155</f>
        <v>14.9</v>
      </c>
      <c r="O155">
        <f>ABS(L155-RAVLT_Delayed!$C$34)</f>
        <v>0.48731609426515288</v>
      </c>
      <c r="P155">
        <f t="shared" si="3"/>
        <v>14.9</v>
      </c>
    </row>
    <row r="156" spans="10:16">
      <c r="J156" s="5"/>
      <c r="L156">
        <f>RAVLT_Delayed!M156</f>
        <v>-1.03643338949379</v>
      </c>
      <c r="M156">
        <f>RAVLT_Delayed!N156</f>
        <v>15</v>
      </c>
      <c r="O156">
        <f>ABS(L156-RAVLT_Delayed!$C$34)</f>
        <v>0.49161459123890272</v>
      </c>
      <c r="P156">
        <f t="shared" si="3"/>
        <v>15</v>
      </c>
    </row>
    <row r="157" spans="10:16">
      <c r="J157" s="5"/>
      <c r="L157">
        <f>RAVLT_Delayed!M157</f>
        <v>-1.03215395795931</v>
      </c>
      <c r="M157">
        <f>RAVLT_Delayed!N157</f>
        <v>15.1</v>
      </c>
      <c r="O157">
        <f>ABS(L157-RAVLT_Delayed!$C$34)</f>
        <v>0.49589402277338279</v>
      </c>
      <c r="P157">
        <f t="shared" si="3"/>
        <v>15.1</v>
      </c>
    </row>
    <row r="158" spans="10:16">
      <c r="J158" s="5"/>
      <c r="L158">
        <f>RAVLT_Delayed!M158</f>
        <v>-1.02789334580214</v>
      </c>
      <c r="M158">
        <f>RAVLT_Delayed!N158</f>
        <v>15.2</v>
      </c>
      <c r="O158">
        <f>ABS(L158-RAVLT_Delayed!$C$34)</f>
        <v>0.50015463493055279</v>
      </c>
      <c r="P158">
        <f t="shared" si="3"/>
        <v>15.2</v>
      </c>
    </row>
    <row r="159" spans="10:16">
      <c r="J159" s="5"/>
      <c r="L159">
        <f>RAVLT_Delayed!M159</f>
        <v>-1.0236513115560899</v>
      </c>
      <c r="M159">
        <f>RAVLT_Delayed!N159</f>
        <v>15.3</v>
      </c>
      <c r="O159">
        <f>ABS(L159-RAVLT_Delayed!$C$34)</f>
        <v>0.50439666917660286</v>
      </c>
      <c r="P159">
        <f t="shared" si="3"/>
        <v>15.3</v>
      </c>
    </row>
    <row r="160" spans="10:16">
      <c r="J160" s="5"/>
      <c r="L160">
        <f>RAVLT_Delayed!M160</f>
        <v>-1.01942761823437</v>
      </c>
      <c r="M160">
        <f>RAVLT_Delayed!N160</f>
        <v>15.4</v>
      </c>
      <c r="O160">
        <f>ABS(L160-RAVLT_Delayed!$C$34)</f>
        <v>0.50862036249832276</v>
      </c>
      <c r="P160">
        <f t="shared" si="3"/>
        <v>15.4</v>
      </c>
    </row>
    <row r="161" spans="10:16">
      <c r="J161" s="5"/>
      <c r="L161">
        <f>RAVLT_Delayed!M161</f>
        <v>-1.0152220332170301</v>
      </c>
      <c r="M161">
        <f>RAVLT_Delayed!N161</f>
        <v>15.5</v>
      </c>
      <c r="O161">
        <f>ABS(L161-RAVLT_Delayed!$C$34)</f>
        <v>0.51282594751566268</v>
      </c>
      <c r="P161">
        <f t="shared" si="3"/>
        <v>15.5</v>
      </c>
    </row>
    <row r="162" spans="10:16">
      <c r="J162" s="5"/>
      <c r="L162">
        <f>RAVLT_Delayed!M162</f>
        <v>-1.0110343281418199</v>
      </c>
      <c r="M162">
        <f>RAVLT_Delayed!N162</f>
        <v>15.6</v>
      </c>
      <c r="O162">
        <f>ABS(L162-RAVLT_Delayed!$C$34)</f>
        <v>0.51701365259087284</v>
      </c>
      <c r="P162">
        <f t="shared" si="3"/>
        <v>15.6</v>
      </c>
    </row>
    <row r="163" spans="10:16">
      <c r="J163" s="5"/>
      <c r="L163">
        <f>RAVLT_Delayed!M163</f>
        <v>-1.00686427879852</v>
      </c>
      <c r="M163">
        <f>RAVLT_Delayed!N163</f>
        <v>15.7</v>
      </c>
      <c r="O163">
        <f>ABS(L163-RAVLT_Delayed!$C$34)</f>
        <v>0.52118370193417274</v>
      </c>
      <c r="P163">
        <f t="shared" si="3"/>
        <v>15.7</v>
      </c>
    </row>
    <row r="164" spans="10:16">
      <c r="J164" s="5"/>
      <c r="L164">
        <f>RAVLT_Delayed!M164</f>
        <v>-1.00271166502655</v>
      </c>
      <c r="M164">
        <f>RAVLT_Delayed!N164</f>
        <v>15.8</v>
      </c>
      <c r="O164">
        <f>ABS(L164-RAVLT_Delayed!$C$34)</f>
        <v>0.52533631570614281</v>
      </c>
      <c r="P164">
        <f t="shared" si="3"/>
        <v>15.8</v>
      </c>
    </row>
    <row r="165" spans="10:16">
      <c r="J165" s="5"/>
      <c r="L165">
        <f>RAVLT_Delayed!M165</f>
        <v>-0.99857627061566001</v>
      </c>
      <c r="M165">
        <f>RAVLT_Delayed!N165</f>
        <v>15.9</v>
      </c>
      <c r="O165">
        <f>ABS(L165-RAVLT_Delayed!$C$34)</f>
        <v>0.52947171011703276</v>
      </c>
      <c r="P165">
        <f t="shared" si="3"/>
        <v>15.9</v>
      </c>
    </row>
    <row r="166" spans="10:16">
      <c r="J166" s="5"/>
      <c r="L166">
        <f>RAVLT_Delayed!M166</f>
        <v>-0.99445788320975304</v>
      </c>
      <c r="M166">
        <f>RAVLT_Delayed!N166</f>
        <v>16</v>
      </c>
      <c r="O166">
        <f>ABS(L166-RAVLT_Delayed!$C$34)</f>
        <v>0.53359009752293973</v>
      </c>
      <c r="P166">
        <f t="shared" si="3"/>
        <v>16</v>
      </c>
    </row>
    <row r="167" spans="10:16">
      <c r="J167" s="5"/>
      <c r="L167">
        <f>RAVLT_Delayed!M167</f>
        <v>-0.99035629421357496</v>
      </c>
      <c r="M167">
        <f>RAVLT_Delayed!N167</f>
        <v>16.100000000000001</v>
      </c>
      <c r="O167">
        <f>ABS(L167-RAVLT_Delayed!$C$34)</f>
        <v>0.53769168651911781</v>
      </c>
      <c r="P167">
        <f t="shared" si="3"/>
        <v>16.100000000000001</v>
      </c>
    </row>
    <row r="168" spans="10:16">
      <c r="J168" s="5"/>
      <c r="L168">
        <f>RAVLT_Delayed!M168</f>
        <v>-0.98627129870223795</v>
      </c>
      <c r="M168">
        <f>RAVLT_Delayed!N168</f>
        <v>16.2</v>
      </c>
      <c r="O168">
        <f>ABS(L168-RAVLT_Delayed!$C$34)</f>
        <v>0.54177668203045481</v>
      </c>
      <c r="P168">
        <f t="shared" si="3"/>
        <v>16.2</v>
      </c>
    </row>
    <row r="169" spans="10:16">
      <c r="J169" s="5"/>
      <c r="L169">
        <f>RAVLT_Delayed!M169</f>
        <v>-0.98220269533347004</v>
      </c>
      <c r="M169">
        <f>RAVLT_Delayed!N169</f>
        <v>16.3</v>
      </c>
      <c r="O169">
        <f>ABS(L169-RAVLT_Delayed!$C$34)</f>
        <v>0.54584528539922272</v>
      </c>
      <c r="P169">
        <f t="shared" si="3"/>
        <v>16.3</v>
      </c>
    </row>
    <row r="170" spans="10:16">
      <c r="J170" s="5"/>
      <c r="L170">
        <f>RAVLT_Delayed!M170</f>
        <v>-0.97815028626247102</v>
      </c>
      <c r="M170">
        <f>RAVLT_Delayed!N170</f>
        <v>16.399999999999999</v>
      </c>
      <c r="O170">
        <f>ABS(L170-RAVLT_Delayed!$C$34)</f>
        <v>0.54989769447022174</v>
      </c>
      <c r="P170">
        <f t="shared" si="3"/>
        <v>16.399999999999999</v>
      </c>
    </row>
    <row r="171" spans="10:16">
      <c r="J171" s="5"/>
      <c r="L171">
        <f>RAVLT_Delayed!M171</f>
        <v>-0.97411387705930896</v>
      </c>
      <c r="M171">
        <f>RAVLT_Delayed!N171</f>
        <v>16.5</v>
      </c>
      <c r="O171">
        <f>ABS(L171-RAVLT_Delayed!$C$34)</f>
        <v>0.5539341036733838</v>
      </c>
      <c r="P171">
        <f t="shared" si="3"/>
        <v>16.5</v>
      </c>
    </row>
    <row r="172" spans="10:16">
      <c r="J172" s="5"/>
      <c r="L172">
        <f>RAVLT_Delayed!M172</f>
        <v>-0.97009327662873701</v>
      </c>
      <c r="M172">
        <f>RAVLT_Delayed!N172</f>
        <v>16.600000000000001</v>
      </c>
      <c r="O172">
        <f>ABS(L172-RAVLT_Delayed!$C$34)</f>
        <v>0.55795470410395576</v>
      </c>
      <c r="P172">
        <f t="shared" si="3"/>
        <v>16.600000000000001</v>
      </c>
    </row>
    <row r="173" spans="10:16">
      <c r="J173" s="5"/>
      <c r="L173">
        <f>RAVLT_Delayed!M173</f>
        <v>-0.96608829713237299</v>
      </c>
      <c r="M173">
        <f>RAVLT_Delayed!N173</f>
        <v>16.7</v>
      </c>
      <c r="O173">
        <f>ABS(L173-RAVLT_Delayed!$C$34)</f>
        <v>0.56195968360031978</v>
      </c>
      <c r="P173">
        <f t="shared" si="3"/>
        <v>16.7</v>
      </c>
    </row>
    <row r="174" spans="10:16">
      <c r="J174" s="5"/>
      <c r="L174">
        <f>RAVLT_Delayed!M174</f>
        <v>-0.96209875391314204</v>
      </c>
      <c r="M174">
        <f>RAVLT_Delayed!N174</f>
        <v>16.8</v>
      </c>
      <c r="O174">
        <f>ABS(L174-RAVLT_Delayed!$C$34)</f>
        <v>0.56594922681955073</v>
      </c>
      <c r="P174">
        <f t="shared" si="3"/>
        <v>16.8</v>
      </c>
    </row>
    <row r="175" spans="10:16">
      <c r="J175" s="5"/>
      <c r="L175">
        <f>RAVLT_Delayed!M175</f>
        <v>-0.95812446542190299</v>
      </c>
      <c r="M175">
        <f>RAVLT_Delayed!N175</f>
        <v>16.899999999999999</v>
      </c>
      <c r="O175">
        <f>ABS(L175-RAVLT_Delayed!$C$34)</f>
        <v>0.56992351531078977</v>
      </c>
      <c r="P175">
        <f t="shared" si="3"/>
        <v>16.899999999999999</v>
      </c>
    </row>
    <row r="176" spans="10:16">
      <c r="J176" s="5"/>
      <c r="L176">
        <f>RAVLT_Delayed!M176</f>
        <v>-0.95416525314619405</v>
      </c>
      <c r="M176">
        <f>RAVLT_Delayed!N176</f>
        <v>17</v>
      </c>
      <c r="O176">
        <f>ABS(L176-RAVLT_Delayed!$C$34)</f>
        <v>0.57388272758649872</v>
      </c>
      <c r="P176">
        <f t="shared" si="3"/>
        <v>17</v>
      </c>
    </row>
    <row r="177" spans="10:16">
      <c r="J177" s="5"/>
      <c r="L177">
        <f>RAVLT_Delayed!M177</f>
        <v>-0.950220941541015</v>
      </c>
      <c r="M177">
        <f>RAVLT_Delayed!N177</f>
        <v>17.100000000000001</v>
      </c>
      <c r="O177">
        <f>ABS(L177-RAVLT_Delayed!$C$34)</f>
        <v>0.57782703919167777</v>
      </c>
      <c r="P177">
        <f t="shared" si="3"/>
        <v>17.100000000000001</v>
      </c>
    </row>
    <row r="178" spans="10:16">
      <c r="J178" s="5"/>
      <c r="L178">
        <f>RAVLT_Delayed!M178</f>
        <v>-0.94629135796157604</v>
      </c>
      <c r="M178">
        <f>RAVLT_Delayed!N178</f>
        <v>17.2</v>
      </c>
      <c r="O178">
        <f>ABS(L178-RAVLT_Delayed!$C$34)</f>
        <v>0.58175662277111673</v>
      </c>
      <c r="P178">
        <f t="shared" si="3"/>
        <v>17.2</v>
      </c>
    </row>
    <row r="179" spans="10:16">
      <c r="J179" s="5"/>
      <c r="L179">
        <f>RAVLT_Delayed!M179</f>
        <v>-0.94237633259794995</v>
      </c>
      <c r="M179">
        <f>RAVLT_Delayed!N179</f>
        <v>17.3</v>
      </c>
      <c r="O179">
        <f>ABS(L179-RAVLT_Delayed!$C$34)</f>
        <v>0.58567164813474282</v>
      </c>
      <c r="P179">
        <f t="shared" si="3"/>
        <v>17.3</v>
      </c>
    </row>
    <row r="180" spans="10:16">
      <c r="J180" s="5"/>
      <c r="L180">
        <f>RAVLT_Delayed!M180</f>
        <v>-0.93847569841156797</v>
      </c>
      <c r="M180">
        <f>RAVLT_Delayed!N180</f>
        <v>17.399999999999999</v>
      </c>
      <c r="O180">
        <f>ABS(L180-RAVLT_Delayed!$C$34)</f>
        <v>0.5895722823211248</v>
      </c>
      <c r="P180">
        <f t="shared" si="3"/>
        <v>17.399999999999999</v>
      </c>
    </row>
    <row r="181" spans="10:16">
      <c r="J181" s="5"/>
      <c r="L181">
        <f>RAVLT_Delayed!M181</f>
        <v>-0.93458929107347999</v>
      </c>
      <c r="M181">
        <f>RAVLT_Delayed!N181</f>
        <v>17.5</v>
      </c>
      <c r="O181">
        <f>ABS(L181-RAVLT_Delayed!$C$34)</f>
        <v>0.59345868965921278</v>
      </c>
      <c r="P181">
        <f t="shared" si="3"/>
        <v>17.5</v>
      </c>
    </row>
    <row r="182" spans="10:16">
      <c r="J182" s="5"/>
      <c r="L182">
        <f>RAVLT_Delayed!M182</f>
        <v>-0.93071694890433898</v>
      </c>
      <c r="M182">
        <f>RAVLT_Delayed!N182</f>
        <v>17.600000000000001</v>
      </c>
      <c r="O182">
        <f>ABS(L182-RAVLT_Delayed!$C$34)</f>
        <v>0.59733103182835379</v>
      </c>
      <c r="P182">
        <f t="shared" si="3"/>
        <v>17.600000000000001</v>
      </c>
    </row>
    <row r="183" spans="10:16">
      <c r="J183" s="5"/>
      <c r="L183">
        <f>RAVLT_Delayed!M183</f>
        <v>-0.92685851281604403</v>
      </c>
      <c r="M183">
        <f>RAVLT_Delayed!N183</f>
        <v>17.7</v>
      </c>
      <c r="O183">
        <f>ABS(L183-RAVLT_Delayed!$C$34)</f>
        <v>0.60118946791664873</v>
      </c>
      <c r="P183">
        <f t="shared" si="3"/>
        <v>17.7</v>
      </c>
    </row>
    <row r="184" spans="10:16">
      <c r="J184" s="5"/>
      <c r="L184">
        <f>RAVLT_Delayed!M184</f>
        <v>-0.92301382625497996</v>
      </c>
      <c r="M184">
        <f>RAVLT_Delayed!N184</f>
        <v>17.8</v>
      </c>
      <c r="O184">
        <f>ABS(L184-RAVLT_Delayed!$C$34)</f>
        <v>0.6050341544777128</v>
      </c>
      <c r="P184">
        <f t="shared" si="3"/>
        <v>17.8</v>
      </c>
    </row>
    <row r="185" spans="10:16">
      <c r="J185" s="5"/>
      <c r="L185">
        <f>RAVLT_Delayed!M185</f>
        <v>-0.91918273514682003</v>
      </c>
      <c r="M185">
        <f>RAVLT_Delayed!N185</f>
        <v>17.899999999999999</v>
      </c>
      <c r="O185">
        <f>ABS(L185-RAVLT_Delayed!$C$34)</f>
        <v>0.60886524558587274</v>
      </c>
      <c r="P185">
        <f t="shared" si="3"/>
        <v>17.899999999999999</v>
      </c>
    </row>
    <row r="186" spans="10:16">
      <c r="J186" s="5"/>
      <c r="L186">
        <f>RAVLT_Delayed!M186</f>
        <v>-0.91536508784281401</v>
      </c>
      <c r="M186">
        <f>RAVLT_Delayed!N186</f>
        <v>18</v>
      </c>
      <c r="O186">
        <f>ABS(L186-RAVLT_Delayed!$C$34)</f>
        <v>0.61268289288987876</v>
      </c>
      <c r="P186">
        <f t="shared" si="3"/>
        <v>18</v>
      </c>
    </row>
    <row r="187" spans="10:16">
      <c r="J187" s="5"/>
      <c r="L187">
        <f>RAVLT_Delayed!M187</f>
        <v>-0.91156073506754098</v>
      </c>
      <c r="M187">
        <f>RAVLT_Delayed!N187</f>
        <v>18.100000000000001</v>
      </c>
      <c r="O187">
        <f>ABS(L187-RAVLT_Delayed!$C$34)</f>
        <v>0.61648724566515178</v>
      </c>
      <c r="P187">
        <f t="shared" si="3"/>
        <v>18.100000000000001</v>
      </c>
    </row>
    <row r="188" spans="10:16">
      <c r="J188" s="5"/>
      <c r="L188">
        <f>RAVLT_Delayed!M188</f>
        <v>-0.90776952986805504</v>
      </c>
      <c r="M188">
        <f>RAVLT_Delayed!N188</f>
        <v>18.2</v>
      </c>
      <c r="O188">
        <f>ABS(L188-RAVLT_Delayed!$C$34)</f>
        <v>0.62027845086463773</v>
      </c>
      <c r="P188">
        <f t="shared" si="3"/>
        <v>18.2</v>
      </c>
    </row>
    <row r="189" spans="10:16">
      <c r="J189" s="5"/>
      <c r="L189">
        <f>RAVLT_Delayed!M189</f>
        <v>-0.90399132756440204</v>
      </c>
      <c r="M189">
        <f>RAVLT_Delayed!N189</f>
        <v>18.3</v>
      </c>
      <c r="O189">
        <f>ABS(L189-RAVLT_Delayed!$C$34)</f>
        <v>0.62405665316829073</v>
      </c>
      <c r="P189">
        <f t="shared" si="3"/>
        <v>18.3</v>
      </c>
    </row>
    <row r="190" spans="10:16">
      <c r="J190" s="5"/>
      <c r="L190">
        <f>RAVLT_Delayed!M190</f>
        <v>-0.90022598570143297</v>
      </c>
      <c r="M190">
        <f>RAVLT_Delayed!N190</f>
        <v>18.399999999999999</v>
      </c>
      <c r="O190">
        <f>ABS(L190-RAVLT_Delayed!$C$34)</f>
        <v>0.62782199503125979</v>
      </c>
      <c r="P190">
        <f t="shared" si="3"/>
        <v>18.399999999999999</v>
      </c>
    </row>
    <row r="191" spans="10:16">
      <c r="J191" s="5"/>
      <c r="L191">
        <f>RAVLT_Delayed!M191</f>
        <v>-0.89647336400191602</v>
      </c>
      <c r="M191">
        <f>RAVLT_Delayed!N191</f>
        <v>18.5</v>
      </c>
      <c r="O191">
        <f>ABS(L191-RAVLT_Delayed!$C$34)</f>
        <v>0.63157461673077675</v>
      </c>
      <c r="P191">
        <f t="shared" si="3"/>
        <v>18.5</v>
      </c>
    </row>
    <row r="192" spans="10:16">
      <c r="J192" s="5"/>
      <c r="L192">
        <f>RAVLT_Delayed!M192</f>
        <v>-0.89273332432085595</v>
      </c>
      <c r="M192">
        <f>RAVLT_Delayed!N192</f>
        <v>18.600000000000001</v>
      </c>
      <c r="O192">
        <f>ABS(L192-RAVLT_Delayed!$C$34)</f>
        <v>0.63531465641183682</v>
      </c>
      <c r="P192">
        <f t="shared" si="3"/>
        <v>18.600000000000001</v>
      </c>
    </row>
    <row r="193" spans="10:16">
      <c r="J193" s="5"/>
      <c r="L193">
        <f>RAVLT_Delayed!M193</f>
        <v>-0.88900573060102495</v>
      </c>
      <c r="M193">
        <f>RAVLT_Delayed!N193</f>
        <v>18.7</v>
      </c>
      <c r="O193">
        <f>ABS(L193-RAVLT_Delayed!$C$34)</f>
        <v>0.63904225013166782</v>
      </c>
      <c r="P193">
        <f t="shared" si="3"/>
        <v>18.7</v>
      </c>
    </row>
    <row r="194" spans="10:16">
      <c r="J194" s="5"/>
      <c r="L194">
        <f>RAVLT_Delayed!M194</f>
        <v>-0.88529044882964103</v>
      </c>
      <c r="M194">
        <f>RAVLT_Delayed!N194</f>
        <v>18.8</v>
      </c>
      <c r="O194">
        <f>ABS(L194-RAVLT_Delayed!$C$34)</f>
        <v>0.64275753190305174</v>
      </c>
      <c r="P194">
        <f t="shared" si="3"/>
        <v>18.8</v>
      </c>
    </row>
    <row r="195" spans="10:16">
      <c r="J195" s="5"/>
      <c r="L195">
        <f>RAVLT_Delayed!M195</f>
        <v>-0.88158734699617503</v>
      </c>
      <c r="M195">
        <f>RAVLT_Delayed!N195</f>
        <v>18.899999999999999</v>
      </c>
      <c r="O195">
        <f>ABS(L195-RAVLT_Delayed!$C$34)</f>
        <v>0.64646063373651774</v>
      </c>
      <c r="P195">
        <f t="shared" si="3"/>
        <v>18.899999999999999</v>
      </c>
    </row>
    <row r="196" spans="10:16">
      <c r="J196" s="5"/>
      <c r="L196">
        <f>RAVLT_Delayed!M196</f>
        <v>-0.87789629505122802</v>
      </c>
      <c r="M196">
        <f>RAVLT_Delayed!N196</f>
        <v>19</v>
      </c>
      <c r="O196">
        <f>ABS(L196-RAVLT_Delayed!$C$34)</f>
        <v>0.65015168568146475</v>
      </c>
      <c r="P196">
        <f t="shared" si="3"/>
        <v>19</v>
      </c>
    </row>
    <row r="197" spans="10:16">
      <c r="J197" s="5"/>
      <c r="L197">
        <f>RAVLT_Delayed!M197</f>
        <v>-0.87421716486648304</v>
      </c>
      <c r="M197">
        <f>RAVLT_Delayed!N197</f>
        <v>19.100000000000001</v>
      </c>
      <c r="O197">
        <f>ABS(L197-RAVLT_Delayed!$C$34)</f>
        <v>0.65383081586620972</v>
      </c>
      <c r="P197">
        <f t="shared" si="3"/>
        <v>19.100000000000001</v>
      </c>
    </row>
    <row r="198" spans="10:16">
      <c r="J198" s="5"/>
      <c r="L198">
        <f>RAVLT_Delayed!M198</f>
        <v>-0.87054983019565402</v>
      </c>
      <c r="M198">
        <f>RAVLT_Delayed!N198</f>
        <v>19.2</v>
      </c>
      <c r="O198">
        <f>ABS(L198-RAVLT_Delayed!$C$34)</f>
        <v>0.65749815053703875</v>
      </c>
      <c r="P198">
        <f t="shared" si="3"/>
        <v>19.2</v>
      </c>
    </row>
    <row r="199" spans="10:16">
      <c r="J199" s="5"/>
      <c r="L199">
        <f>RAVLT_Delayed!M199</f>
        <v>-0.86689416663643803</v>
      </c>
      <c r="M199">
        <f>RAVLT_Delayed!N199</f>
        <v>19.3</v>
      </c>
      <c r="O199">
        <f>ABS(L199-RAVLT_Delayed!$C$34)</f>
        <v>0.66115381409625473</v>
      </c>
      <c r="P199">
        <f t="shared" ref="P199:P262" si="4">M199</f>
        <v>19.3</v>
      </c>
    </row>
    <row r="200" spans="10:16">
      <c r="J200" s="5"/>
      <c r="L200">
        <f>RAVLT_Delayed!M200</f>
        <v>-0.86325005159342105</v>
      </c>
      <c r="M200">
        <f>RAVLT_Delayed!N200</f>
        <v>19.399999999999999</v>
      </c>
      <c r="O200">
        <f>ABS(L200-RAVLT_Delayed!$C$34)</f>
        <v>0.66479792913927171</v>
      </c>
      <c r="P200">
        <f t="shared" si="4"/>
        <v>19.399999999999999</v>
      </c>
    </row>
    <row r="201" spans="10:16">
      <c r="J201" s="5"/>
      <c r="L201">
        <f>RAVLT_Delayed!M201</f>
        <v>-0.85961736424191104</v>
      </c>
      <c r="M201">
        <f>RAVLT_Delayed!N201</f>
        <v>19.5</v>
      </c>
      <c r="O201">
        <f>ABS(L201-RAVLT_Delayed!$C$34)</f>
        <v>0.66843061649078173</v>
      </c>
      <c r="P201">
        <f t="shared" si="4"/>
        <v>19.5</v>
      </c>
    </row>
    <row r="202" spans="10:16">
      <c r="J202" s="5"/>
      <c r="L202">
        <f>RAVLT_Delayed!M202</f>
        <v>-0.85599598549268197</v>
      </c>
      <c r="M202">
        <f>RAVLT_Delayed!N202</f>
        <v>19.600000000000001</v>
      </c>
      <c r="O202">
        <f>ABS(L202-RAVLT_Delayed!$C$34)</f>
        <v>0.6720519952400108</v>
      </c>
      <c r="P202">
        <f t="shared" si="4"/>
        <v>19.600000000000001</v>
      </c>
    </row>
    <row r="203" spans="10:16">
      <c r="J203" s="5"/>
      <c r="L203">
        <f>RAVLT_Delayed!M203</f>
        <v>-0.85238579795757496</v>
      </c>
      <c r="M203">
        <f>RAVLT_Delayed!N203</f>
        <v>19.7</v>
      </c>
      <c r="O203">
        <f>ABS(L203-RAVLT_Delayed!$C$34)</f>
        <v>0.6756621827751178</v>
      </c>
      <c r="P203">
        <f t="shared" si="4"/>
        <v>19.7</v>
      </c>
    </row>
    <row r="204" spans="10:16">
      <c r="J204" s="5"/>
      <c r="L204">
        <f>RAVLT_Delayed!M204</f>
        <v>-0.84878668591596695</v>
      </c>
      <c r="M204">
        <f>RAVLT_Delayed!N204</f>
        <v>19.8</v>
      </c>
      <c r="O204">
        <f>ABS(L204-RAVLT_Delayed!$C$34)</f>
        <v>0.67926129481672581</v>
      </c>
      <c r="P204">
        <f t="shared" si="4"/>
        <v>19.8</v>
      </c>
    </row>
    <row r="205" spans="10:16">
      <c r="J205" s="5"/>
      <c r="L205">
        <f>RAVLT_Delayed!M205</f>
        <v>-0.84519853528205002</v>
      </c>
      <c r="M205">
        <f>RAVLT_Delayed!N205</f>
        <v>19.899999999999999</v>
      </c>
      <c r="O205">
        <f>ABS(L205-RAVLT_Delayed!$C$34)</f>
        <v>0.68284944545064274</v>
      </c>
      <c r="P205">
        <f t="shared" si="4"/>
        <v>19.899999999999999</v>
      </c>
    </row>
    <row r="206" spans="10:16">
      <c r="J206" s="5"/>
      <c r="L206">
        <f>RAVLT_Delayed!M206</f>
        <v>-0.84162123357291396</v>
      </c>
      <c r="M206">
        <f>RAVLT_Delayed!N206</f>
        <v>20</v>
      </c>
      <c r="O206">
        <f>ABS(L206-RAVLT_Delayed!$C$34)</f>
        <v>0.68642674715977881</v>
      </c>
      <c r="P206">
        <f t="shared" si="4"/>
        <v>20</v>
      </c>
    </row>
    <row r="207" spans="10:16">
      <c r="J207" s="5"/>
      <c r="L207">
        <f>RAVLT_Delayed!M207</f>
        <v>-0.83805466987740695</v>
      </c>
      <c r="M207">
        <f>RAVLT_Delayed!N207</f>
        <v>20.100000000000001</v>
      </c>
      <c r="O207">
        <f>ABS(L207-RAVLT_Delayed!$C$34)</f>
        <v>0.68999331085528581</v>
      </c>
      <c r="P207">
        <f t="shared" si="4"/>
        <v>20.100000000000001</v>
      </c>
    </row>
    <row r="208" spans="10:16">
      <c r="J208" s="5"/>
      <c r="L208">
        <f>RAVLT_Delayed!M208</f>
        <v>-0.83449873482574</v>
      </c>
      <c r="M208">
        <f>RAVLT_Delayed!N208</f>
        <v>20.2</v>
      </c>
      <c r="O208">
        <f>ABS(L208-RAVLT_Delayed!$C$34)</f>
        <v>0.69354924590695277</v>
      </c>
      <c r="P208">
        <f t="shared" si="4"/>
        <v>20.2</v>
      </c>
    </row>
    <row r="209" spans="10:16">
      <c r="J209" s="5"/>
      <c r="L209">
        <f>RAVLT_Delayed!M209</f>
        <v>-0.83095332055983795</v>
      </c>
      <c r="M209">
        <f>RAVLT_Delayed!N209</f>
        <v>20.3</v>
      </c>
      <c r="O209">
        <f>ABS(L209-RAVLT_Delayed!$C$34)</f>
        <v>0.69709466017285482</v>
      </c>
      <c r="P209">
        <f t="shared" si="4"/>
        <v>20.3</v>
      </c>
    </row>
    <row r="210" spans="10:16">
      <c r="J210" s="5"/>
      <c r="L210">
        <f>RAVLT_Delayed!M210</f>
        <v>-0.82741832070438204</v>
      </c>
      <c r="M210">
        <f>RAVLT_Delayed!N210</f>
        <v>20.399999999999999</v>
      </c>
      <c r="O210">
        <f>ABS(L210-RAVLT_Delayed!$C$34)</f>
        <v>0.70062966002831073</v>
      </c>
      <c r="P210">
        <f t="shared" si="4"/>
        <v>20.399999999999999</v>
      </c>
    </row>
    <row r="211" spans="10:16">
      <c r="J211" s="5"/>
      <c r="L211">
        <f>RAVLT_Delayed!M211</f>
        <v>-0.823893630338557</v>
      </c>
      <c r="M211">
        <f>RAVLT_Delayed!N211</f>
        <v>20.5</v>
      </c>
      <c r="O211">
        <f>ABS(L211-RAVLT_Delayed!$C$34)</f>
        <v>0.70415435039413576</v>
      </c>
      <c r="P211">
        <f t="shared" si="4"/>
        <v>20.5</v>
      </c>
    </row>
    <row r="212" spans="10:16">
      <c r="J212" s="5"/>
      <c r="L212">
        <f>RAVLT_Delayed!M212</f>
        <v>-0.82037914596846095</v>
      </c>
      <c r="M212">
        <f>RAVLT_Delayed!N212</f>
        <v>20.6</v>
      </c>
      <c r="O212">
        <f>ABS(L212-RAVLT_Delayed!$C$34)</f>
        <v>0.70766883476423181</v>
      </c>
      <c r="P212">
        <f t="shared" si="4"/>
        <v>20.6</v>
      </c>
    </row>
    <row r="213" spans="10:16">
      <c r="J213" s="5"/>
      <c r="L213">
        <f>RAVLT_Delayed!M213</f>
        <v>-0.81687476550016302</v>
      </c>
      <c r="M213">
        <f>RAVLT_Delayed!N213</f>
        <v>20.7</v>
      </c>
      <c r="O213">
        <f>ABS(L213-RAVLT_Delayed!$C$34)</f>
        <v>0.71117321523252974</v>
      </c>
      <c r="P213">
        <f t="shared" si="4"/>
        <v>20.7</v>
      </c>
    </row>
    <row r="214" spans="10:16">
      <c r="J214" s="5"/>
      <c r="L214">
        <f>RAVLT_Delayed!M214</f>
        <v>-0.81338038821340397</v>
      </c>
      <c r="M214">
        <f>RAVLT_Delayed!N214</f>
        <v>20.8</v>
      </c>
      <c r="O214">
        <f>ABS(L214-RAVLT_Delayed!$C$34)</f>
        <v>0.7146675925192888</v>
      </c>
      <c r="P214">
        <f t="shared" si="4"/>
        <v>20.8</v>
      </c>
    </row>
    <row r="215" spans="10:16">
      <c r="J215" s="5"/>
      <c r="L215">
        <f>RAVLT_Delayed!M215</f>
        <v>-0.80989591473589795</v>
      </c>
      <c r="M215">
        <f>RAVLT_Delayed!N215</f>
        <v>20.9</v>
      </c>
      <c r="O215">
        <f>ABS(L215-RAVLT_Delayed!$C$34)</f>
        <v>0.71815206599679482</v>
      </c>
      <c r="P215">
        <f t="shared" si="4"/>
        <v>20.9</v>
      </c>
    </row>
    <row r="216" spans="10:16">
      <c r="J216" s="5"/>
      <c r="L216">
        <f>RAVLT_Delayed!M216</f>
        <v>-0.80642124701824003</v>
      </c>
      <c r="M216">
        <f>RAVLT_Delayed!N216</f>
        <v>21</v>
      </c>
      <c r="O216">
        <f>ABS(L216-RAVLT_Delayed!$C$34)</f>
        <v>0.72162673371445274</v>
      </c>
      <c r="P216">
        <f t="shared" si="4"/>
        <v>21</v>
      </c>
    </row>
    <row r="217" spans="10:16">
      <c r="J217" s="5"/>
      <c r="L217">
        <f>RAVLT_Delayed!M217</f>
        <v>-0.80295628830939403</v>
      </c>
      <c r="M217">
        <f>RAVLT_Delayed!N217</f>
        <v>21.1</v>
      </c>
      <c r="O217">
        <f>ABS(L217-RAVLT_Delayed!$C$34)</f>
        <v>0.72509169242329874</v>
      </c>
      <c r="P217">
        <f t="shared" si="4"/>
        <v>21.1</v>
      </c>
    </row>
    <row r="218" spans="10:16">
      <c r="J218" s="5"/>
      <c r="L218">
        <f>RAVLT_Delayed!M218</f>
        <v>-0.79950094313273701</v>
      </c>
      <c r="M218">
        <f>RAVLT_Delayed!N218</f>
        <v>21.2</v>
      </c>
      <c r="O218">
        <f>ABS(L218-RAVLT_Delayed!$C$34)</f>
        <v>0.72854703759995576</v>
      </c>
      <c r="P218">
        <f t="shared" si="4"/>
        <v>21.2</v>
      </c>
    </row>
    <row r="219" spans="10:16">
      <c r="J219" s="5"/>
      <c r="L219">
        <f>RAVLT_Delayed!M219</f>
        <v>-0.79605511726266298</v>
      </c>
      <c r="M219">
        <f>RAVLT_Delayed!N219</f>
        <v>21.3</v>
      </c>
      <c r="O219">
        <f>ABS(L219-RAVLT_Delayed!$C$34)</f>
        <v>0.73199286347002979</v>
      </c>
      <c r="P219">
        <f t="shared" si="4"/>
        <v>21.3</v>
      </c>
    </row>
    <row r="220" spans="10:16">
      <c r="J220" s="5"/>
      <c r="L220">
        <f>RAVLT_Delayed!M220</f>
        <v>-0.79261871770171199</v>
      </c>
      <c r="M220">
        <f>RAVLT_Delayed!N220</f>
        <v>21.4</v>
      </c>
      <c r="O220">
        <f>ABS(L220-RAVLT_Delayed!$C$34)</f>
        <v>0.73542926303098077</v>
      </c>
      <c r="P220">
        <f t="shared" si="4"/>
        <v>21.4</v>
      </c>
    </row>
    <row r="221" spans="10:16">
      <c r="J221" s="5"/>
      <c r="L221">
        <f>RAVLT_Delayed!M221</f>
        <v>-0.789191652658222</v>
      </c>
      <c r="M221">
        <f>RAVLT_Delayed!N221</f>
        <v>21.5</v>
      </c>
      <c r="O221">
        <f>ABS(L221-RAVLT_Delayed!$C$34)</f>
        <v>0.73885632807447077</v>
      </c>
      <c r="P221">
        <f t="shared" si="4"/>
        <v>21.5</v>
      </c>
    </row>
    <row r="222" spans="10:16">
      <c r="J222" s="5"/>
      <c r="L222">
        <f>RAVLT_Delayed!M222</f>
        <v>-0.78577383152448399</v>
      </c>
      <c r="M222">
        <f>RAVLT_Delayed!N222</f>
        <v>21.6</v>
      </c>
      <c r="O222">
        <f>ABS(L222-RAVLT_Delayed!$C$34)</f>
        <v>0.74227414920820878</v>
      </c>
      <c r="P222">
        <f t="shared" si="4"/>
        <v>21.6</v>
      </c>
    </row>
    <row r="223" spans="10:16">
      <c r="J223" s="5"/>
      <c r="L223">
        <f>RAVLT_Delayed!M223</f>
        <v>-0.78236516485538699</v>
      </c>
      <c r="M223">
        <f>RAVLT_Delayed!N223</f>
        <v>21.7</v>
      </c>
      <c r="O223">
        <f>ABS(L223-RAVLT_Delayed!$C$34)</f>
        <v>0.74568281587730578</v>
      </c>
      <c r="P223">
        <f t="shared" si="4"/>
        <v>21.7</v>
      </c>
    </row>
    <row r="224" spans="10:16">
      <c r="J224" s="5"/>
      <c r="L224">
        <f>RAVLT_Delayed!M224</f>
        <v>-0.77896556434754505</v>
      </c>
      <c r="M224">
        <f>RAVLT_Delayed!N224</f>
        <v>21.8</v>
      </c>
      <c r="O224">
        <f>ABS(L224-RAVLT_Delayed!$C$34)</f>
        <v>0.74908241638514772</v>
      </c>
      <c r="P224">
        <f t="shared" si="4"/>
        <v>21.8</v>
      </c>
    </row>
    <row r="225" spans="10:16">
      <c r="J225" s="5"/>
      <c r="L225">
        <f>RAVLT_Delayed!M225</f>
        <v>-0.77557494281888395</v>
      </c>
      <c r="M225">
        <f>RAVLT_Delayed!N225</f>
        <v>21.9</v>
      </c>
      <c r="O225">
        <f>ABS(L225-RAVLT_Delayed!$C$34)</f>
        <v>0.75247303791380882</v>
      </c>
      <c r="P225">
        <f t="shared" si="4"/>
        <v>21.9</v>
      </c>
    </row>
    <row r="226" spans="10:16">
      <c r="J226" s="5"/>
      <c r="L226">
        <f>RAVLT_Delayed!M226</f>
        <v>-0.77219321418868503</v>
      </c>
      <c r="M226">
        <f>RAVLT_Delayed!N226</f>
        <v>22</v>
      </c>
      <c r="O226">
        <f>ABS(L226-RAVLT_Delayed!$C$34)</f>
        <v>0.75585476654400774</v>
      </c>
      <c r="P226">
        <f t="shared" si="4"/>
        <v>22</v>
      </c>
    </row>
    <row r="227" spans="10:16">
      <c r="J227" s="5"/>
      <c r="L227">
        <f>RAVLT_Delayed!M227</f>
        <v>-0.76882029345806202</v>
      </c>
      <c r="M227">
        <f>RAVLT_Delayed!N227</f>
        <v>22.1</v>
      </c>
      <c r="O227">
        <f>ABS(L227-RAVLT_Delayed!$C$34)</f>
        <v>0.75922768727463075</v>
      </c>
      <c r="P227">
        <f t="shared" si="4"/>
        <v>22.1</v>
      </c>
    </row>
    <row r="228" spans="10:16">
      <c r="J228" s="5"/>
      <c r="L228">
        <f>RAVLT_Delayed!M228</f>
        <v>-0.765456096690878</v>
      </c>
      <c r="M228">
        <f>RAVLT_Delayed!N228</f>
        <v>22.2</v>
      </c>
      <c r="O228">
        <f>ABS(L228-RAVLT_Delayed!$C$34)</f>
        <v>0.76259188404181477</v>
      </c>
      <c r="P228">
        <f t="shared" si="4"/>
        <v>22.2</v>
      </c>
    </row>
    <row r="229" spans="10:16">
      <c r="J229" s="5"/>
      <c r="L229">
        <f>RAVLT_Delayed!M229</f>
        <v>-0.76210054099506697</v>
      </c>
      <c r="M229">
        <f>RAVLT_Delayed!N229</f>
        <v>22.3</v>
      </c>
      <c r="O229">
        <f>ABS(L229-RAVLT_Delayed!$C$34)</f>
        <v>0.7659474397376258</v>
      </c>
      <c r="P229">
        <f t="shared" si="4"/>
        <v>22.3</v>
      </c>
    </row>
    <row r="230" spans="10:16">
      <c r="J230" s="5"/>
      <c r="L230">
        <f>RAVLT_Delayed!M230</f>
        <v>-0.75875354450437105</v>
      </c>
      <c r="M230">
        <f>RAVLT_Delayed!N230</f>
        <v>22.4</v>
      </c>
      <c r="O230">
        <f>ABS(L230-RAVLT_Delayed!$C$34)</f>
        <v>0.76929443622832172</v>
      </c>
      <c r="P230">
        <f t="shared" si="4"/>
        <v>22.4</v>
      </c>
    </row>
    <row r="231" spans="10:16">
      <c r="J231" s="5"/>
      <c r="L231">
        <f>RAVLT_Delayed!M231</f>
        <v>-0.75541502636046898</v>
      </c>
      <c r="M231">
        <f>RAVLT_Delayed!N231</f>
        <v>22.5</v>
      </c>
      <c r="O231">
        <f>ABS(L231-RAVLT_Delayed!$C$34)</f>
        <v>0.77263295437222379</v>
      </c>
      <c r="P231">
        <f t="shared" si="4"/>
        <v>22.5</v>
      </c>
    </row>
    <row r="232" spans="10:16">
      <c r="J232" s="5"/>
      <c r="L232">
        <f>RAVLT_Delayed!M232</f>
        <v>-0.752084906695491</v>
      </c>
      <c r="M232">
        <f>RAVLT_Delayed!N232</f>
        <v>22.6</v>
      </c>
      <c r="O232">
        <f>ABS(L232-RAVLT_Delayed!$C$34)</f>
        <v>0.77596307403720177</v>
      </c>
      <c r="P232">
        <f t="shared" si="4"/>
        <v>22.6</v>
      </c>
    </row>
    <row r="233" spans="10:16">
      <c r="J233" s="5"/>
      <c r="L233">
        <f>RAVLT_Delayed!M233</f>
        <v>-0.74876310661490897</v>
      </c>
      <c r="M233">
        <f>RAVLT_Delayed!N233</f>
        <v>22.7</v>
      </c>
      <c r="O233">
        <f>ABS(L233-RAVLT_Delayed!$C$34)</f>
        <v>0.7792848741177838</v>
      </c>
      <c r="P233">
        <f t="shared" si="4"/>
        <v>22.7</v>
      </c>
    </row>
    <row r="234" spans="10:16">
      <c r="J234" s="5"/>
      <c r="L234">
        <f>RAVLT_Delayed!M234</f>
        <v>-0.74544954818078901</v>
      </c>
      <c r="M234">
        <f>RAVLT_Delayed!N234</f>
        <v>22.8</v>
      </c>
      <c r="O234">
        <f>ABS(L234-RAVLT_Delayed!$C$34)</f>
        <v>0.78259843255190376</v>
      </c>
      <c r="P234">
        <f t="shared" si="4"/>
        <v>22.8</v>
      </c>
    </row>
    <row r="235" spans="10:16">
      <c r="J235" s="5"/>
      <c r="L235">
        <f>RAVLT_Delayed!M235</f>
        <v>-0.74214415439540904</v>
      </c>
      <c r="M235">
        <f>RAVLT_Delayed!N235</f>
        <v>22.9</v>
      </c>
      <c r="O235">
        <f>ABS(L235-RAVLT_Delayed!$C$34)</f>
        <v>0.78590382633728373</v>
      </c>
      <c r="P235">
        <f t="shared" si="4"/>
        <v>22.9</v>
      </c>
    </row>
    <row r="236" spans="10:16">
      <c r="J236" s="5"/>
      <c r="L236">
        <f>RAVLT_Delayed!M236</f>
        <v>-0.73884684918521404</v>
      </c>
      <c r="M236">
        <f>RAVLT_Delayed!N236</f>
        <v>23</v>
      </c>
      <c r="O236">
        <f>ABS(L236-RAVLT_Delayed!$C$34)</f>
        <v>0.78920113154747873</v>
      </c>
      <c r="P236">
        <f t="shared" si="4"/>
        <v>23</v>
      </c>
    </row>
    <row r="237" spans="10:16">
      <c r="J237" s="5"/>
      <c r="L237">
        <f>RAVLT_Delayed!M237</f>
        <v>-0.73555755738511097</v>
      </c>
      <c r="M237">
        <f>RAVLT_Delayed!N237</f>
        <v>23.1</v>
      </c>
      <c r="O237">
        <f>ABS(L237-RAVLT_Delayed!$C$34)</f>
        <v>0.7924904233475818</v>
      </c>
      <c r="P237">
        <f t="shared" si="4"/>
        <v>23.1</v>
      </c>
    </row>
    <row r="238" spans="10:16">
      <c r="J238" s="5"/>
      <c r="L238">
        <f>RAVLT_Delayed!M238</f>
        <v>-0.73227620472309995</v>
      </c>
      <c r="M238">
        <f>RAVLT_Delayed!N238</f>
        <v>23.2</v>
      </c>
      <c r="O238">
        <f>ABS(L238-RAVLT_Delayed!$C$34)</f>
        <v>0.79577177600959281</v>
      </c>
      <c r="P238">
        <f t="shared" si="4"/>
        <v>23.2</v>
      </c>
    </row>
    <row r="239" spans="10:16">
      <c r="J239" s="5"/>
      <c r="L239">
        <f>RAVLT_Delayed!M239</f>
        <v>-0.72900271780521897</v>
      </c>
      <c r="M239">
        <f>RAVLT_Delayed!N239</f>
        <v>23.3</v>
      </c>
      <c r="O239">
        <f>ABS(L239-RAVLT_Delayed!$C$34)</f>
        <v>0.7990452629274738</v>
      </c>
      <c r="P239">
        <f t="shared" si="4"/>
        <v>23.3</v>
      </c>
    </row>
    <row r="240" spans="10:16">
      <c r="J240" s="5"/>
      <c r="L240">
        <f>RAVLT_Delayed!M240</f>
        <v>-0.72573702410080498</v>
      </c>
      <c r="M240">
        <f>RAVLT_Delayed!N240</f>
        <v>23.4</v>
      </c>
      <c r="O240">
        <f>ABS(L240-RAVLT_Delayed!$C$34)</f>
        <v>0.80231095663188778</v>
      </c>
      <c r="P240">
        <f t="shared" si="4"/>
        <v>23.4</v>
      </c>
    </row>
    <row r="241" spans="10:16">
      <c r="J241" s="5"/>
      <c r="L241">
        <f>RAVLT_Delayed!M241</f>
        <v>-0.72247905192806305</v>
      </c>
      <c r="M241">
        <f>RAVLT_Delayed!N241</f>
        <v>23.5</v>
      </c>
      <c r="O241">
        <f>ABS(L241-RAVLT_Delayed!$C$34)</f>
        <v>0.80556892880462971</v>
      </c>
      <c r="P241">
        <f t="shared" si="4"/>
        <v>23.5</v>
      </c>
    </row>
    <row r="242" spans="10:16">
      <c r="J242" s="5"/>
      <c r="L242">
        <f>RAVLT_Delayed!M242</f>
        <v>-0.71922873043992397</v>
      </c>
      <c r="M242">
        <f>RAVLT_Delayed!N242</f>
        <v>23.6</v>
      </c>
      <c r="O242">
        <f>ABS(L242-RAVLT_Delayed!$C$34)</f>
        <v>0.8088192502927688</v>
      </c>
      <c r="P242">
        <f t="shared" si="4"/>
        <v>23.6</v>
      </c>
    </row>
    <row r="243" spans="10:16">
      <c r="J243" s="5"/>
      <c r="L243">
        <f>RAVLT_Delayed!M243</f>
        <v>-0.71598598961020499</v>
      </c>
      <c r="M243">
        <f>RAVLT_Delayed!N243</f>
        <v>23.7</v>
      </c>
      <c r="O243">
        <f>ABS(L243-RAVLT_Delayed!$C$34)</f>
        <v>0.81206199112248778</v>
      </c>
      <c r="P243">
        <f t="shared" si="4"/>
        <v>23.7</v>
      </c>
    </row>
    <row r="244" spans="10:16">
      <c r="J244" s="5"/>
      <c r="L244">
        <f>RAVLT_Delayed!M244</f>
        <v>-0.71275076022004302</v>
      </c>
      <c r="M244">
        <f>RAVLT_Delayed!N244</f>
        <v>23.8</v>
      </c>
      <c r="O244">
        <f>ABS(L244-RAVLT_Delayed!$C$34)</f>
        <v>0.81529722051264975</v>
      </c>
      <c r="P244">
        <f t="shared" si="4"/>
        <v>23.8</v>
      </c>
    </row>
    <row r="245" spans="10:16">
      <c r="J245" s="5"/>
      <c r="L245">
        <f>RAVLT_Delayed!M245</f>
        <v>-0.70952297384460805</v>
      </c>
      <c r="M245">
        <f>RAVLT_Delayed!N245</f>
        <v>23.9</v>
      </c>
      <c r="O245">
        <f>ABS(L245-RAVLT_Delayed!$C$34)</f>
        <v>0.81852500688808472</v>
      </c>
      <c r="P245">
        <f t="shared" si="4"/>
        <v>23.9</v>
      </c>
    </row>
    <row r="246" spans="10:16">
      <c r="J246" s="5"/>
      <c r="L246">
        <f>RAVLT_Delayed!M246</f>
        <v>-0.70630256284008797</v>
      </c>
      <c r="M246">
        <f>RAVLT_Delayed!N246</f>
        <v>24</v>
      </c>
      <c r="O246">
        <f>ABS(L246-RAVLT_Delayed!$C$34)</f>
        <v>0.8217454178926048</v>
      </c>
      <c r="P246">
        <f t="shared" si="4"/>
        <v>24</v>
      </c>
    </row>
    <row r="247" spans="10:16">
      <c r="J247" s="5"/>
      <c r="L247">
        <f>RAVLT_Delayed!M247</f>
        <v>-0.70308946033092901</v>
      </c>
      <c r="M247">
        <f>RAVLT_Delayed!N247</f>
        <v>24.1</v>
      </c>
      <c r="O247">
        <f>ABS(L247-RAVLT_Delayed!$C$34)</f>
        <v>0.82495852040176376</v>
      </c>
      <c r="P247">
        <f t="shared" si="4"/>
        <v>24.1</v>
      </c>
    </row>
    <row r="248" spans="10:16">
      <c r="J248" s="5"/>
      <c r="L248">
        <f>RAVLT_Delayed!M248</f>
        <v>-0.69988360019734097</v>
      </c>
      <c r="M248">
        <f>RAVLT_Delayed!N248</f>
        <v>24.2</v>
      </c>
      <c r="O248">
        <f>ABS(L248-RAVLT_Delayed!$C$34)</f>
        <v>0.8281643805353518</v>
      </c>
      <c r="P248">
        <f t="shared" si="4"/>
        <v>24.2</v>
      </c>
    </row>
    <row r="249" spans="10:16">
      <c r="J249" s="5"/>
      <c r="L249">
        <f>RAVLT_Delayed!M249</f>
        <v>-0.69668491706305102</v>
      </c>
      <c r="M249">
        <f>RAVLT_Delayed!N249</f>
        <v>24.3</v>
      </c>
      <c r="O249">
        <f>ABS(L249-RAVLT_Delayed!$C$34)</f>
        <v>0.83136306366964174</v>
      </c>
      <c r="P249">
        <f t="shared" si="4"/>
        <v>24.3</v>
      </c>
    </row>
    <row r="250" spans="10:16">
      <c r="J250" s="5"/>
      <c r="L250">
        <f>RAVLT_Delayed!M250</f>
        <v>-0.69349334628328896</v>
      </c>
      <c r="M250">
        <f>RAVLT_Delayed!N250</f>
        <v>24.4</v>
      </c>
      <c r="O250">
        <f>ABS(L250-RAVLT_Delayed!$C$34)</f>
        <v>0.83455463444940381</v>
      </c>
      <c r="P250">
        <f t="shared" si="4"/>
        <v>24.4</v>
      </c>
    </row>
    <row r="251" spans="10:16">
      <c r="J251" s="5"/>
      <c r="L251">
        <f>RAVLT_Delayed!M251</f>
        <v>-0.69030882393303405</v>
      </c>
      <c r="M251">
        <f>RAVLT_Delayed!N251</f>
        <v>24.5</v>
      </c>
      <c r="O251">
        <f>ABS(L251-RAVLT_Delayed!$C$34)</f>
        <v>0.83773915679965871</v>
      </c>
      <c r="P251">
        <f t="shared" si="4"/>
        <v>24.5</v>
      </c>
    </row>
    <row r="252" spans="10:16">
      <c r="J252" s="5"/>
      <c r="L252">
        <f>RAVLT_Delayed!M252</f>
        <v>-0.68713128679546898</v>
      </c>
      <c r="M252">
        <f>RAVLT_Delayed!N252</f>
        <v>24.6</v>
      </c>
      <c r="O252">
        <f>ABS(L252-RAVLT_Delayed!$C$34)</f>
        <v>0.84091669393722379</v>
      </c>
      <c r="P252">
        <f t="shared" si="4"/>
        <v>24.6</v>
      </c>
    </row>
    <row r="253" spans="10:16">
      <c r="J253" s="5"/>
      <c r="L253">
        <f>RAVLT_Delayed!M253</f>
        <v>-0.68396067235068203</v>
      </c>
      <c r="M253">
        <f>RAVLT_Delayed!N253</f>
        <v>24.7</v>
      </c>
      <c r="O253">
        <f>ABS(L253-RAVLT_Delayed!$C$34)</f>
        <v>0.84408730838201074</v>
      </c>
      <c r="P253">
        <f t="shared" si="4"/>
        <v>24.7</v>
      </c>
    </row>
    <row r="254" spans="10:16">
      <c r="J254" s="5"/>
      <c r="L254">
        <f>RAVLT_Delayed!M254</f>
        <v>-0.68079691876457504</v>
      </c>
      <c r="M254">
        <f>RAVLT_Delayed!N254</f>
        <v>24.8</v>
      </c>
      <c r="O254">
        <f>ABS(L254-RAVLT_Delayed!$C$34)</f>
        <v>0.84725106196811772</v>
      </c>
      <c r="P254">
        <f t="shared" si="4"/>
        <v>24.8</v>
      </c>
    </row>
    <row r="255" spans="10:16">
      <c r="J255" s="5"/>
      <c r="L255">
        <f>RAVLT_Delayed!M255</f>
        <v>-0.67763996487799605</v>
      </c>
      <c r="M255">
        <f>RAVLT_Delayed!N255</f>
        <v>24.9</v>
      </c>
      <c r="O255">
        <f>ABS(L255-RAVLT_Delayed!$C$34)</f>
        <v>0.85040801585469672</v>
      </c>
      <c r="P255">
        <f t="shared" si="4"/>
        <v>24.9</v>
      </c>
    </row>
    <row r="256" spans="10:16">
      <c r="J256" s="5"/>
      <c r="L256">
        <f>RAVLT_Delayed!M256</f>
        <v>-0.67448975019608204</v>
      </c>
      <c r="M256">
        <f>RAVLT_Delayed!N256</f>
        <v>25</v>
      </c>
      <c r="O256">
        <f>ABS(L256-RAVLT_Delayed!$C$34)</f>
        <v>0.85355823053661073</v>
      </c>
      <c r="P256">
        <f t="shared" si="4"/>
        <v>25</v>
      </c>
    </row>
    <row r="257" spans="10:16">
      <c r="J257" s="5"/>
      <c r="L257">
        <f>RAVLT_Delayed!M257</f>
        <v>-0.67134621487780499</v>
      </c>
      <c r="M257">
        <f>RAVLT_Delayed!N257</f>
        <v>25.1</v>
      </c>
      <c r="O257">
        <f>ABS(L257-RAVLT_Delayed!$C$34)</f>
        <v>0.85670176585488778</v>
      </c>
      <c r="P257">
        <f t="shared" si="4"/>
        <v>25.1</v>
      </c>
    </row>
    <row r="258" spans="10:16">
      <c r="J258" s="5"/>
      <c r="L258">
        <f>RAVLT_Delayed!M258</f>
        <v>-0.66820929972572296</v>
      </c>
      <c r="M258">
        <f>RAVLT_Delayed!N258</f>
        <v>25.2</v>
      </c>
      <c r="O258">
        <f>ABS(L258-RAVLT_Delayed!$C$34)</f>
        <v>0.85983868100696981</v>
      </c>
      <c r="P258">
        <f t="shared" si="4"/>
        <v>25.2</v>
      </c>
    </row>
    <row r="259" spans="10:16">
      <c r="J259" s="5"/>
      <c r="L259">
        <f>RAVLT_Delayed!M259</f>
        <v>-0.665078946175923</v>
      </c>
      <c r="M259">
        <f>RAVLT_Delayed!N259</f>
        <v>25.3</v>
      </c>
      <c r="O259">
        <f>ABS(L259-RAVLT_Delayed!$C$34)</f>
        <v>0.86296903455676977</v>
      </c>
      <c r="P259">
        <f t="shared" si="4"/>
        <v>25.3</v>
      </c>
    </row>
    <row r="260" spans="10:16">
      <c r="J260" s="5"/>
      <c r="L260">
        <f>RAVLT_Delayed!M260</f>
        <v>-0.66195509628816196</v>
      </c>
      <c r="M260">
        <f>RAVLT_Delayed!N260</f>
        <v>25.4</v>
      </c>
      <c r="O260">
        <f>ABS(L260-RAVLT_Delayed!$C$34)</f>
        <v>0.86609288444453081</v>
      </c>
      <c r="P260">
        <f t="shared" si="4"/>
        <v>25.4</v>
      </c>
    </row>
    <row r="261" spans="10:16">
      <c r="J261" s="5"/>
      <c r="L261">
        <f>RAVLT_Delayed!M261</f>
        <v>-0.65883769273618797</v>
      </c>
      <c r="M261">
        <f>RAVLT_Delayed!N261</f>
        <v>25.5</v>
      </c>
      <c r="O261">
        <f>ABS(L261-RAVLT_Delayed!$C$34)</f>
        <v>0.86921028799650479</v>
      </c>
      <c r="P261">
        <f t="shared" si="4"/>
        <v>25.5</v>
      </c>
    </row>
    <row r="262" spans="10:16">
      <c r="J262" s="5"/>
      <c r="L262">
        <f>RAVLT_Delayed!M262</f>
        <v>-0.65572667879825297</v>
      </c>
      <c r="M262">
        <f>RAVLT_Delayed!N262</f>
        <v>25.6</v>
      </c>
      <c r="O262">
        <f>ABS(L262-RAVLT_Delayed!$C$34)</f>
        <v>0.8723213019344398</v>
      </c>
      <c r="P262">
        <f t="shared" si="4"/>
        <v>25.6</v>
      </c>
    </row>
    <row r="263" spans="10:16">
      <c r="J263" s="5"/>
      <c r="L263">
        <f>RAVLT_Delayed!M263</f>
        <v>-0.65262199834780099</v>
      </c>
      <c r="M263">
        <f>RAVLT_Delayed!N263</f>
        <v>25.7</v>
      </c>
      <c r="O263">
        <f>ABS(L263-RAVLT_Delayed!$C$34)</f>
        <v>0.87542598238489178</v>
      </c>
      <c r="P263">
        <f t="shared" ref="P263:P326" si="5">M263</f>
        <v>25.7</v>
      </c>
    </row>
    <row r="264" spans="10:16">
      <c r="J264" s="5"/>
      <c r="L264">
        <f>RAVLT_Delayed!M264</f>
        <v>-0.64952359584432495</v>
      </c>
      <c r="M264">
        <f>RAVLT_Delayed!N264</f>
        <v>25.8</v>
      </c>
      <c r="O264">
        <f>ABS(L264-RAVLT_Delayed!$C$34)</f>
        <v>0.87852438488836782</v>
      </c>
      <c r="P264">
        <f t="shared" si="5"/>
        <v>25.8</v>
      </c>
    </row>
    <row r="265" spans="10:16">
      <c r="J265" s="5"/>
      <c r="L265">
        <f>RAVLT_Delayed!M265</f>
        <v>-0.64643141632440704</v>
      </c>
      <c r="M265">
        <f>RAVLT_Delayed!N265</f>
        <v>25.9</v>
      </c>
      <c r="O265">
        <f>ABS(L265-RAVLT_Delayed!$C$34)</f>
        <v>0.88161656440828573</v>
      </c>
      <c r="P265">
        <f t="shared" si="5"/>
        <v>25.9</v>
      </c>
    </row>
    <row r="266" spans="10:16">
      <c r="J266" s="5"/>
      <c r="L266">
        <f>RAVLT_Delayed!M266</f>
        <v>-0.64334540539291696</v>
      </c>
      <c r="M266">
        <f>RAVLT_Delayed!N266</f>
        <v>26</v>
      </c>
      <c r="O266">
        <f>ABS(L266-RAVLT_Delayed!$C$34)</f>
        <v>0.88470257533977581</v>
      </c>
      <c r="P266">
        <f t="shared" si="5"/>
        <v>26</v>
      </c>
    </row>
    <row r="267" spans="10:16">
      <c r="J267" s="5"/>
      <c r="L267">
        <f>RAVLT_Delayed!M267</f>
        <v>-0.64026550921437397</v>
      </c>
      <c r="M267">
        <f>RAVLT_Delayed!N267</f>
        <v>26.1</v>
      </c>
      <c r="O267">
        <f>ABS(L267-RAVLT_Delayed!$C$34)</f>
        <v>0.88778247151831879</v>
      </c>
      <c r="P267">
        <f t="shared" si="5"/>
        <v>26.1</v>
      </c>
    </row>
    <row r="268" spans="10:16">
      <c r="J268" s="5"/>
      <c r="L268">
        <f>RAVLT_Delayed!M268</f>
        <v>-0.637191674504475</v>
      </c>
      <c r="M268">
        <f>RAVLT_Delayed!N268</f>
        <v>26.2</v>
      </c>
      <c r="O268">
        <f>ABS(L268-RAVLT_Delayed!$C$34)</f>
        <v>0.89085630622821776</v>
      </c>
      <c r="P268">
        <f t="shared" si="5"/>
        <v>26.2</v>
      </c>
    </row>
    <row r="269" spans="10:16">
      <c r="J269" s="5"/>
      <c r="L269">
        <f>RAVLT_Delayed!M269</f>
        <v>-0.63412384852176995</v>
      </c>
      <c r="M269">
        <f>RAVLT_Delayed!N269</f>
        <v>26.3</v>
      </c>
      <c r="O269">
        <f>ABS(L269-RAVLT_Delayed!$C$34)</f>
        <v>0.89392413221092282</v>
      </c>
      <c r="P269">
        <f t="shared" si="5"/>
        <v>26.3</v>
      </c>
    </row>
    <row r="270" spans="10:16">
      <c r="J270" s="5"/>
      <c r="L270">
        <f>RAVLT_Delayed!M270</f>
        <v>-0.63106197905949901</v>
      </c>
      <c r="M270">
        <f>RAVLT_Delayed!N270</f>
        <v>26.4</v>
      </c>
      <c r="O270">
        <f>ABS(L270-RAVLT_Delayed!$C$34)</f>
        <v>0.89698600167319376</v>
      </c>
      <c r="P270">
        <f t="shared" si="5"/>
        <v>26.4</v>
      </c>
    </row>
    <row r="271" spans="10:16">
      <c r="J271" s="5"/>
      <c r="L271">
        <f>RAVLT_Delayed!M271</f>
        <v>-0.62800601443756998</v>
      </c>
      <c r="M271">
        <f>RAVLT_Delayed!N271</f>
        <v>26.5</v>
      </c>
      <c r="O271">
        <f>ABS(L271-RAVLT_Delayed!$C$34)</f>
        <v>0.90004196629512279</v>
      </c>
      <c r="P271">
        <f t="shared" si="5"/>
        <v>26.5</v>
      </c>
    </row>
    <row r="272" spans="10:16">
      <c r="J272" s="5"/>
      <c r="L272">
        <f>RAVLT_Delayed!M272</f>
        <v>-0.62495590349468699</v>
      </c>
      <c r="M272">
        <f>RAVLT_Delayed!N272</f>
        <v>26.6</v>
      </c>
      <c r="O272">
        <f>ABS(L272-RAVLT_Delayed!$C$34)</f>
        <v>0.90309207723800577</v>
      </c>
      <c r="P272">
        <f t="shared" si="5"/>
        <v>26.6</v>
      </c>
    </row>
    <row r="273" spans="10:16">
      <c r="J273" s="5"/>
      <c r="L273">
        <f>RAVLT_Delayed!M273</f>
        <v>-0.62191159558062403</v>
      </c>
      <c r="M273">
        <f>RAVLT_Delayed!N273</f>
        <v>26.7</v>
      </c>
      <c r="O273">
        <f>ABS(L273-RAVLT_Delayed!$C$34)</f>
        <v>0.90613638515206874</v>
      </c>
      <c r="P273">
        <f t="shared" si="5"/>
        <v>26.7</v>
      </c>
    </row>
    <row r="274" spans="10:16">
      <c r="J274" s="5"/>
      <c r="L274">
        <f>RAVLT_Delayed!M274</f>
        <v>-0.61887304054862902</v>
      </c>
      <c r="M274">
        <f>RAVLT_Delayed!N274</f>
        <v>26.8</v>
      </c>
      <c r="O274">
        <f>ABS(L274-RAVLT_Delayed!$C$34)</f>
        <v>0.90917494018406375</v>
      </c>
      <c r="P274">
        <f t="shared" si="5"/>
        <v>26.8</v>
      </c>
    </row>
    <row r="275" spans="10:16">
      <c r="J275" s="5"/>
      <c r="L275">
        <f>RAVLT_Delayed!M275</f>
        <v>-0.61584018874797197</v>
      </c>
      <c r="M275">
        <f>RAVLT_Delayed!N275</f>
        <v>26.9</v>
      </c>
      <c r="O275">
        <f>ABS(L275-RAVLT_Delayed!$C$34)</f>
        <v>0.91220779198472079</v>
      </c>
      <c r="P275">
        <f t="shared" si="5"/>
        <v>26.9</v>
      </c>
    </row>
    <row r="276" spans="10:16">
      <c r="J276" s="5"/>
      <c r="L276">
        <f>RAVLT_Delayed!M276</f>
        <v>-0.61281299101662701</v>
      </c>
      <c r="M276">
        <f>RAVLT_Delayed!N276</f>
        <v>27</v>
      </c>
      <c r="O276">
        <f>ABS(L276-RAVLT_Delayed!$C$34)</f>
        <v>0.91523498971606576</v>
      </c>
      <c r="P276">
        <f t="shared" si="5"/>
        <v>27</v>
      </c>
    </row>
    <row r="277" spans="10:16">
      <c r="J277" s="5"/>
      <c r="L277">
        <f>RAVLT_Delayed!M277</f>
        <v>-0.60979139867408005</v>
      </c>
      <c r="M277">
        <f>RAVLT_Delayed!N277</f>
        <v>27.1</v>
      </c>
      <c r="O277">
        <f>ABS(L277-RAVLT_Delayed!$C$34)</f>
        <v>0.91825658205861271</v>
      </c>
      <c r="P277">
        <f t="shared" si="5"/>
        <v>27.1</v>
      </c>
    </row>
    <row r="278" spans="10:16">
      <c r="J278" s="5"/>
      <c r="L278">
        <f>RAVLT_Delayed!M278</f>
        <v>-0.60677536351426498</v>
      </c>
      <c r="M278">
        <f>RAVLT_Delayed!N278</f>
        <v>27.2</v>
      </c>
      <c r="O278">
        <f>ABS(L278-RAVLT_Delayed!$C$34)</f>
        <v>0.92127261721842779</v>
      </c>
      <c r="P278">
        <f t="shared" si="5"/>
        <v>27.2</v>
      </c>
    </row>
    <row r="279" spans="10:16">
      <c r="J279" s="5"/>
      <c r="L279">
        <f>RAVLT_Delayed!M279</f>
        <v>-0.60376483779862999</v>
      </c>
      <c r="M279">
        <f>RAVLT_Delayed!N279</f>
        <v>27.3</v>
      </c>
      <c r="O279">
        <f>ABS(L279-RAVLT_Delayed!$C$34)</f>
        <v>0.92428314293406277</v>
      </c>
      <c r="P279">
        <f t="shared" si="5"/>
        <v>27.3</v>
      </c>
    </row>
    <row r="280" spans="10:16">
      <c r="J280" s="5"/>
      <c r="L280">
        <f>RAVLT_Delayed!M280</f>
        <v>-0.60075977424931903</v>
      </c>
      <c r="M280">
        <f>RAVLT_Delayed!N280</f>
        <v>27.4</v>
      </c>
      <c r="O280">
        <f>ABS(L280-RAVLT_Delayed!$C$34)</f>
        <v>0.92728820648337373</v>
      </c>
      <c r="P280">
        <f t="shared" si="5"/>
        <v>27.4</v>
      </c>
    </row>
    <row r="281" spans="10:16">
      <c r="J281" s="5"/>
      <c r="L281">
        <f>RAVLT_Delayed!M281</f>
        <v>-0.59776012604247797</v>
      </c>
      <c r="M281">
        <f>RAVLT_Delayed!N281</f>
        <v>27.5</v>
      </c>
      <c r="O281">
        <f>ABS(L281-RAVLT_Delayed!$C$34)</f>
        <v>0.9302878546902148</v>
      </c>
      <c r="P281">
        <f t="shared" si="5"/>
        <v>27.5</v>
      </c>
    </row>
    <row r="282" spans="10:16">
      <c r="J282" s="5"/>
      <c r="L282">
        <f>RAVLT_Delayed!M282</f>
        <v>-0.59476584680167799</v>
      </c>
      <c r="M282">
        <f>RAVLT_Delayed!N282</f>
        <v>27.6</v>
      </c>
      <c r="O282">
        <f>ABS(L282-RAVLT_Delayed!$C$34)</f>
        <v>0.93328213393101478</v>
      </c>
      <c r="P282">
        <f t="shared" si="5"/>
        <v>27.6</v>
      </c>
    </row>
    <row r="283" spans="10:16">
      <c r="J283" s="5"/>
      <c r="L283">
        <f>RAVLT_Delayed!M283</f>
        <v>-0.591776890591446</v>
      </c>
      <c r="M283">
        <f>RAVLT_Delayed!N283</f>
        <v>27.7</v>
      </c>
      <c r="O283">
        <f>ABS(L283-RAVLT_Delayed!$C$34)</f>
        <v>0.93627109014124676</v>
      </c>
      <c r="P283">
        <f t="shared" si="5"/>
        <v>27.7</v>
      </c>
    </row>
    <row r="284" spans="10:16">
      <c r="J284" s="5"/>
      <c r="L284">
        <f>RAVLT_Delayed!M284</f>
        <v>-0.58879321191092004</v>
      </c>
      <c r="M284">
        <f>RAVLT_Delayed!N284</f>
        <v>27.8</v>
      </c>
      <c r="O284">
        <f>ABS(L284-RAVLT_Delayed!$C$34)</f>
        <v>0.93925476882177272</v>
      </c>
      <c r="P284">
        <f t="shared" si="5"/>
        <v>27.8</v>
      </c>
    </row>
    <row r="285" spans="10:16">
      <c r="J285" s="5"/>
      <c r="L285">
        <f>RAVLT_Delayed!M285</f>
        <v>-0.58581476568759905</v>
      </c>
      <c r="M285">
        <f>RAVLT_Delayed!N285</f>
        <v>27.9</v>
      </c>
      <c r="O285">
        <f>ABS(L285-RAVLT_Delayed!$C$34)</f>
        <v>0.94223321504509372</v>
      </c>
      <c r="P285">
        <f t="shared" si="5"/>
        <v>27.9</v>
      </c>
    </row>
    <row r="286" spans="10:16">
      <c r="J286" s="5"/>
      <c r="L286">
        <f>RAVLT_Delayed!M286</f>
        <v>-0.58284150727121598</v>
      </c>
      <c r="M286">
        <f>RAVLT_Delayed!N286</f>
        <v>28</v>
      </c>
      <c r="O286">
        <f>ABS(L286-RAVLT_Delayed!$C$34)</f>
        <v>0.94520647346147679</v>
      </c>
      <c r="P286">
        <f t="shared" si="5"/>
        <v>28</v>
      </c>
    </row>
    <row r="287" spans="10:16">
      <c r="J287" s="5"/>
      <c r="L287">
        <f>RAVLT_Delayed!M287</f>
        <v>-0.57987339242770397</v>
      </c>
      <c r="M287">
        <f>RAVLT_Delayed!N287</f>
        <v>28.1</v>
      </c>
      <c r="O287">
        <f>ABS(L287-RAVLT_Delayed!$C$34)</f>
        <v>0.9481745883049888</v>
      </c>
      <c r="P287">
        <f t="shared" si="5"/>
        <v>28.1</v>
      </c>
    </row>
    <row r="288" spans="10:16">
      <c r="J288" s="5"/>
      <c r="L288">
        <f>RAVLT_Delayed!M288</f>
        <v>-0.576910377333271</v>
      </c>
      <c r="M288">
        <f>RAVLT_Delayed!N288</f>
        <v>28.2</v>
      </c>
      <c r="O288">
        <f>ABS(L288-RAVLT_Delayed!$C$34)</f>
        <v>0.95113760339942177</v>
      </c>
      <c r="P288">
        <f t="shared" si="5"/>
        <v>28.2</v>
      </c>
    </row>
    <row r="289" spans="10:16">
      <c r="J289" s="5"/>
      <c r="L289">
        <f>RAVLT_Delayed!M289</f>
        <v>-0.57395241856857304</v>
      </c>
      <c r="M289">
        <f>RAVLT_Delayed!N289</f>
        <v>28.3</v>
      </c>
      <c r="O289">
        <f>ABS(L289-RAVLT_Delayed!$C$34)</f>
        <v>0.95409556216411973</v>
      </c>
      <c r="P289">
        <f t="shared" si="5"/>
        <v>28.3</v>
      </c>
    </row>
    <row r="290" spans="10:16">
      <c r="J290" s="5"/>
      <c r="L290">
        <f>RAVLT_Delayed!M290</f>
        <v>-0.57099947311298704</v>
      </c>
      <c r="M290">
        <f>RAVLT_Delayed!N290</f>
        <v>28.4</v>
      </c>
      <c r="O290">
        <f>ABS(L290-RAVLT_Delayed!$C$34)</f>
        <v>0.95704850761970572</v>
      </c>
      <c r="P290">
        <f t="shared" si="5"/>
        <v>28.4</v>
      </c>
    </row>
    <row r="291" spans="10:16">
      <c r="J291" s="5"/>
      <c r="L291">
        <f>RAVLT_Delayed!M291</f>
        <v>-0.56805149833898305</v>
      </c>
      <c r="M291">
        <f>RAVLT_Delayed!N291</f>
        <v>28.5</v>
      </c>
      <c r="O291">
        <f>ABS(L291-RAVLT_Delayed!$C$34)</f>
        <v>0.95999648239370972</v>
      </c>
      <c r="P291">
        <f t="shared" si="5"/>
        <v>28.5</v>
      </c>
    </row>
    <row r="292" spans="10:16">
      <c r="J292" s="5"/>
      <c r="L292">
        <f>RAVLT_Delayed!M292</f>
        <v>-0.56510845200658399</v>
      </c>
      <c r="M292">
        <f>RAVLT_Delayed!N292</f>
        <v>28.6</v>
      </c>
      <c r="O292">
        <f>ABS(L292-RAVLT_Delayed!$C$34)</f>
        <v>0.96293952872610877</v>
      </c>
      <c r="P292">
        <f t="shared" si="5"/>
        <v>28.6</v>
      </c>
    </row>
    <row r="293" spans="10:16">
      <c r="J293" s="5"/>
      <c r="L293">
        <f>RAVLT_Delayed!M293</f>
        <v>-0.56217029225792603</v>
      </c>
      <c r="M293">
        <f>RAVLT_Delayed!N293</f>
        <v>28.7</v>
      </c>
      <c r="O293">
        <f>ABS(L293-RAVLT_Delayed!$C$34)</f>
        <v>0.96587768847476674</v>
      </c>
      <c r="P293">
        <f t="shared" si="5"/>
        <v>28.7</v>
      </c>
    </row>
    <row r="294" spans="10:16">
      <c r="J294" s="5"/>
      <c r="L294">
        <f>RAVLT_Delayed!M294</f>
        <v>-0.55923697761190705</v>
      </c>
      <c r="M294">
        <f>RAVLT_Delayed!N294</f>
        <v>28.8</v>
      </c>
      <c r="O294">
        <f>ABS(L294-RAVLT_Delayed!$C$34)</f>
        <v>0.96881100312078572</v>
      </c>
      <c r="P294">
        <f t="shared" si="5"/>
        <v>28.8</v>
      </c>
    </row>
    <row r="295" spans="10:16">
      <c r="J295" s="5"/>
      <c r="L295">
        <f>RAVLT_Delayed!M295</f>
        <v>-0.556308466958918</v>
      </c>
      <c r="M295">
        <f>RAVLT_Delayed!N295</f>
        <v>28.9</v>
      </c>
      <c r="O295">
        <f>ABS(L295-RAVLT_Delayed!$C$34)</f>
        <v>0.97173951377377477</v>
      </c>
      <c r="P295">
        <f t="shared" si="5"/>
        <v>28.9</v>
      </c>
    </row>
    <row r="296" spans="10:16">
      <c r="J296" s="5"/>
      <c r="L296">
        <f>RAVLT_Delayed!M296</f>
        <v>-0.55338471955567303</v>
      </c>
      <c r="M296">
        <f>RAVLT_Delayed!N296</f>
        <v>29</v>
      </c>
      <c r="O296">
        <f>ABS(L296-RAVLT_Delayed!$C$34)</f>
        <v>0.97466326117701974</v>
      </c>
      <c r="P296">
        <f t="shared" si="5"/>
        <v>29</v>
      </c>
    </row>
    <row r="297" spans="10:16">
      <c r="J297" s="5"/>
      <c r="L297">
        <f>RAVLT_Delayed!M297</f>
        <v>-0.550465695020113</v>
      </c>
      <c r="M297">
        <f>RAVLT_Delayed!N297</f>
        <v>29.1</v>
      </c>
      <c r="O297">
        <f>ABS(L297-RAVLT_Delayed!$C$34)</f>
        <v>0.97758228571257977</v>
      </c>
      <c r="P297">
        <f t="shared" si="5"/>
        <v>29.1</v>
      </c>
    </row>
    <row r="298" spans="10:16">
      <c r="J298" s="5"/>
      <c r="L298">
        <f>RAVLT_Delayed!M298</f>
        <v>-0.54755135332640104</v>
      </c>
      <c r="M298">
        <f>RAVLT_Delayed!N298</f>
        <v>29.2</v>
      </c>
      <c r="O298">
        <f>ABS(L298-RAVLT_Delayed!$C$34)</f>
        <v>0.98049662740629173</v>
      </c>
      <c r="P298">
        <f t="shared" si="5"/>
        <v>29.2</v>
      </c>
    </row>
    <row r="299" spans="10:16">
      <c r="J299" s="5"/>
      <c r="L299">
        <f>RAVLT_Delayed!M299</f>
        <v>-0.54464165479999904</v>
      </c>
      <c r="M299">
        <f>RAVLT_Delayed!N299</f>
        <v>29.3</v>
      </c>
      <c r="O299">
        <f>ABS(L299-RAVLT_Delayed!$C$34)</f>
        <v>0.98340632593269373</v>
      </c>
      <c r="P299">
        <f t="shared" si="5"/>
        <v>29.3</v>
      </c>
    </row>
    <row r="300" spans="10:16">
      <c r="J300" s="5"/>
      <c r="L300">
        <f>RAVLT_Delayed!M300</f>
        <v>-0.54173656011281701</v>
      </c>
      <c r="M300">
        <f>RAVLT_Delayed!N300</f>
        <v>29.4</v>
      </c>
      <c r="O300">
        <f>ABS(L300-RAVLT_Delayed!$C$34)</f>
        <v>0.98631142061987576</v>
      </c>
      <c r="P300">
        <f t="shared" si="5"/>
        <v>29.4</v>
      </c>
    </row>
    <row r="301" spans="10:16">
      <c r="J301" s="5"/>
      <c r="L301">
        <f>RAVLT_Delayed!M301</f>
        <v>-0.53883603027844995</v>
      </c>
      <c r="M301">
        <f>RAVLT_Delayed!N301</f>
        <v>29.5</v>
      </c>
      <c r="O301">
        <f>ABS(L301-RAVLT_Delayed!$C$34)</f>
        <v>0.98921195045424282</v>
      </c>
      <c r="P301">
        <f t="shared" si="5"/>
        <v>29.5</v>
      </c>
    </row>
    <row r="302" spans="10:16">
      <c r="J302" s="5"/>
      <c r="L302">
        <f>RAVLT_Delayed!M302</f>
        <v>-0.53594002664748996</v>
      </c>
      <c r="M302">
        <f>RAVLT_Delayed!N302</f>
        <v>29.6</v>
      </c>
      <c r="O302">
        <f>ABS(L302-RAVLT_Delayed!$C$34)</f>
        <v>0.9921079540852028</v>
      </c>
      <c r="P302">
        <f t="shared" si="5"/>
        <v>29.6</v>
      </c>
    </row>
    <row r="303" spans="10:16">
      <c r="J303" s="5"/>
      <c r="L303">
        <f>RAVLT_Delayed!M303</f>
        <v>-0.53304851090290895</v>
      </c>
      <c r="M303">
        <f>RAVLT_Delayed!N303</f>
        <v>29.7</v>
      </c>
      <c r="O303">
        <f>ABS(L303-RAVLT_Delayed!$C$34)</f>
        <v>0.99499946982978382</v>
      </c>
      <c r="P303">
        <f t="shared" si="5"/>
        <v>29.7</v>
      </c>
    </row>
    <row r="304" spans="10:16">
      <c r="J304" s="5"/>
      <c r="L304">
        <f>RAVLT_Delayed!M304</f>
        <v>-0.53016144505551899</v>
      </c>
      <c r="M304">
        <f>RAVLT_Delayed!N304</f>
        <v>29.8</v>
      </c>
      <c r="O304">
        <f>ABS(L304-RAVLT_Delayed!$C$34)</f>
        <v>0.99788653567717378</v>
      </c>
      <c r="P304">
        <f t="shared" si="5"/>
        <v>29.8</v>
      </c>
    </row>
    <row r="305" spans="10:16">
      <c r="J305" s="5"/>
      <c r="L305">
        <f>RAVLT_Delayed!M305</f>
        <v>-0.52727879143950795</v>
      </c>
      <c r="M305">
        <f>RAVLT_Delayed!N305</f>
        <v>29.9</v>
      </c>
      <c r="O305">
        <f>ABS(L305-RAVLT_Delayed!$C$34)</f>
        <v>1.0007691892931847</v>
      </c>
      <c r="P305">
        <f t="shared" si="5"/>
        <v>29.9</v>
      </c>
    </row>
    <row r="306" spans="10:16">
      <c r="J306" s="5"/>
      <c r="L306">
        <f>RAVLT_Delayed!M306</f>
        <v>-0.524400512708041</v>
      </c>
      <c r="M306">
        <f>RAVLT_Delayed!N306</f>
        <v>30</v>
      </c>
      <c r="O306">
        <f>ABS(L306-RAVLT_Delayed!$C$34)</f>
        <v>1.0036474680246519</v>
      </c>
      <c r="P306">
        <f t="shared" si="5"/>
        <v>30</v>
      </c>
    </row>
    <row r="307" spans="10:16">
      <c r="J307" s="5"/>
      <c r="L307">
        <f>RAVLT_Delayed!M307</f>
        <v>-0.52152657182893203</v>
      </c>
      <c r="M307">
        <f>RAVLT_Delayed!N307</f>
        <v>30.1</v>
      </c>
      <c r="O307">
        <f>ABS(L307-RAVLT_Delayed!$C$34)</f>
        <v>1.0065214089037609</v>
      </c>
      <c r="P307">
        <f t="shared" si="5"/>
        <v>30.1</v>
      </c>
    </row>
    <row r="308" spans="10:16">
      <c r="J308" s="5"/>
      <c r="L308">
        <f>RAVLT_Delayed!M308</f>
        <v>-0.51865693208039099</v>
      </c>
      <c r="M308">
        <f>RAVLT_Delayed!N308</f>
        <v>30.2</v>
      </c>
      <c r="O308">
        <f>ABS(L308-RAVLT_Delayed!$C$34)</f>
        <v>1.0093910486523017</v>
      </c>
      <c r="P308">
        <f t="shared" si="5"/>
        <v>30.2</v>
      </c>
    </row>
    <row r="309" spans="10:16">
      <c r="J309" s="5"/>
      <c r="L309">
        <f>RAVLT_Delayed!M309</f>
        <v>-0.515791557046827</v>
      </c>
      <c r="M309">
        <f>RAVLT_Delayed!N309</f>
        <v>30.3</v>
      </c>
      <c r="O309">
        <f>ABS(L309-RAVLT_Delayed!$C$34)</f>
        <v>1.0122564236858658</v>
      </c>
      <c r="P309">
        <f t="shared" si="5"/>
        <v>30.3</v>
      </c>
    </row>
    <row r="310" spans="10:16">
      <c r="J310" s="5"/>
      <c r="L310">
        <f>RAVLT_Delayed!M310</f>
        <v>-0.51293041061472799</v>
      </c>
      <c r="M310">
        <f>RAVLT_Delayed!N310</f>
        <v>30.4</v>
      </c>
      <c r="O310">
        <f>ABS(L310-RAVLT_Delayed!$C$34)</f>
        <v>1.0151175701179649</v>
      </c>
      <c r="P310">
        <f t="shared" si="5"/>
        <v>30.4</v>
      </c>
    </row>
    <row r="311" spans="10:16">
      <c r="J311" s="5"/>
      <c r="L311">
        <f>RAVLT_Delayed!M311</f>
        <v>-0.51007345696859496</v>
      </c>
      <c r="M311">
        <f>RAVLT_Delayed!N311</f>
        <v>30.5</v>
      </c>
      <c r="O311">
        <f>ABS(L311-RAVLT_Delayed!$C$34)</f>
        <v>1.0179745237640978</v>
      </c>
      <c r="P311">
        <f t="shared" si="5"/>
        <v>30.5</v>
      </c>
    </row>
    <row r="312" spans="10:16">
      <c r="J312" s="5"/>
      <c r="L312">
        <f>RAVLT_Delayed!M312</f>
        <v>-0.50722066058694604</v>
      </c>
      <c r="M312">
        <f>RAVLT_Delayed!N312</f>
        <v>30.6</v>
      </c>
      <c r="O312">
        <f>ABS(L312-RAVLT_Delayed!$C$34)</f>
        <v>1.0208273201457467</v>
      </c>
      <c r="P312">
        <f t="shared" si="5"/>
        <v>30.6</v>
      </c>
    </row>
    <row r="313" spans="10:16">
      <c r="J313" s="5"/>
      <c r="L313">
        <f>RAVLT_Delayed!M313</f>
        <v>-0.50437198623838098</v>
      </c>
      <c r="M313">
        <f>RAVLT_Delayed!N313</f>
        <v>30.7</v>
      </c>
      <c r="O313">
        <f>ABS(L313-RAVLT_Delayed!$C$34)</f>
        <v>1.0236759944943117</v>
      </c>
      <c r="P313">
        <f t="shared" si="5"/>
        <v>30.7</v>
      </c>
    </row>
    <row r="314" spans="10:16">
      <c r="J314" s="5"/>
      <c r="L314">
        <f>RAVLT_Delayed!M314</f>
        <v>-0.50152739897770804</v>
      </c>
      <c r="M314">
        <f>RAVLT_Delayed!N314</f>
        <v>30.8</v>
      </c>
      <c r="O314">
        <f>ABS(L314-RAVLT_Delayed!$C$34)</f>
        <v>1.0265205817549847</v>
      </c>
      <c r="P314">
        <f t="shared" si="5"/>
        <v>30.8</v>
      </c>
    </row>
    <row r="315" spans="10:16">
      <c r="J315" s="5"/>
      <c r="L315">
        <f>RAVLT_Delayed!M315</f>
        <v>-0.49868686414212199</v>
      </c>
      <c r="M315">
        <f>RAVLT_Delayed!N315</f>
        <v>30.9</v>
      </c>
      <c r="O315">
        <f>ABS(L315-RAVLT_Delayed!$C$34)</f>
        <v>1.0293611165905707</v>
      </c>
      <c r="P315">
        <f t="shared" si="5"/>
        <v>30.9</v>
      </c>
    </row>
    <row r="316" spans="10:16">
      <c r="J316" s="5"/>
      <c r="L316">
        <f>RAVLT_Delayed!M316</f>
        <v>-0.49585034734745298</v>
      </c>
      <c r="M316">
        <f>RAVLT_Delayed!N316</f>
        <v>31</v>
      </c>
      <c r="O316">
        <f>ABS(L316-RAVLT_Delayed!$C$34)</f>
        <v>1.0321976333852398</v>
      </c>
      <c r="P316">
        <f t="shared" si="5"/>
        <v>31</v>
      </c>
    </row>
    <row r="317" spans="10:16">
      <c r="J317" s="5"/>
      <c r="L317">
        <f>RAVLT_Delayed!M317</f>
        <v>-0.49301781448446502</v>
      </c>
      <c r="M317">
        <f>RAVLT_Delayed!N317</f>
        <v>31.1</v>
      </c>
      <c r="O317">
        <f>ABS(L317-RAVLT_Delayed!$C$34)</f>
        <v>1.0350301662482277</v>
      </c>
      <c r="P317">
        <f t="shared" si="5"/>
        <v>31.1</v>
      </c>
    </row>
    <row r="318" spans="10:16">
      <c r="J318" s="5"/>
      <c r="L318">
        <f>RAVLT_Delayed!M318</f>
        <v>-0.49018923171520901</v>
      </c>
      <c r="M318">
        <f>RAVLT_Delayed!N318</f>
        <v>31.2</v>
      </c>
      <c r="O318">
        <f>ABS(L318-RAVLT_Delayed!$C$34)</f>
        <v>1.0378587490174838</v>
      </c>
      <c r="P318">
        <f t="shared" si="5"/>
        <v>31.2</v>
      </c>
    </row>
    <row r="319" spans="10:16">
      <c r="J319" s="5"/>
      <c r="L319">
        <f>RAVLT_Delayed!M319</f>
        <v>-0.48736456546944101</v>
      </c>
      <c r="M319">
        <f>RAVLT_Delayed!N319</f>
        <v>31.3</v>
      </c>
      <c r="O319">
        <f>ABS(L319-RAVLT_Delayed!$C$34)</f>
        <v>1.0406834152632518</v>
      </c>
      <c r="P319">
        <f t="shared" si="5"/>
        <v>31.3</v>
      </c>
    </row>
    <row r="320" spans="10:16">
      <c r="J320" s="5"/>
      <c r="L320">
        <f>RAVLT_Delayed!M320</f>
        <v>-0.48454378244107899</v>
      </c>
      <c r="M320">
        <f>RAVLT_Delayed!N320</f>
        <v>31.4</v>
      </c>
      <c r="O320">
        <f>ABS(L320-RAVLT_Delayed!$C$34)</f>
        <v>1.0435041982916138</v>
      </c>
      <c r="P320">
        <f t="shared" si="5"/>
        <v>31.4</v>
      </c>
    </row>
    <row r="321" spans="10:16">
      <c r="J321" s="5"/>
      <c r="L321">
        <f>RAVLT_Delayed!M321</f>
        <v>-0.48172684958473</v>
      </c>
      <c r="M321">
        <f>RAVLT_Delayed!N321</f>
        <v>31.5</v>
      </c>
      <c r="O321">
        <f>ABS(L321-RAVLT_Delayed!$C$34)</f>
        <v>1.0463211311479628</v>
      </c>
      <c r="P321">
        <f t="shared" si="5"/>
        <v>31.5</v>
      </c>
    </row>
    <row r="322" spans="10:16">
      <c r="J322" s="5"/>
      <c r="L322">
        <f>RAVLT_Delayed!M322</f>
        <v>-0.47891373411225602</v>
      </c>
      <c r="M322">
        <f>RAVLT_Delayed!N322</f>
        <v>31.6</v>
      </c>
      <c r="O322">
        <f>ABS(L322-RAVLT_Delayed!$C$34)</f>
        <v>1.0491342466204368</v>
      </c>
      <c r="P322">
        <f t="shared" si="5"/>
        <v>31.6</v>
      </c>
    </row>
    <row r="323" spans="10:16">
      <c r="J323" s="5"/>
      <c r="L323">
        <f>RAVLT_Delayed!M323</f>
        <v>-0.47610440348939498</v>
      </c>
      <c r="M323">
        <f>RAVLT_Delayed!N323</f>
        <v>31.7</v>
      </c>
      <c r="O323">
        <f>ABS(L323-RAVLT_Delayed!$C$34)</f>
        <v>1.0519435772432977</v>
      </c>
      <c r="P323">
        <f t="shared" si="5"/>
        <v>31.7</v>
      </c>
    </row>
    <row r="324" spans="10:16">
      <c r="J324" s="5"/>
      <c r="L324">
        <f>RAVLT_Delayed!M324</f>
        <v>-0.47329882543243701</v>
      </c>
      <c r="M324">
        <f>RAVLT_Delayed!N324</f>
        <v>31.8</v>
      </c>
      <c r="O324">
        <f>ABS(L324-RAVLT_Delayed!$C$34)</f>
        <v>1.0547491553002557</v>
      </c>
      <c r="P324">
        <f t="shared" si="5"/>
        <v>31.8</v>
      </c>
    </row>
    <row r="325" spans="10:16">
      <c r="J325" s="5"/>
      <c r="L325">
        <f>RAVLT_Delayed!M325</f>
        <v>-0.470496967904941</v>
      </c>
      <c r="M325">
        <f>RAVLT_Delayed!N325</f>
        <v>31.9</v>
      </c>
      <c r="O325">
        <f>ABS(L325-RAVLT_Delayed!$C$34)</f>
        <v>1.0575510128277519</v>
      </c>
      <c r="P325">
        <f t="shared" si="5"/>
        <v>31.9</v>
      </c>
    </row>
    <row r="326" spans="10:16">
      <c r="J326" s="5"/>
      <c r="L326">
        <f>RAVLT_Delayed!M326</f>
        <v>-0.46769879911450801</v>
      </c>
      <c r="M326">
        <f>RAVLT_Delayed!N326</f>
        <v>32</v>
      </c>
      <c r="O326">
        <f>ABS(L326-RAVLT_Delayed!$C$34)</f>
        <v>1.0603491816181847</v>
      </c>
      <c r="P326">
        <f t="shared" si="5"/>
        <v>32</v>
      </c>
    </row>
    <row r="327" spans="10:16">
      <c r="J327" s="5"/>
      <c r="L327">
        <f>RAVLT_Delayed!M327</f>
        <v>-0.46490428750959401</v>
      </c>
      <c r="M327">
        <f>RAVLT_Delayed!N327</f>
        <v>32.1</v>
      </c>
      <c r="O327">
        <f>ABS(L327-RAVLT_Delayed!$C$34)</f>
        <v>1.0631436932230987</v>
      </c>
      <c r="P327">
        <f t="shared" ref="P327:P390" si="6">M327</f>
        <v>32.1</v>
      </c>
    </row>
    <row r="328" spans="10:16">
      <c r="J328" s="5"/>
      <c r="L328">
        <f>RAVLT_Delayed!M328</f>
        <v>-0.462113401776377</v>
      </c>
      <c r="M328">
        <f>RAVLT_Delayed!N328</f>
        <v>32.200000000000003</v>
      </c>
      <c r="O328">
        <f>ABS(L328-RAVLT_Delayed!$C$34)</f>
        <v>1.0659345789563157</v>
      </c>
      <c r="P328">
        <f t="shared" si="6"/>
        <v>32.200000000000003</v>
      </c>
    </row>
    <row r="329" spans="10:16">
      <c r="J329" s="5"/>
      <c r="L329">
        <f>RAVLT_Delayed!M329</f>
        <v>-0.45932611083566299</v>
      </c>
      <c r="M329">
        <f>RAVLT_Delayed!N329</f>
        <v>32.299999999999997</v>
      </c>
      <c r="O329">
        <f>ABS(L329-RAVLT_Delayed!$C$34)</f>
        <v>1.0687218698970298</v>
      </c>
      <c r="P329">
        <f t="shared" si="6"/>
        <v>32.299999999999997</v>
      </c>
    </row>
    <row r="330" spans="10:16">
      <c r="J330" s="5"/>
      <c r="L330">
        <f>RAVLT_Delayed!M330</f>
        <v>-0.45654238383984003</v>
      </c>
      <c r="M330">
        <f>RAVLT_Delayed!N330</f>
        <v>32.4</v>
      </c>
      <c r="O330">
        <f>ABS(L330-RAVLT_Delayed!$C$34)</f>
        <v>1.0715055968928526</v>
      </c>
      <c r="P330">
        <f t="shared" si="6"/>
        <v>32.4</v>
      </c>
    </row>
    <row r="331" spans="10:16">
      <c r="J331" s="5"/>
      <c r="L331">
        <f>RAVLT_Delayed!M331</f>
        <v>-0.45376219016987901</v>
      </c>
      <c r="M331">
        <f>RAVLT_Delayed!N331</f>
        <v>32.5</v>
      </c>
      <c r="O331">
        <f>ABS(L331-RAVLT_Delayed!$C$34)</f>
        <v>1.0742857905628138</v>
      </c>
      <c r="P331">
        <f t="shared" si="6"/>
        <v>32.5</v>
      </c>
    </row>
    <row r="332" spans="10:16">
      <c r="J332" s="5"/>
      <c r="L332">
        <f>RAVLT_Delayed!M332</f>
        <v>-0.45098549943237098</v>
      </c>
      <c r="M332">
        <f>RAVLT_Delayed!N332</f>
        <v>32.6</v>
      </c>
      <c r="O332">
        <f>ABS(L332-RAVLT_Delayed!$C$34)</f>
        <v>1.0770624813003218</v>
      </c>
      <c r="P332">
        <f t="shared" si="6"/>
        <v>32.6</v>
      </c>
    </row>
    <row r="333" spans="10:16">
      <c r="J333" s="5"/>
      <c r="L333">
        <f>RAVLT_Delayed!M333</f>
        <v>-0.44821228145660902</v>
      </c>
      <c r="M333">
        <f>RAVLT_Delayed!N333</f>
        <v>32.700000000000003</v>
      </c>
      <c r="O333">
        <f>ABS(L333-RAVLT_Delayed!$C$34)</f>
        <v>1.0798356992760838</v>
      </c>
      <c r="P333">
        <f t="shared" si="6"/>
        <v>32.700000000000003</v>
      </c>
    </row>
    <row r="334" spans="10:16">
      <c r="J334" s="5"/>
      <c r="L334">
        <f>RAVLT_Delayed!M334</f>
        <v>-0.44544250629172</v>
      </c>
      <c r="M334">
        <f>RAVLT_Delayed!N334</f>
        <v>32.799999999999997</v>
      </c>
      <c r="O334">
        <f>ABS(L334-RAVLT_Delayed!$C$34)</f>
        <v>1.0826054744409728</v>
      </c>
      <c r="P334">
        <f t="shared" si="6"/>
        <v>32.799999999999997</v>
      </c>
    </row>
    <row r="335" spans="10:16">
      <c r="J335" s="5"/>
      <c r="L335">
        <f>RAVLT_Delayed!M335</f>
        <v>-0.44267614420382101</v>
      </c>
      <c r="M335">
        <f>RAVLT_Delayed!N335</f>
        <v>32.9</v>
      </c>
      <c r="O335">
        <f>ABS(L335-RAVLT_Delayed!$C$34)</f>
        <v>1.0853718365288718</v>
      </c>
      <c r="P335">
        <f t="shared" si="6"/>
        <v>32.9</v>
      </c>
    </row>
    <row r="336" spans="10:16">
      <c r="J336" s="5"/>
      <c r="L336">
        <f>RAVLT_Delayed!M336</f>
        <v>-0.43991316567323402</v>
      </c>
      <c r="M336">
        <f>RAVLT_Delayed!N336</f>
        <v>33</v>
      </c>
      <c r="O336">
        <f>ABS(L336-RAVLT_Delayed!$C$34)</f>
        <v>1.0881348150594587</v>
      </c>
      <c r="P336">
        <f t="shared" si="6"/>
        <v>33</v>
      </c>
    </row>
    <row r="337" spans="10:16">
      <c r="J337" s="5"/>
      <c r="L337">
        <f>RAVLT_Delayed!M337</f>
        <v>-0.43715354139172202</v>
      </c>
      <c r="M337">
        <f>RAVLT_Delayed!N337</f>
        <v>33.1</v>
      </c>
      <c r="O337">
        <f>ABS(L337-RAVLT_Delayed!$C$34)</f>
        <v>1.0908944393409707</v>
      </c>
      <c r="P337">
        <f t="shared" si="6"/>
        <v>33.1</v>
      </c>
    </row>
    <row r="338" spans="10:16">
      <c r="J338" s="5"/>
      <c r="L338">
        <f>RAVLT_Delayed!M338</f>
        <v>-0.43439724225978099</v>
      </c>
      <c r="M338">
        <f>RAVLT_Delayed!N338</f>
        <v>33.200000000000003</v>
      </c>
      <c r="O338">
        <f>ABS(L338-RAVLT_Delayed!$C$34)</f>
        <v>1.0936507384729117</v>
      </c>
      <c r="P338">
        <f t="shared" si="6"/>
        <v>33.200000000000003</v>
      </c>
    </row>
    <row r="339" spans="10:16">
      <c r="J339" s="5"/>
      <c r="L339">
        <f>RAVLT_Delayed!M339</f>
        <v>-0.43164423938395602</v>
      </c>
      <c r="M339">
        <f>RAVLT_Delayed!N339</f>
        <v>33.299999999999997</v>
      </c>
      <c r="O339">
        <f>ABS(L339-RAVLT_Delayed!$C$34)</f>
        <v>1.0964037413487366</v>
      </c>
      <c r="P339">
        <f t="shared" si="6"/>
        <v>33.299999999999997</v>
      </c>
    </row>
    <row r="340" spans="10:16">
      <c r="J340" s="5"/>
      <c r="L340">
        <f>RAVLT_Delayed!M340</f>
        <v>-0.42889450407420099</v>
      </c>
      <c r="M340">
        <f>RAVLT_Delayed!N340</f>
        <v>33.4</v>
      </c>
      <c r="O340">
        <f>ABS(L340-RAVLT_Delayed!$C$34)</f>
        <v>1.0991534766584918</v>
      </c>
      <c r="P340">
        <f t="shared" si="6"/>
        <v>33.4</v>
      </c>
    </row>
    <row r="341" spans="10:16">
      <c r="J341" s="5"/>
      <c r="L341">
        <f>RAVLT_Delayed!M341</f>
        <v>-0.42614800784127799</v>
      </c>
      <c r="M341">
        <f>RAVLT_Delayed!N341</f>
        <v>33.5</v>
      </c>
      <c r="O341">
        <f>ABS(L341-RAVLT_Delayed!$C$34)</f>
        <v>1.1018999728914147</v>
      </c>
      <c r="P341">
        <f t="shared" si="6"/>
        <v>33.5</v>
      </c>
    </row>
    <row r="342" spans="10:16">
      <c r="J342" s="5"/>
      <c r="L342">
        <f>RAVLT_Delayed!M342</f>
        <v>-0.42340472239418298</v>
      </c>
      <c r="M342">
        <f>RAVLT_Delayed!N342</f>
        <v>33.6</v>
      </c>
      <c r="O342">
        <f>ABS(L342-RAVLT_Delayed!$C$34)</f>
        <v>1.1046432583385097</v>
      </c>
      <c r="P342">
        <f t="shared" si="6"/>
        <v>33.6</v>
      </c>
    </row>
    <row r="343" spans="10:16">
      <c r="J343" s="5"/>
      <c r="L343">
        <f>RAVLT_Delayed!M343</f>
        <v>-0.42066461963761498</v>
      </c>
      <c r="M343">
        <f>RAVLT_Delayed!N343</f>
        <v>33.700000000000003</v>
      </c>
      <c r="O343">
        <f>ABS(L343-RAVLT_Delayed!$C$34)</f>
        <v>1.1073833610950778</v>
      </c>
      <c r="P343">
        <f t="shared" si="6"/>
        <v>33.700000000000003</v>
      </c>
    </row>
    <row r="344" spans="10:16">
      <c r="J344" s="5"/>
      <c r="L344">
        <f>RAVLT_Delayed!M344</f>
        <v>-0.41792767166948203</v>
      </c>
      <c r="M344">
        <f>RAVLT_Delayed!N344</f>
        <v>33.799999999999997</v>
      </c>
      <c r="O344">
        <f>ABS(L344-RAVLT_Delayed!$C$34)</f>
        <v>1.1101203090632108</v>
      </c>
      <c r="P344">
        <f t="shared" si="6"/>
        <v>33.799999999999997</v>
      </c>
    </row>
    <row r="345" spans="10:16">
      <c r="J345" s="5"/>
      <c r="L345">
        <f>RAVLT_Delayed!M345</f>
        <v>-0.41519385077842702</v>
      </c>
      <c r="M345">
        <f>RAVLT_Delayed!N345</f>
        <v>33.9</v>
      </c>
      <c r="O345">
        <f>ABS(L345-RAVLT_Delayed!$C$34)</f>
        <v>1.1128541299542658</v>
      </c>
      <c r="P345">
        <f t="shared" si="6"/>
        <v>33.9</v>
      </c>
    </row>
    <row r="346" spans="10:16">
      <c r="J346" s="5"/>
      <c r="L346">
        <f>RAVLT_Delayed!M346</f>
        <v>-0.41246312944140501</v>
      </c>
      <c r="M346">
        <f>RAVLT_Delayed!N346</f>
        <v>34</v>
      </c>
      <c r="O346">
        <f>ABS(L346-RAVLT_Delayed!$C$34)</f>
        <v>1.1155848512912878</v>
      </c>
      <c r="P346">
        <f t="shared" si="6"/>
        <v>34</v>
      </c>
    </row>
    <row r="347" spans="10:16">
      <c r="J347" s="5"/>
      <c r="L347">
        <f>RAVLT_Delayed!M347</f>
        <v>-0.40973548032128099</v>
      </c>
      <c r="M347">
        <f>RAVLT_Delayed!N347</f>
        <v>34.1</v>
      </c>
      <c r="O347">
        <f>ABS(L347-RAVLT_Delayed!$C$34)</f>
        <v>1.1183125004114118</v>
      </c>
      <c r="P347">
        <f t="shared" si="6"/>
        <v>34.1</v>
      </c>
    </row>
    <row r="348" spans="10:16">
      <c r="J348" s="5"/>
      <c r="L348">
        <f>RAVLT_Delayed!M348</f>
        <v>-0.40701087626446603</v>
      </c>
      <c r="M348">
        <f>RAVLT_Delayed!N348</f>
        <v>34.200000000000003</v>
      </c>
      <c r="O348">
        <f>ABS(L348-RAVLT_Delayed!$C$34)</f>
        <v>1.1210371044682268</v>
      </c>
      <c r="P348">
        <f t="shared" si="6"/>
        <v>34.200000000000003</v>
      </c>
    </row>
    <row r="349" spans="10:16">
      <c r="J349" s="5"/>
      <c r="L349">
        <f>RAVLT_Delayed!M349</f>
        <v>-0.40428929029857902</v>
      </c>
      <c r="M349">
        <f>RAVLT_Delayed!N349</f>
        <v>34.299999999999997</v>
      </c>
      <c r="O349">
        <f>ABS(L349-RAVLT_Delayed!$C$34)</f>
        <v>1.1237586904341137</v>
      </c>
      <c r="P349">
        <f t="shared" si="6"/>
        <v>34.299999999999997</v>
      </c>
    </row>
    <row r="350" spans="10:16">
      <c r="J350" s="5"/>
      <c r="L350">
        <f>RAVLT_Delayed!M350</f>
        <v>-0.40157069563014802</v>
      </c>
      <c r="M350">
        <f>RAVLT_Delayed!N350</f>
        <v>34.4</v>
      </c>
      <c r="O350">
        <f>ABS(L350-RAVLT_Delayed!$C$34)</f>
        <v>1.1264772851025446</v>
      </c>
      <c r="P350">
        <f t="shared" si="6"/>
        <v>34.4</v>
      </c>
    </row>
    <row r="351" spans="10:16">
      <c r="J351" s="5"/>
      <c r="L351">
        <f>RAVLT_Delayed!M351</f>
        <v>-0.39885506564233703</v>
      </c>
      <c r="M351">
        <f>RAVLT_Delayed!N351</f>
        <v>34.5</v>
      </c>
      <c r="O351">
        <f>ABS(L351-RAVLT_Delayed!$C$34)</f>
        <v>1.1291929150903557</v>
      </c>
      <c r="P351">
        <f t="shared" si="6"/>
        <v>34.5</v>
      </c>
    </row>
    <row r="352" spans="10:16">
      <c r="J352" s="5"/>
      <c r="L352">
        <f>RAVLT_Delayed!M352</f>
        <v>-0.39614237389269802</v>
      </c>
      <c r="M352">
        <f>RAVLT_Delayed!N352</f>
        <v>34.6</v>
      </c>
      <c r="O352">
        <f>ABS(L352-RAVLT_Delayed!$C$34)</f>
        <v>1.1319056068399949</v>
      </c>
      <c r="P352">
        <f t="shared" si="6"/>
        <v>34.6</v>
      </c>
    </row>
    <row r="353" spans="10:16">
      <c r="J353" s="5"/>
      <c r="L353">
        <f>RAVLT_Delayed!M353</f>
        <v>-0.39343259411096598</v>
      </c>
      <c r="M353">
        <f>RAVLT_Delayed!N353</f>
        <v>34.700000000000003</v>
      </c>
      <c r="O353">
        <f>ABS(L353-RAVLT_Delayed!$C$34)</f>
        <v>1.1346153866217268</v>
      </c>
      <c r="P353">
        <f t="shared" si="6"/>
        <v>34.700000000000003</v>
      </c>
    </row>
    <row r="354" spans="10:16">
      <c r="J354" s="5"/>
      <c r="L354">
        <f>RAVLT_Delayed!M354</f>
        <v>-0.39072570019686997</v>
      </c>
      <c r="M354">
        <f>RAVLT_Delayed!N354</f>
        <v>34.799999999999997</v>
      </c>
      <c r="O354">
        <f>ABS(L354-RAVLT_Delayed!$C$34)</f>
        <v>1.1373222805358227</v>
      </c>
      <c r="P354">
        <f t="shared" si="6"/>
        <v>34.799999999999997</v>
      </c>
    </row>
    <row r="355" spans="10:16">
      <c r="J355" s="5"/>
      <c r="L355">
        <f>RAVLT_Delayed!M355</f>
        <v>-0.38802166621797701</v>
      </c>
      <c r="M355">
        <f>RAVLT_Delayed!N355</f>
        <v>34.9</v>
      </c>
      <c r="O355">
        <f>ABS(L355-RAVLT_Delayed!$C$34)</f>
        <v>1.1400263145147158</v>
      </c>
      <c r="P355">
        <f t="shared" si="6"/>
        <v>34.9</v>
      </c>
    </row>
    <row r="356" spans="10:16">
      <c r="J356" s="5"/>
      <c r="L356">
        <f>RAVLT_Delayed!M356</f>
        <v>-0.38532046640756801</v>
      </c>
      <c r="M356">
        <f>RAVLT_Delayed!N356</f>
        <v>35</v>
      </c>
      <c r="O356">
        <f>ABS(L356-RAVLT_Delayed!$C$34)</f>
        <v>1.1427275143251248</v>
      </c>
      <c r="P356">
        <f t="shared" si="6"/>
        <v>35</v>
      </c>
    </row>
    <row r="357" spans="10:16">
      <c r="J357" s="5"/>
      <c r="L357">
        <f>RAVLT_Delayed!M357</f>
        <v>-0.38262207516253399</v>
      </c>
      <c r="M357">
        <f>RAVLT_Delayed!N357</f>
        <v>35.1</v>
      </c>
      <c r="O357">
        <f>ABS(L357-RAVLT_Delayed!$C$34)</f>
        <v>1.1454259055701588</v>
      </c>
      <c r="P357">
        <f t="shared" si="6"/>
        <v>35.1</v>
      </c>
    </row>
    <row r="358" spans="10:16">
      <c r="J358" s="5"/>
      <c r="L358">
        <f>RAVLT_Delayed!M358</f>
        <v>-0.379926467041307</v>
      </c>
      <c r="M358">
        <f>RAVLT_Delayed!N358</f>
        <v>35.200000000000003</v>
      </c>
      <c r="O358">
        <f>ABS(L358-RAVLT_Delayed!$C$34)</f>
        <v>1.1481215136913858</v>
      </c>
      <c r="P358">
        <f t="shared" si="6"/>
        <v>35.200000000000003</v>
      </c>
    </row>
    <row r="359" spans="10:16">
      <c r="J359" s="5"/>
      <c r="L359">
        <f>RAVLT_Delayed!M359</f>
        <v>-0.377233616761812</v>
      </c>
      <c r="M359">
        <f>RAVLT_Delayed!N359</f>
        <v>35.299999999999997</v>
      </c>
      <c r="O359">
        <f>ABS(L359-RAVLT_Delayed!$C$34)</f>
        <v>1.1508143639708808</v>
      </c>
      <c r="P359">
        <f t="shared" si="6"/>
        <v>35.299999999999997</v>
      </c>
    </row>
    <row r="360" spans="10:16">
      <c r="J360" s="5"/>
      <c r="L360">
        <f>RAVLT_Delayed!M360</f>
        <v>-0.37454349919944302</v>
      </c>
      <c r="M360">
        <f>RAVLT_Delayed!N360</f>
        <v>35.4</v>
      </c>
      <c r="O360">
        <f>ABS(L360-RAVLT_Delayed!$C$34)</f>
        <v>1.1535044815332498</v>
      </c>
      <c r="P360">
        <f t="shared" si="6"/>
        <v>35.4</v>
      </c>
    </row>
    <row r="361" spans="10:16">
      <c r="J361" s="5"/>
      <c r="L361">
        <f>RAVLT_Delayed!M361</f>
        <v>-0.37185608938507497</v>
      </c>
      <c r="M361">
        <f>RAVLT_Delayed!N361</f>
        <v>35.5</v>
      </c>
      <c r="O361">
        <f>ABS(L361-RAVLT_Delayed!$C$34)</f>
        <v>1.1561918913476177</v>
      </c>
      <c r="P361">
        <f t="shared" si="6"/>
        <v>35.5</v>
      </c>
    </row>
    <row r="362" spans="10:16">
      <c r="J362" s="5"/>
      <c r="L362">
        <f>RAVLT_Delayed!M362</f>
        <v>-0.36917136250309002</v>
      </c>
      <c r="M362">
        <f>RAVLT_Delayed!N362</f>
        <v>35.6</v>
      </c>
      <c r="O362">
        <f>ABS(L362-RAVLT_Delayed!$C$34)</f>
        <v>1.1588766182296029</v>
      </c>
      <c r="P362">
        <f t="shared" si="6"/>
        <v>35.6</v>
      </c>
    </row>
    <row r="363" spans="10:16">
      <c r="J363" s="5"/>
      <c r="L363">
        <f>RAVLT_Delayed!M363</f>
        <v>-0.36648929388943402</v>
      </c>
      <c r="M363">
        <f>RAVLT_Delayed!N363</f>
        <v>35.700000000000003</v>
      </c>
      <c r="O363">
        <f>ABS(L363-RAVLT_Delayed!$C$34)</f>
        <v>1.1615586868432588</v>
      </c>
      <c r="P363">
        <f t="shared" si="6"/>
        <v>35.700000000000003</v>
      </c>
    </row>
    <row r="364" spans="10:16">
      <c r="J364" s="5"/>
      <c r="L364">
        <f>RAVLT_Delayed!M364</f>
        <v>-0.36380985902969598</v>
      </c>
      <c r="M364">
        <f>RAVLT_Delayed!N364</f>
        <v>35.799999999999997</v>
      </c>
      <c r="O364">
        <f>ABS(L364-RAVLT_Delayed!$C$34)</f>
        <v>1.1642381217029967</v>
      </c>
      <c r="P364">
        <f t="shared" si="6"/>
        <v>35.799999999999997</v>
      </c>
    </row>
    <row r="365" spans="10:16">
      <c r="J365" s="5"/>
      <c r="L365">
        <f>RAVLT_Delayed!M365</f>
        <v>-0.36113303355721199</v>
      </c>
      <c r="M365">
        <f>RAVLT_Delayed!N365</f>
        <v>35.9</v>
      </c>
      <c r="O365">
        <f>ABS(L365-RAVLT_Delayed!$C$34)</f>
        <v>1.1669149471754807</v>
      </c>
      <c r="P365">
        <f t="shared" si="6"/>
        <v>35.9</v>
      </c>
    </row>
    <row r="366" spans="10:16">
      <c r="J366" s="5"/>
      <c r="L366">
        <f>RAVLT_Delayed!M366</f>
        <v>-0.35845879325119401</v>
      </c>
      <c r="M366">
        <f>RAVLT_Delayed!N366</f>
        <v>36</v>
      </c>
      <c r="O366">
        <f>ABS(L366-RAVLT_Delayed!$C$34)</f>
        <v>1.1695891874814988</v>
      </c>
      <c r="P366">
        <f t="shared" si="6"/>
        <v>36</v>
      </c>
    </row>
    <row r="367" spans="10:16">
      <c r="J367" s="5"/>
      <c r="L367">
        <f>RAVLT_Delayed!M367</f>
        <v>-0.35578711403487501</v>
      </c>
      <c r="M367">
        <f>RAVLT_Delayed!N367</f>
        <v>36.1</v>
      </c>
      <c r="O367">
        <f>ABS(L367-RAVLT_Delayed!$C$34)</f>
        <v>1.1722608666978178</v>
      </c>
      <c r="P367">
        <f t="shared" si="6"/>
        <v>36.1</v>
      </c>
    </row>
    <row r="368" spans="10:16">
      <c r="J368" s="5"/>
      <c r="L368">
        <f>RAVLT_Delayed!M368</f>
        <v>-0.35311797197368899</v>
      </c>
      <c r="M368">
        <f>RAVLT_Delayed!N368</f>
        <v>36.200000000000003</v>
      </c>
      <c r="O368">
        <f>ABS(L368-RAVLT_Delayed!$C$34)</f>
        <v>1.1749300087590038</v>
      </c>
      <c r="P368">
        <f t="shared" si="6"/>
        <v>36.200000000000003</v>
      </c>
    </row>
    <row r="369" spans="10:16">
      <c r="J369" s="5"/>
      <c r="L369">
        <f>RAVLT_Delayed!M369</f>
        <v>-0.350451343273461</v>
      </c>
      <c r="M369">
        <f>RAVLT_Delayed!N369</f>
        <v>36.299999999999997</v>
      </c>
      <c r="O369">
        <f>ABS(L369-RAVLT_Delayed!$C$34)</f>
        <v>1.1775966374592317</v>
      </c>
      <c r="P369">
        <f t="shared" si="6"/>
        <v>36.299999999999997</v>
      </c>
    </row>
    <row r="370" spans="10:16">
      <c r="J370" s="5"/>
      <c r="L370">
        <f>RAVLT_Delayed!M370</f>
        <v>-0.34778720427862703</v>
      </c>
      <c r="M370">
        <f>RAVLT_Delayed!N370</f>
        <v>36.4</v>
      </c>
      <c r="O370">
        <f>ABS(L370-RAVLT_Delayed!$C$34)</f>
        <v>1.1802607764540658</v>
      </c>
      <c r="P370">
        <f t="shared" si="6"/>
        <v>36.4</v>
      </c>
    </row>
    <row r="371" spans="10:16">
      <c r="J371" s="5"/>
      <c r="L371">
        <f>RAVLT_Delayed!M371</f>
        <v>-0.34512553147047198</v>
      </c>
      <c r="M371">
        <f>RAVLT_Delayed!N371</f>
        <v>36.5</v>
      </c>
      <c r="O371">
        <f>ABS(L371-RAVLT_Delayed!$C$34)</f>
        <v>1.1829224492622208</v>
      </c>
      <c r="P371">
        <f t="shared" si="6"/>
        <v>36.5</v>
      </c>
    </row>
    <row r="372" spans="10:16">
      <c r="J372" s="5"/>
      <c r="L372">
        <f>RAVLT_Delayed!M372</f>
        <v>-0.34246630146539098</v>
      </c>
      <c r="M372">
        <f>RAVLT_Delayed!N372</f>
        <v>36.6</v>
      </c>
      <c r="O372">
        <f>ABS(L372-RAVLT_Delayed!$C$34)</f>
        <v>1.1855816792673017</v>
      </c>
      <c r="P372">
        <f t="shared" si="6"/>
        <v>36.6</v>
      </c>
    </row>
    <row r="373" spans="10:16">
      <c r="J373" s="5"/>
      <c r="L373">
        <f>RAVLT_Delayed!M373</f>
        <v>-0.33980949101316699</v>
      </c>
      <c r="M373">
        <f>RAVLT_Delayed!N373</f>
        <v>36.700000000000003</v>
      </c>
      <c r="O373">
        <f>ABS(L373-RAVLT_Delayed!$C$34)</f>
        <v>1.1882384897195257</v>
      </c>
      <c r="P373">
        <f t="shared" si="6"/>
        <v>36.700000000000003</v>
      </c>
    </row>
    <row r="374" spans="10:16">
      <c r="J374" s="5"/>
      <c r="L374">
        <f>RAVLT_Delayed!M374</f>
        <v>-0.33715507699527703</v>
      </c>
      <c r="M374">
        <f>RAVLT_Delayed!N374</f>
        <v>36.799999999999997</v>
      </c>
      <c r="O374">
        <f>ABS(L374-RAVLT_Delayed!$C$34)</f>
        <v>1.1908929037374159</v>
      </c>
      <c r="P374">
        <f t="shared" si="6"/>
        <v>36.799999999999997</v>
      </c>
    </row>
    <row r="375" spans="10:16">
      <c r="J375" s="5"/>
      <c r="L375">
        <f>RAVLT_Delayed!M375</f>
        <v>-0.334503036423212</v>
      </c>
      <c r="M375">
        <f>RAVLT_Delayed!N375</f>
        <v>36.9</v>
      </c>
      <c r="O375">
        <f>ABS(L375-RAVLT_Delayed!$C$34)</f>
        <v>1.1935449443094808</v>
      </c>
      <c r="P375">
        <f t="shared" si="6"/>
        <v>36.9</v>
      </c>
    </row>
    <row r="376" spans="10:16">
      <c r="J376" s="5"/>
      <c r="L376">
        <f>RAVLT_Delayed!M376</f>
        <v>-0.33185334643681702</v>
      </c>
      <c r="M376">
        <f>RAVLT_Delayed!N376</f>
        <v>37</v>
      </c>
      <c r="O376">
        <f>ABS(L376-RAVLT_Delayed!$C$34)</f>
        <v>1.1961946342958758</v>
      </c>
      <c r="P376">
        <f t="shared" si="6"/>
        <v>37</v>
      </c>
    </row>
    <row r="377" spans="10:16">
      <c r="J377" s="5"/>
      <c r="L377">
        <f>RAVLT_Delayed!M377</f>
        <v>-0.32920598430265102</v>
      </c>
      <c r="M377">
        <f>RAVLT_Delayed!N377</f>
        <v>37.1</v>
      </c>
      <c r="O377">
        <f>ABS(L377-RAVLT_Delayed!$C$34)</f>
        <v>1.1988419964300419</v>
      </c>
      <c r="P377">
        <f t="shared" si="6"/>
        <v>37.1</v>
      </c>
    </row>
    <row r="378" spans="10:16">
      <c r="J378" s="5"/>
      <c r="L378">
        <f>RAVLT_Delayed!M378</f>
        <v>-0.32656092741237303</v>
      </c>
      <c r="M378">
        <f>RAVLT_Delayed!N378</f>
        <v>37.200000000000003</v>
      </c>
      <c r="O378">
        <f>ABS(L378-RAVLT_Delayed!$C$34)</f>
        <v>1.2014870533203197</v>
      </c>
      <c r="P378">
        <f t="shared" si="6"/>
        <v>37.200000000000003</v>
      </c>
    </row>
    <row r="379" spans="10:16">
      <c r="J379" s="5"/>
      <c r="L379">
        <f>RAVLT_Delayed!M379</f>
        <v>-0.32391815328113299</v>
      </c>
      <c r="M379">
        <f>RAVLT_Delayed!N379</f>
        <v>37.299999999999997</v>
      </c>
      <c r="O379">
        <f>ABS(L379-RAVLT_Delayed!$C$34)</f>
        <v>1.2041298274515597</v>
      </c>
      <c r="P379">
        <f t="shared" si="6"/>
        <v>37.299999999999997</v>
      </c>
    </row>
    <row r="380" spans="10:16">
      <c r="J380" s="5"/>
      <c r="L380">
        <f>RAVLT_Delayed!M380</f>
        <v>-0.32127763954599597</v>
      </c>
      <c r="M380">
        <f>RAVLT_Delayed!N380</f>
        <v>37.4</v>
      </c>
      <c r="O380">
        <f>ABS(L380-RAVLT_Delayed!$C$34)</f>
        <v>1.2067703411866968</v>
      </c>
      <c r="P380">
        <f t="shared" si="6"/>
        <v>37.4</v>
      </c>
    </row>
    <row r="381" spans="10:16">
      <c r="J381" s="5"/>
      <c r="L381">
        <f>RAVLT_Delayed!M381</f>
        <v>-0.31863936396437498</v>
      </c>
      <c r="M381">
        <f>RAVLT_Delayed!N381</f>
        <v>37.5</v>
      </c>
      <c r="O381">
        <f>ABS(L381-RAVLT_Delayed!$C$34)</f>
        <v>1.2094086167683178</v>
      </c>
      <c r="P381">
        <f t="shared" si="6"/>
        <v>37.5</v>
      </c>
    </row>
    <row r="382" spans="10:16">
      <c r="J382" s="5"/>
      <c r="L382">
        <f>RAVLT_Delayed!M382</f>
        <v>-0.31600330441248298</v>
      </c>
      <c r="M382">
        <f>RAVLT_Delayed!N382</f>
        <v>37.6</v>
      </c>
      <c r="O382">
        <f>ABS(L382-RAVLT_Delayed!$C$34)</f>
        <v>1.2120446763202097</v>
      </c>
      <c r="P382">
        <f t="shared" si="6"/>
        <v>37.6</v>
      </c>
    </row>
    <row r="383" spans="10:16">
      <c r="J383" s="5"/>
      <c r="L383">
        <f>RAVLT_Delayed!M383</f>
        <v>-0.31336943888380597</v>
      </c>
      <c r="M383">
        <f>RAVLT_Delayed!N383</f>
        <v>37.700000000000003</v>
      </c>
      <c r="O383">
        <f>ABS(L383-RAVLT_Delayed!$C$34)</f>
        <v>1.2146785418488868</v>
      </c>
      <c r="P383">
        <f t="shared" si="6"/>
        <v>37.700000000000003</v>
      </c>
    </row>
    <row r="384" spans="10:16">
      <c r="J384" s="5"/>
      <c r="L384">
        <f>RAVLT_Delayed!M384</f>
        <v>-0.31073774548759198</v>
      </c>
      <c r="M384">
        <f>RAVLT_Delayed!N384</f>
        <v>37.799999999999997</v>
      </c>
      <c r="O384">
        <f>ABS(L384-RAVLT_Delayed!$C$34)</f>
        <v>1.2173102352451008</v>
      </c>
      <c r="P384">
        <f t="shared" si="6"/>
        <v>37.799999999999997</v>
      </c>
    </row>
    <row r="385" spans="10:16">
      <c r="J385" s="5"/>
      <c r="L385">
        <f>RAVLT_Delayed!M385</f>
        <v>-0.30810820244735498</v>
      </c>
      <c r="M385">
        <f>RAVLT_Delayed!N385</f>
        <v>37.9</v>
      </c>
      <c r="O385">
        <f>ABS(L385-RAVLT_Delayed!$C$34)</f>
        <v>1.2199397782853378</v>
      </c>
      <c r="P385">
        <f t="shared" si="6"/>
        <v>37.9</v>
      </c>
    </row>
    <row r="386" spans="10:16">
      <c r="J386" s="5"/>
      <c r="L386">
        <f>RAVLT_Delayed!M386</f>
        <v>-0.30548078809939699</v>
      </c>
      <c r="M386">
        <f>RAVLT_Delayed!N386</f>
        <v>38</v>
      </c>
      <c r="O386">
        <f>ABS(L386-RAVLT_Delayed!$C$34)</f>
        <v>1.2225671926332957</v>
      </c>
      <c r="P386">
        <f t="shared" si="6"/>
        <v>38</v>
      </c>
    </row>
    <row r="387" spans="10:16">
      <c r="J387" s="5"/>
      <c r="L387">
        <f>RAVLT_Delayed!M387</f>
        <v>-0.302855480891349</v>
      </c>
      <c r="M387">
        <f>RAVLT_Delayed!N387</f>
        <v>38.1</v>
      </c>
      <c r="O387">
        <f>ABS(L387-RAVLT_Delayed!$C$34)</f>
        <v>1.2251924998413437</v>
      </c>
      <c r="P387">
        <f t="shared" si="6"/>
        <v>38.1</v>
      </c>
    </row>
    <row r="388" spans="10:16">
      <c r="J388" s="5"/>
      <c r="L388">
        <f>RAVLT_Delayed!M388</f>
        <v>-0.30023225938072201</v>
      </c>
      <c r="M388">
        <f>RAVLT_Delayed!N388</f>
        <v>38.200000000000003</v>
      </c>
      <c r="O388">
        <f>ABS(L388-RAVLT_Delayed!$C$34)</f>
        <v>1.2278157213519707</v>
      </c>
      <c r="P388">
        <f t="shared" si="6"/>
        <v>38.200000000000003</v>
      </c>
    </row>
    <row r="389" spans="10:16">
      <c r="J389" s="5"/>
      <c r="L389">
        <f>RAVLT_Delayed!M389</f>
        <v>-0.29761110223347997</v>
      </c>
      <c r="M389">
        <f>RAVLT_Delayed!N389</f>
        <v>38.299999999999997</v>
      </c>
      <c r="O389">
        <f>ABS(L389-RAVLT_Delayed!$C$34)</f>
        <v>1.2304368784992128</v>
      </c>
      <c r="P389">
        <f t="shared" si="6"/>
        <v>38.299999999999997</v>
      </c>
    </row>
    <row r="390" spans="10:16">
      <c r="J390" s="5"/>
      <c r="L390">
        <f>RAVLT_Delayed!M390</f>
        <v>-0.29499198822262601</v>
      </c>
      <c r="M390">
        <f>RAVLT_Delayed!N390</f>
        <v>38.4</v>
      </c>
      <c r="O390">
        <f>ABS(L390-RAVLT_Delayed!$C$34)</f>
        <v>1.2330559925100668</v>
      </c>
      <c r="P390">
        <f t="shared" si="6"/>
        <v>38.4</v>
      </c>
    </row>
    <row r="391" spans="10:16">
      <c r="J391" s="5"/>
      <c r="L391">
        <f>RAVLT_Delayed!M391</f>
        <v>-0.29237489622680402</v>
      </c>
      <c r="M391">
        <f>RAVLT_Delayed!N391</f>
        <v>38.5</v>
      </c>
      <c r="O391">
        <f>ABS(L391-RAVLT_Delayed!$C$34)</f>
        <v>1.2356730845058888</v>
      </c>
      <c r="P391">
        <f t="shared" ref="P391:P454" si="7">M391</f>
        <v>38.5</v>
      </c>
    </row>
    <row r="392" spans="10:16">
      <c r="J392" s="5"/>
      <c r="L392">
        <f>RAVLT_Delayed!M392</f>
        <v>-0.28975980522891398</v>
      </c>
      <c r="M392">
        <f>RAVLT_Delayed!N392</f>
        <v>38.6</v>
      </c>
      <c r="O392">
        <f>ABS(L392-RAVLT_Delayed!$C$34)</f>
        <v>1.2382881755037789</v>
      </c>
      <c r="P392">
        <f t="shared" si="7"/>
        <v>38.6</v>
      </c>
    </row>
    <row r="393" spans="10:16">
      <c r="J393" s="5"/>
      <c r="L393">
        <f>RAVLT_Delayed!M393</f>
        <v>-0.28714669431474499</v>
      </c>
      <c r="M393">
        <f>RAVLT_Delayed!N393</f>
        <v>38.700000000000003</v>
      </c>
      <c r="O393">
        <f>ABS(L393-RAVLT_Delayed!$C$34)</f>
        <v>1.2409012864179478</v>
      </c>
      <c r="P393">
        <f t="shared" si="7"/>
        <v>38.700000000000003</v>
      </c>
    </row>
    <row r="394" spans="10:16">
      <c r="J394" s="5"/>
      <c r="L394">
        <f>RAVLT_Delayed!M394</f>
        <v>-0.28453554267162201</v>
      </c>
      <c r="M394">
        <f>RAVLT_Delayed!N394</f>
        <v>38.799999999999997</v>
      </c>
      <c r="O394">
        <f>ABS(L394-RAVLT_Delayed!$C$34)</f>
        <v>1.2435124380610707</v>
      </c>
      <c r="P394">
        <f t="shared" si="7"/>
        <v>38.799999999999997</v>
      </c>
    </row>
    <row r="395" spans="10:16">
      <c r="J395" s="5"/>
      <c r="L395">
        <f>RAVLT_Delayed!M395</f>
        <v>-0.28192632958706099</v>
      </c>
      <c r="M395">
        <f>RAVLT_Delayed!N395</f>
        <v>38.9</v>
      </c>
      <c r="O395">
        <f>ABS(L395-RAVLT_Delayed!$C$34)</f>
        <v>1.2461216511456317</v>
      </c>
      <c r="P395">
        <f t="shared" si="7"/>
        <v>38.9</v>
      </c>
    </row>
    <row r="396" spans="10:16">
      <c r="J396" s="5"/>
      <c r="L396">
        <f>RAVLT_Delayed!M396</f>
        <v>-0.27931903444745398</v>
      </c>
      <c r="M396">
        <f>RAVLT_Delayed!N396</f>
        <v>39</v>
      </c>
      <c r="O396">
        <f>ABS(L396-RAVLT_Delayed!$C$34)</f>
        <v>1.2487289462852389</v>
      </c>
      <c r="P396">
        <f t="shared" si="7"/>
        <v>39</v>
      </c>
    </row>
    <row r="397" spans="10:16">
      <c r="J397" s="5"/>
      <c r="L397">
        <f>RAVLT_Delayed!M397</f>
        <v>-0.27671363673674698</v>
      </c>
      <c r="M397">
        <f>RAVLT_Delayed!N397</f>
        <v>39.1</v>
      </c>
      <c r="O397">
        <f>ABS(L397-RAVLT_Delayed!$C$34)</f>
        <v>1.2513343439959459</v>
      </c>
      <c r="P397">
        <f t="shared" si="7"/>
        <v>39.1</v>
      </c>
    </row>
    <row r="398" spans="10:16">
      <c r="J398" s="5"/>
      <c r="L398">
        <f>RAVLT_Delayed!M398</f>
        <v>-0.27411011603514701</v>
      </c>
      <c r="M398">
        <f>RAVLT_Delayed!N398</f>
        <v>39.200000000000003</v>
      </c>
      <c r="O398">
        <f>ABS(L398-RAVLT_Delayed!$C$34)</f>
        <v>1.2539378646975456</v>
      </c>
      <c r="P398">
        <f t="shared" si="7"/>
        <v>39.200000000000003</v>
      </c>
    </row>
    <row r="399" spans="10:16">
      <c r="J399" s="5"/>
      <c r="L399">
        <f>RAVLT_Delayed!M399</f>
        <v>-0.27150845201783902</v>
      </c>
      <c r="M399">
        <f>RAVLT_Delayed!N399</f>
        <v>39.299999999999997</v>
      </c>
      <c r="O399">
        <f>ABS(L399-RAVLT_Delayed!$C$34)</f>
        <v>1.2565395287148537</v>
      </c>
      <c r="P399">
        <f t="shared" si="7"/>
        <v>39.299999999999997</v>
      </c>
    </row>
    <row r="400" spans="10:16">
      <c r="J400" s="5"/>
      <c r="L400">
        <f>RAVLT_Delayed!M400</f>
        <v>-0.26890862445371</v>
      </c>
      <c r="M400">
        <f>RAVLT_Delayed!N400</f>
        <v>39.4</v>
      </c>
      <c r="O400">
        <f>ABS(L400-RAVLT_Delayed!$C$34)</f>
        <v>1.2591393562789828</v>
      </c>
      <c r="P400">
        <f t="shared" si="7"/>
        <v>39.4</v>
      </c>
    </row>
    <row r="401" spans="10:16">
      <c r="J401" s="5"/>
      <c r="L401">
        <f>RAVLT_Delayed!M401</f>
        <v>-0.26631061320409499</v>
      </c>
      <c r="M401">
        <f>RAVLT_Delayed!N401</f>
        <v>39.5</v>
      </c>
      <c r="O401">
        <f>ABS(L401-RAVLT_Delayed!$C$34)</f>
        <v>1.2617373675285979</v>
      </c>
      <c r="P401">
        <f t="shared" si="7"/>
        <v>39.5</v>
      </c>
    </row>
    <row r="402" spans="10:16">
      <c r="J402" s="5"/>
      <c r="L402">
        <f>RAVLT_Delayed!M402</f>
        <v>-0.26371439822152998</v>
      </c>
      <c r="M402">
        <f>RAVLT_Delayed!N402</f>
        <v>39.6</v>
      </c>
      <c r="O402">
        <f>ABS(L402-RAVLT_Delayed!$C$34)</f>
        <v>1.2643335825111628</v>
      </c>
      <c r="P402">
        <f t="shared" si="7"/>
        <v>39.6</v>
      </c>
    </row>
    <row r="403" spans="10:16">
      <c r="J403" s="5"/>
      <c r="L403">
        <f>RAVLT_Delayed!M403</f>
        <v>-0.26111995954851802</v>
      </c>
      <c r="M403">
        <f>RAVLT_Delayed!N403</f>
        <v>39.700000000000003</v>
      </c>
      <c r="O403">
        <f>ABS(L403-RAVLT_Delayed!$C$34)</f>
        <v>1.2669280211841747</v>
      </c>
      <c r="P403">
        <f t="shared" si="7"/>
        <v>39.700000000000003</v>
      </c>
    </row>
    <row r="404" spans="10:16">
      <c r="J404" s="5"/>
      <c r="L404">
        <f>RAVLT_Delayed!M404</f>
        <v>-0.25852727731630998</v>
      </c>
      <c r="M404">
        <f>RAVLT_Delayed!N404</f>
        <v>39.799999999999997</v>
      </c>
      <c r="O404">
        <f>ABS(L404-RAVLT_Delayed!$C$34)</f>
        <v>1.2695207034163829</v>
      </c>
      <c r="P404">
        <f t="shared" si="7"/>
        <v>39.799999999999997</v>
      </c>
    </row>
    <row r="405" spans="10:16">
      <c r="J405" s="5"/>
      <c r="L405">
        <f>RAVLT_Delayed!M405</f>
        <v>-0.25593633174369301</v>
      </c>
      <c r="M405">
        <f>RAVLT_Delayed!N405</f>
        <v>39.9</v>
      </c>
      <c r="O405">
        <f>ABS(L405-RAVLT_Delayed!$C$34)</f>
        <v>1.2721116489889996</v>
      </c>
      <c r="P405">
        <f t="shared" si="7"/>
        <v>39.9</v>
      </c>
    </row>
    <row r="406" spans="10:16">
      <c r="J406" s="5"/>
      <c r="L406">
        <f>RAVLT_Delayed!M406</f>
        <v>-0.2533471031358</v>
      </c>
      <c r="M406">
        <f>RAVLT_Delayed!N406</f>
        <v>40</v>
      </c>
      <c r="O406">
        <f>ABS(L406-RAVLT_Delayed!$C$34)</f>
        <v>1.2747008775968927</v>
      </c>
      <c r="P406">
        <f t="shared" si="7"/>
        <v>40</v>
      </c>
    </row>
    <row r="407" spans="10:16">
      <c r="J407" s="5"/>
      <c r="L407">
        <f>RAVLT_Delayed!M407</f>
        <v>-0.25075957188291598</v>
      </c>
      <c r="M407">
        <f>RAVLT_Delayed!N407</f>
        <v>40.1</v>
      </c>
      <c r="O407">
        <f>ABS(L407-RAVLT_Delayed!$C$34)</f>
        <v>1.2772884088497767</v>
      </c>
      <c r="P407">
        <f t="shared" si="7"/>
        <v>40.1</v>
      </c>
    </row>
    <row r="408" spans="10:16">
      <c r="J408" s="5"/>
      <c r="L408">
        <f>RAVLT_Delayed!M408</f>
        <v>-0.24817371845931299</v>
      </c>
      <c r="M408">
        <f>RAVLT_Delayed!N408</f>
        <v>40.200000000000003</v>
      </c>
      <c r="O408">
        <f>ABS(L408-RAVLT_Delayed!$C$34)</f>
        <v>1.2798742622733799</v>
      </c>
      <c r="P408">
        <f t="shared" si="7"/>
        <v>40.200000000000003</v>
      </c>
    </row>
    <row r="409" spans="10:16">
      <c r="J409" s="5"/>
      <c r="L409">
        <f>RAVLT_Delayed!M409</f>
        <v>-0.24558952342208101</v>
      </c>
      <c r="M409">
        <f>RAVLT_Delayed!N409</f>
        <v>40.299999999999997</v>
      </c>
      <c r="O409">
        <f>ABS(L409-RAVLT_Delayed!$C$34)</f>
        <v>1.2824584573106117</v>
      </c>
      <c r="P409">
        <f t="shared" si="7"/>
        <v>40.299999999999997</v>
      </c>
    </row>
    <row r="410" spans="10:16">
      <c r="J410" s="5"/>
      <c r="L410">
        <f>RAVLT_Delayed!M410</f>
        <v>-0.24300696740998201</v>
      </c>
      <c r="M410">
        <f>RAVLT_Delayed!N410</f>
        <v>40.4</v>
      </c>
      <c r="O410">
        <f>ABS(L410-RAVLT_Delayed!$C$34)</f>
        <v>1.2850410133227108</v>
      </c>
      <c r="P410">
        <f t="shared" si="7"/>
        <v>40.4</v>
      </c>
    </row>
    <row r="411" spans="10:16">
      <c r="J411" s="5"/>
      <c r="L411">
        <f>RAVLT_Delayed!M411</f>
        <v>-0.24042603114230801</v>
      </c>
      <c r="M411">
        <f>RAVLT_Delayed!N411</f>
        <v>40.5</v>
      </c>
      <c r="O411">
        <f>ABS(L411-RAVLT_Delayed!$C$34)</f>
        <v>1.2876219495903847</v>
      </c>
      <c r="P411">
        <f t="shared" si="7"/>
        <v>40.5</v>
      </c>
    </row>
    <row r="412" spans="10:16">
      <c r="J412" s="5"/>
      <c r="L412">
        <f>RAVLT_Delayed!M412</f>
        <v>-0.237846695417749</v>
      </c>
      <c r="M412">
        <f>RAVLT_Delayed!N412</f>
        <v>40.6</v>
      </c>
      <c r="O412">
        <f>ABS(L412-RAVLT_Delayed!$C$34)</f>
        <v>1.2902012853149438</v>
      </c>
      <c r="P412">
        <f t="shared" si="7"/>
        <v>40.6</v>
      </c>
    </row>
    <row r="413" spans="10:16">
      <c r="J413" s="5"/>
      <c r="L413">
        <f>RAVLT_Delayed!M413</f>
        <v>-0.23526894111328001</v>
      </c>
      <c r="M413">
        <f>RAVLT_Delayed!N413</f>
        <v>40.700000000000003</v>
      </c>
      <c r="O413">
        <f>ABS(L413-RAVLT_Delayed!$C$34)</f>
        <v>1.2927790396194128</v>
      </c>
      <c r="P413">
        <f t="shared" si="7"/>
        <v>40.700000000000003</v>
      </c>
    </row>
    <row r="414" spans="10:16">
      <c r="J414" s="5"/>
      <c r="L414">
        <f>RAVLT_Delayed!M414</f>
        <v>-0.232692749183045</v>
      </c>
      <c r="M414">
        <f>RAVLT_Delayed!N414</f>
        <v>40.799999999999997</v>
      </c>
      <c r="O414">
        <f>ABS(L414-RAVLT_Delayed!$C$34)</f>
        <v>1.2953552315496477</v>
      </c>
      <c r="P414">
        <f t="shared" si="7"/>
        <v>40.799999999999997</v>
      </c>
    </row>
    <row r="415" spans="10:16">
      <c r="J415" s="5"/>
      <c r="L415">
        <f>RAVLT_Delayed!M415</f>
        <v>-0.23011810065726601</v>
      </c>
      <c r="M415">
        <f>RAVLT_Delayed!N415</f>
        <v>40.9</v>
      </c>
      <c r="O415">
        <f>ABS(L415-RAVLT_Delayed!$C$34)</f>
        <v>1.2979298800754266</v>
      </c>
      <c r="P415">
        <f t="shared" si="7"/>
        <v>40.9</v>
      </c>
    </row>
    <row r="416" spans="10:16">
      <c r="J416" s="5"/>
      <c r="L416">
        <f>RAVLT_Delayed!M416</f>
        <v>-0.227544976641149</v>
      </c>
      <c r="M416">
        <f>RAVLT_Delayed!N416</f>
        <v>41</v>
      </c>
      <c r="O416">
        <f>ABS(L416-RAVLT_Delayed!$C$34)</f>
        <v>1.3005030040915437</v>
      </c>
      <c r="P416">
        <f t="shared" si="7"/>
        <v>41</v>
      </c>
    </row>
    <row r="417" spans="10:16">
      <c r="J417" s="5"/>
      <c r="L417">
        <f>RAVLT_Delayed!M417</f>
        <v>-0.22497335831381099</v>
      </c>
      <c r="M417">
        <f>RAVLT_Delayed!N417</f>
        <v>41.1</v>
      </c>
      <c r="O417">
        <f>ABS(L417-RAVLT_Delayed!$C$34)</f>
        <v>1.3030746224188818</v>
      </c>
      <c r="P417">
        <f t="shared" si="7"/>
        <v>41.1</v>
      </c>
    </row>
    <row r="418" spans="10:16">
      <c r="J418" s="5"/>
      <c r="L418">
        <f>RAVLT_Delayed!M418</f>
        <v>-0.22240322692720599</v>
      </c>
      <c r="M418">
        <f>RAVLT_Delayed!N418</f>
        <v>41.2</v>
      </c>
      <c r="O418">
        <f>ABS(L418-RAVLT_Delayed!$C$34)</f>
        <v>1.3056447538054867</v>
      </c>
      <c r="P418">
        <f t="shared" si="7"/>
        <v>41.2</v>
      </c>
    </row>
    <row r="419" spans="10:16">
      <c r="J419" s="5"/>
      <c r="L419">
        <f>RAVLT_Delayed!M419</f>
        <v>-0.21983456380506899</v>
      </c>
      <c r="M419">
        <f>RAVLT_Delayed!N419</f>
        <v>41.3</v>
      </c>
      <c r="O419">
        <f>ABS(L419-RAVLT_Delayed!$C$34)</f>
        <v>1.3082134169276238</v>
      </c>
      <c r="P419">
        <f t="shared" si="7"/>
        <v>41.3</v>
      </c>
    </row>
    <row r="420" spans="10:16">
      <c r="J420" s="5"/>
      <c r="L420">
        <f>RAVLT_Delayed!M420</f>
        <v>-0.21726735034186301</v>
      </c>
      <c r="M420">
        <f>RAVLT_Delayed!N420</f>
        <v>41.4</v>
      </c>
      <c r="O420">
        <f>ABS(L420-RAVLT_Delayed!$C$34)</f>
        <v>1.3107806303908298</v>
      </c>
      <c r="P420">
        <f t="shared" si="7"/>
        <v>41.4</v>
      </c>
    </row>
    <row r="421" spans="10:16">
      <c r="J421" s="5"/>
      <c r="L421">
        <f>RAVLT_Delayed!M421</f>
        <v>-0.214701568001744</v>
      </c>
      <c r="M421">
        <f>RAVLT_Delayed!N421</f>
        <v>41.5</v>
      </c>
      <c r="O421">
        <f>ABS(L421-RAVLT_Delayed!$C$34)</f>
        <v>1.3133464127309487</v>
      </c>
      <c r="P421">
        <f t="shared" si="7"/>
        <v>41.5</v>
      </c>
    </row>
    <row r="422" spans="10:16">
      <c r="J422" s="5"/>
      <c r="L422">
        <f>RAVLT_Delayed!M422</f>
        <v>-0.21213719831752401</v>
      </c>
      <c r="M422">
        <f>RAVLT_Delayed!N422</f>
        <v>41.6</v>
      </c>
      <c r="O422">
        <f>ABS(L422-RAVLT_Delayed!$C$34)</f>
        <v>1.3159107824151688</v>
      </c>
      <c r="P422">
        <f t="shared" si="7"/>
        <v>41.6</v>
      </c>
    </row>
    <row r="423" spans="10:16">
      <c r="J423" s="5"/>
      <c r="L423">
        <f>RAVLT_Delayed!M423</f>
        <v>-0.209574222889649</v>
      </c>
      <c r="M423">
        <f>RAVLT_Delayed!N423</f>
        <v>41.7</v>
      </c>
      <c r="O423">
        <f>ABS(L423-RAVLT_Delayed!$C$34)</f>
        <v>1.3184737578430439</v>
      </c>
      <c r="P423">
        <f t="shared" si="7"/>
        <v>41.7</v>
      </c>
    </row>
    <row r="424" spans="10:16">
      <c r="J424" s="5"/>
      <c r="L424">
        <f>RAVLT_Delayed!M424</f>
        <v>-0.207012623385187</v>
      </c>
      <c r="M424">
        <f>RAVLT_Delayed!N424</f>
        <v>41.8</v>
      </c>
      <c r="O424">
        <f>ABS(L424-RAVLT_Delayed!$C$34)</f>
        <v>1.3210353573475058</v>
      </c>
      <c r="P424">
        <f t="shared" si="7"/>
        <v>41.8</v>
      </c>
    </row>
    <row r="425" spans="10:16">
      <c r="J425" s="5"/>
      <c r="L425">
        <f>RAVLT_Delayed!M425</f>
        <v>-0.20445238153682099</v>
      </c>
      <c r="M425">
        <f>RAVLT_Delayed!N425</f>
        <v>41.9</v>
      </c>
      <c r="O425">
        <f>ABS(L425-RAVLT_Delayed!$C$34)</f>
        <v>1.3235955991958717</v>
      </c>
      <c r="P425">
        <f t="shared" si="7"/>
        <v>41.9</v>
      </c>
    </row>
    <row r="426" spans="10:16">
      <c r="J426" s="5"/>
      <c r="L426">
        <f>RAVLT_Delayed!M426</f>
        <v>-0.20189347914185099</v>
      </c>
      <c r="M426">
        <f>RAVLT_Delayed!N426</f>
        <v>42</v>
      </c>
      <c r="O426">
        <f>ABS(L426-RAVLT_Delayed!$C$34)</f>
        <v>1.3261545015908418</v>
      </c>
      <c r="P426">
        <f t="shared" si="7"/>
        <v>42</v>
      </c>
    </row>
    <row r="427" spans="10:16">
      <c r="J427" s="5"/>
      <c r="L427">
        <f>RAVLT_Delayed!M427</f>
        <v>-0.199335898061207</v>
      </c>
      <c r="M427">
        <f>RAVLT_Delayed!N427</f>
        <v>42.1</v>
      </c>
      <c r="O427">
        <f>ABS(L427-RAVLT_Delayed!$C$34)</f>
        <v>1.3287120826714858</v>
      </c>
      <c r="P427">
        <f t="shared" si="7"/>
        <v>42.1</v>
      </c>
    </row>
    <row r="428" spans="10:16">
      <c r="J428" s="5"/>
      <c r="L428">
        <f>RAVLT_Delayed!M428</f>
        <v>-0.19677962021846701</v>
      </c>
      <c r="M428">
        <f>RAVLT_Delayed!N428</f>
        <v>42.2</v>
      </c>
      <c r="O428">
        <f>ABS(L428-RAVLT_Delayed!$C$34)</f>
        <v>1.3312683605142257</v>
      </c>
      <c r="P428">
        <f t="shared" si="7"/>
        <v>42.2</v>
      </c>
    </row>
    <row r="429" spans="10:16">
      <c r="J429" s="5"/>
      <c r="L429">
        <f>RAVLT_Delayed!M429</f>
        <v>-0.19422462759888301</v>
      </c>
      <c r="M429">
        <f>RAVLT_Delayed!N429</f>
        <v>42.3</v>
      </c>
      <c r="O429">
        <f>ABS(L429-RAVLT_Delayed!$C$34)</f>
        <v>1.3338233531338097</v>
      </c>
      <c r="P429">
        <f t="shared" si="7"/>
        <v>42.3</v>
      </c>
    </row>
    <row r="430" spans="10:16">
      <c r="J430" s="5"/>
      <c r="L430">
        <f>RAVLT_Delayed!M430</f>
        <v>-0.19167090224842001</v>
      </c>
      <c r="M430">
        <f>RAVLT_Delayed!N430</f>
        <v>42.4</v>
      </c>
      <c r="O430">
        <f>ABS(L430-RAVLT_Delayed!$C$34)</f>
        <v>1.3363770784842728</v>
      </c>
      <c r="P430">
        <f t="shared" si="7"/>
        <v>42.4</v>
      </c>
    </row>
    <row r="431" spans="10:16">
      <c r="J431" s="5"/>
      <c r="L431">
        <f>RAVLT_Delayed!M431</f>
        <v>-0.18911842627279199</v>
      </c>
      <c r="M431">
        <f>RAVLT_Delayed!N431</f>
        <v>42.5</v>
      </c>
      <c r="O431">
        <f>ABS(L431-RAVLT_Delayed!$C$34)</f>
        <v>1.3389295544599007</v>
      </c>
      <c r="P431">
        <f t="shared" si="7"/>
        <v>42.5</v>
      </c>
    </row>
    <row r="432" spans="10:16">
      <c r="J432" s="5"/>
      <c r="L432">
        <f>RAVLT_Delayed!M432</f>
        <v>-0.18656718183651899</v>
      </c>
      <c r="M432">
        <f>RAVLT_Delayed!N432</f>
        <v>42.6</v>
      </c>
      <c r="O432">
        <f>ABS(L432-RAVLT_Delayed!$C$34)</f>
        <v>1.3414807988961739</v>
      </c>
      <c r="P432">
        <f t="shared" si="7"/>
        <v>42.6</v>
      </c>
    </row>
    <row r="433" spans="10:16">
      <c r="J433" s="5"/>
      <c r="L433">
        <f>RAVLT_Delayed!M433</f>
        <v>-0.18401715116198</v>
      </c>
      <c r="M433">
        <f>RAVLT_Delayed!N433</f>
        <v>42.7</v>
      </c>
      <c r="O433">
        <f>ABS(L433-RAVLT_Delayed!$C$34)</f>
        <v>1.3440308295707128</v>
      </c>
      <c r="P433">
        <f t="shared" si="7"/>
        <v>42.7</v>
      </c>
    </row>
    <row r="434" spans="10:16">
      <c r="J434" s="5"/>
      <c r="L434">
        <f>RAVLT_Delayed!M434</f>
        <v>-0.181468316528477</v>
      </c>
      <c r="M434">
        <f>RAVLT_Delayed!N434</f>
        <v>42.8</v>
      </c>
      <c r="O434">
        <f>ABS(L434-RAVLT_Delayed!$C$34)</f>
        <v>1.3465796642042158</v>
      </c>
      <c r="P434">
        <f t="shared" si="7"/>
        <v>42.8</v>
      </c>
    </row>
    <row r="435" spans="10:16">
      <c r="J435" s="5"/>
      <c r="L435">
        <f>RAVLT_Delayed!M435</f>
        <v>-0.17892066027131201</v>
      </c>
      <c r="M435">
        <f>RAVLT_Delayed!N435</f>
        <v>42.9</v>
      </c>
      <c r="O435">
        <f>ABS(L435-RAVLT_Delayed!$C$34)</f>
        <v>1.3491273204613807</v>
      </c>
      <c r="P435">
        <f t="shared" si="7"/>
        <v>42.9</v>
      </c>
    </row>
    <row r="436" spans="10:16">
      <c r="J436" s="5"/>
      <c r="L436">
        <f>RAVLT_Delayed!M436</f>
        <v>-0.17637416478086099</v>
      </c>
      <c r="M436">
        <f>RAVLT_Delayed!N436</f>
        <v>43</v>
      </c>
      <c r="O436">
        <f>ABS(L436-RAVLT_Delayed!$C$34)</f>
        <v>1.3516738159518318</v>
      </c>
      <c r="P436">
        <f t="shared" si="7"/>
        <v>43</v>
      </c>
    </row>
    <row r="437" spans="10:16">
      <c r="J437" s="5"/>
      <c r="L437">
        <f>RAVLT_Delayed!M437</f>
        <v>-0.17382881250166199</v>
      </c>
      <c r="M437">
        <f>RAVLT_Delayed!N437</f>
        <v>43.1</v>
      </c>
      <c r="O437">
        <f>ABS(L437-RAVLT_Delayed!$C$34)</f>
        <v>1.3542191682310307</v>
      </c>
      <c r="P437">
        <f t="shared" si="7"/>
        <v>43.1</v>
      </c>
    </row>
    <row r="438" spans="10:16">
      <c r="J438" s="5"/>
      <c r="L438">
        <f>RAVLT_Delayed!M438</f>
        <v>-0.171284585931507</v>
      </c>
      <c r="M438">
        <f>RAVLT_Delayed!N438</f>
        <v>43.2</v>
      </c>
      <c r="O438">
        <f>ABS(L438-RAVLT_Delayed!$C$34)</f>
        <v>1.3567633948011857</v>
      </c>
      <c r="P438">
        <f t="shared" si="7"/>
        <v>43.2</v>
      </c>
    </row>
    <row r="439" spans="10:16">
      <c r="J439" s="5"/>
      <c r="L439">
        <f>RAVLT_Delayed!M439</f>
        <v>-0.16874146762053799</v>
      </c>
      <c r="M439">
        <f>RAVLT_Delayed!N439</f>
        <v>43.3</v>
      </c>
      <c r="O439">
        <f>ABS(L439-RAVLT_Delayed!$C$34)</f>
        <v>1.3593065131121547</v>
      </c>
      <c r="P439">
        <f t="shared" si="7"/>
        <v>43.3</v>
      </c>
    </row>
    <row r="440" spans="10:16">
      <c r="J440" s="5"/>
      <c r="L440">
        <f>RAVLT_Delayed!M440</f>
        <v>-0.16619944017035901</v>
      </c>
      <c r="M440">
        <f>RAVLT_Delayed!N440</f>
        <v>43.4</v>
      </c>
      <c r="O440">
        <f>ABS(L440-RAVLT_Delayed!$C$34)</f>
        <v>1.3618485405623337</v>
      </c>
      <c r="P440">
        <f t="shared" si="7"/>
        <v>43.4</v>
      </c>
    </row>
    <row r="441" spans="10:16">
      <c r="J441" s="5"/>
      <c r="L441">
        <f>RAVLT_Delayed!M441</f>
        <v>-0.163658486233141</v>
      </c>
      <c r="M441">
        <f>RAVLT_Delayed!N441</f>
        <v>43.5</v>
      </c>
      <c r="O441">
        <f>ABS(L441-RAVLT_Delayed!$C$34)</f>
        <v>1.3643894944995518</v>
      </c>
      <c r="P441">
        <f t="shared" si="7"/>
        <v>43.5</v>
      </c>
    </row>
    <row r="442" spans="10:16">
      <c r="J442" s="5"/>
      <c r="L442">
        <f>RAVLT_Delayed!M442</f>
        <v>-0.16111858851074501</v>
      </c>
      <c r="M442">
        <f>RAVLT_Delayed!N442</f>
        <v>43.6</v>
      </c>
      <c r="O442">
        <f>ABS(L442-RAVLT_Delayed!$C$34)</f>
        <v>1.3669293922219476</v>
      </c>
      <c r="P442">
        <f t="shared" si="7"/>
        <v>43.6</v>
      </c>
    </row>
    <row r="443" spans="10:16">
      <c r="J443" s="5"/>
      <c r="L443">
        <f>RAVLT_Delayed!M443</f>
        <v>-0.15857972975384299</v>
      </c>
      <c r="M443">
        <f>RAVLT_Delayed!N443</f>
        <v>43.7</v>
      </c>
      <c r="O443">
        <f>ABS(L443-RAVLT_Delayed!$C$34)</f>
        <v>1.3694682509788498</v>
      </c>
      <c r="P443">
        <f t="shared" si="7"/>
        <v>43.7</v>
      </c>
    </row>
    <row r="444" spans="10:16">
      <c r="J444" s="5"/>
      <c r="L444">
        <f>RAVLT_Delayed!M444</f>
        <v>-0.15604189276104999</v>
      </c>
      <c r="M444">
        <f>RAVLT_Delayed!N444</f>
        <v>43.8</v>
      </c>
      <c r="O444">
        <f>ABS(L444-RAVLT_Delayed!$C$34)</f>
        <v>1.3720060879716427</v>
      </c>
      <c r="P444">
        <f t="shared" si="7"/>
        <v>43.8</v>
      </c>
    </row>
    <row r="445" spans="10:16">
      <c r="J445" s="5"/>
      <c r="L445">
        <f>RAVLT_Delayed!M445</f>
        <v>-0.153505060378057</v>
      </c>
      <c r="M445">
        <f>RAVLT_Delayed!N445</f>
        <v>43.9</v>
      </c>
      <c r="O445">
        <f>ABS(L445-RAVLT_Delayed!$C$34)</f>
        <v>1.3745429203546358</v>
      </c>
      <c r="P445">
        <f t="shared" si="7"/>
        <v>43.9</v>
      </c>
    </row>
    <row r="446" spans="10:16">
      <c r="J446" s="5"/>
      <c r="L446">
        <f>RAVLT_Delayed!M446</f>
        <v>-0.150969215496777</v>
      </c>
      <c r="M446">
        <f>RAVLT_Delayed!N446</f>
        <v>44</v>
      </c>
      <c r="O446">
        <f>ABS(L446-RAVLT_Delayed!$C$34)</f>
        <v>1.3770787652359158</v>
      </c>
      <c r="P446">
        <f t="shared" si="7"/>
        <v>44</v>
      </c>
    </row>
    <row r="447" spans="10:16">
      <c r="J447" s="5"/>
      <c r="L447">
        <f>RAVLT_Delayed!M447</f>
        <v>-0.14843434105448999</v>
      </c>
      <c r="M447">
        <f>RAVLT_Delayed!N447</f>
        <v>44.1</v>
      </c>
      <c r="O447">
        <f>ABS(L447-RAVLT_Delayed!$C$34)</f>
        <v>1.3796136396782028</v>
      </c>
      <c r="P447">
        <f t="shared" si="7"/>
        <v>44.1</v>
      </c>
    </row>
    <row r="448" spans="10:16">
      <c r="J448" s="5"/>
      <c r="L448">
        <f>RAVLT_Delayed!M448</f>
        <v>-0.145900420032994</v>
      </c>
      <c r="M448">
        <f>RAVLT_Delayed!N448</f>
        <v>44.2</v>
      </c>
      <c r="O448">
        <f>ABS(L448-RAVLT_Delayed!$C$34)</f>
        <v>1.3821475606996987</v>
      </c>
      <c r="P448">
        <f t="shared" si="7"/>
        <v>44.2</v>
      </c>
    </row>
    <row r="449" spans="10:16">
      <c r="J449" s="5"/>
      <c r="L449">
        <f>RAVLT_Delayed!M449</f>
        <v>-0.14336743545776701</v>
      </c>
      <c r="M449">
        <f>RAVLT_Delayed!N449</f>
        <v>44.3</v>
      </c>
      <c r="O449">
        <f>ABS(L449-RAVLT_Delayed!$C$34)</f>
        <v>1.3846805452749258</v>
      </c>
      <c r="P449">
        <f t="shared" si="7"/>
        <v>44.3</v>
      </c>
    </row>
    <row r="450" spans="10:16">
      <c r="J450" s="5"/>
      <c r="L450">
        <f>RAVLT_Delayed!M450</f>
        <v>-0.14083537039712701</v>
      </c>
      <c r="M450">
        <f>RAVLT_Delayed!N450</f>
        <v>44.4</v>
      </c>
      <c r="O450">
        <f>ABS(L450-RAVLT_Delayed!$C$34)</f>
        <v>1.3872126103355658</v>
      </c>
      <c r="P450">
        <f t="shared" si="7"/>
        <v>44.4</v>
      </c>
    </row>
    <row r="451" spans="10:16">
      <c r="J451" s="5"/>
      <c r="L451">
        <f>RAVLT_Delayed!M451</f>
        <v>-0.138304207961404</v>
      </c>
      <c r="M451">
        <f>RAVLT_Delayed!N451</f>
        <v>44.5</v>
      </c>
      <c r="O451">
        <f>ABS(L451-RAVLT_Delayed!$C$34)</f>
        <v>1.3897437727712887</v>
      </c>
      <c r="P451">
        <f t="shared" si="7"/>
        <v>44.5</v>
      </c>
    </row>
    <row r="452" spans="10:16">
      <c r="J452" s="5"/>
      <c r="L452">
        <f>RAVLT_Delayed!M452</f>
        <v>-0.13577393130211199</v>
      </c>
      <c r="M452">
        <f>RAVLT_Delayed!N452</f>
        <v>44.6</v>
      </c>
      <c r="O452">
        <f>ABS(L452-RAVLT_Delayed!$C$34)</f>
        <v>1.3922740494305808</v>
      </c>
      <c r="P452">
        <f t="shared" si="7"/>
        <v>44.6</v>
      </c>
    </row>
    <row r="453" spans="10:16">
      <c r="J453" s="5"/>
      <c r="L453">
        <f>RAVLT_Delayed!M453</f>
        <v>-0.13324452361112399</v>
      </c>
      <c r="M453">
        <f>RAVLT_Delayed!N453</f>
        <v>44.7</v>
      </c>
      <c r="O453">
        <f>ABS(L453-RAVLT_Delayed!$C$34)</f>
        <v>1.3948034571215688</v>
      </c>
      <c r="P453">
        <f t="shared" si="7"/>
        <v>44.7</v>
      </c>
    </row>
    <row r="454" spans="10:16">
      <c r="J454" s="5"/>
      <c r="L454">
        <f>RAVLT_Delayed!M454</f>
        <v>-0.130715968119863</v>
      </c>
      <c r="M454">
        <f>RAVLT_Delayed!N454</f>
        <v>44.8</v>
      </c>
      <c r="O454">
        <f>ABS(L454-RAVLT_Delayed!$C$34)</f>
        <v>1.3973320126128297</v>
      </c>
      <c r="P454">
        <f t="shared" si="7"/>
        <v>44.8</v>
      </c>
    </row>
    <row r="455" spans="10:16">
      <c r="J455" s="5"/>
      <c r="L455">
        <f>RAVLT_Delayed!M455</f>
        <v>-0.128188248098485</v>
      </c>
      <c r="M455">
        <f>RAVLT_Delayed!N455</f>
        <v>44.9</v>
      </c>
      <c r="O455">
        <f>ABS(L455-RAVLT_Delayed!$C$34)</f>
        <v>1.3998597326342077</v>
      </c>
      <c r="P455">
        <f t="shared" ref="P455:P518" si="8">M455</f>
        <v>44.9</v>
      </c>
    </row>
    <row r="456" spans="10:16">
      <c r="J456" s="5"/>
      <c r="L456">
        <f>RAVLT_Delayed!M456</f>
        <v>-0.12566134685507399</v>
      </c>
      <c r="M456">
        <f>RAVLT_Delayed!N456</f>
        <v>45</v>
      </c>
      <c r="O456">
        <f>ABS(L456-RAVLT_Delayed!$C$34)</f>
        <v>1.4023866338776187</v>
      </c>
      <c r="P456">
        <f t="shared" si="8"/>
        <v>45</v>
      </c>
    </row>
    <row r="457" spans="10:16">
      <c r="J457" s="5"/>
      <c r="L457">
        <f>RAVLT_Delayed!M457</f>
        <v>-0.123135247734837</v>
      </c>
      <c r="M457">
        <f>RAVLT_Delayed!N457</f>
        <v>45.1</v>
      </c>
      <c r="O457">
        <f>ABS(L457-RAVLT_Delayed!$C$34)</f>
        <v>1.4049127329978557</v>
      </c>
      <c r="P457">
        <f t="shared" si="8"/>
        <v>45.1</v>
      </c>
    </row>
    <row r="458" spans="10:16">
      <c r="J458" s="5"/>
      <c r="L458">
        <f>RAVLT_Delayed!M458</f>
        <v>-0.120609934119307</v>
      </c>
      <c r="M458">
        <f>RAVLT_Delayed!N458</f>
        <v>45.2</v>
      </c>
      <c r="O458">
        <f>ABS(L458-RAVLT_Delayed!$C$34)</f>
        <v>1.4074380466133858</v>
      </c>
      <c r="P458">
        <f t="shared" si="8"/>
        <v>45.2</v>
      </c>
    </row>
    <row r="459" spans="10:16">
      <c r="J459" s="5"/>
      <c r="L459">
        <f>RAVLT_Delayed!M459</f>
        <v>-0.11808538942555299</v>
      </c>
      <c r="M459">
        <f>RAVLT_Delayed!N459</f>
        <v>45.3</v>
      </c>
      <c r="O459">
        <f>ABS(L459-RAVLT_Delayed!$C$34)</f>
        <v>1.4099625913071399</v>
      </c>
      <c r="P459">
        <f t="shared" si="8"/>
        <v>45.3</v>
      </c>
    </row>
    <row r="460" spans="10:16">
      <c r="J460" s="5"/>
      <c r="L460">
        <f>RAVLT_Delayed!M460</f>
        <v>-0.115561597105383</v>
      </c>
      <c r="M460">
        <f>RAVLT_Delayed!N460</f>
        <v>45.4</v>
      </c>
      <c r="O460">
        <f>ABS(L460-RAVLT_Delayed!$C$34)</f>
        <v>1.4124863836273098</v>
      </c>
      <c r="P460">
        <f t="shared" si="8"/>
        <v>45.4</v>
      </c>
    </row>
    <row r="461" spans="10:16">
      <c r="J461" s="5"/>
      <c r="L461">
        <f>RAVLT_Delayed!M461</f>
        <v>-0.11303854064456501</v>
      </c>
      <c r="M461">
        <f>RAVLT_Delayed!N461</f>
        <v>45.5</v>
      </c>
      <c r="O461">
        <f>ABS(L461-RAVLT_Delayed!$C$34)</f>
        <v>1.4150094400881277</v>
      </c>
      <c r="P461">
        <f t="shared" si="8"/>
        <v>45.5</v>
      </c>
    </row>
    <row r="462" spans="10:16">
      <c r="J462" s="5"/>
      <c r="L462">
        <f>RAVLT_Delayed!M462</f>
        <v>-0.110516203562042</v>
      </c>
      <c r="M462">
        <f>RAVLT_Delayed!N462</f>
        <v>45.6</v>
      </c>
      <c r="O462">
        <f>ABS(L462-RAVLT_Delayed!$C$34)</f>
        <v>1.4175317771706508</v>
      </c>
      <c r="P462">
        <f t="shared" si="8"/>
        <v>45.6</v>
      </c>
    </row>
    <row r="463" spans="10:16">
      <c r="J463" s="5"/>
      <c r="L463">
        <f>RAVLT_Delayed!M463</f>
        <v>-0.107994569409154</v>
      </c>
      <c r="M463">
        <f>RAVLT_Delayed!N463</f>
        <v>45.7</v>
      </c>
      <c r="O463">
        <f>ABS(L463-RAVLT_Delayed!$C$34)</f>
        <v>1.4200534113235388</v>
      </c>
      <c r="P463">
        <f t="shared" si="8"/>
        <v>45.7</v>
      </c>
    </row>
    <row r="464" spans="10:16">
      <c r="J464" s="5"/>
      <c r="L464">
        <f>RAVLT_Delayed!M464</f>
        <v>-0.105473621768868</v>
      </c>
      <c r="M464">
        <f>RAVLT_Delayed!N464</f>
        <v>45.8</v>
      </c>
      <c r="O464">
        <f>ABS(L464-RAVLT_Delayed!$C$34)</f>
        <v>1.4225743589638247</v>
      </c>
      <c r="P464">
        <f t="shared" si="8"/>
        <v>45.8</v>
      </c>
    </row>
    <row r="465" spans="10:16">
      <c r="J465" s="5"/>
      <c r="L465">
        <f>RAVLT_Delayed!M465</f>
        <v>-0.10295334425500401</v>
      </c>
      <c r="M465">
        <f>RAVLT_Delayed!N465</f>
        <v>45.9</v>
      </c>
      <c r="O465">
        <f>ABS(L465-RAVLT_Delayed!$C$34)</f>
        <v>1.4250946364776889</v>
      </c>
      <c r="P465">
        <f t="shared" si="8"/>
        <v>45.9</v>
      </c>
    </row>
    <row r="466" spans="10:16">
      <c r="J466" s="5"/>
      <c r="L466">
        <f>RAVLT_Delayed!M466</f>
        <v>-0.10043372051147</v>
      </c>
      <c r="M466">
        <f>RAVLT_Delayed!N466</f>
        <v>46</v>
      </c>
      <c r="O466">
        <f>ABS(L466-RAVLT_Delayed!$C$34)</f>
        <v>1.4276142602212227</v>
      </c>
      <c r="P466">
        <f t="shared" si="8"/>
        <v>46</v>
      </c>
    </row>
    <row r="467" spans="10:16">
      <c r="J467" s="5"/>
      <c r="L467">
        <f>RAVLT_Delayed!M467</f>
        <v>-9.7914734211499294E-2</v>
      </c>
      <c r="M467">
        <f>RAVLT_Delayed!N467</f>
        <v>46.1</v>
      </c>
      <c r="O467">
        <f>ABS(L467-RAVLT_Delayed!$C$34)</f>
        <v>1.4301332465211936</v>
      </c>
      <c r="P467">
        <f t="shared" si="8"/>
        <v>46.1</v>
      </c>
    </row>
    <row r="468" spans="10:16">
      <c r="J468" s="5"/>
      <c r="L468">
        <f>RAVLT_Delayed!M468</f>
        <v>-9.5396369056891903E-2</v>
      </c>
      <c r="M468">
        <f>RAVLT_Delayed!N468</f>
        <v>46.2</v>
      </c>
      <c r="O468">
        <f>ABS(L468-RAVLT_Delayed!$C$34)</f>
        <v>1.4326516116758008</v>
      </c>
      <c r="P468">
        <f t="shared" si="8"/>
        <v>46.2</v>
      </c>
    </row>
    <row r="469" spans="10:16">
      <c r="J469" s="5"/>
      <c r="L469">
        <f>RAVLT_Delayed!M469</f>
        <v>-9.28786087772564E-2</v>
      </c>
      <c r="M469">
        <f>RAVLT_Delayed!N469</f>
        <v>46.3</v>
      </c>
      <c r="O469">
        <f>ABS(L469-RAVLT_Delayed!$C$34)</f>
        <v>1.4351693719554364</v>
      </c>
      <c r="P469">
        <f t="shared" si="8"/>
        <v>46.3</v>
      </c>
    </row>
    <row r="470" spans="10:16">
      <c r="J470" s="5"/>
      <c r="L470">
        <f>RAVLT_Delayed!M470</f>
        <v>-9.0361437129258607E-2</v>
      </c>
      <c r="M470">
        <f>RAVLT_Delayed!N470</f>
        <v>46.4</v>
      </c>
      <c r="O470">
        <f>ABS(L470-RAVLT_Delayed!$C$34)</f>
        <v>1.4376865436034341</v>
      </c>
      <c r="P470">
        <f t="shared" si="8"/>
        <v>46.4</v>
      </c>
    </row>
    <row r="471" spans="10:16">
      <c r="J471" s="5"/>
      <c r="L471">
        <f>RAVLT_Delayed!M471</f>
        <v>-8.7844837895871705E-2</v>
      </c>
      <c r="M471">
        <f>RAVLT_Delayed!N471</f>
        <v>46.5</v>
      </c>
      <c r="O471">
        <f>ABS(L471-RAVLT_Delayed!$C$34)</f>
        <v>1.4402031428368212</v>
      </c>
      <c r="P471">
        <f t="shared" si="8"/>
        <v>46.5</v>
      </c>
    </row>
    <row r="472" spans="10:16">
      <c r="J472" s="5"/>
      <c r="L472">
        <f>RAVLT_Delayed!M472</f>
        <v>-8.5328794885629E-2</v>
      </c>
      <c r="M472">
        <f>RAVLT_Delayed!N472</f>
        <v>46.6</v>
      </c>
      <c r="O472">
        <f>ABS(L472-RAVLT_Delayed!$C$34)</f>
        <v>1.4427191858470638</v>
      </c>
      <c r="P472">
        <f t="shared" si="8"/>
        <v>46.6</v>
      </c>
    </row>
    <row r="473" spans="10:16">
      <c r="J473" s="5"/>
      <c r="L473">
        <f>RAVLT_Delayed!M473</f>
        <v>-8.2813291931881194E-2</v>
      </c>
      <c r="M473">
        <f>RAVLT_Delayed!N473</f>
        <v>46.7</v>
      </c>
      <c r="O473">
        <f>ABS(L473-RAVLT_Delayed!$C$34)</f>
        <v>1.4452346888008116</v>
      </c>
      <c r="P473">
        <f t="shared" si="8"/>
        <v>46.7</v>
      </c>
    </row>
    <row r="474" spans="10:16">
      <c r="J474" s="5"/>
      <c r="L474">
        <f>RAVLT_Delayed!M474</f>
        <v>-8.0298312892054899E-2</v>
      </c>
      <c r="M474">
        <f>RAVLT_Delayed!N474</f>
        <v>46.8</v>
      </c>
      <c r="O474">
        <f>ABS(L474-RAVLT_Delayed!$C$34)</f>
        <v>1.4477496678406379</v>
      </c>
      <c r="P474">
        <f t="shared" si="8"/>
        <v>46.8</v>
      </c>
    </row>
    <row r="475" spans="10:16">
      <c r="J475" s="5"/>
      <c r="L475">
        <f>RAVLT_Delayed!M475</f>
        <v>-7.7783841646915097E-2</v>
      </c>
      <c r="M475">
        <f>RAVLT_Delayed!N475</f>
        <v>46.9</v>
      </c>
      <c r="O475">
        <f>ABS(L475-RAVLT_Delayed!$C$34)</f>
        <v>1.4502641390857778</v>
      </c>
      <c r="P475">
        <f t="shared" si="8"/>
        <v>46.9</v>
      </c>
    </row>
    <row r="476" spans="10:16">
      <c r="J476" s="5"/>
      <c r="L476">
        <f>RAVLT_Delayed!M476</f>
        <v>-7.5269862099829804E-2</v>
      </c>
      <c r="M476">
        <f>RAVLT_Delayed!N476</f>
        <v>47</v>
      </c>
      <c r="O476">
        <f>ABS(L476-RAVLT_Delayed!$C$34)</f>
        <v>1.452778118632863</v>
      </c>
      <c r="P476">
        <f t="shared" si="8"/>
        <v>47</v>
      </c>
    </row>
    <row r="477" spans="10:16">
      <c r="J477" s="5"/>
      <c r="L477">
        <f>RAVLT_Delayed!M477</f>
        <v>-7.2756358176037303E-2</v>
      </c>
      <c r="M477">
        <f>RAVLT_Delayed!N477</f>
        <v>47.1</v>
      </c>
      <c r="O477">
        <f>ABS(L477-RAVLT_Delayed!$C$34)</f>
        <v>1.4552916225566555</v>
      </c>
      <c r="P477">
        <f t="shared" si="8"/>
        <v>47.1</v>
      </c>
    </row>
    <row r="478" spans="10:16">
      <c r="J478" s="5"/>
      <c r="L478">
        <f>RAVLT_Delayed!M478</f>
        <v>-7.0243313821916606E-2</v>
      </c>
      <c r="M478">
        <f>RAVLT_Delayed!N478</f>
        <v>47.2</v>
      </c>
      <c r="O478">
        <f>ABS(L478-RAVLT_Delayed!$C$34)</f>
        <v>1.4578046669107763</v>
      </c>
      <c r="P478">
        <f t="shared" si="8"/>
        <v>47.2</v>
      </c>
    </row>
    <row r="479" spans="10:16">
      <c r="J479" s="5"/>
      <c r="L479">
        <f>RAVLT_Delayed!M479</f>
        <v>-6.7730713004258994E-2</v>
      </c>
      <c r="M479">
        <f>RAVLT_Delayed!N479</f>
        <v>47.3</v>
      </c>
      <c r="O479">
        <f>ABS(L479-RAVLT_Delayed!$C$34)</f>
        <v>1.4603172677284337</v>
      </c>
      <c r="P479">
        <f t="shared" si="8"/>
        <v>47.3</v>
      </c>
    </row>
    <row r="480" spans="10:16">
      <c r="J480" s="5"/>
      <c r="L480">
        <f>RAVLT_Delayed!M480</f>
        <v>-6.5218539709543596E-2</v>
      </c>
      <c r="M480">
        <f>RAVLT_Delayed!N480</f>
        <v>47.4</v>
      </c>
      <c r="O480">
        <f>ABS(L480-RAVLT_Delayed!$C$34)</f>
        <v>1.4628294410231493</v>
      </c>
      <c r="P480">
        <f t="shared" si="8"/>
        <v>47.4</v>
      </c>
    </row>
    <row r="481" spans="10:16">
      <c r="J481" s="5"/>
      <c r="L481">
        <f>RAVLT_Delayed!M481</f>
        <v>-6.2706777943213707E-2</v>
      </c>
      <c r="M481">
        <f>RAVLT_Delayed!N481</f>
        <v>47.5</v>
      </c>
      <c r="O481">
        <f>ABS(L481-RAVLT_Delayed!$C$34)</f>
        <v>1.465341202789479</v>
      </c>
      <c r="P481">
        <f t="shared" si="8"/>
        <v>47.5</v>
      </c>
    </row>
    <row r="482" spans="10:16">
      <c r="J482" s="5"/>
      <c r="L482">
        <f>RAVLT_Delayed!M482</f>
        <v>-6.0195411728956497E-2</v>
      </c>
      <c r="M482">
        <f>RAVLT_Delayed!N482</f>
        <v>47.6</v>
      </c>
      <c r="O482">
        <f>ABS(L482-RAVLT_Delayed!$C$34)</f>
        <v>1.4678525690037363</v>
      </c>
      <c r="P482">
        <f t="shared" si="8"/>
        <v>47.6</v>
      </c>
    </row>
    <row r="483" spans="10:16">
      <c r="J483" s="5"/>
      <c r="L483">
        <f>RAVLT_Delayed!M483</f>
        <v>-5.7684425107984001E-2</v>
      </c>
      <c r="M483">
        <f>RAVLT_Delayed!N483</f>
        <v>47.7</v>
      </c>
      <c r="O483">
        <f>ABS(L483-RAVLT_Delayed!$C$34)</f>
        <v>1.4703635556247088</v>
      </c>
      <c r="P483">
        <f t="shared" si="8"/>
        <v>47.7</v>
      </c>
    </row>
    <row r="484" spans="10:16">
      <c r="J484" s="5"/>
      <c r="L484">
        <f>RAVLT_Delayed!M484</f>
        <v>-5.5173802138316699E-2</v>
      </c>
      <c r="M484">
        <f>RAVLT_Delayed!N484</f>
        <v>47.8</v>
      </c>
      <c r="O484">
        <f>ABS(L484-RAVLT_Delayed!$C$34)</f>
        <v>1.472874178594376</v>
      </c>
      <c r="P484">
        <f t="shared" si="8"/>
        <v>47.8</v>
      </c>
    </row>
    <row r="485" spans="10:16">
      <c r="J485" s="5"/>
      <c r="L485">
        <f>RAVLT_Delayed!M485</f>
        <v>-5.2663526894068301E-2</v>
      </c>
      <c r="M485">
        <f>RAVLT_Delayed!N485</f>
        <v>47.9</v>
      </c>
      <c r="O485">
        <f>ABS(L485-RAVLT_Delayed!$C$34)</f>
        <v>1.4753844538386245</v>
      </c>
      <c r="P485">
        <f t="shared" si="8"/>
        <v>47.9</v>
      </c>
    </row>
    <row r="486" spans="10:16">
      <c r="J486" s="5"/>
      <c r="L486">
        <f>RAVLT_Delayed!M486</f>
        <v>-5.0153583464733698E-2</v>
      </c>
      <c r="M486">
        <f>RAVLT_Delayed!N486</f>
        <v>48</v>
      </c>
      <c r="O486">
        <f>ABS(L486-RAVLT_Delayed!$C$34)</f>
        <v>1.477894397267959</v>
      </c>
      <c r="P486">
        <f t="shared" si="8"/>
        <v>48</v>
      </c>
    </row>
    <row r="487" spans="10:16">
      <c r="J487" s="5"/>
      <c r="L487">
        <f>RAVLT_Delayed!M487</f>
        <v>-4.7643955954476597E-2</v>
      </c>
      <c r="M487">
        <f>RAVLT_Delayed!N487</f>
        <v>48.1</v>
      </c>
      <c r="O487">
        <f>ABS(L487-RAVLT_Delayed!$C$34)</f>
        <v>1.4804040247782162</v>
      </c>
      <c r="P487">
        <f t="shared" si="8"/>
        <v>48.1</v>
      </c>
    </row>
    <row r="488" spans="10:16">
      <c r="J488" s="5"/>
      <c r="L488">
        <f>RAVLT_Delayed!M488</f>
        <v>-4.5134628481421302E-2</v>
      </c>
      <c r="M488">
        <f>RAVLT_Delayed!N488</f>
        <v>48.2</v>
      </c>
      <c r="O488">
        <f>ABS(L488-RAVLT_Delayed!$C$34)</f>
        <v>1.4829133522512714</v>
      </c>
      <c r="P488">
        <f t="shared" si="8"/>
        <v>48.2</v>
      </c>
    </row>
    <row r="489" spans="10:16">
      <c r="J489" s="5"/>
      <c r="L489">
        <f>RAVLT_Delayed!M489</f>
        <v>-4.2625585176944397E-2</v>
      </c>
      <c r="M489">
        <f>RAVLT_Delayed!N489</f>
        <v>48.3</v>
      </c>
      <c r="O489">
        <f>ABS(L489-RAVLT_Delayed!$C$34)</f>
        <v>1.4854223955557484</v>
      </c>
      <c r="P489">
        <f t="shared" si="8"/>
        <v>48.3</v>
      </c>
    </row>
    <row r="490" spans="10:16">
      <c r="J490" s="5"/>
      <c r="L490">
        <f>RAVLT_Delayed!M490</f>
        <v>-4.0116810184968099E-2</v>
      </c>
      <c r="M490">
        <f>RAVLT_Delayed!N490</f>
        <v>48.4</v>
      </c>
      <c r="O490">
        <f>ABS(L490-RAVLT_Delayed!$C$34)</f>
        <v>1.4879311705477247</v>
      </c>
      <c r="P490">
        <f t="shared" si="8"/>
        <v>48.4</v>
      </c>
    </row>
    <row r="491" spans="10:16">
      <c r="J491" s="5"/>
      <c r="L491">
        <f>RAVLT_Delayed!M491</f>
        <v>-3.7608287661255901E-2</v>
      </c>
      <c r="M491">
        <f>RAVLT_Delayed!N491</f>
        <v>48.5</v>
      </c>
      <c r="O491">
        <f>ABS(L491-RAVLT_Delayed!$C$34)</f>
        <v>1.490439693071437</v>
      </c>
      <c r="P491">
        <f t="shared" si="8"/>
        <v>48.5</v>
      </c>
    </row>
    <row r="492" spans="10:16">
      <c r="J492" s="5"/>
      <c r="L492">
        <f>RAVLT_Delayed!M492</f>
        <v>-3.5100001772708798E-2</v>
      </c>
      <c r="M492">
        <f>RAVLT_Delayed!N492</f>
        <v>48.6</v>
      </c>
      <c r="O492">
        <f>ABS(L492-RAVLT_Delayed!$C$34)</f>
        <v>1.492947978959984</v>
      </c>
      <c r="P492">
        <f t="shared" si="8"/>
        <v>48.6</v>
      </c>
    </row>
    <row r="493" spans="10:16">
      <c r="J493" s="5"/>
      <c r="L493">
        <f>RAVLT_Delayed!M493</f>
        <v>-3.2591936696663097E-2</v>
      </c>
      <c r="M493">
        <f>RAVLT_Delayed!N493</f>
        <v>48.7</v>
      </c>
      <c r="O493">
        <f>ABS(L493-RAVLT_Delayed!$C$34)</f>
        <v>1.4954560440360296</v>
      </c>
      <c r="P493">
        <f t="shared" si="8"/>
        <v>48.7</v>
      </c>
    </row>
    <row r="494" spans="10:16">
      <c r="J494" s="5"/>
      <c r="L494">
        <f>RAVLT_Delayed!M494</f>
        <v>-3.0084076620189099E-2</v>
      </c>
      <c r="M494">
        <f>RAVLT_Delayed!N494</f>
        <v>48.8</v>
      </c>
      <c r="O494">
        <f>ABS(L494-RAVLT_Delayed!$C$34)</f>
        <v>1.4979639041125037</v>
      </c>
      <c r="P494">
        <f t="shared" si="8"/>
        <v>48.8</v>
      </c>
    </row>
    <row r="495" spans="10:16">
      <c r="J495" s="5"/>
      <c r="L495">
        <f>RAVLT_Delayed!M495</f>
        <v>-2.7576405739391699E-2</v>
      </c>
      <c r="M495">
        <f>RAVLT_Delayed!N495</f>
        <v>48.9</v>
      </c>
      <c r="O495">
        <f>ABS(L495-RAVLT_Delayed!$C$34)</f>
        <v>1.5004715749933011</v>
      </c>
      <c r="P495">
        <f t="shared" si="8"/>
        <v>48.9</v>
      </c>
    </row>
    <row r="496" spans="10:16">
      <c r="J496" s="5"/>
      <c r="L496">
        <f>RAVLT_Delayed!M496</f>
        <v>-2.5068908258711099E-2</v>
      </c>
      <c r="M496">
        <f>RAVLT_Delayed!N496</f>
        <v>49</v>
      </c>
      <c r="O496">
        <f>ABS(L496-RAVLT_Delayed!$C$34)</f>
        <v>1.5029790724739818</v>
      </c>
      <c r="P496">
        <f t="shared" si="8"/>
        <v>49</v>
      </c>
    </row>
    <row r="497" spans="10:16">
      <c r="J497" s="5"/>
      <c r="L497">
        <f>RAVLT_Delayed!M497</f>
        <v>-2.25615683902247E-2</v>
      </c>
      <c r="M497">
        <f>RAVLT_Delayed!N497</f>
        <v>49.1</v>
      </c>
      <c r="O497">
        <f>ABS(L497-RAVLT_Delayed!$C$34)</f>
        <v>1.505486412342468</v>
      </c>
      <c r="P497">
        <f t="shared" si="8"/>
        <v>49.1</v>
      </c>
    </row>
    <row r="498" spans="10:16">
      <c r="J498" s="5"/>
      <c r="L498">
        <f>RAVLT_Delayed!M498</f>
        <v>-2.0054370352950601E-2</v>
      </c>
      <c r="M498">
        <f>RAVLT_Delayed!N498</f>
        <v>49.2</v>
      </c>
      <c r="O498">
        <f>ABS(L498-RAVLT_Delayed!$C$34)</f>
        <v>1.5079936103797422</v>
      </c>
      <c r="P498">
        <f t="shared" si="8"/>
        <v>49.2</v>
      </c>
    </row>
    <row r="499" spans="10:16">
      <c r="J499" s="5"/>
      <c r="L499">
        <f>RAVLT_Delayed!M499</f>
        <v>-1.7547298372150799E-2</v>
      </c>
      <c r="M499">
        <f>RAVLT_Delayed!N499</f>
        <v>49.3</v>
      </c>
      <c r="O499">
        <f>ABS(L499-RAVLT_Delayed!$C$34)</f>
        <v>1.510500682360542</v>
      </c>
      <c r="P499">
        <f t="shared" si="8"/>
        <v>49.3</v>
      </c>
    </row>
    <row r="500" spans="10:16">
      <c r="J500" s="5"/>
      <c r="L500">
        <f>RAVLT_Delayed!M500</f>
        <v>-1.5040336678635699E-2</v>
      </c>
      <c r="M500">
        <f>RAVLT_Delayed!N500</f>
        <v>49.4</v>
      </c>
      <c r="O500">
        <f>ABS(L500-RAVLT_Delayed!$C$34)</f>
        <v>1.513007644054057</v>
      </c>
      <c r="P500">
        <f t="shared" si="8"/>
        <v>49.4</v>
      </c>
    </row>
    <row r="501" spans="10:16">
      <c r="J501" s="5"/>
      <c r="L501">
        <f>RAVLT_Delayed!M501</f>
        <v>-1.25334695080693E-2</v>
      </c>
      <c r="M501">
        <f>RAVLT_Delayed!N501</f>
        <v>49.5</v>
      </c>
      <c r="O501">
        <f>ABS(L501-RAVLT_Delayed!$C$34)</f>
        <v>1.5155145112246236</v>
      </c>
      <c r="P501">
        <f t="shared" si="8"/>
        <v>49.5</v>
      </c>
    </row>
    <row r="502" spans="10:16">
      <c r="J502" s="5"/>
      <c r="L502">
        <f>RAVLT_Delayed!M502</f>
        <v>-1.00266811002748E-2</v>
      </c>
      <c r="M502">
        <f>RAVLT_Delayed!N502</f>
        <v>49.6</v>
      </c>
      <c r="O502">
        <f>ABS(L502-RAVLT_Delayed!$C$34)</f>
        <v>1.5180212996324181</v>
      </c>
      <c r="P502">
        <f t="shared" si="8"/>
        <v>49.6</v>
      </c>
    </row>
    <row r="503" spans="10:16">
      <c r="J503" s="5"/>
      <c r="L503">
        <f>RAVLT_Delayed!M503</f>
        <v>-7.5199556985405197E-3</v>
      </c>
      <c r="M503">
        <f>RAVLT_Delayed!N503</f>
        <v>49.7</v>
      </c>
      <c r="O503">
        <f>ABS(L503-RAVLT_Delayed!$C$34)</f>
        <v>1.5205280250341522</v>
      </c>
      <c r="P503">
        <f t="shared" si="8"/>
        <v>49.7</v>
      </c>
    </row>
    <row r="504" spans="10:16">
      <c r="J504" s="5"/>
      <c r="L504">
        <f>RAVLT_Delayed!M504</f>
        <v>-5.0132775489266602E-3</v>
      </c>
      <c r="M504">
        <f>RAVLT_Delayed!N504</f>
        <v>49.8</v>
      </c>
      <c r="O504">
        <f>ABS(L504-RAVLT_Delayed!$C$34)</f>
        <v>1.5230347031837661</v>
      </c>
      <c r="P504">
        <f t="shared" si="8"/>
        <v>49.8</v>
      </c>
    </row>
    <row r="505" spans="10:16">
      <c r="J505" s="5"/>
      <c r="L505">
        <f>RAVLT_Delayed!M505</f>
        <v>-2.5066308995717701E-3</v>
      </c>
      <c r="M505">
        <f>RAVLT_Delayed!N505</f>
        <v>49.9</v>
      </c>
      <c r="O505">
        <f>ABS(L505-RAVLT_Delayed!$C$34)</f>
        <v>1.525541349833121</v>
      </c>
      <c r="P505">
        <f t="shared" si="8"/>
        <v>49.9</v>
      </c>
    </row>
    <row r="506" spans="10:16">
      <c r="J506" s="5"/>
      <c r="L506">
        <f>RAVLT_Delayed!M506</f>
        <v>0</v>
      </c>
      <c r="M506">
        <f>RAVLT_Delayed!N506</f>
        <v>50</v>
      </c>
      <c r="O506">
        <f>ABS(L506-RAVLT_Delayed!$C$34)</f>
        <v>1.5280479807326928</v>
      </c>
      <c r="P506">
        <f t="shared" si="8"/>
        <v>50</v>
      </c>
    </row>
    <row r="507" spans="10:16">
      <c r="J507" s="5"/>
      <c r="L507">
        <f>RAVLT_Delayed!M507</f>
        <v>2.5066308995717701E-3</v>
      </c>
      <c r="M507">
        <f>RAVLT_Delayed!N507</f>
        <v>50.1</v>
      </c>
      <c r="O507">
        <f>ABS(L507-RAVLT_Delayed!$C$34)</f>
        <v>1.5305546116322646</v>
      </c>
      <c r="P507">
        <f t="shared" si="8"/>
        <v>50.1</v>
      </c>
    </row>
    <row r="508" spans="10:16">
      <c r="J508" s="5"/>
      <c r="L508">
        <f>RAVLT_Delayed!M508</f>
        <v>5.0132775489266602E-3</v>
      </c>
      <c r="M508">
        <f>RAVLT_Delayed!N508</f>
        <v>50.2</v>
      </c>
      <c r="O508">
        <f>ABS(L508-RAVLT_Delayed!$C$34)</f>
        <v>1.5330612582816194</v>
      </c>
      <c r="P508">
        <f t="shared" si="8"/>
        <v>50.2</v>
      </c>
    </row>
    <row r="509" spans="10:16">
      <c r="J509" s="5"/>
      <c r="L509">
        <f>RAVLT_Delayed!M509</f>
        <v>7.5199556985405197E-3</v>
      </c>
      <c r="M509">
        <f>RAVLT_Delayed!N509</f>
        <v>50.3</v>
      </c>
      <c r="O509">
        <f>ABS(L509-RAVLT_Delayed!$C$34)</f>
        <v>1.5355679364312333</v>
      </c>
      <c r="P509">
        <f t="shared" si="8"/>
        <v>50.3</v>
      </c>
    </row>
    <row r="510" spans="10:16">
      <c r="J510" s="5"/>
      <c r="L510">
        <f>RAVLT_Delayed!M510</f>
        <v>1.00266811002748E-2</v>
      </c>
      <c r="M510">
        <f>RAVLT_Delayed!N510</f>
        <v>50.4</v>
      </c>
      <c r="O510">
        <f>ABS(L510-RAVLT_Delayed!$C$34)</f>
        <v>1.5380746618329675</v>
      </c>
      <c r="P510">
        <f t="shared" si="8"/>
        <v>50.4</v>
      </c>
    </row>
    <row r="511" spans="10:16">
      <c r="J511" s="5"/>
      <c r="L511">
        <f>RAVLT_Delayed!M511</f>
        <v>1.25334695080693E-2</v>
      </c>
      <c r="M511">
        <f>RAVLT_Delayed!N511</f>
        <v>50.5</v>
      </c>
      <c r="O511">
        <f>ABS(L511-RAVLT_Delayed!$C$34)</f>
        <v>1.540581450240762</v>
      </c>
      <c r="P511">
        <f t="shared" si="8"/>
        <v>50.5</v>
      </c>
    </row>
    <row r="512" spans="10:16">
      <c r="J512" s="5"/>
      <c r="L512">
        <f>RAVLT_Delayed!M512</f>
        <v>1.5040336678635699E-2</v>
      </c>
      <c r="M512">
        <f>RAVLT_Delayed!N512</f>
        <v>50.6</v>
      </c>
      <c r="O512">
        <f>ABS(L512-RAVLT_Delayed!$C$34)</f>
        <v>1.5430883174113286</v>
      </c>
      <c r="P512">
        <f t="shared" si="8"/>
        <v>50.6</v>
      </c>
    </row>
    <row r="513" spans="10:16">
      <c r="J513" s="5"/>
      <c r="L513">
        <f>RAVLT_Delayed!M513</f>
        <v>1.7547298372150799E-2</v>
      </c>
      <c r="M513">
        <f>RAVLT_Delayed!N513</f>
        <v>50.7</v>
      </c>
      <c r="O513">
        <f>ABS(L513-RAVLT_Delayed!$C$34)</f>
        <v>1.5455952791048435</v>
      </c>
      <c r="P513">
        <f t="shared" si="8"/>
        <v>50.7</v>
      </c>
    </row>
    <row r="514" spans="10:16">
      <c r="J514" s="5"/>
      <c r="L514">
        <f>RAVLT_Delayed!M514</f>
        <v>2.0054370352950601E-2</v>
      </c>
      <c r="M514">
        <f>RAVLT_Delayed!N514</f>
        <v>50.8</v>
      </c>
      <c r="O514">
        <f>ABS(L514-RAVLT_Delayed!$C$34)</f>
        <v>1.5481023510856433</v>
      </c>
      <c r="P514">
        <f t="shared" si="8"/>
        <v>50.8</v>
      </c>
    </row>
    <row r="515" spans="10:16">
      <c r="J515" s="5"/>
      <c r="L515">
        <f>RAVLT_Delayed!M515</f>
        <v>2.25615683902247E-2</v>
      </c>
      <c r="M515">
        <f>RAVLT_Delayed!N515</f>
        <v>50.9</v>
      </c>
      <c r="O515">
        <f>ABS(L515-RAVLT_Delayed!$C$34)</f>
        <v>1.5506095491229175</v>
      </c>
      <c r="P515">
        <f t="shared" si="8"/>
        <v>50.9</v>
      </c>
    </row>
    <row r="516" spans="10:16">
      <c r="J516" s="5"/>
      <c r="L516">
        <f>RAVLT_Delayed!M516</f>
        <v>2.5068908258711099E-2</v>
      </c>
      <c r="M516">
        <f>RAVLT_Delayed!N516</f>
        <v>51</v>
      </c>
      <c r="O516">
        <f>ABS(L516-RAVLT_Delayed!$C$34)</f>
        <v>1.5531168889914038</v>
      </c>
      <c r="P516">
        <f t="shared" si="8"/>
        <v>51</v>
      </c>
    </row>
    <row r="517" spans="10:16">
      <c r="J517" s="5"/>
      <c r="L517">
        <f>RAVLT_Delayed!M517</f>
        <v>2.7576405739391699E-2</v>
      </c>
      <c r="M517">
        <f>RAVLT_Delayed!N517</f>
        <v>51.1</v>
      </c>
      <c r="O517">
        <f>ABS(L517-RAVLT_Delayed!$C$34)</f>
        <v>1.5556243864720845</v>
      </c>
      <c r="P517">
        <f t="shared" si="8"/>
        <v>51.1</v>
      </c>
    </row>
    <row r="518" spans="10:16">
      <c r="J518" s="5"/>
      <c r="L518">
        <f>RAVLT_Delayed!M518</f>
        <v>3.0084076620189099E-2</v>
      </c>
      <c r="M518">
        <f>RAVLT_Delayed!N518</f>
        <v>51.2</v>
      </c>
      <c r="O518">
        <f>ABS(L518-RAVLT_Delayed!$C$34)</f>
        <v>1.5581320573528818</v>
      </c>
      <c r="P518">
        <f t="shared" si="8"/>
        <v>51.2</v>
      </c>
    </row>
    <row r="519" spans="10:16">
      <c r="J519" s="5"/>
      <c r="L519">
        <f>RAVLT_Delayed!M519</f>
        <v>3.2591936696663097E-2</v>
      </c>
      <c r="M519">
        <f>RAVLT_Delayed!N519</f>
        <v>51.3</v>
      </c>
      <c r="O519">
        <f>ABS(L519-RAVLT_Delayed!$C$34)</f>
        <v>1.5606399174293559</v>
      </c>
      <c r="P519">
        <f t="shared" ref="P519:P582" si="9">M519</f>
        <v>51.3</v>
      </c>
    </row>
    <row r="520" spans="10:16">
      <c r="J520" s="5"/>
      <c r="L520">
        <f>RAVLT_Delayed!M520</f>
        <v>3.5100001772708798E-2</v>
      </c>
      <c r="M520">
        <f>RAVLT_Delayed!N520</f>
        <v>51.4</v>
      </c>
      <c r="O520">
        <f>ABS(L520-RAVLT_Delayed!$C$34)</f>
        <v>1.5631479825054015</v>
      </c>
      <c r="P520">
        <f t="shared" si="9"/>
        <v>51.4</v>
      </c>
    </row>
    <row r="521" spans="10:16">
      <c r="J521" s="5"/>
      <c r="L521">
        <f>RAVLT_Delayed!M521</f>
        <v>3.7608287661255901E-2</v>
      </c>
      <c r="M521">
        <f>RAVLT_Delayed!N521</f>
        <v>51.5</v>
      </c>
      <c r="O521">
        <f>ABS(L521-RAVLT_Delayed!$C$34)</f>
        <v>1.5656562683939486</v>
      </c>
      <c r="P521">
        <f t="shared" si="9"/>
        <v>51.5</v>
      </c>
    </row>
    <row r="522" spans="10:16">
      <c r="J522" s="5"/>
      <c r="L522">
        <f>RAVLT_Delayed!M522</f>
        <v>4.0116810184968099E-2</v>
      </c>
      <c r="M522">
        <f>RAVLT_Delayed!N522</f>
        <v>51.6</v>
      </c>
      <c r="O522">
        <f>ABS(L522-RAVLT_Delayed!$C$34)</f>
        <v>1.5681647909176608</v>
      </c>
      <c r="P522">
        <f t="shared" si="9"/>
        <v>51.6</v>
      </c>
    </row>
    <row r="523" spans="10:16">
      <c r="J523" s="5"/>
      <c r="L523">
        <f>RAVLT_Delayed!M523</f>
        <v>4.2625585176944397E-2</v>
      </c>
      <c r="M523">
        <f>RAVLT_Delayed!N523</f>
        <v>51.7</v>
      </c>
      <c r="O523">
        <f>ABS(L523-RAVLT_Delayed!$C$34)</f>
        <v>1.5706735659096371</v>
      </c>
      <c r="P523">
        <f t="shared" si="9"/>
        <v>51.7</v>
      </c>
    </row>
    <row r="524" spans="10:16">
      <c r="J524" s="5"/>
      <c r="L524">
        <f>RAVLT_Delayed!M524</f>
        <v>4.5134628481421302E-2</v>
      </c>
      <c r="M524">
        <f>RAVLT_Delayed!N524</f>
        <v>51.8</v>
      </c>
      <c r="O524">
        <f>ABS(L524-RAVLT_Delayed!$C$34)</f>
        <v>1.5731826092141141</v>
      </c>
      <c r="P524">
        <f t="shared" si="9"/>
        <v>51.8</v>
      </c>
    </row>
    <row r="525" spans="10:16">
      <c r="J525" s="5"/>
      <c r="L525">
        <f>RAVLT_Delayed!M525</f>
        <v>4.7643955954476597E-2</v>
      </c>
      <c r="M525">
        <f>RAVLT_Delayed!N525</f>
        <v>51.9</v>
      </c>
      <c r="O525">
        <f>ABS(L525-RAVLT_Delayed!$C$34)</f>
        <v>1.5756919366871693</v>
      </c>
      <c r="P525">
        <f t="shared" si="9"/>
        <v>51.9</v>
      </c>
    </row>
    <row r="526" spans="10:16">
      <c r="J526" s="5"/>
      <c r="L526">
        <f>RAVLT_Delayed!M526</f>
        <v>5.0153583464733698E-2</v>
      </c>
      <c r="M526">
        <f>RAVLT_Delayed!N526</f>
        <v>52</v>
      </c>
      <c r="O526">
        <f>ABS(L526-RAVLT_Delayed!$C$34)</f>
        <v>1.5782015641974265</v>
      </c>
      <c r="P526">
        <f t="shared" si="9"/>
        <v>52</v>
      </c>
    </row>
    <row r="527" spans="10:16">
      <c r="J527" s="5"/>
      <c r="L527">
        <f>RAVLT_Delayed!M527</f>
        <v>5.2663526894068502E-2</v>
      </c>
      <c r="M527">
        <f>RAVLT_Delayed!N527</f>
        <v>52.1</v>
      </c>
      <c r="O527">
        <f>ABS(L527-RAVLT_Delayed!$C$34)</f>
        <v>1.5807115076267613</v>
      </c>
      <c r="P527">
        <f t="shared" si="9"/>
        <v>52.1</v>
      </c>
    </row>
    <row r="528" spans="10:16">
      <c r="J528" s="5"/>
      <c r="L528">
        <f>RAVLT_Delayed!M528</f>
        <v>5.5173802138316803E-2</v>
      </c>
      <c r="M528">
        <f>RAVLT_Delayed!N528</f>
        <v>52.2</v>
      </c>
      <c r="O528">
        <f>ABS(L528-RAVLT_Delayed!$C$34)</f>
        <v>1.5832217828710096</v>
      </c>
      <c r="P528">
        <f t="shared" si="9"/>
        <v>52.2</v>
      </c>
    </row>
    <row r="529" spans="10:16">
      <c r="J529" s="5"/>
      <c r="L529">
        <f>RAVLT_Delayed!M529</f>
        <v>5.7684425107984202E-2</v>
      </c>
      <c r="M529">
        <f>RAVLT_Delayed!N529</f>
        <v>52.3</v>
      </c>
      <c r="O529">
        <f>ABS(L529-RAVLT_Delayed!$C$34)</f>
        <v>1.585732405840677</v>
      </c>
      <c r="P529">
        <f t="shared" si="9"/>
        <v>52.3</v>
      </c>
    </row>
    <row r="530" spans="10:16">
      <c r="J530" s="5"/>
      <c r="L530">
        <f>RAVLT_Delayed!M530</f>
        <v>6.0195411728956601E-2</v>
      </c>
      <c r="M530">
        <f>RAVLT_Delayed!N530</f>
        <v>52.4</v>
      </c>
      <c r="O530">
        <f>ABS(L530-RAVLT_Delayed!$C$34)</f>
        <v>1.5882433924616495</v>
      </c>
      <c r="P530">
        <f t="shared" si="9"/>
        <v>52.4</v>
      </c>
    </row>
    <row r="531" spans="10:16">
      <c r="J531" s="5"/>
      <c r="L531">
        <f>RAVLT_Delayed!M531</f>
        <v>6.2706777943213804E-2</v>
      </c>
      <c r="M531">
        <f>RAVLT_Delayed!N531</f>
        <v>52.5</v>
      </c>
      <c r="O531">
        <f>ABS(L531-RAVLT_Delayed!$C$34)</f>
        <v>1.5907547586759065</v>
      </c>
      <c r="P531">
        <f t="shared" si="9"/>
        <v>52.5</v>
      </c>
    </row>
    <row r="532" spans="10:16">
      <c r="J532" s="5"/>
      <c r="L532">
        <f>RAVLT_Delayed!M532</f>
        <v>6.5218539709543694E-2</v>
      </c>
      <c r="M532">
        <f>RAVLT_Delayed!N532</f>
        <v>52.6</v>
      </c>
      <c r="O532">
        <f>ABS(L532-RAVLT_Delayed!$C$34)</f>
        <v>1.5932665204422365</v>
      </c>
      <c r="P532">
        <f t="shared" si="9"/>
        <v>52.6</v>
      </c>
    </row>
    <row r="533" spans="10:16">
      <c r="J533" s="5"/>
      <c r="L533">
        <f>RAVLT_Delayed!M533</f>
        <v>6.7730713004259202E-2</v>
      </c>
      <c r="M533">
        <f>RAVLT_Delayed!N533</f>
        <v>52.7</v>
      </c>
      <c r="O533">
        <f>ABS(L533-RAVLT_Delayed!$C$34)</f>
        <v>1.595778693736952</v>
      </c>
      <c r="P533">
        <f t="shared" si="9"/>
        <v>52.7</v>
      </c>
    </row>
    <row r="534" spans="10:16">
      <c r="J534" s="5"/>
      <c r="L534">
        <f>RAVLT_Delayed!M534</f>
        <v>7.0243313821916703E-2</v>
      </c>
      <c r="M534">
        <f>RAVLT_Delayed!N534</f>
        <v>52.8</v>
      </c>
      <c r="O534">
        <f>ABS(L534-RAVLT_Delayed!$C$34)</f>
        <v>1.5982912945546095</v>
      </c>
      <c r="P534">
        <f t="shared" si="9"/>
        <v>52.8</v>
      </c>
    </row>
    <row r="535" spans="10:16">
      <c r="J535" s="5"/>
      <c r="L535">
        <f>RAVLT_Delayed!M535</f>
        <v>7.2756358176037497E-2</v>
      </c>
      <c r="M535">
        <f>RAVLT_Delayed!N535</f>
        <v>52.9</v>
      </c>
      <c r="O535">
        <f>ABS(L535-RAVLT_Delayed!$C$34)</f>
        <v>1.6008043389087303</v>
      </c>
      <c r="P535">
        <f t="shared" si="9"/>
        <v>52.9</v>
      </c>
    </row>
    <row r="536" spans="10:16">
      <c r="J536" s="5"/>
      <c r="L536">
        <f>RAVLT_Delayed!M536</f>
        <v>7.5269862099829901E-2</v>
      </c>
      <c r="M536">
        <f>RAVLT_Delayed!N536</f>
        <v>53</v>
      </c>
      <c r="O536">
        <f>ABS(L536-RAVLT_Delayed!$C$34)</f>
        <v>1.6033178428325228</v>
      </c>
      <c r="P536">
        <f t="shared" si="9"/>
        <v>53</v>
      </c>
    </row>
    <row r="537" spans="10:16">
      <c r="J537" s="5"/>
      <c r="L537">
        <f>RAVLT_Delayed!M537</f>
        <v>7.7783841646915194E-2</v>
      </c>
      <c r="M537">
        <f>RAVLT_Delayed!N537</f>
        <v>53.1</v>
      </c>
      <c r="O537">
        <f>ABS(L537-RAVLT_Delayed!$C$34)</f>
        <v>1.605831822379608</v>
      </c>
      <c r="P537">
        <f t="shared" si="9"/>
        <v>53.1</v>
      </c>
    </row>
    <row r="538" spans="10:16">
      <c r="J538" s="5"/>
      <c r="L538">
        <f>RAVLT_Delayed!M538</f>
        <v>8.0298312892054996E-2</v>
      </c>
      <c r="M538">
        <f>RAVLT_Delayed!N538</f>
        <v>53.2</v>
      </c>
      <c r="O538">
        <f>ABS(L538-RAVLT_Delayed!$C$34)</f>
        <v>1.6083462936247477</v>
      </c>
      <c r="P538">
        <f t="shared" si="9"/>
        <v>53.2</v>
      </c>
    </row>
    <row r="539" spans="10:16">
      <c r="J539" s="5"/>
      <c r="L539">
        <f>RAVLT_Delayed!M539</f>
        <v>8.2813291931881305E-2</v>
      </c>
      <c r="M539">
        <f>RAVLT_Delayed!N539</f>
        <v>53.3</v>
      </c>
      <c r="O539">
        <f>ABS(L539-RAVLT_Delayed!$C$34)</f>
        <v>1.6108612726645741</v>
      </c>
      <c r="P539">
        <f t="shared" si="9"/>
        <v>53.3</v>
      </c>
    </row>
    <row r="540" spans="10:16">
      <c r="J540" s="5"/>
      <c r="L540">
        <f>RAVLT_Delayed!M540</f>
        <v>8.5328794885629194E-2</v>
      </c>
      <c r="M540">
        <f>RAVLT_Delayed!N540</f>
        <v>53.4</v>
      </c>
      <c r="O540">
        <f>ABS(L540-RAVLT_Delayed!$C$34)</f>
        <v>1.6133767756183219</v>
      </c>
      <c r="P540">
        <f t="shared" si="9"/>
        <v>53.4</v>
      </c>
    </row>
    <row r="541" spans="10:16">
      <c r="J541" s="5"/>
      <c r="L541">
        <f>RAVLT_Delayed!M541</f>
        <v>8.7844837895871802E-2</v>
      </c>
      <c r="M541">
        <f>RAVLT_Delayed!N541</f>
        <v>53.5</v>
      </c>
      <c r="O541">
        <f>ABS(L541-RAVLT_Delayed!$C$34)</f>
        <v>1.6158928186285646</v>
      </c>
      <c r="P541">
        <f t="shared" si="9"/>
        <v>53.5</v>
      </c>
    </row>
    <row r="542" spans="10:16">
      <c r="J542" s="5"/>
      <c r="L542">
        <f>RAVLT_Delayed!M542</f>
        <v>9.0361437129258801E-2</v>
      </c>
      <c r="M542">
        <f>RAVLT_Delayed!N542</f>
        <v>53.6</v>
      </c>
      <c r="O542">
        <f>ABS(L542-RAVLT_Delayed!$C$34)</f>
        <v>1.6184094178619515</v>
      </c>
      <c r="P542">
        <f t="shared" si="9"/>
        <v>53.6</v>
      </c>
    </row>
    <row r="543" spans="10:16">
      <c r="J543" s="5"/>
      <c r="L543">
        <f>RAVLT_Delayed!M543</f>
        <v>9.2878608777256497E-2</v>
      </c>
      <c r="M543">
        <f>RAVLT_Delayed!N543</f>
        <v>53.7</v>
      </c>
      <c r="O543">
        <f>ABS(L543-RAVLT_Delayed!$C$34)</f>
        <v>1.6209265895099492</v>
      </c>
      <c r="P543">
        <f t="shared" si="9"/>
        <v>53.7</v>
      </c>
    </row>
    <row r="544" spans="10:16">
      <c r="J544" s="5"/>
      <c r="L544">
        <f>RAVLT_Delayed!M544</f>
        <v>9.5396369056892E-2</v>
      </c>
      <c r="M544">
        <f>RAVLT_Delayed!N544</f>
        <v>53.8</v>
      </c>
      <c r="O544">
        <f>ABS(L544-RAVLT_Delayed!$C$34)</f>
        <v>1.6234443497895847</v>
      </c>
      <c r="P544">
        <f t="shared" si="9"/>
        <v>53.8</v>
      </c>
    </row>
    <row r="545" spans="10:16">
      <c r="J545" s="5"/>
      <c r="L545">
        <f>RAVLT_Delayed!M545</f>
        <v>9.7914734211499502E-2</v>
      </c>
      <c r="M545">
        <f>RAVLT_Delayed!N545</f>
        <v>53.9</v>
      </c>
      <c r="O545">
        <f>ABS(L545-RAVLT_Delayed!$C$34)</f>
        <v>1.6259627149441922</v>
      </c>
      <c r="P545">
        <f t="shared" si="9"/>
        <v>53.9</v>
      </c>
    </row>
    <row r="546" spans="10:16">
      <c r="J546" s="5"/>
      <c r="L546">
        <f>RAVLT_Delayed!M546</f>
        <v>0.10043372051147</v>
      </c>
      <c r="M546">
        <f>RAVLT_Delayed!N546</f>
        <v>54</v>
      </c>
      <c r="O546">
        <f>ABS(L546-RAVLT_Delayed!$C$34)</f>
        <v>1.6284817012441628</v>
      </c>
      <c r="P546">
        <f t="shared" si="9"/>
        <v>54</v>
      </c>
    </row>
    <row r="547" spans="10:16">
      <c r="J547" s="5"/>
      <c r="L547">
        <f>RAVLT_Delayed!M547</f>
        <v>0.10295334425500401</v>
      </c>
      <c r="M547">
        <f>RAVLT_Delayed!N547</f>
        <v>54.1</v>
      </c>
      <c r="O547">
        <f>ABS(L547-RAVLT_Delayed!$C$34)</f>
        <v>1.6310013249876967</v>
      </c>
      <c r="P547">
        <f t="shared" si="9"/>
        <v>54.1</v>
      </c>
    </row>
    <row r="548" spans="10:16">
      <c r="J548" s="5"/>
      <c r="L548">
        <f>RAVLT_Delayed!M548</f>
        <v>0.105473621768868</v>
      </c>
      <c r="M548">
        <f>RAVLT_Delayed!N548</f>
        <v>54.2</v>
      </c>
      <c r="O548">
        <f>ABS(L548-RAVLT_Delayed!$C$34)</f>
        <v>1.6335216025015609</v>
      </c>
      <c r="P548">
        <f t="shared" si="9"/>
        <v>54.2</v>
      </c>
    </row>
    <row r="549" spans="10:16">
      <c r="J549" s="5"/>
      <c r="L549">
        <f>RAVLT_Delayed!M549</f>
        <v>0.107994569409154</v>
      </c>
      <c r="M549">
        <f>RAVLT_Delayed!N549</f>
        <v>54.3</v>
      </c>
      <c r="O549">
        <f>ABS(L549-RAVLT_Delayed!$C$34)</f>
        <v>1.6360425501418467</v>
      </c>
      <c r="P549">
        <f t="shared" si="9"/>
        <v>54.3</v>
      </c>
    </row>
    <row r="550" spans="10:16">
      <c r="J550" s="5"/>
      <c r="L550">
        <f>RAVLT_Delayed!M550</f>
        <v>0.110516203562042</v>
      </c>
      <c r="M550">
        <f>RAVLT_Delayed!N550</f>
        <v>54.4</v>
      </c>
      <c r="O550">
        <f>ABS(L550-RAVLT_Delayed!$C$34)</f>
        <v>1.6385641842947347</v>
      </c>
      <c r="P550">
        <f t="shared" si="9"/>
        <v>54.4</v>
      </c>
    </row>
    <row r="551" spans="10:16">
      <c r="J551" s="5"/>
      <c r="L551">
        <f>RAVLT_Delayed!M551</f>
        <v>0.11303854064456501</v>
      </c>
      <c r="M551">
        <f>RAVLT_Delayed!N551</f>
        <v>54.5</v>
      </c>
      <c r="O551">
        <f>ABS(L551-RAVLT_Delayed!$C$34)</f>
        <v>1.6410865213772579</v>
      </c>
      <c r="P551">
        <f t="shared" si="9"/>
        <v>54.5</v>
      </c>
    </row>
    <row r="552" spans="10:16">
      <c r="J552" s="5"/>
      <c r="L552">
        <f>RAVLT_Delayed!M552</f>
        <v>0.115561597105383</v>
      </c>
      <c r="M552">
        <f>RAVLT_Delayed!N552</f>
        <v>54.6</v>
      </c>
      <c r="O552">
        <f>ABS(L552-RAVLT_Delayed!$C$34)</f>
        <v>1.6436095778380757</v>
      </c>
      <c r="P552">
        <f t="shared" si="9"/>
        <v>54.6</v>
      </c>
    </row>
    <row r="553" spans="10:16">
      <c r="J553" s="5"/>
      <c r="L553">
        <f>RAVLT_Delayed!M553</f>
        <v>0.11808538942555299</v>
      </c>
      <c r="M553">
        <f>RAVLT_Delayed!N553</f>
        <v>54.7</v>
      </c>
      <c r="O553">
        <f>ABS(L553-RAVLT_Delayed!$C$34)</f>
        <v>1.6461333701582457</v>
      </c>
      <c r="P553">
        <f t="shared" si="9"/>
        <v>54.7</v>
      </c>
    </row>
    <row r="554" spans="10:16">
      <c r="J554" s="5"/>
      <c r="L554">
        <f>RAVLT_Delayed!M554</f>
        <v>0.120609934119307</v>
      </c>
      <c r="M554">
        <f>RAVLT_Delayed!N554</f>
        <v>54.8</v>
      </c>
      <c r="O554">
        <f>ABS(L554-RAVLT_Delayed!$C$34)</f>
        <v>1.6486579148519998</v>
      </c>
      <c r="P554">
        <f t="shared" si="9"/>
        <v>54.8</v>
      </c>
    </row>
    <row r="555" spans="10:16">
      <c r="J555" s="5"/>
      <c r="L555">
        <f>RAVLT_Delayed!M555</f>
        <v>0.123135247734837</v>
      </c>
      <c r="M555">
        <f>RAVLT_Delayed!N555</f>
        <v>54.9</v>
      </c>
      <c r="O555">
        <f>ABS(L555-RAVLT_Delayed!$C$34)</f>
        <v>1.6511832284675299</v>
      </c>
      <c r="P555">
        <f t="shared" si="9"/>
        <v>54.9</v>
      </c>
    </row>
    <row r="556" spans="10:16">
      <c r="J556" s="5"/>
      <c r="L556">
        <f>RAVLT_Delayed!M556</f>
        <v>0.12566134685507399</v>
      </c>
      <c r="M556">
        <f>RAVLT_Delayed!N556</f>
        <v>55</v>
      </c>
      <c r="O556">
        <f>ABS(L556-RAVLT_Delayed!$C$34)</f>
        <v>1.6537093275877668</v>
      </c>
      <c r="P556">
        <f t="shared" si="9"/>
        <v>55</v>
      </c>
    </row>
    <row r="557" spans="10:16">
      <c r="J557" s="5"/>
      <c r="L557">
        <f>RAVLT_Delayed!M557</f>
        <v>0.128188248098486</v>
      </c>
      <c r="M557">
        <f>RAVLT_Delayed!N557</f>
        <v>55.1</v>
      </c>
      <c r="O557">
        <f>ABS(L557-RAVLT_Delayed!$C$34)</f>
        <v>1.6562362288311787</v>
      </c>
      <c r="P557">
        <f t="shared" si="9"/>
        <v>55.1</v>
      </c>
    </row>
    <row r="558" spans="10:16">
      <c r="J558" s="5"/>
      <c r="L558">
        <f>RAVLT_Delayed!M558</f>
        <v>0.130715968119863</v>
      </c>
      <c r="M558">
        <f>RAVLT_Delayed!N558</f>
        <v>55.2</v>
      </c>
      <c r="O558">
        <f>ABS(L558-RAVLT_Delayed!$C$34)</f>
        <v>1.6587639488525558</v>
      </c>
      <c r="P558">
        <f t="shared" si="9"/>
        <v>55.2</v>
      </c>
    </row>
    <row r="559" spans="10:16">
      <c r="J559" s="5"/>
      <c r="L559">
        <f>RAVLT_Delayed!M559</f>
        <v>0.13324452361112399</v>
      </c>
      <c r="M559">
        <f>RAVLT_Delayed!N559</f>
        <v>55.3</v>
      </c>
      <c r="O559">
        <f>ABS(L559-RAVLT_Delayed!$C$34)</f>
        <v>1.6612925043438167</v>
      </c>
      <c r="P559">
        <f t="shared" si="9"/>
        <v>55.3</v>
      </c>
    </row>
    <row r="560" spans="10:16">
      <c r="J560" s="5"/>
      <c r="L560">
        <f>RAVLT_Delayed!M560</f>
        <v>0.13577393130211199</v>
      </c>
      <c r="M560">
        <f>RAVLT_Delayed!N560</f>
        <v>55.4</v>
      </c>
      <c r="O560">
        <f>ABS(L560-RAVLT_Delayed!$C$34)</f>
        <v>1.6638219120348048</v>
      </c>
      <c r="P560">
        <f t="shared" si="9"/>
        <v>55.4</v>
      </c>
    </row>
    <row r="561" spans="10:16">
      <c r="J561" s="5"/>
      <c r="L561">
        <f>RAVLT_Delayed!M561</f>
        <v>0.138304207961405</v>
      </c>
      <c r="M561">
        <f>RAVLT_Delayed!N561</f>
        <v>55.5</v>
      </c>
      <c r="O561">
        <f>ABS(L561-RAVLT_Delayed!$C$34)</f>
        <v>1.6663521886940977</v>
      </c>
      <c r="P561">
        <f t="shared" si="9"/>
        <v>55.5</v>
      </c>
    </row>
    <row r="562" spans="10:16">
      <c r="J562" s="5"/>
      <c r="L562">
        <f>RAVLT_Delayed!M562</f>
        <v>0.14083537039712701</v>
      </c>
      <c r="M562">
        <f>RAVLT_Delayed!N562</f>
        <v>55.6</v>
      </c>
      <c r="O562">
        <f>ABS(L562-RAVLT_Delayed!$C$34)</f>
        <v>1.6688833511298198</v>
      </c>
      <c r="P562">
        <f t="shared" si="9"/>
        <v>55.6</v>
      </c>
    </row>
    <row r="563" spans="10:16">
      <c r="J563" s="5"/>
      <c r="L563">
        <f>RAVLT_Delayed!M563</f>
        <v>0.14336743545776701</v>
      </c>
      <c r="M563">
        <f>RAVLT_Delayed!N563</f>
        <v>55.7</v>
      </c>
      <c r="O563">
        <f>ABS(L563-RAVLT_Delayed!$C$34)</f>
        <v>1.6714154161904597</v>
      </c>
      <c r="P563">
        <f t="shared" si="9"/>
        <v>55.7</v>
      </c>
    </row>
    <row r="564" spans="10:16">
      <c r="J564" s="5"/>
      <c r="L564">
        <f>RAVLT_Delayed!M564</f>
        <v>0.145900420032994</v>
      </c>
      <c r="M564">
        <f>RAVLT_Delayed!N564</f>
        <v>55.8</v>
      </c>
      <c r="O564">
        <f>ABS(L564-RAVLT_Delayed!$C$34)</f>
        <v>1.6739484007656869</v>
      </c>
      <c r="P564">
        <f t="shared" si="9"/>
        <v>55.8</v>
      </c>
    </row>
    <row r="565" spans="10:16">
      <c r="J565" s="5"/>
      <c r="L565">
        <f>RAVLT_Delayed!M565</f>
        <v>0.14843434105448999</v>
      </c>
      <c r="M565">
        <f>RAVLT_Delayed!N565</f>
        <v>55.9</v>
      </c>
      <c r="O565">
        <f>ABS(L565-RAVLT_Delayed!$C$34)</f>
        <v>1.6764823217871827</v>
      </c>
      <c r="P565">
        <f t="shared" si="9"/>
        <v>55.9</v>
      </c>
    </row>
    <row r="566" spans="10:16">
      <c r="J566" s="5"/>
      <c r="L566">
        <f>RAVLT_Delayed!M566</f>
        <v>0.150969215496777</v>
      </c>
      <c r="M566">
        <f>RAVLT_Delayed!N566</f>
        <v>56</v>
      </c>
      <c r="O566">
        <f>ABS(L566-RAVLT_Delayed!$C$34)</f>
        <v>1.6790171962294698</v>
      </c>
      <c r="P566">
        <f t="shared" si="9"/>
        <v>56</v>
      </c>
    </row>
    <row r="567" spans="10:16">
      <c r="J567" s="5"/>
      <c r="L567">
        <f>RAVLT_Delayed!M567</f>
        <v>0.153505060378057</v>
      </c>
      <c r="M567">
        <f>RAVLT_Delayed!N567</f>
        <v>56.1</v>
      </c>
      <c r="O567">
        <f>ABS(L567-RAVLT_Delayed!$C$34)</f>
        <v>1.6815530411107498</v>
      </c>
      <c r="P567">
        <f t="shared" si="9"/>
        <v>56.1</v>
      </c>
    </row>
    <row r="568" spans="10:16">
      <c r="J568" s="5"/>
      <c r="L568">
        <f>RAVLT_Delayed!M568</f>
        <v>0.15604189276104999</v>
      </c>
      <c r="M568">
        <f>RAVLT_Delayed!N568</f>
        <v>56.2</v>
      </c>
      <c r="O568">
        <f>ABS(L568-RAVLT_Delayed!$C$34)</f>
        <v>1.6840898734937428</v>
      </c>
      <c r="P568">
        <f t="shared" si="9"/>
        <v>56.2</v>
      </c>
    </row>
    <row r="569" spans="10:16">
      <c r="J569" s="5"/>
      <c r="L569">
        <f>RAVLT_Delayed!M569</f>
        <v>0.15857972975384399</v>
      </c>
      <c r="M569">
        <f>RAVLT_Delayed!N569</f>
        <v>56.3</v>
      </c>
      <c r="O569">
        <f>ABS(L569-RAVLT_Delayed!$C$34)</f>
        <v>1.6866277104865368</v>
      </c>
      <c r="P569">
        <f t="shared" si="9"/>
        <v>56.3</v>
      </c>
    </row>
    <row r="570" spans="10:16">
      <c r="J570" s="5"/>
      <c r="L570">
        <f>RAVLT_Delayed!M570</f>
        <v>0.16111858851074601</v>
      </c>
      <c r="M570">
        <f>RAVLT_Delayed!N570</f>
        <v>56.4</v>
      </c>
      <c r="O570">
        <f>ABS(L570-RAVLT_Delayed!$C$34)</f>
        <v>1.6891665692434388</v>
      </c>
      <c r="P570">
        <f t="shared" si="9"/>
        <v>56.4</v>
      </c>
    </row>
    <row r="571" spans="10:16">
      <c r="J571" s="5"/>
      <c r="L571">
        <f>RAVLT_Delayed!M571</f>
        <v>0.163658486233141</v>
      </c>
      <c r="M571">
        <f>RAVLT_Delayed!N571</f>
        <v>56.5</v>
      </c>
      <c r="O571">
        <f>ABS(L571-RAVLT_Delayed!$C$34)</f>
        <v>1.6917064669658337</v>
      </c>
      <c r="P571">
        <f t="shared" si="9"/>
        <v>56.5</v>
      </c>
    </row>
    <row r="572" spans="10:16">
      <c r="J572" s="5"/>
      <c r="L572">
        <f>RAVLT_Delayed!M572</f>
        <v>0.16619944017035901</v>
      </c>
      <c r="M572">
        <f>RAVLT_Delayed!N572</f>
        <v>56.6</v>
      </c>
      <c r="O572">
        <f>ABS(L572-RAVLT_Delayed!$C$34)</f>
        <v>1.6942474209030518</v>
      </c>
      <c r="P572">
        <f t="shared" si="9"/>
        <v>56.6</v>
      </c>
    </row>
    <row r="573" spans="10:16">
      <c r="J573" s="5"/>
      <c r="L573">
        <f>RAVLT_Delayed!M573</f>
        <v>0.16874146762053799</v>
      </c>
      <c r="M573">
        <f>RAVLT_Delayed!N573</f>
        <v>56.7</v>
      </c>
      <c r="O573">
        <f>ABS(L573-RAVLT_Delayed!$C$34)</f>
        <v>1.6967894483532309</v>
      </c>
      <c r="P573">
        <f t="shared" si="9"/>
        <v>56.7</v>
      </c>
    </row>
    <row r="574" spans="10:16">
      <c r="J574" s="5"/>
      <c r="L574">
        <f>RAVLT_Delayed!M574</f>
        <v>0.171284585931507</v>
      </c>
      <c r="M574">
        <f>RAVLT_Delayed!N574</f>
        <v>56.8</v>
      </c>
      <c r="O574">
        <f>ABS(L574-RAVLT_Delayed!$C$34)</f>
        <v>1.6993325666641999</v>
      </c>
      <c r="P574">
        <f t="shared" si="9"/>
        <v>56.8</v>
      </c>
    </row>
    <row r="575" spans="10:16">
      <c r="J575" s="5"/>
      <c r="L575">
        <f>RAVLT_Delayed!M575</f>
        <v>0.17382881250166299</v>
      </c>
      <c r="M575">
        <f>RAVLT_Delayed!N575</f>
        <v>56.9</v>
      </c>
      <c r="O575">
        <f>ABS(L575-RAVLT_Delayed!$C$34)</f>
        <v>1.7018767932343557</v>
      </c>
      <c r="P575">
        <f t="shared" si="9"/>
        <v>56.9</v>
      </c>
    </row>
    <row r="576" spans="10:16">
      <c r="J576" s="5"/>
      <c r="L576">
        <f>RAVLT_Delayed!M576</f>
        <v>0.17637416478086099</v>
      </c>
      <c r="M576">
        <f>RAVLT_Delayed!N576</f>
        <v>57</v>
      </c>
      <c r="O576">
        <f>ABS(L576-RAVLT_Delayed!$C$34)</f>
        <v>1.7044221455135538</v>
      </c>
      <c r="P576">
        <f t="shared" si="9"/>
        <v>57</v>
      </c>
    </row>
    <row r="577" spans="10:16">
      <c r="J577" s="5"/>
      <c r="L577">
        <f>RAVLT_Delayed!M577</f>
        <v>0.17892066027131201</v>
      </c>
      <c r="M577">
        <f>RAVLT_Delayed!N577</f>
        <v>57.1</v>
      </c>
      <c r="O577">
        <f>ABS(L577-RAVLT_Delayed!$C$34)</f>
        <v>1.7069686410040048</v>
      </c>
      <c r="P577">
        <f t="shared" si="9"/>
        <v>57.1</v>
      </c>
    </row>
    <row r="578" spans="10:16">
      <c r="J578" s="5"/>
      <c r="L578">
        <f>RAVLT_Delayed!M578</f>
        <v>0.181468316528477</v>
      </c>
      <c r="M578">
        <f>RAVLT_Delayed!N578</f>
        <v>57.2</v>
      </c>
      <c r="O578">
        <f>ABS(L578-RAVLT_Delayed!$C$34)</f>
        <v>1.7095162972611697</v>
      </c>
      <c r="P578">
        <f t="shared" si="9"/>
        <v>57.2</v>
      </c>
    </row>
    <row r="579" spans="10:16">
      <c r="J579" s="5"/>
      <c r="L579">
        <f>RAVLT_Delayed!M579</f>
        <v>0.18401715116198</v>
      </c>
      <c r="M579">
        <f>RAVLT_Delayed!N579</f>
        <v>57.3</v>
      </c>
      <c r="O579">
        <f>ABS(L579-RAVLT_Delayed!$C$34)</f>
        <v>1.7120651318946727</v>
      </c>
      <c r="P579">
        <f t="shared" si="9"/>
        <v>57.3</v>
      </c>
    </row>
    <row r="580" spans="10:16">
      <c r="J580" s="5"/>
      <c r="L580">
        <f>RAVLT_Delayed!M580</f>
        <v>0.18656718183651999</v>
      </c>
      <c r="M580">
        <f>RAVLT_Delayed!N580</f>
        <v>57.4</v>
      </c>
      <c r="O580">
        <f>ABS(L580-RAVLT_Delayed!$C$34)</f>
        <v>1.7146151625692128</v>
      </c>
      <c r="P580">
        <f t="shared" si="9"/>
        <v>57.4</v>
      </c>
    </row>
    <row r="581" spans="10:16">
      <c r="J581" s="5"/>
      <c r="L581">
        <f>RAVLT_Delayed!M581</f>
        <v>0.18911842627279299</v>
      </c>
      <c r="M581">
        <f>RAVLT_Delayed!N581</f>
        <v>57.5</v>
      </c>
      <c r="O581">
        <f>ABS(L581-RAVLT_Delayed!$C$34)</f>
        <v>1.7171664070054857</v>
      </c>
      <c r="P581">
        <f t="shared" si="9"/>
        <v>57.5</v>
      </c>
    </row>
    <row r="582" spans="10:16">
      <c r="J582" s="5"/>
      <c r="L582">
        <f>RAVLT_Delayed!M582</f>
        <v>0.19167090224842001</v>
      </c>
      <c r="M582">
        <f>RAVLT_Delayed!N582</f>
        <v>57.6</v>
      </c>
      <c r="O582">
        <f>ABS(L582-RAVLT_Delayed!$C$34)</f>
        <v>1.7197188829811128</v>
      </c>
      <c r="P582">
        <f t="shared" si="9"/>
        <v>57.6</v>
      </c>
    </row>
    <row r="583" spans="10:16">
      <c r="J583" s="5"/>
      <c r="L583">
        <f>RAVLT_Delayed!M583</f>
        <v>0.19422462759888301</v>
      </c>
      <c r="M583">
        <f>RAVLT_Delayed!N583</f>
        <v>57.7</v>
      </c>
      <c r="O583">
        <f>ABS(L583-RAVLT_Delayed!$C$34)</f>
        <v>1.7222726083315758</v>
      </c>
      <c r="P583">
        <f t="shared" ref="P583:P646" si="10">M583</f>
        <v>57.7</v>
      </c>
    </row>
    <row r="584" spans="10:16">
      <c r="J584" s="5"/>
      <c r="L584">
        <f>RAVLT_Delayed!M584</f>
        <v>0.19677962021846701</v>
      </c>
      <c r="M584">
        <f>RAVLT_Delayed!N584</f>
        <v>57.8</v>
      </c>
      <c r="O584">
        <f>ABS(L584-RAVLT_Delayed!$C$34)</f>
        <v>1.7248276009511598</v>
      </c>
      <c r="P584">
        <f t="shared" si="10"/>
        <v>57.8</v>
      </c>
    </row>
    <row r="585" spans="10:16">
      <c r="J585" s="5"/>
      <c r="L585">
        <f>RAVLT_Delayed!M585</f>
        <v>0.199335898061207</v>
      </c>
      <c r="M585">
        <f>RAVLT_Delayed!N585</f>
        <v>57.9</v>
      </c>
      <c r="O585">
        <f>ABS(L585-RAVLT_Delayed!$C$34)</f>
        <v>1.7273838787938998</v>
      </c>
      <c r="P585">
        <f t="shared" si="10"/>
        <v>57.9</v>
      </c>
    </row>
    <row r="586" spans="10:16">
      <c r="J586" s="5"/>
      <c r="L586">
        <f>RAVLT_Delayed!M586</f>
        <v>0.20189347914185099</v>
      </c>
      <c r="M586">
        <f>RAVLT_Delayed!N586</f>
        <v>58</v>
      </c>
      <c r="O586">
        <f>ABS(L586-RAVLT_Delayed!$C$34)</f>
        <v>1.7299414598745437</v>
      </c>
      <c r="P586">
        <f t="shared" si="10"/>
        <v>58</v>
      </c>
    </row>
    <row r="587" spans="10:16">
      <c r="J587" s="5"/>
      <c r="L587">
        <f>RAVLT_Delayed!M587</f>
        <v>0.20445238153682099</v>
      </c>
      <c r="M587">
        <f>RAVLT_Delayed!N587</f>
        <v>58.1</v>
      </c>
      <c r="O587">
        <f>ABS(L587-RAVLT_Delayed!$C$34)</f>
        <v>1.7325003622695139</v>
      </c>
      <c r="P587">
        <f t="shared" si="10"/>
        <v>58.1</v>
      </c>
    </row>
    <row r="588" spans="10:16">
      <c r="J588" s="5"/>
      <c r="L588">
        <f>RAVLT_Delayed!M588</f>
        <v>0.207012623385187</v>
      </c>
      <c r="M588">
        <f>RAVLT_Delayed!N588</f>
        <v>58.2</v>
      </c>
      <c r="O588">
        <f>ABS(L588-RAVLT_Delayed!$C$34)</f>
        <v>1.7350606041178798</v>
      </c>
      <c r="P588">
        <f t="shared" si="10"/>
        <v>58.2</v>
      </c>
    </row>
    <row r="589" spans="10:16">
      <c r="J589" s="5"/>
      <c r="L589">
        <f>RAVLT_Delayed!M589</f>
        <v>0.209574222889649</v>
      </c>
      <c r="M589">
        <f>RAVLT_Delayed!N589</f>
        <v>58.3</v>
      </c>
      <c r="O589">
        <f>ABS(L589-RAVLT_Delayed!$C$34)</f>
        <v>1.7376222036223417</v>
      </c>
      <c r="P589">
        <f t="shared" si="10"/>
        <v>58.3</v>
      </c>
    </row>
    <row r="590" spans="10:16">
      <c r="J590" s="5"/>
      <c r="L590">
        <f>RAVLT_Delayed!M590</f>
        <v>0.21213719831752401</v>
      </c>
      <c r="M590">
        <f>RAVLT_Delayed!N590</f>
        <v>58.4</v>
      </c>
      <c r="O590">
        <f>ABS(L590-RAVLT_Delayed!$C$34)</f>
        <v>1.7401851790502167</v>
      </c>
      <c r="P590">
        <f t="shared" si="10"/>
        <v>58.4</v>
      </c>
    </row>
    <row r="591" spans="10:16">
      <c r="J591" s="5"/>
      <c r="L591">
        <f>RAVLT_Delayed!M591</f>
        <v>0.214701568001744</v>
      </c>
      <c r="M591">
        <f>RAVLT_Delayed!N591</f>
        <v>58.5</v>
      </c>
      <c r="O591">
        <f>ABS(L591-RAVLT_Delayed!$C$34)</f>
        <v>1.7427495487344369</v>
      </c>
      <c r="P591">
        <f t="shared" si="10"/>
        <v>58.5</v>
      </c>
    </row>
    <row r="592" spans="10:16">
      <c r="J592" s="5"/>
      <c r="L592">
        <f>RAVLT_Delayed!M592</f>
        <v>0.21726735034186301</v>
      </c>
      <c r="M592">
        <f>RAVLT_Delayed!N592</f>
        <v>58.6</v>
      </c>
      <c r="O592">
        <f>ABS(L592-RAVLT_Delayed!$C$34)</f>
        <v>1.7453153310745557</v>
      </c>
      <c r="P592">
        <f t="shared" si="10"/>
        <v>58.6</v>
      </c>
    </row>
    <row r="593" spans="10:16">
      <c r="J593" s="5"/>
      <c r="L593">
        <f>RAVLT_Delayed!M593</f>
        <v>0.21983456380506899</v>
      </c>
      <c r="M593">
        <f>RAVLT_Delayed!N593</f>
        <v>58.7</v>
      </c>
      <c r="O593">
        <f>ABS(L593-RAVLT_Delayed!$C$34)</f>
        <v>1.7478825445377617</v>
      </c>
      <c r="P593">
        <f t="shared" si="10"/>
        <v>58.7</v>
      </c>
    </row>
    <row r="594" spans="10:16">
      <c r="J594" s="5"/>
      <c r="L594">
        <f>RAVLT_Delayed!M594</f>
        <v>0.22240322692720599</v>
      </c>
      <c r="M594">
        <f>RAVLT_Delayed!N594</f>
        <v>58.8</v>
      </c>
      <c r="O594">
        <f>ABS(L594-RAVLT_Delayed!$C$34)</f>
        <v>1.7504512076598988</v>
      </c>
      <c r="P594">
        <f t="shared" si="10"/>
        <v>58.8</v>
      </c>
    </row>
    <row r="595" spans="10:16">
      <c r="J595" s="5"/>
      <c r="L595">
        <f>RAVLT_Delayed!M595</f>
        <v>0.22497335831381099</v>
      </c>
      <c r="M595">
        <f>RAVLT_Delayed!N595</f>
        <v>58.9</v>
      </c>
      <c r="O595">
        <f>ABS(L595-RAVLT_Delayed!$C$34)</f>
        <v>1.7530213390465037</v>
      </c>
      <c r="P595">
        <f t="shared" si="10"/>
        <v>58.9</v>
      </c>
    </row>
    <row r="596" spans="10:16">
      <c r="J596" s="5"/>
      <c r="L596">
        <f>RAVLT_Delayed!M596</f>
        <v>0.227544976641149</v>
      </c>
      <c r="M596">
        <f>RAVLT_Delayed!N596</f>
        <v>59</v>
      </c>
      <c r="O596">
        <f>ABS(L596-RAVLT_Delayed!$C$34)</f>
        <v>1.7555929573738418</v>
      </c>
      <c r="P596">
        <f t="shared" si="10"/>
        <v>59</v>
      </c>
    </row>
    <row r="597" spans="10:16">
      <c r="J597" s="5"/>
      <c r="L597">
        <f>RAVLT_Delayed!M597</f>
        <v>0.23011810065726601</v>
      </c>
      <c r="M597">
        <f>RAVLT_Delayed!N597</f>
        <v>59.1</v>
      </c>
      <c r="O597">
        <f>ABS(L597-RAVLT_Delayed!$C$34)</f>
        <v>1.7581660813899589</v>
      </c>
      <c r="P597">
        <f t="shared" si="10"/>
        <v>59.1</v>
      </c>
    </row>
    <row r="598" spans="10:16">
      <c r="J598" s="5"/>
      <c r="L598">
        <f>RAVLT_Delayed!M598</f>
        <v>0.232692749183045</v>
      </c>
      <c r="M598">
        <f>RAVLT_Delayed!N598</f>
        <v>59.2</v>
      </c>
      <c r="O598">
        <f>ABS(L598-RAVLT_Delayed!$C$34)</f>
        <v>1.7607407299157378</v>
      </c>
      <c r="P598">
        <f t="shared" si="10"/>
        <v>59.2</v>
      </c>
    </row>
    <row r="599" spans="10:16">
      <c r="J599" s="5"/>
      <c r="L599">
        <f>RAVLT_Delayed!M599</f>
        <v>0.23526894111328001</v>
      </c>
      <c r="M599">
        <f>RAVLT_Delayed!N599</f>
        <v>59.3</v>
      </c>
      <c r="O599">
        <f>ABS(L599-RAVLT_Delayed!$C$34)</f>
        <v>1.7633169218459728</v>
      </c>
      <c r="P599">
        <f t="shared" si="10"/>
        <v>59.3</v>
      </c>
    </row>
    <row r="600" spans="10:16">
      <c r="J600" s="5"/>
      <c r="L600">
        <f>RAVLT_Delayed!M600</f>
        <v>0.237846695417749</v>
      </c>
      <c r="M600">
        <f>RAVLT_Delayed!N600</f>
        <v>59.4</v>
      </c>
      <c r="O600">
        <f>ABS(L600-RAVLT_Delayed!$C$34)</f>
        <v>1.7658946761504417</v>
      </c>
      <c r="P600">
        <f t="shared" si="10"/>
        <v>59.4</v>
      </c>
    </row>
    <row r="601" spans="10:16">
      <c r="J601" s="5"/>
      <c r="L601">
        <f>RAVLT_Delayed!M601</f>
        <v>0.24042603114230801</v>
      </c>
      <c r="M601">
        <f>RAVLT_Delayed!N601</f>
        <v>59.5</v>
      </c>
      <c r="O601">
        <f>ABS(L601-RAVLT_Delayed!$C$34)</f>
        <v>1.7684740118750009</v>
      </c>
      <c r="P601">
        <f t="shared" si="10"/>
        <v>59.5</v>
      </c>
    </row>
    <row r="602" spans="10:16">
      <c r="J602" s="5"/>
      <c r="L602">
        <f>RAVLT_Delayed!M602</f>
        <v>0.24300696740998201</v>
      </c>
      <c r="M602">
        <f>RAVLT_Delayed!N602</f>
        <v>59.6</v>
      </c>
      <c r="O602">
        <f>ABS(L602-RAVLT_Delayed!$C$34)</f>
        <v>1.7710549481426747</v>
      </c>
      <c r="P602">
        <f t="shared" si="10"/>
        <v>59.6</v>
      </c>
    </row>
    <row r="603" spans="10:16">
      <c r="J603" s="5"/>
      <c r="L603">
        <f>RAVLT_Delayed!M603</f>
        <v>0.24558952342208101</v>
      </c>
      <c r="M603">
        <f>RAVLT_Delayed!N603</f>
        <v>59.7</v>
      </c>
      <c r="O603">
        <f>ABS(L603-RAVLT_Delayed!$C$34)</f>
        <v>1.7736375041547738</v>
      </c>
      <c r="P603">
        <f t="shared" si="10"/>
        <v>59.7</v>
      </c>
    </row>
    <row r="604" spans="10:16">
      <c r="J604" s="5"/>
      <c r="L604">
        <f>RAVLT_Delayed!M604</f>
        <v>0.24817371845931299</v>
      </c>
      <c r="M604">
        <f>RAVLT_Delayed!N604</f>
        <v>59.8</v>
      </c>
      <c r="O604">
        <f>ABS(L604-RAVLT_Delayed!$C$34)</f>
        <v>1.7762216991920057</v>
      </c>
      <c r="P604">
        <f t="shared" si="10"/>
        <v>59.8</v>
      </c>
    </row>
    <row r="605" spans="10:16">
      <c r="J605" s="5"/>
      <c r="L605">
        <f>RAVLT_Delayed!M605</f>
        <v>0.25075957188291598</v>
      </c>
      <c r="M605">
        <f>RAVLT_Delayed!N605</f>
        <v>59.9</v>
      </c>
      <c r="O605">
        <f>ABS(L605-RAVLT_Delayed!$C$34)</f>
        <v>1.7788075526156089</v>
      </c>
      <c r="P605">
        <f t="shared" si="10"/>
        <v>59.9</v>
      </c>
    </row>
    <row r="606" spans="10:16">
      <c r="J606" s="5"/>
      <c r="L606">
        <f>RAVLT_Delayed!M606</f>
        <v>0.2533471031358</v>
      </c>
      <c r="M606">
        <f>RAVLT_Delayed!N606</f>
        <v>60</v>
      </c>
      <c r="O606">
        <f>ABS(L606-RAVLT_Delayed!$C$34)</f>
        <v>1.7813950838684929</v>
      </c>
      <c r="P606">
        <f t="shared" si="10"/>
        <v>60</v>
      </c>
    </row>
    <row r="607" spans="10:16">
      <c r="J607" s="5"/>
      <c r="L607">
        <f>RAVLT_Delayed!M607</f>
        <v>0.25593633174369301</v>
      </c>
      <c r="M607">
        <f>RAVLT_Delayed!N607</f>
        <v>60.1</v>
      </c>
      <c r="O607">
        <f>ABS(L607-RAVLT_Delayed!$C$34)</f>
        <v>1.7839843124763859</v>
      </c>
      <c r="P607">
        <f t="shared" si="10"/>
        <v>60.1</v>
      </c>
    </row>
    <row r="608" spans="10:16">
      <c r="J608" s="5"/>
      <c r="L608">
        <f>RAVLT_Delayed!M608</f>
        <v>0.25852727731630998</v>
      </c>
      <c r="M608">
        <f>RAVLT_Delayed!N608</f>
        <v>60.2</v>
      </c>
      <c r="O608">
        <f>ABS(L608-RAVLT_Delayed!$C$34)</f>
        <v>1.7865752580490026</v>
      </c>
      <c r="P608">
        <f t="shared" si="10"/>
        <v>60.2</v>
      </c>
    </row>
    <row r="609" spans="10:16">
      <c r="J609" s="5"/>
      <c r="L609">
        <f>RAVLT_Delayed!M609</f>
        <v>0.26111995954851802</v>
      </c>
      <c r="M609">
        <f>RAVLT_Delayed!N609</f>
        <v>60.3</v>
      </c>
      <c r="O609">
        <f>ABS(L609-RAVLT_Delayed!$C$34)</f>
        <v>1.7891679402812108</v>
      </c>
      <c r="P609">
        <f t="shared" si="10"/>
        <v>60.3</v>
      </c>
    </row>
    <row r="610" spans="10:16">
      <c r="J610" s="5"/>
      <c r="L610">
        <f>RAVLT_Delayed!M610</f>
        <v>0.26371439822152998</v>
      </c>
      <c r="M610">
        <f>RAVLT_Delayed!N610</f>
        <v>60.4</v>
      </c>
      <c r="O610">
        <f>ABS(L610-RAVLT_Delayed!$C$34)</f>
        <v>1.7917623789542227</v>
      </c>
      <c r="P610">
        <f t="shared" si="10"/>
        <v>60.4</v>
      </c>
    </row>
    <row r="611" spans="10:16">
      <c r="J611" s="5"/>
      <c r="L611">
        <f>RAVLT_Delayed!M611</f>
        <v>0.26631061320409499</v>
      </c>
      <c r="M611">
        <f>RAVLT_Delayed!N611</f>
        <v>60.5</v>
      </c>
      <c r="O611">
        <f>ABS(L611-RAVLT_Delayed!$C$34)</f>
        <v>1.7943585939367876</v>
      </c>
      <c r="P611">
        <f t="shared" si="10"/>
        <v>60.5</v>
      </c>
    </row>
    <row r="612" spans="10:16">
      <c r="J612" s="5"/>
      <c r="L612">
        <f>RAVLT_Delayed!M612</f>
        <v>0.26890862445371</v>
      </c>
      <c r="M612">
        <f>RAVLT_Delayed!N612</f>
        <v>60.6</v>
      </c>
      <c r="O612">
        <f>ABS(L612-RAVLT_Delayed!$C$34)</f>
        <v>1.7969566051864028</v>
      </c>
      <c r="P612">
        <f t="shared" si="10"/>
        <v>60.6</v>
      </c>
    </row>
    <row r="613" spans="10:16">
      <c r="J613" s="5"/>
      <c r="L613">
        <f>RAVLT_Delayed!M613</f>
        <v>0.27150845201783902</v>
      </c>
      <c r="M613">
        <f>RAVLT_Delayed!N613</f>
        <v>60.7</v>
      </c>
      <c r="O613">
        <f>ABS(L613-RAVLT_Delayed!$C$34)</f>
        <v>1.7995564327505318</v>
      </c>
      <c r="P613">
        <f t="shared" si="10"/>
        <v>60.7</v>
      </c>
    </row>
    <row r="614" spans="10:16">
      <c r="J614" s="5"/>
      <c r="L614">
        <f>RAVLT_Delayed!M614</f>
        <v>0.27411011603514701</v>
      </c>
      <c r="M614">
        <f>RAVLT_Delayed!N614</f>
        <v>60.8</v>
      </c>
      <c r="O614">
        <f>ABS(L614-RAVLT_Delayed!$C$34)</f>
        <v>1.8021580967678399</v>
      </c>
      <c r="P614">
        <f t="shared" si="10"/>
        <v>60.8</v>
      </c>
    </row>
    <row r="615" spans="10:16">
      <c r="J615" s="5"/>
      <c r="L615">
        <f>RAVLT_Delayed!M615</f>
        <v>0.27671363673674698</v>
      </c>
      <c r="M615">
        <f>RAVLT_Delayed!N615</f>
        <v>60.9</v>
      </c>
      <c r="O615">
        <f>ABS(L615-RAVLT_Delayed!$C$34)</f>
        <v>1.8047616174694396</v>
      </c>
      <c r="P615">
        <f t="shared" si="10"/>
        <v>60.9</v>
      </c>
    </row>
    <row r="616" spans="10:16">
      <c r="J616" s="5"/>
      <c r="L616">
        <f>RAVLT_Delayed!M616</f>
        <v>0.27931903444745398</v>
      </c>
      <c r="M616">
        <f>RAVLT_Delayed!N616</f>
        <v>61</v>
      </c>
      <c r="O616">
        <f>ABS(L616-RAVLT_Delayed!$C$34)</f>
        <v>1.8073670151801466</v>
      </c>
      <c r="P616">
        <f t="shared" si="10"/>
        <v>61</v>
      </c>
    </row>
    <row r="617" spans="10:16">
      <c r="J617" s="5"/>
      <c r="L617">
        <f>RAVLT_Delayed!M617</f>
        <v>0.28192632958706099</v>
      </c>
      <c r="M617">
        <f>RAVLT_Delayed!N617</f>
        <v>61.1</v>
      </c>
      <c r="O617">
        <f>ABS(L617-RAVLT_Delayed!$C$34)</f>
        <v>1.8099743103197539</v>
      </c>
      <c r="P617">
        <f t="shared" si="10"/>
        <v>61.1</v>
      </c>
    </row>
    <row r="618" spans="10:16">
      <c r="J618" s="5"/>
      <c r="L618">
        <f>RAVLT_Delayed!M618</f>
        <v>0.28453554267162201</v>
      </c>
      <c r="M618">
        <f>RAVLT_Delayed!N618</f>
        <v>61.2</v>
      </c>
      <c r="O618">
        <f>ABS(L618-RAVLT_Delayed!$C$34)</f>
        <v>1.8125835234043148</v>
      </c>
      <c r="P618">
        <f t="shared" si="10"/>
        <v>61.2</v>
      </c>
    </row>
    <row r="619" spans="10:16">
      <c r="J619" s="5"/>
      <c r="L619">
        <f>RAVLT_Delayed!M619</f>
        <v>0.28714669431474499</v>
      </c>
      <c r="M619">
        <f>RAVLT_Delayed!N619</f>
        <v>61.3</v>
      </c>
      <c r="O619">
        <f>ABS(L619-RAVLT_Delayed!$C$34)</f>
        <v>1.8151946750474377</v>
      </c>
      <c r="P619">
        <f t="shared" si="10"/>
        <v>61.3</v>
      </c>
    </row>
    <row r="620" spans="10:16">
      <c r="J620" s="5"/>
      <c r="L620">
        <f>RAVLT_Delayed!M620</f>
        <v>0.28975980522891398</v>
      </c>
      <c r="M620">
        <f>RAVLT_Delayed!N620</f>
        <v>61.4</v>
      </c>
      <c r="O620">
        <f>ABS(L620-RAVLT_Delayed!$C$34)</f>
        <v>1.8178077859616066</v>
      </c>
      <c r="P620">
        <f t="shared" si="10"/>
        <v>61.4</v>
      </c>
    </row>
    <row r="621" spans="10:16">
      <c r="J621" s="5"/>
      <c r="L621">
        <f>RAVLT_Delayed!M621</f>
        <v>0.29237489622680402</v>
      </c>
      <c r="M621">
        <f>RAVLT_Delayed!N621</f>
        <v>61.5</v>
      </c>
      <c r="O621">
        <f>ABS(L621-RAVLT_Delayed!$C$34)</f>
        <v>1.8204228769594968</v>
      </c>
      <c r="P621">
        <f t="shared" si="10"/>
        <v>61.5</v>
      </c>
    </row>
    <row r="622" spans="10:16">
      <c r="J622" s="5"/>
      <c r="L622">
        <f>RAVLT_Delayed!M622</f>
        <v>0.29499198822262601</v>
      </c>
      <c r="M622">
        <f>RAVLT_Delayed!N622</f>
        <v>61.6</v>
      </c>
      <c r="O622">
        <f>ABS(L622-RAVLT_Delayed!$C$34)</f>
        <v>1.8230399689553187</v>
      </c>
      <c r="P622">
        <f t="shared" si="10"/>
        <v>61.6</v>
      </c>
    </row>
    <row r="623" spans="10:16">
      <c r="J623" s="5"/>
      <c r="L623">
        <f>RAVLT_Delayed!M623</f>
        <v>0.29761110223347997</v>
      </c>
      <c r="M623">
        <f>RAVLT_Delayed!N623</f>
        <v>61.7</v>
      </c>
      <c r="O623">
        <f>ABS(L623-RAVLT_Delayed!$C$34)</f>
        <v>1.8256590829661727</v>
      </c>
      <c r="P623">
        <f t="shared" si="10"/>
        <v>61.7</v>
      </c>
    </row>
    <row r="624" spans="10:16">
      <c r="J624" s="5"/>
      <c r="L624">
        <f>RAVLT_Delayed!M624</f>
        <v>0.30023225938072201</v>
      </c>
      <c r="M624">
        <f>RAVLT_Delayed!N624</f>
        <v>61.8</v>
      </c>
      <c r="O624">
        <f>ABS(L624-RAVLT_Delayed!$C$34)</f>
        <v>1.8282802401134148</v>
      </c>
      <c r="P624">
        <f t="shared" si="10"/>
        <v>61.8</v>
      </c>
    </row>
    <row r="625" spans="10:16">
      <c r="J625" s="5"/>
      <c r="L625">
        <f>RAVLT_Delayed!M625</f>
        <v>0.302855480891349</v>
      </c>
      <c r="M625">
        <f>RAVLT_Delayed!N625</f>
        <v>61.9</v>
      </c>
      <c r="O625">
        <f>ABS(L625-RAVLT_Delayed!$C$34)</f>
        <v>1.8309034616240418</v>
      </c>
      <c r="P625">
        <f t="shared" si="10"/>
        <v>61.9</v>
      </c>
    </row>
    <row r="626" spans="10:16">
      <c r="J626" s="5"/>
      <c r="L626">
        <f>RAVLT_Delayed!M626</f>
        <v>0.30548078809939699</v>
      </c>
      <c r="M626">
        <f>RAVLT_Delayed!N626</f>
        <v>62</v>
      </c>
      <c r="O626">
        <f>ABS(L626-RAVLT_Delayed!$C$34)</f>
        <v>1.8335287688320898</v>
      </c>
      <c r="P626">
        <f t="shared" si="10"/>
        <v>62</v>
      </c>
    </row>
    <row r="627" spans="10:16">
      <c r="J627" s="5"/>
      <c r="L627">
        <f>RAVLT_Delayed!M627</f>
        <v>0.30810820244735498</v>
      </c>
      <c r="M627">
        <f>RAVLT_Delayed!N627</f>
        <v>62.1</v>
      </c>
      <c r="O627">
        <f>ABS(L627-RAVLT_Delayed!$C$34)</f>
        <v>1.8361561831800477</v>
      </c>
      <c r="P627">
        <f t="shared" si="10"/>
        <v>62.1</v>
      </c>
    </row>
    <row r="628" spans="10:16">
      <c r="J628" s="5"/>
      <c r="L628">
        <f>RAVLT_Delayed!M628</f>
        <v>0.31073774548759198</v>
      </c>
      <c r="M628">
        <f>RAVLT_Delayed!N628</f>
        <v>62.2</v>
      </c>
      <c r="O628">
        <f>ABS(L628-RAVLT_Delayed!$C$34)</f>
        <v>1.8387857262202847</v>
      </c>
      <c r="P628">
        <f t="shared" si="10"/>
        <v>62.2</v>
      </c>
    </row>
    <row r="629" spans="10:16">
      <c r="J629" s="5"/>
      <c r="L629">
        <f>RAVLT_Delayed!M629</f>
        <v>0.31336943888380597</v>
      </c>
      <c r="M629">
        <f>RAVLT_Delayed!N629</f>
        <v>62.3</v>
      </c>
      <c r="O629">
        <f>ABS(L629-RAVLT_Delayed!$C$34)</f>
        <v>1.8414174196164987</v>
      </c>
      <c r="P629">
        <f t="shared" si="10"/>
        <v>62.3</v>
      </c>
    </row>
    <row r="630" spans="10:16">
      <c r="J630" s="5"/>
      <c r="L630">
        <f>RAVLT_Delayed!M630</f>
        <v>0.31600330441248298</v>
      </c>
      <c r="M630">
        <f>RAVLT_Delayed!N630</f>
        <v>62.4</v>
      </c>
      <c r="O630">
        <f>ABS(L630-RAVLT_Delayed!$C$34)</f>
        <v>1.8440512851451758</v>
      </c>
      <c r="P630">
        <f t="shared" si="10"/>
        <v>62.4</v>
      </c>
    </row>
    <row r="631" spans="10:16">
      <c r="J631" s="5"/>
      <c r="L631">
        <f>RAVLT_Delayed!M631</f>
        <v>0.31863936396437498</v>
      </c>
      <c r="M631">
        <f>RAVLT_Delayed!N631</f>
        <v>62.5</v>
      </c>
      <c r="O631">
        <f>ABS(L631-RAVLT_Delayed!$C$34)</f>
        <v>1.8466873446970677</v>
      </c>
      <c r="P631">
        <f t="shared" si="10"/>
        <v>62.5</v>
      </c>
    </row>
    <row r="632" spans="10:16">
      <c r="J632" s="5"/>
      <c r="L632">
        <f>RAVLT_Delayed!M632</f>
        <v>0.32127763954599597</v>
      </c>
      <c r="M632">
        <f>RAVLT_Delayed!N632</f>
        <v>62.6</v>
      </c>
      <c r="O632">
        <f>ABS(L632-RAVLT_Delayed!$C$34)</f>
        <v>1.8493256202786887</v>
      </c>
      <c r="P632">
        <f t="shared" si="10"/>
        <v>62.6</v>
      </c>
    </row>
    <row r="633" spans="10:16">
      <c r="J633" s="5"/>
      <c r="L633">
        <f>RAVLT_Delayed!M633</f>
        <v>0.32391815328113299</v>
      </c>
      <c r="M633">
        <f>RAVLT_Delayed!N633</f>
        <v>62.7</v>
      </c>
      <c r="O633">
        <f>ABS(L633-RAVLT_Delayed!$C$34)</f>
        <v>1.8519661340138258</v>
      </c>
      <c r="P633">
        <f t="shared" si="10"/>
        <v>62.7</v>
      </c>
    </row>
    <row r="634" spans="10:16">
      <c r="J634" s="5"/>
      <c r="L634">
        <f>RAVLT_Delayed!M634</f>
        <v>0.32656092741237303</v>
      </c>
      <c r="M634">
        <f>RAVLT_Delayed!N634</f>
        <v>62.8</v>
      </c>
      <c r="O634">
        <f>ABS(L634-RAVLT_Delayed!$C$34)</f>
        <v>1.8546089081450658</v>
      </c>
      <c r="P634">
        <f t="shared" si="10"/>
        <v>62.8</v>
      </c>
    </row>
    <row r="635" spans="10:16">
      <c r="J635" s="5"/>
      <c r="L635">
        <f>RAVLT_Delayed!M635</f>
        <v>0.32920598430265102</v>
      </c>
      <c r="M635">
        <f>RAVLT_Delayed!N635</f>
        <v>62.9</v>
      </c>
      <c r="O635">
        <f>ABS(L635-RAVLT_Delayed!$C$34)</f>
        <v>1.8572539650353437</v>
      </c>
      <c r="P635">
        <f t="shared" si="10"/>
        <v>62.9</v>
      </c>
    </row>
    <row r="636" spans="10:16">
      <c r="J636" s="5"/>
      <c r="L636">
        <f>RAVLT_Delayed!M636</f>
        <v>0.33185334643681702</v>
      </c>
      <c r="M636">
        <f>RAVLT_Delayed!N636</f>
        <v>63</v>
      </c>
      <c r="O636">
        <f>ABS(L636-RAVLT_Delayed!$C$34)</f>
        <v>1.8599013271695097</v>
      </c>
      <c r="P636">
        <f t="shared" si="10"/>
        <v>63</v>
      </c>
    </row>
    <row r="637" spans="10:16">
      <c r="J637" s="5"/>
      <c r="L637">
        <f>RAVLT_Delayed!M637</f>
        <v>0.334503036423212</v>
      </c>
      <c r="M637">
        <f>RAVLT_Delayed!N637</f>
        <v>63.1</v>
      </c>
      <c r="O637">
        <f>ABS(L637-RAVLT_Delayed!$C$34)</f>
        <v>1.8625510171559048</v>
      </c>
      <c r="P637">
        <f t="shared" si="10"/>
        <v>63.1</v>
      </c>
    </row>
    <row r="638" spans="10:16">
      <c r="J638" s="5"/>
      <c r="L638">
        <f>RAVLT_Delayed!M638</f>
        <v>0.33715507699527703</v>
      </c>
      <c r="M638">
        <f>RAVLT_Delayed!N638</f>
        <v>63.2</v>
      </c>
      <c r="O638">
        <f>ABS(L638-RAVLT_Delayed!$C$34)</f>
        <v>1.8652030577279697</v>
      </c>
      <c r="P638">
        <f t="shared" si="10"/>
        <v>63.2</v>
      </c>
    </row>
    <row r="639" spans="10:16">
      <c r="J639" s="5"/>
      <c r="L639">
        <f>RAVLT_Delayed!M639</f>
        <v>0.33980949101316699</v>
      </c>
      <c r="M639">
        <f>RAVLT_Delayed!N639</f>
        <v>63.3</v>
      </c>
      <c r="O639">
        <f>ABS(L639-RAVLT_Delayed!$C$34)</f>
        <v>1.8678574717458598</v>
      </c>
      <c r="P639">
        <f t="shared" si="10"/>
        <v>63.3</v>
      </c>
    </row>
    <row r="640" spans="10:16">
      <c r="J640" s="5"/>
      <c r="L640">
        <f>RAVLT_Delayed!M640</f>
        <v>0.34246630146539098</v>
      </c>
      <c r="M640">
        <f>RAVLT_Delayed!N640</f>
        <v>63.4</v>
      </c>
      <c r="O640">
        <f>ABS(L640-RAVLT_Delayed!$C$34)</f>
        <v>1.8705142821980838</v>
      </c>
      <c r="P640">
        <f t="shared" si="10"/>
        <v>63.4</v>
      </c>
    </row>
    <row r="641" spans="10:16">
      <c r="J641" s="5"/>
      <c r="L641">
        <f>RAVLT_Delayed!M641</f>
        <v>0.34512553147047198</v>
      </c>
      <c r="M641">
        <f>RAVLT_Delayed!N641</f>
        <v>63.5</v>
      </c>
      <c r="O641">
        <f>ABS(L641-RAVLT_Delayed!$C$34)</f>
        <v>1.8731735122031647</v>
      </c>
      <c r="P641">
        <f t="shared" si="10"/>
        <v>63.5</v>
      </c>
    </row>
    <row r="642" spans="10:16">
      <c r="J642" s="5"/>
      <c r="L642">
        <f>RAVLT_Delayed!M642</f>
        <v>0.34778720427862703</v>
      </c>
      <c r="M642">
        <f>RAVLT_Delayed!N642</f>
        <v>63.6</v>
      </c>
      <c r="O642">
        <f>ABS(L642-RAVLT_Delayed!$C$34)</f>
        <v>1.8758351850113197</v>
      </c>
      <c r="P642">
        <f t="shared" si="10"/>
        <v>63.6</v>
      </c>
    </row>
    <row r="643" spans="10:16">
      <c r="J643" s="5"/>
      <c r="L643">
        <f>RAVLT_Delayed!M643</f>
        <v>0.350451343273461</v>
      </c>
      <c r="M643">
        <f>RAVLT_Delayed!N643</f>
        <v>63.7</v>
      </c>
      <c r="O643">
        <f>ABS(L643-RAVLT_Delayed!$C$34)</f>
        <v>1.8784993240061538</v>
      </c>
      <c r="P643">
        <f t="shared" si="10"/>
        <v>63.7</v>
      </c>
    </row>
    <row r="644" spans="10:16">
      <c r="J644" s="5"/>
      <c r="L644">
        <f>RAVLT_Delayed!M644</f>
        <v>0.35311797197368899</v>
      </c>
      <c r="M644">
        <f>RAVLT_Delayed!N644</f>
        <v>63.8</v>
      </c>
      <c r="O644">
        <f>ABS(L644-RAVLT_Delayed!$C$34)</f>
        <v>1.8811659527063818</v>
      </c>
      <c r="P644">
        <f t="shared" si="10"/>
        <v>63.8</v>
      </c>
    </row>
    <row r="645" spans="10:16">
      <c r="J645" s="5"/>
      <c r="L645">
        <f>RAVLT_Delayed!M645</f>
        <v>0.35578711403487501</v>
      </c>
      <c r="M645">
        <f>RAVLT_Delayed!N645</f>
        <v>63.9</v>
      </c>
      <c r="O645">
        <f>ABS(L645-RAVLT_Delayed!$C$34)</f>
        <v>1.8838350947675677</v>
      </c>
      <c r="P645">
        <f t="shared" si="10"/>
        <v>63.9</v>
      </c>
    </row>
    <row r="646" spans="10:16">
      <c r="J646" s="5"/>
      <c r="L646">
        <f>RAVLT_Delayed!M646</f>
        <v>0.35845879325119401</v>
      </c>
      <c r="M646">
        <f>RAVLT_Delayed!N646</f>
        <v>64</v>
      </c>
      <c r="O646">
        <f>ABS(L646-RAVLT_Delayed!$C$34)</f>
        <v>1.8865067739838868</v>
      </c>
      <c r="P646">
        <f t="shared" si="10"/>
        <v>64</v>
      </c>
    </row>
    <row r="647" spans="10:16">
      <c r="J647" s="5"/>
      <c r="L647">
        <f>RAVLT_Delayed!M647</f>
        <v>0.36113303355721199</v>
      </c>
      <c r="M647">
        <f>RAVLT_Delayed!N647</f>
        <v>64.099999999999994</v>
      </c>
      <c r="O647">
        <f>ABS(L647-RAVLT_Delayed!$C$34)</f>
        <v>1.8891810142899048</v>
      </c>
      <c r="P647">
        <f t="shared" ref="P647:P710" si="11">M647</f>
        <v>64.099999999999994</v>
      </c>
    </row>
    <row r="648" spans="10:16">
      <c r="J648" s="5"/>
      <c r="L648">
        <f>RAVLT_Delayed!M648</f>
        <v>0.36380985902969598</v>
      </c>
      <c r="M648">
        <f>RAVLT_Delayed!N648</f>
        <v>64.2</v>
      </c>
      <c r="O648">
        <f>ABS(L648-RAVLT_Delayed!$C$34)</f>
        <v>1.8918578397623889</v>
      </c>
      <c r="P648">
        <f t="shared" si="11"/>
        <v>64.2</v>
      </c>
    </row>
    <row r="649" spans="10:16">
      <c r="J649" s="5"/>
      <c r="L649">
        <f>RAVLT_Delayed!M649</f>
        <v>0.36648929388943402</v>
      </c>
      <c r="M649">
        <f>RAVLT_Delayed!N649</f>
        <v>64.3</v>
      </c>
      <c r="O649">
        <f>ABS(L649-RAVLT_Delayed!$C$34)</f>
        <v>1.8945372746221267</v>
      </c>
      <c r="P649">
        <f t="shared" si="11"/>
        <v>64.3</v>
      </c>
    </row>
    <row r="650" spans="10:16">
      <c r="J650" s="5"/>
      <c r="L650">
        <f>RAVLT_Delayed!M650</f>
        <v>0.36917136250309002</v>
      </c>
      <c r="M650">
        <f>RAVLT_Delayed!N650</f>
        <v>64.400000000000006</v>
      </c>
      <c r="O650">
        <f>ABS(L650-RAVLT_Delayed!$C$34)</f>
        <v>1.8972193432357827</v>
      </c>
      <c r="P650">
        <f t="shared" si="11"/>
        <v>64.400000000000006</v>
      </c>
    </row>
    <row r="651" spans="10:16">
      <c r="J651" s="5"/>
      <c r="L651">
        <f>RAVLT_Delayed!M651</f>
        <v>0.37185608938507497</v>
      </c>
      <c r="M651">
        <f>RAVLT_Delayed!N651</f>
        <v>64.5</v>
      </c>
      <c r="O651">
        <f>ABS(L651-RAVLT_Delayed!$C$34)</f>
        <v>1.8999040701177679</v>
      </c>
      <c r="P651">
        <f t="shared" si="11"/>
        <v>64.5</v>
      </c>
    </row>
    <row r="652" spans="10:16">
      <c r="J652" s="5"/>
      <c r="L652">
        <f>RAVLT_Delayed!M652</f>
        <v>0.37454349919944302</v>
      </c>
      <c r="M652">
        <f>RAVLT_Delayed!N652</f>
        <v>64.599999999999994</v>
      </c>
      <c r="O652">
        <f>ABS(L652-RAVLT_Delayed!$C$34)</f>
        <v>1.9025914799321357</v>
      </c>
      <c r="P652">
        <f t="shared" si="11"/>
        <v>64.599999999999994</v>
      </c>
    </row>
    <row r="653" spans="10:16">
      <c r="J653" s="5"/>
      <c r="L653">
        <f>RAVLT_Delayed!M653</f>
        <v>0.377233616761812</v>
      </c>
      <c r="M653">
        <f>RAVLT_Delayed!N653</f>
        <v>64.7</v>
      </c>
      <c r="O653">
        <f>ABS(L653-RAVLT_Delayed!$C$34)</f>
        <v>1.9052815974945048</v>
      </c>
      <c r="P653">
        <f t="shared" si="11"/>
        <v>64.7</v>
      </c>
    </row>
    <row r="654" spans="10:16">
      <c r="J654" s="5"/>
      <c r="L654">
        <f>RAVLT_Delayed!M654</f>
        <v>0.379926467041307</v>
      </c>
      <c r="M654">
        <f>RAVLT_Delayed!N654</f>
        <v>64.8</v>
      </c>
      <c r="O654">
        <f>ABS(L654-RAVLT_Delayed!$C$34)</f>
        <v>1.9079744477739997</v>
      </c>
      <c r="P654">
        <f t="shared" si="11"/>
        <v>64.8</v>
      </c>
    </row>
    <row r="655" spans="10:16">
      <c r="J655" s="5"/>
      <c r="L655">
        <f>RAVLT_Delayed!M655</f>
        <v>0.38262207516253399</v>
      </c>
      <c r="M655">
        <f>RAVLT_Delayed!N655</f>
        <v>64.900000000000006</v>
      </c>
      <c r="O655">
        <f>ABS(L655-RAVLT_Delayed!$C$34)</f>
        <v>1.9106700558952268</v>
      </c>
      <c r="P655">
        <f t="shared" si="11"/>
        <v>64.900000000000006</v>
      </c>
    </row>
    <row r="656" spans="10:16">
      <c r="J656" s="5"/>
      <c r="L656">
        <f>RAVLT_Delayed!M656</f>
        <v>0.38532046640756801</v>
      </c>
      <c r="M656">
        <f>RAVLT_Delayed!N656</f>
        <v>65</v>
      </c>
      <c r="O656">
        <f>ABS(L656-RAVLT_Delayed!$C$34)</f>
        <v>1.9133684471402608</v>
      </c>
      <c r="P656">
        <f t="shared" si="11"/>
        <v>65</v>
      </c>
    </row>
    <row r="657" spans="10:16">
      <c r="J657" s="5"/>
      <c r="L657">
        <f>RAVLT_Delayed!M657</f>
        <v>0.38802166621797701</v>
      </c>
      <c r="M657">
        <f>RAVLT_Delayed!N657</f>
        <v>65.099999999999994</v>
      </c>
      <c r="O657">
        <f>ABS(L657-RAVLT_Delayed!$C$34)</f>
        <v>1.9160696469506697</v>
      </c>
      <c r="P657">
        <f t="shared" si="11"/>
        <v>65.099999999999994</v>
      </c>
    </row>
    <row r="658" spans="10:16">
      <c r="J658" s="5"/>
      <c r="L658">
        <f>RAVLT_Delayed!M658</f>
        <v>0.39072570019686997</v>
      </c>
      <c r="M658">
        <f>RAVLT_Delayed!N658</f>
        <v>65.2</v>
      </c>
      <c r="O658">
        <f>ABS(L658-RAVLT_Delayed!$C$34)</f>
        <v>1.9187736809295628</v>
      </c>
      <c r="P658">
        <f t="shared" si="11"/>
        <v>65.2</v>
      </c>
    </row>
    <row r="659" spans="10:16">
      <c r="J659" s="5"/>
      <c r="L659">
        <f>RAVLT_Delayed!M659</f>
        <v>0.39343259411096698</v>
      </c>
      <c r="M659">
        <f>RAVLT_Delayed!N659</f>
        <v>65.3</v>
      </c>
      <c r="O659">
        <f>ABS(L659-RAVLT_Delayed!$C$34)</f>
        <v>1.9214805748436596</v>
      </c>
      <c r="P659">
        <f t="shared" si="11"/>
        <v>65.3</v>
      </c>
    </row>
    <row r="660" spans="10:16">
      <c r="J660" s="5"/>
      <c r="L660">
        <f>RAVLT_Delayed!M660</f>
        <v>0.39614237389269802</v>
      </c>
      <c r="M660">
        <f>RAVLT_Delayed!N660</f>
        <v>65.400000000000006</v>
      </c>
      <c r="O660">
        <f>ABS(L660-RAVLT_Delayed!$C$34)</f>
        <v>1.9241903546253907</v>
      </c>
      <c r="P660">
        <f t="shared" si="11"/>
        <v>65.400000000000006</v>
      </c>
    </row>
    <row r="661" spans="10:16">
      <c r="J661" s="5"/>
      <c r="L661">
        <f>RAVLT_Delayed!M661</f>
        <v>0.39885506564233703</v>
      </c>
      <c r="M661">
        <f>RAVLT_Delayed!N661</f>
        <v>65.5</v>
      </c>
      <c r="O661">
        <f>ABS(L661-RAVLT_Delayed!$C$34)</f>
        <v>1.9269030463750298</v>
      </c>
      <c r="P661">
        <f t="shared" si="11"/>
        <v>65.5</v>
      </c>
    </row>
    <row r="662" spans="10:16">
      <c r="J662" s="5"/>
      <c r="L662">
        <f>RAVLT_Delayed!M662</f>
        <v>0.40157069563014902</v>
      </c>
      <c r="M662">
        <f>RAVLT_Delayed!N662</f>
        <v>65.599999999999994</v>
      </c>
      <c r="O662">
        <f>ABS(L662-RAVLT_Delayed!$C$34)</f>
        <v>1.9296186763628418</v>
      </c>
      <c r="P662">
        <f t="shared" si="11"/>
        <v>65.599999999999994</v>
      </c>
    </row>
    <row r="663" spans="10:16">
      <c r="J663" s="5"/>
      <c r="L663">
        <f>RAVLT_Delayed!M663</f>
        <v>0.40428929029857902</v>
      </c>
      <c r="M663">
        <f>RAVLT_Delayed!N663</f>
        <v>65.7</v>
      </c>
      <c r="O663">
        <f>ABS(L663-RAVLT_Delayed!$C$34)</f>
        <v>1.9323372710312718</v>
      </c>
      <c r="P663">
        <f t="shared" si="11"/>
        <v>65.7</v>
      </c>
    </row>
    <row r="664" spans="10:16">
      <c r="J664" s="5"/>
      <c r="L664">
        <f>RAVLT_Delayed!M664</f>
        <v>0.40701087626446603</v>
      </c>
      <c r="M664">
        <f>RAVLT_Delayed!N664</f>
        <v>65.8</v>
      </c>
      <c r="O664">
        <f>ABS(L664-RAVLT_Delayed!$C$34)</f>
        <v>1.9350588569971587</v>
      </c>
      <c r="P664">
        <f t="shared" si="11"/>
        <v>65.8</v>
      </c>
    </row>
    <row r="665" spans="10:16">
      <c r="J665" s="5"/>
      <c r="L665">
        <f>RAVLT_Delayed!M665</f>
        <v>0.40973548032128099</v>
      </c>
      <c r="M665">
        <f>RAVLT_Delayed!N665</f>
        <v>65.900000000000006</v>
      </c>
      <c r="O665">
        <f>ABS(L665-RAVLT_Delayed!$C$34)</f>
        <v>1.9377834610539737</v>
      </c>
      <c r="P665">
        <f t="shared" si="11"/>
        <v>65.900000000000006</v>
      </c>
    </row>
    <row r="666" spans="10:16">
      <c r="J666" s="5"/>
      <c r="L666">
        <f>RAVLT_Delayed!M666</f>
        <v>0.41246312944140501</v>
      </c>
      <c r="M666">
        <f>RAVLT_Delayed!N666</f>
        <v>66</v>
      </c>
      <c r="O666">
        <f>ABS(L666-RAVLT_Delayed!$C$34)</f>
        <v>1.9405111101740977</v>
      </c>
      <c r="P666">
        <f t="shared" si="11"/>
        <v>66</v>
      </c>
    </row>
    <row r="667" spans="10:16">
      <c r="J667" s="5"/>
      <c r="L667">
        <f>RAVLT_Delayed!M667</f>
        <v>0.41519385077842702</v>
      </c>
      <c r="M667">
        <f>RAVLT_Delayed!N667</f>
        <v>66.099999999999994</v>
      </c>
      <c r="O667">
        <f>ABS(L667-RAVLT_Delayed!$C$34)</f>
        <v>1.9432418315111197</v>
      </c>
      <c r="P667">
        <f t="shared" si="11"/>
        <v>66.099999999999994</v>
      </c>
    </row>
    <row r="668" spans="10:16">
      <c r="J668" s="5"/>
      <c r="L668">
        <f>RAVLT_Delayed!M668</f>
        <v>0.41792767166948203</v>
      </c>
      <c r="M668">
        <f>RAVLT_Delayed!N668</f>
        <v>66.2</v>
      </c>
      <c r="O668">
        <f>ABS(L668-RAVLT_Delayed!$C$34)</f>
        <v>1.9459756524021747</v>
      </c>
      <c r="P668">
        <f t="shared" si="11"/>
        <v>66.2</v>
      </c>
    </row>
    <row r="669" spans="10:16">
      <c r="J669" s="5"/>
      <c r="L669">
        <f>RAVLT_Delayed!M669</f>
        <v>0.42066461963761598</v>
      </c>
      <c r="M669">
        <f>RAVLT_Delayed!N669</f>
        <v>66.3</v>
      </c>
      <c r="O669">
        <f>ABS(L669-RAVLT_Delayed!$C$34)</f>
        <v>1.9487126003703088</v>
      </c>
      <c r="P669">
        <f t="shared" si="11"/>
        <v>66.3</v>
      </c>
    </row>
    <row r="670" spans="10:16">
      <c r="J670" s="5"/>
      <c r="L670">
        <f>RAVLT_Delayed!M670</f>
        <v>0.42340472239418298</v>
      </c>
      <c r="M670">
        <f>RAVLT_Delayed!N670</f>
        <v>66.400000000000006</v>
      </c>
      <c r="O670">
        <f>ABS(L670-RAVLT_Delayed!$C$34)</f>
        <v>1.9514527031268758</v>
      </c>
      <c r="P670">
        <f t="shared" si="11"/>
        <v>66.400000000000006</v>
      </c>
    </row>
    <row r="671" spans="10:16">
      <c r="J671" s="5"/>
      <c r="L671">
        <f>RAVLT_Delayed!M671</f>
        <v>0.42614800784127799</v>
      </c>
      <c r="M671">
        <f>RAVLT_Delayed!N671</f>
        <v>66.5</v>
      </c>
      <c r="O671">
        <f>ABS(L671-RAVLT_Delayed!$C$34)</f>
        <v>1.9541959885739708</v>
      </c>
      <c r="P671">
        <f t="shared" si="11"/>
        <v>66.5</v>
      </c>
    </row>
    <row r="672" spans="10:16">
      <c r="J672" s="5"/>
      <c r="L672">
        <f>RAVLT_Delayed!M672</f>
        <v>0.42889450407420199</v>
      </c>
      <c r="M672">
        <f>RAVLT_Delayed!N672</f>
        <v>66.599999999999994</v>
      </c>
      <c r="O672">
        <f>ABS(L672-RAVLT_Delayed!$C$34)</f>
        <v>1.9569424848068948</v>
      </c>
      <c r="P672">
        <f t="shared" si="11"/>
        <v>66.599999999999994</v>
      </c>
    </row>
    <row r="673" spans="10:16">
      <c r="J673" s="5"/>
      <c r="L673">
        <f>RAVLT_Delayed!M673</f>
        <v>0.43164423938395602</v>
      </c>
      <c r="M673">
        <f>RAVLT_Delayed!N673</f>
        <v>66.7</v>
      </c>
      <c r="O673">
        <f>ABS(L673-RAVLT_Delayed!$C$34)</f>
        <v>1.9596922201166489</v>
      </c>
      <c r="P673">
        <f t="shared" si="11"/>
        <v>66.7</v>
      </c>
    </row>
    <row r="674" spans="10:16">
      <c r="J674" s="5"/>
      <c r="L674">
        <f>RAVLT_Delayed!M674</f>
        <v>0.43439724225978099</v>
      </c>
      <c r="M674">
        <f>RAVLT_Delayed!N674</f>
        <v>66.8</v>
      </c>
      <c r="O674">
        <f>ABS(L674-RAVLT_Delayed!$C$34)</f>
        <v>1.9624452229924738</v>
      </c>
      <c r="P674">
        <f t="shared" si="11"/>
        <v>66.8</v>
      </c>
    </row>
    <row r="675" spans="10:16">
      <c r="J675" s="5"/>
      <c r="L675">
        <f>RAVLT_Delayed!M675</f>
        <v>0.43715354139172202</v>
      </c>
      <c r="M675">
        <f>RAVLT_Delayed!N675</f>
        <v>66.900000000000006</v>
      </c>
      <c r="O675">
        <f>ABS(L675-RAVLT_Delayed!$C$34)</f>
        <v>1.9652015221244148</v>
      </c>
      <c r="P675">
        <f t="shared" si="11"/>
        <v>66.900000000000006</v>
      </c>
    </row>
    <row r="676" spans="10:16">
      <c r="J676" s="5"/>
      <c r="L676">
        <f>RAVLT_Delayed!M676</f>
        <v>0.43991316567323402</v>
      </c>
      <c r="M676">
        <f>RAVLT_Delayed!N676</f>
        <v>67</v>
      </c>
      <c r="O676">
        <f>ABS(L676-RAVLT_Delayed!$C$34)</f>
        <v>1.9679611464059268</v>
      </c>
      <c r="P676">
        <f t="shared" si="11"/>
        <v>67</v>
      </c>
    </row>
    <row r="677" spans="10:16">
      <c r="J677" s="5"/>
      <c r="L677">
        <f>RAVLT_Delayed!M677</f>
        <v>0.44267614420382201</v>
      </c>
      <c r="M677">
        <f>RAVLT_Delayed!N677</f>
        <v>67.099999999999994</v>
      </c>
      <c r="O677">
        <f>ABS(L677-RAVLT_Delayed!$C$34)</f>
        <v>1.9707241249365148</v>
      </c>
      <c r="P677">
        <f t="shared" si="11"/>
        <v>67.099999999999994</v>
      </c>
    </row>
    <row r="678" spans="10:16">
      <c r="J678" s="5"/>
      <c r="L678">
        <f>RAVLT_Delayed!M678</f>
        <v>0.44544250629172</v>
      </c>
      <c r="M678">
        <f>RAVLT_Delayed!N678</f>
        <v>67.2</v>
      </c>
      <c r="O678">
        <f>ABS(L678-RAVLT_Delayed!$C$34)</f>
        <v>1.9734904870244128</v>
      </c>
      <c r="P678">
        <f t="shared" si="11"/>
        <v>67.2</v>
      </c>
    </row>
    <row r="679" spans="10:16">
      <c r="J679" s="5"/>
      <c r="L679">
        <f>RAVLT_Delayed!M679</f>
        <v>0.44821228145660902</v>
      </c>
      <c r="M679">
        <f>RAVLT_Delayed!N679</f>
        <v>67.3</v>
      </c>
      <c r="O679">
        <f>ABS(L679-RAVLT_Delayed!$C$34)</f>
        <v>1.9762602621893017</v>
      </c>
      <c r="P679">
        <f t="shared" si="11"/>
        <v>67.3</v>
      </c>
    </row>
    <row r="680" spans="10:16">
      <c r="J680" s="5"/>
      <c r="L680">
        <f>RAVLT_Delayed!M680</f>
        <v>0.45098549943237098</v>
      </c>
      <c r="M680">
        <f>RAVLT_Delayed!N680</f>
        <v>67.400000000000006</v>
      </c>
      <c r="O680">
        <f>ABS(L680-RAVLT_Delayed!$C$34)</f>
        <v>1.9790334801650638</v>
      </c>
      <c r="P680">
        <f t="shared" si="11"/>
        <v>67.400000000000006</v>
      </c>
    </row>
    <row r="681" spans="10:16">
      <c r="J681" s="5"/>
      <c r="L681">
        <f>RAVLT_Delayed!M681</f>
        <v>0.45376219016988001</v>
      </c>
      <c r="M681">
        <f>RAVLT_Delayed!N681</f>
        <v>67.5</v>
      </c>
      <c r="O681">
        <f>ABS(L681-RAVLT_Delayed!$C$34)</f>
        <v>1.9818101709025728</v>
      </c>
      <c r="P681">
        <f t="shared" si="11"/>
        <v>67.5</v>
      </c>
    </row>
    <row r="682" spans="10:16">
      <c r="J682" s="5"/>
      <c r="L682">
        <f>RAVLT_Delayed!M682</f>
        <v>0.45654238383984103</v>
      </c>
      <c r="M682">
        <f>RAVLT_Delayed!N682</f>
        <v>67.599999999999994</v>
      </c>
      <c r="O682">
        <f>ABS(L682-RAVLT_Delayed!$C$34)</f>
        <v>1.9845903645725338</v>
      </c>
      <c r="P682">
        <f t="shared" si="11"/>
        <v>67.599999999999994</v>
      </c>
    </row>
    <row r="683" spans="10:16">
      <c r="J683" s="5"/>
      <c r="L683">
        <f>RAVLT_Delayed!M683</f>
        <v>0.45932611083566299</v>
      </c>
      <c r="M683">
        <f>RAVLT_Delayed!N683</f>
        <v>67.7</v>
      </c>
      <c r="O683">
        <f>ABS(L683-RAVLT_Delayed!$C$34)</f>
        <v>1.9873740915683558</v>
      </c>
      <c r="P683">
        <f t="shared" si="11"/>
        <v>67.7</v>
      </c>
    </row>
    <row r="684" spans="10:16">
      <c r="J684" s="5"/>
      <c r="L684">
        <f>RAVLT_Delayed!M684</f>
        <v>0.462113401776377</v>
      </c>
      <c r="M684">
        <f>RAVLT_Delayed!N684</f>
        <v>67.8</v>
      </c>
      <c r="O684">
        <f>ABS(L684-RAVLT_Delayed!$C$34)</f>
        <v>1.9901613825090698</v>
      </c>
      <c r="P684">
        <f t="shared" si="11"/>
        <v>67.8</v>
      </c>
    </row>
    <row r="685" spans="10:16">
      <c r="J685" s="5"/>
      <c r="L685">
        <f>RAVLT_Delayed!M685</f>
        <v>0.464904287509595</v>
      </c>
      <c r="M685">
        <f>RAVLT_Delayed!N685</f>
        <v>67.900000000000006</v>
      </c>
      <c r="O685">
        <f>ABS(L685-RAVLT_Delayed!$C$34)</f>
        <v>1.9929522682422878</v>
      </c>
      <c r="P685">
        <f t="shared" si="11"/>
        <v>67.900000000000006</v>
      </c>
    </row>
    <row r="686" spans="10:16">
      <c r="J686" s="5"/>
      <c r="L686">
        <f>RAVLT_Delayed!M686</f>
        <v>0.46769879911450801</v>
      </c>
      <c r="M686">
        <f>RAVLT_Delayed!N686</f>
        <v>68</v>
      </c>
      <c r="O686">
        <f>ABS(L686-RAVLT_Delayed!$C$34)</f>
        <v>1.9957467798472008</v>
      </c>
      <c r="P686">
        <f t="shared" si="11"/>
        <v>68</v>
      </c>
    </row>
    <row r="687" spans="10:16">
      <c r="J687" s="5"/>
      <c r="L687">
        <f>RAVLT_Delayed!M687</f>
        <v>0.470496967904941</v>
      </c>
      <c r="M687">
        <f>RAVLT_Delayed!N687</f>
        <v>68.099999999999994</v>
      </c>
      <c r="O687">
        <f>ABS(L687-RAVLT_Delayed!$C$34)</f>
        <v>1.9985449486376337</v>
      </c>
      <c r="P687">
        <f t="shared" si="11"/>
        <v>68.099999999999994</v>
      </c>
    </row>
    <row r="688" spans="10:16">
      <c r="J688" s="5"/>
      <c r="L688">
        <f>RAVLT_Delayed!M688</f>
        <v>0.47329882543243701</v>
      </c>
      <c r="M688">
        <f>RAVLT_Delayed!N688</f>
        <v>68.2</v>
      </c>
      <c r="O688">
        <f>ABS(L688-RAVLT_Delayed!$C$34)</f>
        <v>2.0013468061651296</v>
      </c>
      <c r="P688">
        <f t="shared" si="11"/>
        <v>68.2</v>
      </c>
    </row>
    <row r="689" spans="10:16">
      <c r="J689" s="5"/>
      <c r="L689">
        <f>RAVLT_Delayed!M689</f>
        <v>0.47610440348939498</v>
      </c>
      <c r="M689">
        <f>RAVLT_Delayed!N689</f>
        <v>68.3</v>
      </c>
      <c r="O689">
        <f>ABS(L689-RAVLT_Delayed!$C$34)</f>
        <v>2.0041523842220879</v>
      </c>
      <c r="P689">
        <f t="shared" si="11"/>
        <v>68.3</v>
      </c>
    </row>
    <row r="690" spans="10:16">
      <c r="J690" s="5"/>
      <c r="L690">
        <f>RAVLT_Delayed!M690</f>
        <v>0.47891373411225602</v>
      </c>
      <c r="M690">
        <f>RAVLT_Delayed!N690</f>
        <v>68.400000000000006</v>
      </c>
      <c r="O690">
        <f>ABS(L690-RAVLT_Delayed!$C$34)</f>
        <v>2.006961714844949</v>
      </c>
      <c r="P690">
        <f t="shared" si="11"/>
        <v>68.400000000000006</v>
      </c>
    </row>
    <row r="691" spans="10:16">
      <c r="J691" s="5"/>
      <c r="L691">
        <f>RAVLT_Delayed!M691</f>
        <v>0.48172684958473</v>
      </c>
      <c r="M691">
        <f>RAVLT_Delayed!N691</f>
        <v>68.5</v>
      </c>
      <c r="O691">
        <f>ABS(L691-RAVLT_Delayed!$C$34)</f>
        <v>2.009774830317423</v>
      </c>
      <c r="P691">
        <f t="shared" si="11"/>
        <v>68.5</v>
      </c>
    </row>
    <row r="692" spans="10:16">
      <c r="J692" s="5"/>
      <c r="L692">
        <f>RAVLT_Delayed!M692</f>
        <v>0.48454378244107899</v>
      </c>
      <c r="M692">
        <f>RAVLT_Delayed!N692</f>
        <v>68.599999999999994</v>
      </c>
      <c r="O692">
        <f>ABS(L692-RAVLT_Delayed!$C$34)</f>
        <v>2.0125917631737718</v>
      </c>
      <c r="P692">
        <f t="shared" si="11"/>
        <v>68.599999999999994</v>
      </c>
    </row>
    <row r="693" spans="10:16">
      <c r="J693" s="5"/>
      <c r="L693">
        <f>RAVLT_Delayed!M693</f>
        <v>0.48736456546944101</v>
      </c>
      <c r="M693">
        <f>RAVLT_Delayed!N693</f>
        <v>68.7</v>
      </c>
      <c r="O693">
        <f>ABS(L693-RAVLT_Delayed!$C$34)</f>
        <v>2.0154125462021337</v>
      </c>
      <c r="P693">
        <f t="shared" si="11"/>
        <v>68.7</v>
      </c>
    </row>
    <row r="694" spans="10:16">
      <c r="J694" s="5"/>
      <c r="L694">
        <f>RAVLT_Delayed!M694</f>
        <v>0.49018923171521001</v>
      </c>
      <c r="M694">
        <f>RAVLT_Delayed!N694</f>
        <v>68.8</v>
      </c>
      <c r="O694">
        <f>ABS(L694-RAVLT_Delayed!$C$34)</f>
        <v>2.0182372124479029</v>
      </c>
      <c r="P694">
        <f t="shared" si="11"/>
        <v>68.8</v>
      </c>
    </row>
    <row r="695" spans="10:16">
      <c r="J695" s="5"/>
      <c r="L695">
        <f>RAVLT_Delayed!M695</f>
        <v>0.49301781448446502</v>
      </c>
      <c r="M695">
        <f>RAVLT_Delayed!N695</f>
        <v>68.900000000000006</v>
      </c>
      <c r="O695">
        <f>ABS(L695-RAVLT_Delayed!$C$34)</f>
        <v>2.021065795217158</v>
      </c>
      <c r="P695">
        <f t="shared" si="11"/>
        <v>68.900000000000006</v>
      </c>
    </row>
    <row r="696" spans="10:16">
      <c r="J696" s="5"/>
      <c r="L696">
        <f>RAVLT_Delayed!M696</f>
        <v>0.49585034734745298</v>
      </c>
      <c r="M696">
        <f>RAVLT_Delayed!N696</f>
        <v>69</v>
      </c>
      <c r="O696">
        <f>ABS(L696-RAVLT_Delayed!$C$34)</f>
        <v>2.0238983280801457</v>
      </c>
      <c r="P696">
        <f t="shared" si="11"/>
        <v>69</v>
      </c>
    </row>
    <row r="697" spans="10:16">
      <c r="J697" s="5"/>
      <c r="L697">
        <f>RAVLT_Delayed!M697</f>
        <v>0.49868686414212199</v>
      </c>
      <c r="M697">
        <f>RAVLT_Delayed!N697</f>
        <v>69.099999999999994</v>
      </c>
      <c r="O697">
        <f>ABS(L697-RAVLT_Delayed!$C$34)</f>
        <v>2.0267348448748148</v>
      </c>
      <c r="P697">
        <f t="shared" si="11"/>
        <v>69.099999999999994</v>
      </c>
    </row>
    <row r="698" spans="10:16">
      <c r="J698" s="5"/>
      <c r="L698">
        <f>RAVLT_Delayed!M698</f>
        <v>0.50152739897770804</v>
      </c>
      <c r="M698">
        <f>RAVLT_Delayed!N698</f>
        <v>69.2</v>
      </c>
      <c r="O698">
        <f>ABS(L698-RAVLT_Delayed!$C$34)</f>
        <v>2.0295753797104008</v>
      </c>
      <c r="P698">
        <f t="shared" si="11"/>
        <v>69.2</v>
      </c>
    </row>
    <row r="699" spans="10:16">
      <c r="J699" s="5"/>
      <c r="L699">
        <f>RAVLT_Delayed!M699</f>
        <v>0.50437198623838198</v>
      </c>
      <c r="M699">
        <f>RAVLT_Delayed!N699</f>
        <v>69.3</v>
      </c>
      <c r="O699">
        <f>ABS(L699-RAVLT_Delayed!$C$34)</f>
        <v>2.0324199669710747</v>
      </c>
      <c r="P699">
        <f t="shared" si="11"/>
        <v>69.3</v>
      </c>
    </row>
    <row r="700" spans="10:16">
      <c r="J700" s="5"/>
      <c r="L700">
        <f>RAVLT_Delayed!M700</f>
        <v>0.50722066058694604</v>
      </c>
      <c r="M700">
        <f>RAVLT_Delayed!N700</f>
        <v>69.400000000000006</v>
      </c>
      <c r="O700">
        <f>ABS(L700-RAVLT_Delayed!$C$34)</f>
        <v>2.0352686413196386</v>
      </c>
      <c r="P700">
        <f t="shared" si="11"/>
        <v>69.400000000000006</v>
      </c>
    </row>
    <row r="701" spans="10:16">
      <c r="J701" s="5"/>
      <c r="L701">
        <f>RAVLT_Delayed!M701</f>
        <v>0.51007345696859496</v>
      </c>
      <c r="M701">
        <f>RAVLT_Delayed!N701</f>
        <v>69.5</v>
      </c>
      <c r="O701">
        <f>ABS(L701-RAVLT_Delayed!$C$34)</f>
        <v>2.038121437701288</v>
      </c>
      <c r="P701">
        <f t="shared" si="11"/>
        <v>69.5</v>
      </c>
    </row>
    <row r="702" spans="10:16">
      <c r="J702" s="5"/>
      <c r="L702">
        <f>RAVLT_Delayed!M702</f>
        <v>0.51293041061472899</v>
      </c>
      <c r="M702">
        <f>RAVLT_Delayed!N702</f>
        <v>69.599999999999994</v>
      </c>
      <c r="O702">
        <f>ABS(L702-RAVLT_Delayed!$C$34)</f>
        <v>2.040978391347422</v>
      </c>
      <c r="P702">
        <f t="shared" si="11"/>
        <v>69.599999999999994</v>
      </c>
    </row>
    <row r="703" spans="10:16">
      <c r="J703" s="5"/>
      <c r="L703">
        <f>RAVLT_Delayed!M703</f>
        <v>0.515791557046828</v>
      </c>
      <c r="M703">
        <f>RAVLT_Delayed!N703</f>
        <v>69.7</v>
      </c>
      <c r="O703">
        <f>ABS(L703-RAVLT_Delayed!$C$34)</f>
        <v>2.0438395377795207</v>
      </c>
      <c r="P703">
        <f t="shared" si="11"/>
        <v>69.7</v>
      </c>
    </row>
    <row r="704" spans="10:16">
      <c r="J704" s="5"/>
      <c r="L704">
        <f>RAVLT_Delayed!M704</f>
        <v>0.51865693208039099</v>
      </c>
      <c r="M704">
        <f>RAVLT_Delayed!N704</f>
        <v>69.8</v>
      </c>
      <c r="O704">
        <f>ABS(L704-RAVLT_Delayed!$C$34)</f>
        <v>2.0467049128130839</v>
      </c>
      <c r="P704">
        <f t="shared" si="11"/>
        <v>69.8</v>
      </c>
    </row>
    <row r="705" spans="10:16">
      <c r="J705" s="5"/>
      <c r="L705">
        <f>RAVLT_Delayed!M705</f>
        <v>0.52152657182893203</v>
      </c>
      <c r="M705">
        <f>RAVLT_Delayed!N705</f>
        <v>69.900000000000006</v>
      </c>
      <c r="O705">
        <f>ABS(L705-RAVLT_Delayed!$C$34)</f>
        <v>2.0495745525616247</v>
      </c>
      <c r="P705">
        <f t="shared" si="11"/>
        <v>69.900000000000006</v>
      </c>
    </row>
    <row r="706" spans="10:16">
      <c r="J706" s="5"/>
      <c r="L706">
        <f>RAVLT_Delayed!M706</f>
        <v>0.524400512708041</v>
      </c>
      <c r="M706">
        <f>RAVLT_Delayed!N706</f>
        <v>70</v>
      </c>
      <c r="O706">
        <f>ABS(L706-RAVLT_Delayed!$C$34)</f>
        <v>2.0524484934407337</v>
      </c>
      <c r="P706">
        <f t="shared" si="11"/>
        <v>70</v>
      </c>
    </row>
    <row r="707" spans="10:16">
      <c r="J707" s="5"/>
      <c r="L707">
        <f>RAVLT_Delayed!M707</f>
        <v>0.52727879143950895</v>
      </c>
      <c r="M707">
        <f>RAVLT_Delayed!N707</f>
        <v>70.099999999999994</v>
      </c>
      <c r="O707">
        <f>ABS(L707-RAVLT_Delayed!$C$34)</f>
        <v>2.0553267721722017</v>
      </c>
      <c r="P707">
        <f t="shared" si="11"/>
        <v>70.099999999999994</v>
      </c>
    </row>
    <row r="708" spans="10:16">
      <c r="J708" s="5"/>
      <c r="L708">
        <f>RAVLT_Delayed!M708</f>
        <v>0.53016144505551899</v>
      </c>
      <c r="M708">
        <f>RAVLT_Delayed!N708</f>
        <v>70.2</v>
      </c>
      <c r="O708">
        <f>ABS(L708-RAVLT_Delayed!$C$34)</f>
        <v>2.0582094257882115</v>
      </c>
      <c r="P708">
        <f t="shared" si="11"/>
        <v>70.2</v>
      </c>
    </row>
    <row r="709" spans="10:16">
      <c r="J709" s="5"/>
      <c r="L709">
        <f>RAVLT_Delayed!M709</f>
        <v>0.53304851090290895</v>
      </c>
      <c r="M709">
        <f>RAVLT_Delayed!N709</f>
        <v>70.3</v>
      </c>
      <c r="O709">
        <f>ABS(L709-RAVLT_Delayed!$C$34)</f>
        <v>2.0610964916356016</v>
      </c>
      <c r="P709">
        <f t="shared" si="11"/>
        <v>70.3</v>
      </c>
    </row>
    <row r="710" spans="10:16">
      <c r="J710" s="5"/>
      <c r="L710">
        <f>RAVLT_Delayed!M710</f>
        <v>0.53594002664748996</v>
      </c>
      <c r="M710">
        <f>RAVLT_Delayed!N710</f>
        <v>70.400000000000006</v>
      </c>
      <c r="O710">
        <f>ABS(L710-RAVLT_Delayed!$C$34)</f>
        <v>2.0639880073801828</v>
      </c>
      <c r="P710">
        <f t="shared" si="11"/>
        <v>70.400000000000006</v>
      </c>
    </row>
    <row r="711" spans="10:16">
      <c r="J711" s="5"/>
      <c r="L711">
        <f>RAVLT_Delayed!M711</f>
        <v>0.53883603027844995</v>
      </c>
      <c r="M711">
        <f>RAVLT_Delayed!N711</f>
        <v>70.5</v>
      </c>
      <c r="O711">
        <f>ABS(L711-RAVLT_Delayed!$C$34)</f>
        <v>2.0668840110111426</v>
      </c>
      <c r="P711">
        <f t="shared" ref="P711:P774" si="12">M711</f>
        <v>70.5</v>
      </c>
    </row>
    <row r="712" spans="10:16">
      <c r="J712" s="5"/>
      <c r="L712">
        <f>RAVLT_Delayed!M712</f>
        <v>0.54173656011281701</v>
      </c>
      <c r="M712">
        <f>RAVLT_Delayed!N712</f>
        <v>70.599999999999994</v>
      </c>
      <c r="O712">
        <f>ABS(L712-RAVLT_Delayed!$C$34)</f>
        <v>2.06978454084551</v>
      </c>
      <c r="P712">
        <f t="shared" si="12"/>
        <v>70.599999999999994</v>
      </c>
    </row>
    <row r="713" spans="10:16">
      <c r="J713" s="5"/>
      <c r="L713">
        <f>RAVLT_Delayed!M713</f>
        <v>0.54464165479999904</v>
      </c>
      <c r="M713">
        <f>RAVLT_Delayed!N713</f>
        <v>70.7</v>
      </c>
      <c r="O713">
        <f>ABS(L713-RAVLT_Delayed!$C$34)</f>
        <v>2.0726896355326918</v>
      </c>
      <c r="P713">
        <f t="shared" si="12"/>
        <v>70.7</v>
      </c>
    </row>
    <row r="714" spans="10:16">
      <c r="J714" s="5"/>
      <c r="L714">
        <f>RAVLT_Delayed!M714</f>
        <v>0.54755135332640104</v>
      </c>
      <c r="M714">
        <f>RAVLT_Delayed!N714</f>
        <v>70.8</v>
      </c>
      <c r="O714">
        <f>ABS(L714-RAVLT_Delayed!$C$34)</f>
        <v>2.0755993340590937</v>
      </c>
      <c r="P714">
        <f t="shared" si="12"/>
        <v>70.8</v>
      </c>
    </row>
    <row r="715" spans="10:16">
      <c r="J715" s="5"/>
      <c r="L715">
        <f>RAVLT_Delayed!M715</f>
        <v>0.550465695020112</v>
      </c>
      <c r="M715">
        <f>RAVLT_Delayed!N715</f>
        <v>70.900000000000006</v>
      </c>
      <c r="O715">
        <f>ABS(L715-RAVLT_Delayed!$C$34)</f>
        <v>2.0785136757528049</v>
      </c>
      <c r="P715">
        <f t="shared" si="12"/>
        <v>70.900000000000006</v>
      </c>
    </row>
    <row r="716" spans="10:16">
      <c r="J716" s="5"/>
      <c r="L716">
        <f>RAVLT_Delayed!M716</f>
        <v>0.55338471955567303</v>
      </c>
      <c r="M716">
        <f>RAVLT_Delayed!N716</f>
        <v>71</v>
      </c>
      <c r="O716">
        <f>ABS(L716-RAVLT_Delayed!$C$34)</f>
        <v>2.0814327002883659</v>
      </c>
      <c r="P716">
        <f t="shared" si="12"/>
        <v>71</v>
      </c>
    </row>
    <row r="717" spans="10:16">
      <c r="J717" s="5"/>
      <c r="L717">
        <f>RAVLT_Delayed!M717</f>
        <v>0.556308466958918</v>
      </c>
      <c r="M717">
        <f>RAVLT_Delayed!N717</f>
        <v>71.099999999999994</v>
      </c>
      <c r="O717">
        <f>ABS(L717-RAVLT_Delayed!$C$34)</f>
        <v>2.0843564476916105</v>
      </c>
      <c r="P717">
        <f t="shared" si="12"/>
        <v>71.099999999999994</v>
      </c>
    </row>
    <row r="718" spans="10:16">
      <c r="J718" s="5"/>
      <c r="L718">
        <f>RAVLT_Delayed!M718</f>
        <v>0.55923697761190705</v>
      </c>
      <c r="M718">
        <f>RAVLT_Delayed!N718</f>
        <v>71.2</v>
      </c>
      <c r="O718">
        <f>ABS(L718-RAVLT_Delayed!$C$34)</f>
        <v>2.0872849583445996</v>
      </c>
      <c r="P718">
        <f t="shared" si="12"/>
        <v>71.2</v>
      </c>
    </row>
    <row r="719" spans="10:16">
      <c r="J719" s="5"/>
      <c r="L719">
        <f>RAVLT_Delayed!M719</f>
        <v>0.56217029225792603</v>
      </c>
      <c r="M719">
        <f>RAVLT_Delayed!N719</f>
        <v>71.3</v>
      </c>
      <c r="O719">
        <f>ABS(L719-RAVLT_Delayed!$C$34)</f>
        <v>2.0902182729906187</v>
      </c>
      <c r="P719">
        <f t="shared" si="12"/>
        <v>71.3</v>
      </c>
    </row>
    <row r="720" spans="10:16">
      <c r="J720" s="5"/>
      <c r="L720">
        <f>RAVLT_Delayed!M720</f>
        <v>0.56510845200658399</v>
      </c>
      <c r="M720">
        <f>RAVLT_Delayed!N720</f>
        <v>71.400000000000006</v>
      </c>
      <c r="O720">
        <f>ABS(L720-RAVLT_Delayed!$C$34)</f>
        <v>2.0931564327392769</v>
      </c>
      <c r="P720">
        <f t="shared" si="12"/>
        <v>71.400000000000006</v>
      </c>
    </row>
    <row r="721" spans="10:16">
      <c r="J721" s="5"/>
      <c r="L721">
        <f>RAVLT_Delayed!M721</f>
        <v>0.56805149833898305</v>
      </c>
      <c r="M721">
        <f>RAVLT_Delayed!N721</f>
        <v>71.5</v>
      </c>
      <c r="O721">
        <f>ABS(L721-RAVLT_Delayed!$C$34)</f>
        <v>2.0960994790716758</v>
      </c>
      <c r="P721">
        <f t="shared" si="12"/>
        <v>71.5</v>
      </c>
    </row>
    <row r="722" spans="10:16">
      <c r="J722" s="5"/>
      <c r="L722">
        <f>RAVLT_Delayed!M722</f>
        <v>0.57099947311298704</v>
      </c>
      <c r="M722">
        <f>RAVLT_Delayed!N722</f>
        <v>71.599999999999994</v>
      </c>
      <c r="O722">
        <f>ABS(L722-RAVLT_Delayed!$C$34)</f>
        <v>2.0990474538456798</v>
      </c>
      <c r="P722">
        <f t="shared" si="12"/>
        <v>71.599999999999994</v>
      </c>
    </row>
    <row r="723" spans="10:16">
      <c r="J723" s="5"/>
      <c r="L723">
        <f>RAVLT_Delayed!M723</f>
        <v>0.57395241856857304</v>
      </c>
      <c r="M723">
        <f>RAVLT_Delayed!N723</f>
        <v>71.7</v>
      </c>
      <c r="O723">
        <f>ABS(L723-RAVLT_Delayed!$C$34)</f>
        <v>2.1020003993012657</v>
      </c>
      <c r="P723">
        <f t="shared" si="12"/>
        <v>71.7</v>
      </c>
    </row>
    <row r="724" spans="10:16">
      <c r="J724" s="5"/>
      <c r="L724">
        <f>RAVLT_Delayed!M724</f>
        <v>0.576910377333271</v>
      </c>
      <c r="M724">
        <f>RAVLT_Delayed!N724</f>
        <v>71.8</v>
      </c>
      <c r="O724">
        <f>ABS(L724-RAVLT_Delayed!$C$34)</f>
        <v>2.1049583580659639</v>
      </c>
      <c r="P724">
        <f t="shared" si="12"/>
        <v>71.8</v>
      </c>
    </row>
    <row r="725" spans="10:16">
      <c r="J725" s="5"/>
      <c r="L725">
        <f>RAVLT_Delayed!M725</f>
        <v>0.57987339242770397</v>
      </c>
      <c r="M725">
        <f>RAVLT_Delayed!N725</f>
        <v>71.900000000000006</v>
      </c>
      <c r="O725">
        <f>ABS(L725-RAVLT_Delayed!$C$34)</f>
        <v>2.107921373160397</v>
      </c>
      <c r="P725">
        <f t="shared" si="12"/>
        <v>71.900000000000006</v>
      </c>
    </row>
    <row r="726" spans="10:16">
      <c r="J726" s="5"/>
      <c r="L726">
        <f>RAVLT_Delayed!M726</f>
        <v>0.58284150727121598</v>
      </c>
      <c r="M726">
        <f>RAVLT_Delayed!N726</f>
        <v>72</v>
      </c>
      <c r="O726">
        <f>ABS(L726-RAVLT_Delayed!$C$34)</f>
        <v>2.1108894880039086</v>
      </c>
      <c r="P726">
        <f t="shared" si="12"/>
        <v>72</v>
      </c>
    </row>
    <row r="727" spans="10:16">
      <c r="J727" s="5"/>
      <c r="L727">
        <f>RAVLT_Delayed!M727</f>
        <v>0.58581476568759905</v>
      </c>
      <c r="M727">
        <f>RAVLT_Delayed!N727</f>
        <v>72.099999999999994</v>
      </c>
      <c r="O727">
        <f>ABS(L727-RAVLT_Delayed!$C$34)</f>
        <v>2.1138627464202919</v>
      </c>
      <c r="P727">
        <f t="shared" si="12"/>
        <v>72.099999999999994</v>
      </c>
    </row>
    <row r="728" spans="10:16">
      <c r="J728" s="5"/>
      <c r="L728">
        <f>RAVLT_Delayed!M728</f>
        <v>0.58879321191092004</v>
      </c>
      <c r="M728">
        <f>RAVLT_Delayed!N728</f>
        <v>72.2</v>
      </c>
      <c r="O728">
        <f>ABS(L728-RAVLT_Delayed!$C$34)</f>
        <v>2.116841192643613</v>
      </c>
      <c r="P728">
        <f t="shared" si="12"/>
        <v>72.2</v>
      </c>
    </row>
    <row r="729" spans="10:16">
      <c r="J729" s="5"/>
      <c r="L729">
        <f>RAVLT_Delayed!M729</f>
        <v>0.591776890591446</v>
      </c>
      <c r="M729">
        <f>RAVLT_Delayed!N729</f>
        <v>72.3</v>
      </c>
      <c r="O729">
        <f>ABS(L729-RAVLT_Delayed!$C$34)</f>
        <v>2.1198248713241385</v>
      </c>
      <c r="P729">
        <f t="shared" si="12"/>
        <v>72.3</v>
      </c>
    </row>
    <row r="730" spans="10:16">
      <c r="J730" s="5"/>
      <c r="L730">
        <f>RAVLT_Delayed!M730</f>
        <v>0.59476584680167799</v>
      </c>
      <c r="M730">
        <f>RAVLT_Delayed!N730</f>
        <v>72.400000000000006</v>
      </c>
      <c r="O730">
        <f>ABS(L730-RAVLT_Delayed!$C$34)</f>
        <v>2.1228138275343706</v>
      </c>
      <c r="P730">
        <f t="shared" si="12"/>
        <v>72.400000000000006</v>
      </c>
    </row>
    <row r="731" spans="10:16">
      <c r="J731" s="5"/>
      <c r="L731">
        <f>RAVLT_Delayed!M731</f>
        <v>0.59776012604247797</v>
      </c>
      <c r="M731">
        <f>RAVLT_Delayed!N731</f>
        <v>72.5</v>
      </c>
      <c r="O731">
        <f>ABS(L731-RAVLT_Delayed!$C$34)</f>
        <v>2.1258081067751706</v>
      </c>
      <c r="P731">
        <f t="shared" si="12"/>
        <v>72.5</v>
      </c>
    </row>
    <row r="732" spans="10:16">
      <c r="J732" s="5"/>
      <c r="L732">
        <f>RAVLT_Delayed!M732</f>
        <v>0.60075977424931903</v>
      </c>
      <c r="M732">
        <f>RAVLT_Delayed!N732</f>
        <v>72.599999999999994</v>
      </c>
      <c r="O732">
        <f>ABS(L732-RAVLT_Delayed!$C$34)</f>
        <v>2.1288077549820117</v>
      </c>
      <c r="P732">
        <f t="shared" si="12"/>
        <v>72.599999999999994</v>
      </c>
    </row>
    <row r="733" spans="10:16">
      <c r="J733" s="5"/>
      <c r="L733">
        <f>RAVLT_Delayed!M733</f>
        <v>0.60376483779862999</v>
      </c>
      <c r="M733">
        <f>RAVLT_Delayed!N733</f>
        <v>72.7</v>
      </c>
      <c r="O733">
        <f>ABS(L733-RAVLT_Delayed!$C$34)</f>
        <v>2.1318128185313228</v>
      </c>
      <c r="P733">
        <f t="shared" si="12"/>
        <v>72.7</v>
      </c>
    </row>
    <row r="734" spans="10:16">
      <c r="J734" s="5"/>
      <c r="L734">
        <f>RAVLT_Delayed!M734</f>
        <v>0.60677536351426498</v>
      </c>
      <c r="M734">
        <f>RAVLT_Delayed!N734</f>
        <v>72.8</v>
      </c>
      <c r="O734">
        <f>ABS(L734-RAVLT_Delayed!$C$34)</f>
        <v>2.134823344246958</v>
      </c>
      <c r="P734">
        <f t="shared" si="12"/>
        <v>72.8</v>
      </c>
    </row>
    <row r="735" spans="10:16">
      <c r="J735" s="5"/>
      <c r="L735">
        <f>RAVLT_Delayed!M735</f>
        <v>0.60979139867408005</v>
      </c>
      <c r="M735">
        <f>RAVLT_Delayed!N735</f>
        <v>72.900000000000006</v>
      </c>
      <c r="O735">
        <f>ABS(L735-RAVLT_Delayed!$C$34)</f>
        <v>2.1378393794067727</v>
      </c>
      <c r="P735">
        <f t="shared" si="12"/>
        <v>72.900000000000006</v>
      </c>
    </row>
    <row r="736" spans="10:16">
      <c r="J736" s="5"/>
      <c r="L736">
        <f>RAVLT_Delayed!M736</f>
        <v>0.61281299101662701</v>
      </c>
      <c r="M736">
        <f>RAVLT_Delayed!N736</f>
        <v>73</v>
      </c>
      <c r="O736">
        <f>ABS(L736-RAVLT_Delayed!$C$34)</f>
        <v>2.1408609717493197</v>
      </c>
      <c r="P736">
        <f t="shared" si="12"/>
        <v>73</v>
      </c>
    </row>
    <row r="737" spans="10:16">
      <c r="J737" s="5"/>
      <c r="L737">
        <f>RAVLT_Delayed!M737</f>
        <v>0.61584018874797197</v>
      </c>
      <c r="M737">
        <f>RAVLT_Delayed!N737</f>
        <v>73.099999999999994</v>
      </c>
      <c r="O737">
        <f>ABS(L737-RAVLT_Delayed!$C$34)</f>
        <v>2.1438881694806646</v>
      </c>
      <c r="P737">
        <f t="shared" si="12"/>
        <v>73.099999999999994</v>
      </c>
    </row>
    <row r="738" spans="10:16">
      <c r="J738" s="5"/>
      <c r="L738">
        <f>RAVLT_Delayed!M738</f>
        <v>0.61887304054862902</v>
      </c>
      <c r="M738">
        <f>RAVLT_Delayed!N738</f>
        <v>73.2</v>
      </c>
      <c r="O738">
        <f>ABS(L738-RAVLT_Delayed!$C$34)</f>
        <v>2.1469210212813219</v>
      </c>
      <c r="P738">
        <f t="shared" si="12"/>
        <v>73.2</v>
      </c>
    </row>
    <row r="739" spans="10:16">
      <c r="J739" s="5"/>
      <c r="L739">
        <f>RAVLT_Delayed!M739</f>
        <v>0.62191159558062403</v>
      </c>
      <c r="M739">
        <f>RAVLT_Delayed!N739</f>
        <v>73.3</v>
      </c>
      <c r="O739">
        <f>ABS(L739-RAVLT_Delayed!$C$34)</f>
        <v>2.149959576313317</v>
      </c>
      <c r="P739">
        <f t="shared" si="12"/>
        <v>73.3</v>
      </c>
    </row>
    <row r="740" spans="10:16">
      <c r="J740" s="5"/>
      <c r="L740">
        <f>RAVLT_Delayed!M740</f>
        <v>0.62495590349468699</v>
      </c>
      <c r="M740">
        <f>RAVLT_Delayed!N740</f>
        <v>73.400000000000006</v>
      </c>
      <c r="O740">
        <f>ABS(L740-RAVLT_Delayed!$C$34)</f>
        <v>2.1530038842273798</v>
      </c>
      <c r="P740">
        <f t="shared" si="12"/>
        <v>73.400000000000006</v>
      </c>
    </row>
    <row r="741" spans="10:16">
      <c r="J741" s="5"/>
      <c r="L741">
        <f>RAVLT_Delayed!M741</f>
        <v>0.62800601443756998</v>
      </c>
      <c r="M741">
        <f>RAVLT_Delayed!N741</f>
        <v>73.5</v>
      </c>
      <c r="O741">
        <f>ABS(L741-RAVLT_Delayed!$C$34)</f>
        <v>2.1560539951702626</v>
      </c>
      <c r="P741">
        <f t="shared" si="12"/>
        <v>73.5</v>
      </c>
    </row>
    <row r="742" spans="10:16">
      <c r="J742" s="5"/>
      <c r="L742">
        <f>RAVLT_Delayed!M742</f>
        <v>0.63106197905949901</v>
      </c>
      <c r="M742">
        <f>RAVLT_Delayed!N742</f>
        <v>73.599999999999994</v>
      </c>
      <c r="O742">
        <f>ABS(L742-RAVLT_Delayed!$C$34)</f>
        <v>2.1591099597921919</v>
      </c>
      <c r="P742">
        <f t="shared" si="12"/>
        <v>73.599999999999994</v>
      </c>
    </row>
    <row r="743" spans="10:16">
      <c r="J743" s="5"/>
      <c r="L743">
        <f>RAVLT_Delayed!M743</f>
        <v>0.63412384852176995</v>
      </c>
      <c r="M743">
        <f>RAVLT_Delayed!N743</f>
        <v>73.7</v>
      </c>
      <c r="O743">
        <f>ABS(L743-RAVLT_Delayed!$C$34)</f>
        <v>2.1621718292544627</v>
      </c>
      <c r="P743">
        <f t="shared" si="12"/>
        <v>73.7</v>
      </c>
    </row>
    <row r="744" spans="10:16">
      <c r="J744" s="5"/>
      <c r="L744">
        <f>RAVLT_Delayed!M744</f>
        <v>0.637191674504475</v>
      </c>
      <c r="M744">
        <f>RAVLT_Delayed!N744</f>
        <v>73.8</v>
      </c>
      <c r="O744">
        <f>ABS(L744-RAVLT_Delayed!$C$34)</f>
        <v>2.1652396552371678</v>
      </c>
      <c r="P744">
        <f t="shared" si="12"/>
        <v>73.8</v>
      </c>
    </row>
    <row r="745" spans="10:16">
      <c r="J745" s="5"/>
      <c r="L745">
        <f>RAVLT_Delayed!M745</f>
        <v>0.64026550921437397</v>
      </c>
      <c r="M745">
        <f>RAVLT_Delayed!N745</f>
        <v>73.900000000000006</v>
      </c>
      <c r="O745">
        <f>ABS(L745-RAVLT_Delayed!$C$34)</f>
        <v>2.1683134899470669</v>
      </c>
      <c r="P745">
        <f t="shared" si="12"/>
        <v>73.900000000000006</v>
      </c>
    </row>
    <row r="746" spans="10:16">
      <c r="J746" s="5"/>
      <c r="L746">
        <f>RAVLT_Delayed!M746</f>
        <v>0.64334540539291696</v>
      </c>
      <c r="M746">
        <f>RAVLT_Delayed!N746</f>
        <v>74</v>
      </c>
      <c r="O746">
        <f>ABS(L746-RAVLT_Delayed!$C$34)</f>
        <v>2.1713933861256098</v>
      </c>
      <c r="P746">
        <f t="shared" si="12"/>
        <v>74</v>
      </c>
    </row>
    <row r="747" spans="10:16">
      <c r="J747" s="5"/>
      <c r="L747">
        <f>RAVLT_Delayed!M747</f>
        <v>0.64643141632440704</v>
      </c>
      <c r="M747">
        <f>RAVLT_Delayed!N747</f>
        <v>74.099999999999994</v>
      </c>
      <c r="O747">
        <f>ABS(L747-RAVLT_Delayed!$C$34)</f>
        <v>2.1744793970570999</v>
      </c>
      <c r="P747">
        <f t="shared" si="12"/>
        <v>74.099999999999994</v>
      </c>
    </row>
    <row r="748" spans="10:16">
      <c r="J748" s="5"/>
      <c r="L748">
        <f>RAVLT_Delayed!M748</f>
        <v>0.64952359584432495</v>
      </c>
      <c r="M748">
        <f>RAVLT_Delayed!N748</f>
        <v>74.2</v>
      </c>
      <c r="O748">
        <f>ABS(L748-RAVLT_Delayed!$C$34)</f>
        <v>2.1775715765770176</v>
      </c>
      <c r="P748">
        <f t="shared" si="12"/>
        <v>74.2</v>
      </c>
    </row>
    <row r="749" spans="10:16">
      <c r="J749" s="5"/>
      <c r="L749">
        <f>RAVLT_Delayed!M749</f>
        <v>0.65262199834780099</v>
      </c>
      <c r="M749">
        <f>RAVLT_Delayed!N749</f>
        <v>74.3</v>
      </c>
      <c r="O749">
        <f>ABS(L749-RAVLT_Delayed!$C$34)</f>
        <v>2.180669979080494</v>
      </c>
      <c r="P749">
        <f t="shared" si="12"/>
        <v>74.3</v>
      </c>
    </row>
    <row r="750" spans="10:16">
      <c r="J750" s="5"/>
      <c r="L750">
        <f>RAVLT_Delayed!M750</f>
        <v>0.65572667879825297</v>
      </c>
      <c r="M750">
        <f>RAVLT_Delayed!N750</f>
        <v>74.400000000000006</v>
      </c>
      <c r="O750">
        <f>ABS(L750-RAVLT_Delayed!$C$34)</f>
        <v>2.183774659530946</v>
      </c>
      <c r="P750">
        <f t="shared" si="12"/>
        <v>74.400000000000006</v>
      </c>
    </row>
    <row r="751" spans="10:16">
      <c r="J751" s="5"/>
      <c r="L751">
        <f>RAVLT_Delayed!M751</f>
        <v>0.65883769273618797</v>
      </c>
      <c r="M751">
        <f>RAVLT_Delayed!N751</f>
        <v>74.5</v>
      </c>
      <c r="O751">
        <f>ABS(L751-RAVLT_Delayed!$C$34)</f>
        <v>2.1868856734688809</v>
      </c>
      <c r="P751">
        <f t="shared" si="12"/>
        <v>74.5</v>
      </c>
    </row>
    <row r="752" spans="10:16">
      <c r="J752" s="5"/>
      <c r="L752">
        <f>RAVLT_Delayed!M752</f>
        <v>0.66195509628816196</v>
      </c>
      <c r="M752">
        <f>RAVLT_Delayed!N752</f>
        <v>74.599999999999994</v>
      </c>
      <c r="O752">
        <f>ABS(L752-RAVLT_Delayed!$C$34)</f>
        <v>2.1900030770208545</v>
      </c>
      <c r="P752">
        <f t="shared" si="12"/>
        <v>74.599999999999994</v>
      </c>
    </row>
    <row r="753" spans="10:16">
      <c r="J753" s="5"/>
      <c r="L753">
        <f>RAVLT_Delayed!M753</f>
        <v>0.665078946175923</v>
      </c>
      <c r="M753">
        <f>RAVLT_Delayed!N753</f>
        <v>74.7</v>
      </c>
      <c r="O753">
        <f>ABS(L753-RAVLT_Delayed!$C$34)</f>
        <v>2.193126926908616</v>
      </c>
      <c r="P753">
        <f t="shared" si="12"/>
        <v>74.7</v>
      </c>
    </row>
    <row r="754" spans="10:16">
      <c r="J754" s="5"/>
      <c r="L754">
        <f>RAVLT_Delayed!M754</f>
        <v>0.66820929972572296</v>
      </c>
      <c r="M754">
        <f>RAVLT_Delayed!N754</f>
        <v>74.8</v>
      </c>
      <c r="O754">
        <f>ABS(L754-RAVLT_Delayed!$C$34)</f>
        <v>2.1962572804584157</v>
      </c>
      <c r="P754">
        <f t="shared" si="12"/>
        <v>74.8</v>
      </c>
    </row>
    <row r="755" spans="10:16">
      <c r="J755" s="5"/>
      <c r="L755">
        <f>RAVLT_Delayed!M755</f>
        <v>0.67134621487780499</v>
      </c>
      <c r="M755">
        <f>RAVLT_Delayed!N755</f>
        <v>74.900000000000006</v>
      </c>
      <c r="O755">
        <f>ABS(L755-RAVLT_Delayed!$C$34)</f>
        <v>2.1993941956104979</v>
      </c>
      <c r="P755">
        <f t="shared" si="12"/>
        <v>74.900000000000006</v>
      </c>
    </row>
    <row r="756" spans="10:16">
      <c r="J756" s="5"/>
      <c r="L756">
        <f>RAVLT_Delayed!M756</f>
        <v>0.67448975019608204</v>
      </c>
      <c r="M756">
        <f>RAVLT_Delayed!N756</f>
        <v>75</v>
      </c>
      <c r="O756">
        <f>ABS(L756-RAVLT_Delayed!$C$34)</f>
        <v>2.2025377309287748</v>
      </c>
      <c r="P756">
        <f t="shared" si="12"/>
        <v>75</v>
      </c>
    </row>
    <row r="757" spans="10:16">
      <c r="J757" s="5"/>
      <c r="L757">
        <f>RAVLT_Delayed!M757</f>
        <v>0.67763996487799605</v>
      </c>
      <c r="M757">
        <f>RAVLT_Delayed!N757</f>
        <v>75.099999999999994</v>
      </c>
      <c r="O757">
        <f>ABS(L757-RAVLT_Delayed!$C$34)</f>
        <v>2.2056879456106886</v>
      </c>
      <c r="P757">
        <f t="shared" si="12"/>
        <v>75.099999999999994</v>
      </c>
    </row>
    <row r="758" spans="10:16">
      <c r="J758" s="5"/>
      <c r="L758">
        <f>RAVLT_Delayed!M758</f>
        <v>0.68079691876457504</v>
      </c>
      <c r="M758">
        <f>RAVLT_Delayed!N758</f>
        <v>75.2</v>
      </c>
      <c r="O758">
        <f>ABS(L758-RAVLT_Delayed!$C$34)</f>
        <v>2.2088448994972678</v>
      </c>
      <c r="P758">
        <f t="shared" si="12"/>
        <v>75.2</v>
      </c>
    </row>
    <row r="759" spans="10:16">
      <c r="J759" s="5"/>
      <c r="L759">
        <f>RAVLT_Delayed!M759</f>
        <v>0.68396067235068203</v>
      </c>
      <c r="M759">
        <f>RAVLT_Delayed!N759</f>
        <v>75.3</v>
      </c>
      <c r="O759">
        <f>ABS(L759-RAVLT_Delayed!$C$34)</f>
        <v>2.2120086530833749</v>
      </c>
      <c r="P759">
        <f t="shared" si="12"/>
        <v>75.3</v>
      </c>
    </row>
    <row r="760" spans="10:16">
      <c r="J760" s="5"/>
      <c r="L760">
        <f>RAVLT_Delayed!M760</f>
        <v>0.68713128679546898</v>
      </c>
      <c r="M760">
        <f>RAVLT_Delayed!N760</f>
        <v>75.400000000000006</v>
      </c>
      <c r="O760">
        <f>ABS(L760-RAVLT_Delayed!$C$34)</f>
        <v>2.2151792675281619</v>
      </c>
      <c r="P760">
        <f t="shared" si="12"/>
        <v>75.400000000000006</v>
      </c>
    </row>
    <row r="761" spans="10:16">
      <c r="J761" s="5"/>
      <c r="L761">
        <f>RAVLT_Delayed!M761</f>
        <v>0.69030882393303405</v>
      </c>
      <c r="M761">
        <f>RAVLT_Delayed!N761</f>
        <v>75.5</v>
      </c>
      <c r="O761">
        <f>ABS(L761-RAVLT_Delayed!$C$34)</f>
        <v>2.2183568046657269</v>
      </c>
      <c r="P761">
        <f t="shared" si="12"/>
        <v>75.5</v>
      </c>
    </row>
    <row r="762" spans="10:16">
      <c r="J762" s="5"/>
      <c r="L762">
        <f>RAVLT_Delayed!M762</f>
        <v>0.69349334628328896</v>
      </c>
      <c r="M762">
        <f>RAVLT_Delayed!N762</f>
        <v>75.599999999999994</v>
      </c>
      <c r="O762">
        <f>ABS(L762-RAVLT_Delayed!$C$34)</f>
        <v>2.2215413270159816</v>
      </c>
      <c r="P762">
        <f t="shared" si="12"/>
        <v>75.599999999999994</v>
      </c>
    </row>
    <row r="763" spans="10:16">
      <c r="J763" s="5"/>
      <c r="L763">
        <f>RAVLT_Delayed!M763</f>
        <v>0.69668491706305102</v>
      </c>
      <c r="M763">
        <f>RAVLT_Delayed!N763</f>
        <v>75.7</v>
      </c>
      <c r="O763">
        <f>ABS(L763-RAVLT_Delayed!$C$34)</f>
        <v>2.2247328977957439</v>
      </c>
      <c r="P763">
        <f t="shared" si="12"/>
        <v>75.7</v>
      </c>
    </row>
    <row r="764" spans="10:16">
      <c r="J764" s="5"/>
      <c r="L764">
        <f>RAVLT_Delayed!M764</f>
        <v>0.69988360019734097</v>
      </c>
      <c r="M764">
        <f>RAVLT_Delayed!N764</f>
        <v>75.8</v>
      </c>
      <c r="O764">
        <f>ABS(L764-RAVLT_Delayed!$C$34)</f>
        <v>2.2279315809300337</v>
      </c>
      <c r="P764">
        <f t="shared" si="12"/>
        <v>75.8</v>
      </c>
    </row>
    <row r="765" spans="10:16">
      <c r="J765" s="5"/>
      <c r="L765">
        <f>RAVLT_Delayed!M765</f>
        <v>0.70308946033092901</v>
      </c>
      <c r="M765">
        <f>RAVLT_Delayed!N765</f>
        <v>75.900000000000006</v>
      </c>
      <c r="O765">
        <f>ABS(L765-RAVLT_Delayed!$C$34)</f>
        <v>2.2311374410636216</v>
      </c>
      <c r="P765">
        <f t="shared" si="12"/>
        <v>75.900000000000006</v>
      </c>
    </row>
    <row r="766" spans="10:16">
      <c r="J766" s="5"/>
      <c r="L766">
        <f>RAVLT_Delayed!M766</f>
        <v>0.70630256284008797</v>
      </c>
      <c r="M766">
        <f>RAVLT_Delayed!N766</f>
        <v>76</v>
      </c>
      <c r="O766">
        <f>ABS(L766-RAVLT_Delayed!$C$34)</f>
        <v>2.2343505435727806</v>
      </c>
      <c r="P766">
        <f t="shared" si="12"/>
        <v>76</v>
      </c>
    </row>
    <row r="767" spans="10:16">
      <c r="J767" s="5"/>
      <c r="L767">
        <f>RAVLT_Delayed!M767</f>
        <v>0.70952297384460805</v>
      </c>
      <c r="M767">
        <f>RAVLT_Delayed!N767</f>
        <v>76.099999999999994</v>
      </c>
      <c r="O767">
        <f>ABS(L767-RAVLT_Delayed!$C$34)</f>
        <v>2.2375709545773006</v>
      </c>
      <c r="P767">
        <f t="shared" si="12"/>
        <v>76.099999999999994</v>
      </c>
    </row>
    <row r="768" spans="10:16">
      <c r="J768" s="5"/>
      <c r="L768">
        <f>RAVLT_Delayed!M768</f>
        <v>0.71275076022004302</v>
      </c>
      <c r="M768">
        <f>RAVLT_Delayed!N768</f>
        <v>76.2</v>
      </c>
      <c r="O768">
        <f>ABS(L768-RAVLT_Delayed!$C$34)</f>
        <v>2.2407987409527359</v>
      </c>
      <c r="P768">
        <f t="shared" si="12"/>
        <v>76.2</v>
      </c>
    </row>
    <row r="769" spans="10:16">
      <c r="J769" s="5"/>
      <c r="L769">
        <f>RAVLT_Delayed!M769</f>
        <v>0.71598598961020499</v>
      </c>
      <c r="M769">
        <f>RAVLT_Delayed!N769</f>
        <v>76.3</v>
      </c>
      <c r="O769">
        <f>ABS(L769-RAVLT_Delayed!$C$34)</f>
        <v>2.2440339703428975</v>
      </c>
      <c r="P769">
        <f t="shared" si="12"/>
        <v>76.3</v>
      </c>
    </row>
    <row r="770" spans="10:16">
      <c r="J770" s="5"/>
      <c r="L770">
        <f>RAVLT_Delayed!M770</f>
        <v>0.71922873043992397</v>
      </c>
      <c r="M770">
        <f>RAVLT_Delayed!N770</f>
        <v>76.400000000000006</v>
      </c>
      <c r="O770">
        <f>ABS(L770-RAVLT_Delayed!$C$34)</f>
        <v>2.2472767111726166</v>
      </c>
      <c r="P770">
        <f t="shared" si="12"/>
        <v>76.400000000000006</v>
      </c>
    </row>
    <row r="771" spans="10:16">
      <c r="J771" s="5"/>
      <c r="L771">
        <f>RAVLT_Delayed!M771</f>
        <v>0.72247905192806305</v>
      </c>
      <c r="M771">
        <f>RAVLT_Delayed!N771</f>
        <v>76.5</v>
      </c>
      <c r="O771">
        <f>ABS(L771-RAVLT_Delayed!$C$34)</f>
        <v>2.2505270326607558</v>
      </c>
      <c r="P771">
        <f t="shared" si="12"/>
        <v>76.5</v>
      </c>
    </row>
    <row r="772" spans="10:16">
      <c r="J772" s="5"/>
      <c r="L772">
        <f>RAVLT_Delayed!M772</f>
        <v>0.72573702410080498</v>
      </c>
      <c r="M772">
        <f>RAVLT_Delayed!N772</f>
        <v>76.599999999999994</v>
      </c>
      <c r="O772">
        <f>ABS(L772-RAVLT_Delayed!$C$34)</f>
        <v>2.2537850048334978</v>
      </c>
      <c r="P772">
        <f t="shared" si="12"/>
        <v>76.599999999999994</v>
      </c>
    </row>
    <row r="773" spans="10:16">
      <c r="J773" s="5"/>
      <c r="L773">
        <f>RAVLT_Delayed!M773</f>
        <v>0.72900271780521897</v>
      </c>
      <c r="M773">
        <f>RAVLT_Delayed!N773</f>
        <v>76.7</v>
      </c>
      <c r="O773">
        <f>ABS(L773-RAVLT_Delayed!$C$34)</f>
        <v>2.2570506985379115</v>
      </c>
      <c r="P773">
        <f t="shared" si="12"/>
        <v>76.7</v>
      </c>
    </row>
    <row r="774" spans="10:16">
      <c r="J774" s="5"/>
      <c r="L774">
        <f>RAVLT_Delayed!M774</f>
        <v>0.73227620472309995</v>
      </c>
      <c r="M774">
        <f>RAVLT_Delayed!N774</f>
        <v>76.8</v>
      </c>
      <c r="O774">
        <f>ABS(L774-RAVLT_Delayed!$C$34)</f>
        <v>2.2603241854557927</v>
      </c>
      <c r="P774">
        <f t="shared" si="12"/>
        <v>76.8</v>
      </c>
    </row>
    <row r="775" spans="10:16">
      <c r="J775" s="5"/>
      <c r="L775">
        <f>RAVLT_Delayed!M775</f>
        <v>0.73555755738511097</v>
      </c>
      <c r="M775">
        <f>RAVLT_Delayed!N775</f>
        <v>76.900000000000006</v>
      </c>
      <c r="O775">
        <f>ABS(L775-RAVLT_Delayed!$C$34)</f>
        <v>2.2636055381178037</v>
      </c>
      <c r="P775">
        <f t="shared" ref="P775:P838" si="13">M775</f>
        <v>76.900000000000006</v>
      </c>
    </row>
    <row r="776" spans="10:16">
      <c r="J776" s="5"/>
      <c r="L776">
        <f>RAVLT_Delayed!M776</f>
        <v>0.73884684918521404</v>
      </c>
      <c r="M776">
        <f>RAVLT_Delayed!N776</f>
        <v>77</v>
      </c>
      <c r="O776">
        <f>ABS(L776-RAVLT_Delayed!$C$34)</f>
        <v>2.2668948299179066</v>
      </c>
      <c r="P776">
        <f t="shared" si="13"/>
        <v>77</v>
      </c>
    </row>
    <row r="777" spans="10:16">
      <c r="J777" s="5"/>
      <c r="L777">
        <f>RAVLT_Delayed!M777</f>
        <v>0.74214415439540904</v>
      </c>
      <c r="M777">
        <f>RAVLT_Delayed!N777</f>
        <v>77.099999999999994</v>
      </c>
      <c r="O777">
        <f>ABS(L777-RAVLT_Delayed!$C$34)</f>
        <v>2.2701921351281018</v>
      </c>
      <c r="P777">
        <f t="shared" si="13"/>
        <v>77.099999999999994</v>
      </c>
    </row>
    <row r="778" spans="10:16">
      <c r="J778" s="5"/>
      <c r="L778">
        <f>RAVLT_Delayed!M778</f>
        <v>0.74544954818078901</v>
      </c>
      <c r="M778">
        <f>RAVLT_Delayed!N778</f>
        <v>77.2</v>
      </c>
      <c r="O778">
        <f>ABS(L778-RAVLT_Delayed!$C$34)</f>
        <v>2.2734975289134818</v>
      </c>
      <c r="P778">
        <f t="shared" si="13"/>
        <v>77.2</v>
      </c>
    </row>
    <row r="779" spans="10:16">
      <c r="J779" s="5"/>
      <c r="L779">
        <f>RAVLT_Delayed!M779</f>
        <v>0.74876310661490897</v>
      </c>
      <c r="M779">
        <f>RAVLT_Delayed!N779</f>
        <v>77.3</v>
      </c>
      <c r="O779">
        <f>ABS(L779-RAVLT_Delayed!$C$34)</f>
        <v>2.2768110873476015</v>
      </c>
      <c r="P779">
        <f t="shared" si="13"/>
        <v>77.3</v>
      </c>
    </row>
    <row r="780" spans="10:16">
      <c r="J780" s="5"/>
      <c r="L780">
        <f>RAVLT_Delayed!M780</f>
        <v>0.752084906695491</v>
      </c>
      <c r="M780">
        <f>RAVLT_Delayed!N780</f>
        <v>77.400000000000006</v>
      </c>
      <c r="O780">
        <f>ABS(L780-RAVLT_Delayed!$C$34)</f>
        <v>2.2801328874281839</v>
      </c>
      <c r="P780">
        <f t="shared" si="13"/>
        <v>77.400000000000006</v>
      </c>
    </row>
    <row r="781" spans="10:16">
      <c r="J781" s="5"/>
      <c r="L781">
        <f>RAVLT_Delayed!M781</f>
        <v>0.75541502636046898</v>
      </c>
      <c r="M781">
        <f>RAVLT_Delayed!N781</f>
        <v>77.5</v>
      </c>
      <c r="O781">
        <f>ABS(L781-RAVLT_Delayed!$C$34)</f>
        <v>2.2834630070931619</v>
      </c>
      <c r="P781">
        <f t="shared" si="13"/>
        <v>77.5</v>
      </c>
    </row>
    <row r="782" spans="10:16">
      <c r="J782" s="5"/>
      <c r="L782">
        <f>RAVLT_Delayed!M782</f>
        <v>0.75875354450437105</v>
      </c>
      <c r="M782">
        <f>RAVLT_Delayed!N782</f>
        <v>77.599999999999994</v>
      </c>
      <c r="O782">
        <f>ABS(L782-RAVLT_Delayed!$C$34)</f>
        <v>2.2868015252370637</v>
      </c>
      <c r="P782">
        <f t="shared" si="13"/>
        <v>77.599999999999994</v>
      </c>
    </row>
    <row r="783" spans="10:16">
      <c r="J783" s="5"/>
      <c r="L783">
        <f>RAVLT_Delayed!M783</f>
        <v>0.76210054099506697</v>
      </c>
      <c r="M783">
        <f>RAVLT_Delayed!N783</f>
        <v>77.7</v>
      </c>
      <c r="O783">
        <f>ABS(L783-RAVLT_Delayed!$C$34)</f>
        <v>2.29014852172776</v>
      </c>
      <c r="P783">
        <f t="shared" si="13"/>
        <v>77.7</v>
      </c>
    </row>
    <row r="784" spans="10:16">
      <c r="J784" s="5"/>
      <c r="L784">
        <f>RAVLT_Delayed!M784</f>
        <v>0.765456096690878</v>
      </c>
      <c r="M784">
        <f>RAVLT_Delayed!N784</f>
        <v>77.8</v>
      </c>
      <c r="O784">
        <f>ABS(L784-RAVLT_Delayed!$C$34)</f>
        <v>2.2935040774235707</v>
      </c>
      <c r="P784">
        <f t="shared" si="13"/>
        <v>77.8</v>
      </c>
    </row>
    <row r="785" spans="10:16">
      <c r="J785" s="5"/>
      <c r="L785">
        <f>RAVLT_Delayed!M785</f>
        <v>0.76882029345806202</v>
      </c>
      <c r="M785">
        <f>RAVLT_Delayed!N785</f>
        <v>77.900000000000006</v>
      </c>
      <c r="O785">
        <f>ABS(L785-RAVLT_Delayed!$C$34)</f>
        <v>2.2968682741907549</v>
      </c>
      <c r="P785">
        <f t="shared" si="13"/>
        <v>77.900000000000006</v>
      </c>
    </row>
    <row r="786" spans="10:16">
      <c r="J786" s="5"/>
      <c r="L786">
        <f>RAVLT_Delayed!M786</f>
        <v>0.77219321418868503</v>
      </c>
      <c r="M786">
        <f>RAVLT_Delayed!N786</f>
        <v>78</v>
      </c>
      <c r="O786">
        <f>ABS(L786-RAVLT_Delayed!$C$34)</f>
        <v>2.3002411949213779</v>
      </c>
      <c r="P786">
        <f t="shared" si="13"/>
        <v>78</v>
      </c>
    </row>
    <row r="787" spans="10:16">
      <c r="J787" s="5"/>
      <c r="L787">
        <f>RAVLT_Delayed!M787</f>
        <v>0.77557494281888395</v>
      </c>
      <c r="M787">
        <f>RAVLT_Delayed!N787</f>
        <v>78.099999999999994</v>
      </c>
      <c r="O787">
        <f>ABS(L787-RAVLT_Delayed!$C$34)</f>
        <v>2.3036229235515768</v>
      </c>
      <c r="P787">
        <f t="shared" si="13"/>
        <v>78.099999999999994</v>
      </c>
    </row>
    <row r="788" spans="10:16">
      <c r="J788" s="5"/>
      <c r="L788">
        <f>RAVLT_Delayed!M788</f>
        <v>0.77896556434754505</v>
      </c>
      <c r="M788">
        <f>RAVLT_Delayed!N788</f>
        <v>78.2</v>
      </c>
      <c r="O788">
        <f>ABS(L788-RAVLT_Delayed!$C$34)</f>
        <v>2.3070135450802378</v>
      </c>
      <c r="P788">
        <f t="shared" si="13"/>
        <v>78.2</v>
      </c>
    </row>
    <row r="789" spans="10:16">
      <c r="J789" s="5"/>
      <c r="L789">
        <f>RAVLT_Delayed!M789</f>
        <v>0.78236516485538699</v>
      </c>
      <c r="M789">
        <f>RAVLT_Delayed!N789</f>
        <v>78.3</v>
      </c>
      <c r="O789">
        <f>ABS(L789-RAVLT_Delayed!$C$34)</f>
        <v>2.3104131455880799</v>
      </c>
      <c r="P789">
        <f t="shared" si="13"/>
        <v>78.3</v>
      </c>
    </row>
    <row r="790" spans="10:16">
      <c r="J790" s="5"/>
      <c r="L790">
        <f>RAVLT_Delayed!M790</f>
        <v>0.78577383152448399</v>
      </c>
      <c r="M790">
        <f>RAVLT_Delayed!N790</f>
        <v>78.400000000000006</v>
      </c>
      <c r="O790">
        <f>ABS(L790-RAVLT_Delayed!$C$34)</f>
        <v>2.313821812257177</v>
      </c>
      <c r="P790">
        <f t="shared" si="13"/>
        <v>78.400000000000006</v>
      </c>
    </row>
    <row r="791" spans="10:16">
      <c r="J791" s="5"/>
      <c r="L791">
        <f>RAVLT_Delayed!M791</f>
        <v>0.789191652658222</v>
      </c>
      <c r="M791">
        <f>RAVLT_Delayed!N791</f>
        <v>78.5</v>
      </c>
      <c r="O791">
        <f>ABS(L791-RAVLT_Delayed!$C$34)</f>
        <v>2.3172396333909147</v>
      </c>
      <c r="P791">
        <f t="shared" si="13"/>
        <v>78.5</v>
      </c>
    </row>
    <row r="792" spans="10:16">
      <c r="J792" s="5"/>
      <c r="L792">
        <f>RAVLT_Delayed!M792</f>
        <v>0.79261871770171199</v>
      </c>
      <c r="M792">
        <f>RAVLT_Delayed!N792</f>
        <v>78.599999999999994</v>
      </c>
      <c r="O792">
        <f>ABS(L792-RAVLT_Delayed!$C$34)</f>
        <v>2.3206666984344047</v>
      </c>
      <c r="P792">
        <f t="shared" si="13"/>
        <v>78.599999999999994</v>
      </c>
    </row>
    <row r="793" spans="10:16">
      <c r="J793" s="5"/>
      <c r="L793">
        <f>RAVLT_Delayed!M793</f>
        <v>0.79605511726266298</v>
      </c>
      <c r="M793">
        <f>RAVLT_Delayed!N793</f>
        <v>78.7</v>
      </c>
      <c r="O793">
        <f>ABS(L793-RAVLT_Delayed!$C$34)</f>
        <v>2.3241030979953559</v>
      </c>
      <c r="P793">
        <f t="shared" si="13"/>
        <v>78.7</v>
      </c>
    </row>
    <row r="794" spans="10:16">
      <c r="J794" s="5"/>
      <c r="L794">
        <f>RAVLT_Delayed!M794</f>
        <v>0.79950094313273701</v>
      </c>
      <c r="M794">
        <f>RAVLT_Delayed!N794</f>
        <v>78.8</v>
      </c>
      <c r="O794">
        <f>ABS(L794-RAVLT_Delayed!$C$34)</f>
        <v>2.3275489238654297</v>
      </c>
      <c r="P794">
        <f t="shared" si="13"/>
        <v>78.8</v>
      </c>
    </row>
    <row r="795" spans="10:16">
      <c r="J795" s="5"/>
      <c r="L795">
        <f>RAVLT_Delayed!M795</f>
        <v>0.80295628830939403</v>
      </c>
      <c r="M795">
        <f>RAVLT_Delayed!N795</f>
        <v>78.900000000000006</v>
      </c>
      <c r="O795">
        <f>ABS(L795-RAVLT_Delayed!$C$34)</f>
        <v>2.3310042690420869</v>
      </c>
      <c r="P795">
        <f t="shared" si="13"/>
        <v>78.900000000000006</v>
      </c>
    </row>
    <row r="796" spans="10:16">
      <c r="J796" s="5"/>
      <c r="L796">
        <f>RAVLT_Delayed!M796</f>
        <v>0.80642124701824003</v>
      </c>
      <c r="M796">
        <f>RAVLT_Delayed!N796</f>
        <v>79</v>
      </c>
      <c r="O796">
        <f>ABS(L796-RAVLT_Delayed!$C$34)</f>
        <v>2.3344692277509327</v>
      </c>
      <c r="P796">
        <f t="shared" si="13"/>
        <v>79</v>
      </c>
    </row>
    <row r="797" spans="10:16">
      <c r="J797" s="5"/>
      <c r="L797">
        <f>RAVLT_Delayed!M797</f>
        <v>0.80989591473589795</v>
      </c>
      <c r="M797">
        <f>RAVLT_Delayed!N797</f>
        <v>79.099999999999994</v>
      </c>
      <c r="O797">
        <f>ABS(L797-RAVLT_Delayed!$C$34)</f>
        <v>2.3379438954685909</v>
      </c>
      <c r="P797">
        <f t="shared" si="13"/>
        <v>79.099999999999994</v>
      </c>
    </row>
    <row r="798" spans="10:16">
      <c r="J798" s="5"/>
      <c r="L798">
        <f>RAVLT_Delayed!M798</f>
        <v>0.81338038821340397</v>
      </c>
      <c r="M798">
        <f>RAVLT_Delayed!N798</f>
        <v>79.2</v>
      </c>
      <c r="O798">
        <f>ABS(L798-RAVLT_Delayed!$C$34)</f>
        <v>2.3414283689460968</v>
      </c>
      <c r="P798">
        <f t="shared" si="13"/>
        <v>79.2</v>
      </c>
    </row>
    <row r="799" spans="10:16">
      <c r="J799" s="5"/>
      <c r="L799">
        <f>RAVLT_Delayed!M799</f>
        <v>0.81687476550016402</v>
      </c>
      <c r="M799">
        <f>RAVLT_Delayed!N799</f>
        <v>79.3</v>
      </c>
      <c r="O799">
        <f>ABS(L799-RAVLT_Delayed!$C$34)</f>
        <v>2.3449227462328568</v>
      </c>
      <c r="P799">
        <f t="shared" si="13"/>
        <v>79.3</v>
      </c>
    </row>
    <row r="800" spans="10:16">
      <c r="J800" s="5"/>
      <c r="L800">
        <f>RAVLT_Delayed!M800</f>
        <v>0.82037914596846095</v>
      </c>
      <c r="M800">
        <f>RAVLT_Delayed!N800</f>
        <v>79.400000000000006</v>
      </c>
      <c r="O800">
        <f>ABS(L800-RAVLT_Delayed!$C$34)</f>
        <v>2.3484271267011536</v>
      </c>
      <c r="P800">
        <f t="shared" si="13"/>
        <v>79.400000000000006</v>
      </c>
    </row>
    <row r="801" spans="10:16">
      <c r="J801" s="5"/>
      <c r="L801">
        <f>RAVLT_Delayed!M801</f>
        <v>0.823893630338558</v>
      </c>
      <c r="M801">
        <f>RAVLT_Delayed!N801</f>
        <v>79.5</v>
      </c>
      <c r="O801">
        <f>ABS(L801-RAVLT_Delayed!$C$34)</f>
        <v>2.3519416110712505</v>
      </c>
      <c r="P801">
        <f t="shared" si="13"/>
        <v>79.5</v>
      </c>
    </row>
    <row r="802" spans="10:16">
      <c r="J802" s="5"/>
      <c r="L802">
        <f>RAVLT_Delayed!M802</f>
        <v>0.82741832070438204</v>
      </c>
      <c r="M802">
        <f>RAVLT_Delayed!N802</f>
        <v>79.599999999999994</v>
      </c>
      <c r="O802">
        <f>ABS(L802-RAVLT_Delayed!$C$34)</f>
        <v>2.3554663014370747</v>
      </c>
      <c r="P802">
        <f t="shared" si="13"/>
        <v>79.599999999999994</v>
      </c>
    </row>
    <row r="803" spans="10:16">
      <c r="J803" s="5"/>
      <c r="L803">
        <f>RAVLT_Delayed!M803</f>
        <v>0.83095332055983795</v>
      </c>
      <c r="M803">
        <f>RAVLT_Delayed!N803</f>
        <v>79.7</v>
      </c>
      <c r="O803">
        <f>ABS(L803-RAVLT_Delayed!$C$34)</f>
        <v>2.3590013012925306</v>
      </c>
      <c r="P803">
        <f t="shared" si="13"/>
        <v>79.7</v>
      </c>
    </row>
    <row r="804" spans="10:16">
      <c r="J804" s="5"/>
      <c r="L804">
        <f>RAVLT_Delayed!M804</f>
        <v>0.83449873482574</v>
      </c>
      <c r="M804">
        <f>RAVLT_Delayed!N804</f>
        <v>79.8</v>
      </c>
      <c r="O804">
        <f>ABS(L804-RAVLT_Delayed!$C$34)</f>
        <v>2.362546715558433</v>
      </c>
      <c r="P804">
        <f t="shared" si="13"/>
        <v>79.8</v>
      </c>
    </row>
    <row r="805" spans="10:16">
      <c r="J805" s="5"/>
      <c r="L805">
        <f>RAVLT_Delayed!M805</f>
        <v>0.83805466987740695</v>
      </c>
      <c r="M805">
        <f>RAVLT_Delayed!N805</f>
        <v>79.900000000000006</v>
      </c>
      <c r="O805">
        <f>ABS(L805-RAVLT_Delayed!$C$34)</f>
        <v>2.3661026506100997</v>
      </c>
      <c r="P805">
        <f t="shared" si="13"/>
        <v>79.900000000000006</v>
      </c>
    </row>
    <row r="806" spans="10:16">
      <c r="J806" s="5"/>
      <c r="L806">
        <f>RAVLT_Delayed!M806</f>
        <v>0.84162123357291396</v>
      </c>
      <c r="M806">
        <f>RAVLT_Delayed!N806</f>
        <v>80</v>
      </c>
      <c r="O806">
        <f>ABS(L806-RAVLT_Delayed!$C$34)</f>
        <v>2.3696692143056066</v>
      </c>
      <c r="P806">
        <f t="shared" si="13"/>
        <v>80</v>
      </c>
    </row>
    <row r="807" spans="10:16">
      <c r="J807" s="5"/>
      <c r="L807">
        <f>RAVLT_Delayed!M807</f>
        <v>0.84519853528205002</v>
      </c>
      <c r="M807">
        <f>RAVLT_Delayed!N807</f>
        <v>80.099999999999994</v>
      </c>
      <c r="O807">
        <f>ABS(L807-RAVLT_Delayed!$C$34)</f>
        <v>2.3732465160147429</v>
      </c>
      <c r="P807">
        <f t="shared" si="13"/>
        <v>80.099999999999994</v>
      </c>
    </row>
    <row r="808" spans="10:16">
      <c r="J808" s="5"/>
      <c r="L808">
        <f>RAVLT_Delayed!M808</f>
        <v>0.84878668591596695</v>
      </c>
      <c r="M808">
        <f>RAVLT_Delayed!N808</f>
        <v>80.2</v>
      </c>
      <c r="O808">
        <f>ABS(L808-RAVLT_Delayed!$C$34)</f>
        <v>2.3768346666486595</v>
      </c>
      <c r="P808">
        <f t="shared" si="13"/>
        <v>80.2</v>
      </c>
    </row>
    <row r="809" spans="10:16">
      <c r="J809" s="5"/>
      <c r="L809">
        <f>RAVLT_Delayed!M809</f>
        <v>0.85238579795757496</v>
      </c>
      <c r="M809">
        <f>RAVLT_Delayed!N809</f>
        <v>80.3</v>
      </c>
      <c r="O809">
        <f>ABS(L809-RAVLT_Delayed!$C$34)</f>
        <v>2.3804337786902678</v>
      </c>
      <c r="P809">
        <f t="shared" si="13"/>
        <v>80.3</v>
      </c>
    </row>
    <row r="810" spans="10:16">
      <c r="J810" s="5"/>
      <c r="L810">
        <f>RAVLT_Delayed!M810</f>
        <v>0.85599598549268197</v>
      </c>
      <c r="M810">
        <f>RAVLT_Delayed!N810</f>
        <v>80.400000000000006</v>
      </c>
      <c r="O810">
        <f>ABS(L810-RAVLT_Delayed!$C$34)</f>
        <v>2.3840439662253745</v>
      </c>
      <c r="P810">
        <f t="shared" si="13"/>
        <v>80.400000000000006</v>
      </c>
    </row>
    <row r="811" spans="10:16">
      <c r="J811" s="5"/>
      <c r="L811">
        <f>RAVLT_Delayed!M811</f>
        <v>0.85961736424191204</v>
      </c>
      <c r="M811">
        <f>RAVLT_Delayed!N811</f>
        <v>80.5</v>
      </c>
      <c r="O811">
        <f>ABS(L811-RAVLT_Delayed!$C$34)</f>
        <v>2.3876653449746046</v>
      </c>
      <c r="P811">
        <f t="shared" si="13"/>
        <v>80.5</v>
      </c>
    </row>
    <row r="812" spans="10:16">
      <c r="J812" s="5"/>
      <c r="L812">
        <f>RAVLT_Delayed!M812</f>
        <v>0.86325005159342105</v>
      </c>
      <c r="M812">
        <f>RAVLT_Delayed!N812</f>
        <v>80.599999999999994</v>
      </c>
      <c r="O812">
        <f>ABS(L812-RAVLT_Delayed!$C$34)</f>
        <v>2.3912980323261137</v>
      </c>
      <c r="P812">
        <f t="shared" si="13"/>
        <v>80.599999999999994</v>
      </c>
    </row>
    <row r="813" spans="10:16">
      <c r="J813" s="5"/>
      <c r="L813">
        <f>RAVLT_Delayed!M813</f>
        <v>0.86689416663643803</v>
      </c>
      <c r="M813">
        <f>RAVLT_Delayed!N813</f>
        <v>80.7</v>
      </c>
      <c r="O813">
        <f>ABS(L813-RAVLT_Delayed!$C$34)</f>
        <v>2.3949421473691306</v>
      </c>
      <c r="P813">
        <f t="shared" si="13"/>
        <v>80.7</v>
      </c>
    </row>
    <row r="814" spans="10:16">
      <c r="J814" s="5"/>
      <c r="L814">
        <f>RAVLT_Delayed!M814</f>
        <v>0.87054983019565402</v>
      </c>
      <c r="M814">
        <f>RAVLT_Delayed!N814</f>
        <v>80.8</v>
      </c>
      <c r="O814">
        <f>ABS(L814-RAVLT_Delayed!$C$34)</f>
        <v>2.3985978109283468</v>
      </c>
      <c r="P814">
        <f t="shared" si="13"/>
        <v>80.8</v>
      </c>
    </row>
    <row r="815" spans="10:16">
      <c r="J815" s="5"/>
      <c r="L815">
        <f>RAVLT_Delayed!M815</f>
        <v>0.87421716486648404</v>
      </c>
      <c r="M815">
        <f>RAVLT_Delayed!N815</f>
        <v>80.900000000000006</v>
      </c>
      <c r="O815">
        <f>ABS(L815-RAVLT_Delayed!$C$34)</f>
        <v>2.402265145599177</v>
      </c>
      <c r="P815">
        <f t="shared" si="13"/>
        <v>80.900000000000006</v>
      </c>
    </row>
    <row r="816" spans="10:16">
      <c r="J816" s="5"/>
      <c r="L816">
        <f>RAVLT_Delayed!M816</f>
        <v>0.87789629505122901</v>
      </c>
      <c r="M816">
        <f>RAVLT_Delayed!N816</f>
        <v>81</v>
      </c>
      <c r="O816">
        <f>ABS(L816-RAVLT_Delayed!$C$34)</f>
        <v>2.4059442757839218</v>
      </c>
      <c r="P816">
        <f t="shared" si="13"/>
        <v>81</v>
      </c>
    </row>
    <row r="817" spans="10:16">
      <c r="J817" s="5"/>
      <c r="L817">
        <f>RAVLT_Delayed!M817</f>
        <v>0.88158734699617503</v>
      </c>
      <c r="M817">
        <f>RAVLT_Delayed!N817</f>
        <v>81.099999999999994</v>
      </c>
      <c r="O817">
        <f>ABS(L817-RAVLT_Delayed!$C$34)</f>
        <v>2.4096353277288678</v>
      </c>
      <c r="P817">
        <f t="shared" si="13"/>
        <v>81.099999999999994</v>
      </c>
    </row>
    <row r="818" spans="10:16">
      <c r="J818" s="5"/>
      <c r="L818">
        <f>RAVLT_Delayed!M818</f>
        <v>0.88529044882964203</v>
      </c>
      <c r="M818">
        <f>RAVLT_Delayed!N818</f>
        <v>81.2</v>
      </c>
      <c r="O818">
        <f>ABS(L818-RAVLT_Delayed!$C$34)</f>
        <v>2.4133384295623346</v>
      </c>
      <c r="P818">
        <f t="shared" si="13"/>
        <v>81.2</v>
      </c>
    </row>
    <row r="819" spans="10:16">
      <c r="J819" s="5"/>
      <c r="L819">
        <f>RAVLT_Delayed!M819</f>
        <v>0.88900573060102495</v>
      </c>
      <c r="M819">
        <f>RAVLT_Delayed!N819</f>
        <v>81.3</v>
      </c>
      <c r="O819">
        <f>ABS(L819-RAVLT_Delayed!$C$34)</f>
        <v>2.4170537113337178</v>
      </c>
      <c r="P819">
        <f t="shared" si="13"/>
        <v>81.3</v>
      </c>
    </row>
    <row r="820" spans="10:16">
      <c r="J820" s="5"/>
      <c r="L820">
        <f>RAVLT_Delayed!M820</f>
        <v>0.89273332432085595</v>
      </c>
      <c r="M820">
        <f>RAVLT_Delayed!N820</f>
        <v>81.400000000000006</v>
      </c>
      <c r="O820">
        <f>ABS(L820-RAVLT_Delayed!$C$34)</f>
        <v>2.4207813050535485</v>
      </c>
      <c r="P820">
        <f t="shared" si="13"/>
        <v>81.400000000000006</v>
      </c>
    </row>
    <row r="821" spans="10:16">
      <c r="J821" s="5"/>
      <c r="L821">
        <f>RAVLT_Delayed!M821</f>
        <v>0.89647336400191602</v>
      </c>
      <c r="M821">
        <f>RAVLT_Delayed!N821</f>
        <v>81.5</v>
      </c>
      <c r="O821">
        <f>ABS(L821-RAVLT_Delayed!$C$34)</f>
        <v>2.4245213447346088</v>
      </c>
      <c r="P821">
        <f t="shared" si="13"/>
        <v>81.5</v>
      </c>
    </row>
    <row r="822" spans="10:16">
      <c r="J822" s="5"/>
      <c r="L822">
        <f>RAVLT_Delayed!M822</f>
        <v>0.90022598570143397</v>
      </c>
      <c r="M822">
        <f>RAVLT_Delayed!N822</f>
        <v>81.599999999999994</v>
      </c>
      <c r="O822">
        <f>ABS(L822-RAVLT_Delayed!$C$34)</f>
        <v>2.4282739664341269</v>
      </c>
      <c r="P822">
        <f t="shared" si="13"/>
        <v>81.599999999999994</v>
      </c>
    </row>
    <row r="823" spans="10:16">
      <c r="J823" s="5"/>
      <c r="L823">
        <f>RAVLT_Delayed!M823</f>
        <v>0.90399132756440204</v>
      </c>
      <c r="M823">
        <f>RAVLT_Delayed!N823</f>
        <v>81.7</v>
      </c>
      <c r="O823">
        <f>ABS(L823-RAVLT_Delayed!$C$34)</f>
        <v>2.432039308297095</v>
      </c>
      <c r="P823">
        <f t="shared" si="13"/>
        <v>81.7</v>
      </c>
    </row>
    <row r="824" spans="10:16">
      <c r="J824" s="5"/>
      <c r="L824">
        <f>RAVLT_Delayed!M824</f>
        <v>0.90776952986805604</v>
      </c>
      <c r="M824">
        <f>RAVLT_Delayed!N824</f>
        <v>81.8</v>
      </c>
      <c r="O824">
        <f>ABS(L824-RAVLT_Delayed!$C$34)</f>
        <v>2.4358175106007489</v>
      </c>
      <c r="P824">
        <f t="shared" si="13"/>
        <v>81.8</v>
      </c>
    </row>
    <row r="825" spans="10:16">
      <c r="J825" s="5"/>
      <c r="L825">
        <f>RAVLT_Delayed!M825</f>
        <v>0.91156073506754098</v>
      </c>
      <c r="M825">
        <f>RAVLT_Delayed!N825</f>
        <v>81.900000000000006</v>
      </c>
      <c r="O825">
        <f>ABS(L825-RAVLT_Delayed!$C$34)</f>
        <v>2.439608715800234</v>
      </c>
      <c r="P825">
        <f t="shared" si="13"/>
        <v>81.900000000000006</v>
      </c>
    </row>
    <row r="826" spans="10:16">
      <c r="J826" s="5"/>
      <c r="L826">
        <f>RAVLT_Delayed!M826</f>
        <v>0.91536508784281401</v>
      </c>
      <c r="M826">
        <f>RAVLT_Delayed!N826</f>
        <v>82</v>
      </c>
      <c r="O826">
        <f>ABS(L826-RAVLT_Delayed!$C$34)</f>
        <v>2.4434130685755067</v>
      </c>
      <c r="P826">
        <f t="shared" si="13"/>
        <v>82</v>
      </c>
    </row>
    <row r="827" spans="10:16">
      <c r="J827" s="5"/>
      <c r="L827">
        <f>RAVLT_Delayed!M827</f>
        <v>0.91918273514682003</v>
      </c>
      <c r="M827">
        <f>RAVLT_Delayed!N827</f>
        <v>82.1</v>
      </c>
      <c r="O827">
        <f>ABS(L827-RAVLT_Delayed!$C$34)</f>
        <v>2.4472307158795128</v>
      </c>
      <c r="P827">
        <f t="shared" si="13"/>
        <v>82.1</v>
      </c>
    </row>
    <row r="828" spans="10:16">
      <c r="J828" s="5"/>
      <c r="L828">
        <f>RAVLT_Delayed!M828</f>
        <v>0.92301382625497996</v>
      </c>
      <c r="M828">
        <f>RAVLT_Delayed!N828</f>
        <v>82.2</v>
      </c>
      <c r="O828">
        <f>ABS(L828-RAVLT_Delayed!$C$34)</f>
        <v>2.4510618069876728</v>
      </c>
      <c r="P828">
        <f t="shared" si="13"/>
        <v>82.2</v>
      </c>
    </row>
    <row r="829" spans="10:16">
      <c r="J829" s="5"/>
      <c r="L829">
        <f>RAVLT_Delayed!M829</f>
        <v>0.92685851281604403</v>
      </c>
      <c r="M829">
        <f>RAVLT_Delayed!N829</f>
        <v>82.3</v>
      </c>
      <c r="O829">
        <f>ABS(L829-RAVLT_Delayed!$C$34)</f>
        <v>2.4549064935487368</v>
      </c>
      <c r="P829">
        <f t="shared" si="13"/>
        <v>82.3</v>
      </c>
    </row>
    <row r="830" spans="10:16">
      <c r="J830" s="5"/>
      <c r="L830">
        <f>RAVLT_Delayed!M830</f>
        <v>0.93071694890433998</v>
      </c>
      <c r="M830">
        <f>RAVLT_Delayed!N830</f>
        <v>82.4</v>
      </c>
      <c r="O830">
        <f>ABS(L830-RAVLT_Delayed!$C$34)</f>
        <v>2.4587649296370326</v>
      </c>
      <c r="P830">
        <f t="shared" si="13"/>
        <v>82.4</v>
      </c>
    </row>
    <row r="831" spans="10:16">
      <c r="J831" s="5"/>
      <c r="L831">
        <f>RAVLT_Delayed!M831</f>
        <v>0.93458929107347999</v>
      </c>
      <c r="M831">
        <f>RAVLT_Delayed!N831</f>
        <v>82.5</v>
      </c>
      <c r="O831">
        <f>ABS(L831-RAVLT_Delayed!$C$34)</f>
        <v>2.4626372718061726</v>
      </c>
      <c r="P831">
        <f t="shared" si="13"/>
        <v>82.5</v>
      </c>
    </row>
    <row r="832" spans="10:16">
      <c r="J832" s="5"/>
      <c r="L832">
        <f>RAVLT_Delayed!M832</f>
        <v>0.93847569841156897</v>
      </c>
      <c r="M832">
        <f>RAVLT_Delayed!N832</f>
        <v>82.6</v>
      </c>
      <c r="O832">
        <f>ABS(L832-RAVLT_Delayed!$C$34)</f>
        <v>2.4665236791442617</v>
      </c>
      <c r="P832">
        <f t="shared" si="13"/>
        <v>82.6</v>
      </c>
    </row>
    <row r="833" spans="10:16">
      <c r="J833" s="5"/>
      <c r="L833">
        <f>RAVLT_Delayed!M833</f>
        <v>0.94237633259795095</v>
      </c>
      <c r="M833">
        <f>RAVLT_Delayed!N833</f>
        <v>82.7</v>
      </c>
      <c r="O833">
        <f>ABS(L833-RAVLT_Delayed!$C$34)</f>
        <v>2.4704243133306436</v>
      </c>
      <c r="P833">
        <f t="shared" si="13"/>
        <v>82.7</v>
      </c>
    </row>
    <row r="834" spans="10:16">
      <c r="J834" s="5"/>
      <c r="L834">
        <f>RAVLT_Delayed!M834</f>
        <v>0.94629135796157604</v>
      </c>
      <c r="M834">
        <f>RAVLT_Delayed!N834</f>
        <v>82.8</v>
      </c>
      <c r="O834">
        <f>ABS(L834-RAVLT_Delayed!$C$34)</f>
        <v>2.4743393386942687</v>
      </c>
      <c r="P834">
        <f t="shared" si="13"/>
        <v>82.8</v>
      </c>
    </row>
    <row r="835" spans="10:16">
      <c r="J835" s="5"/>
      <c r="L835">
        <f>RAVLT_Delayed!M835</f>
        <v>0.950220941541016</v>
      </c>
      <c r="M835">
        <f>RAVLT_Delayed!N835</f>
        <v>82.9</v>
      </c>
      <c r="O835">
        <f>ABS(L835-RAVLT_Delayed!$C$34)</f>
        <v>2.4782689222737089</v>
      </c>
      <c r="P835">
        <f t="shared" si="13"/>
        <v>82.9</v>
      </c>
    </row>
    <row r="836" spans="10:16">
      <c r="J836" s="5"/>
      <c r="L836">
        <f>RAVLT_Delayed!M836</f>
        <v>0.95416525314619505</v>
      </c>
      <c r="M836">
        <f>RAVLT_Delayed!N836</f>
        <v>83</v>
      </c>
      <c r="O836">
        <f>ABS(L836-RAVLT_Delayed!$C$34)</f>
        <v>2.4822132338788876</v>
      </c>
      <c r="P836">
        <f t="shared" si="13"/>
        <v>83</v>
      </c>
    </row>
    <row r="837" spans="10:16">
      <c r="J837" s="5"/>
      <c r="L837">
        <f>RAVLT_Delayed!M837</f>
        <v>0.95812446542190299</v>
      </c>
      <c r="M837">
        <f>RAVLT_Delayed!N837</f>
        <v>83.1</v>
      </c>
      <c r="O837">
        <f>ABS(L837-RAVLT_Delayed!$C$34)</f>
        <v>2.4861724461545958</v>
      </c>
      <c r="P837">
        <f t="shared" si="13"/>
        <v>83.1</v>
      </c>
    </row>
    <row r="838" spans="10:16">
      <c r="J838" s="5"/>
      <c r="L838">
        <f>RAVLT_Delayed!M838</f>
        <v>0.96209875391314204</v>
      </c>
      <c r="M838">
        <f>RAVLT_Delayed!N838</f>
        <v>83.2</v>
      </c>
      <c r="O838">
        <f>ABS(L838-RAVLT_Delayed!$C$34)</f>
        <v>2.490146734645835</v>
      </c>
      <c r="P838">
        <f t="shared" si="13"/>
        <v>83.2</v>
      </c>
    </row>
    <row r="839" spans="10:16">
      <c r="J839" s="5"/>
      <c r="L839">
        <f>RAVLT_Delayed!M839</f>
        <v>0.96608829713237299</v>
      </c>
      <c r="M839">
        <f>RAVLT_Delayed!N839</f>
        <v>83.3</v>
      </c>
      <c r="O839">
        <f>ABS(L839-RAVLT_Delayed!$C$34)</f>
        <v>2.4941362778650658</v>
      </c>
      <c r="P839">
        <f t="shared" ref="P839:P902" si="14">M839</f>
        <v>83.3</v>
      </c>
    </row>
    <row r="840" spans="10:16">
      <c r="J840" s="5"/>
      <c r="L840">
        <f>RAVLT_Delayed!M840</f>
        <v>0.97009327662873701</v>
      </c>
      <c r="M840">
        <f>RAVLT_Delayed!N840</f>
        <v>83.4</v>
      </c>
      <c r="O840">
        <f>ABS(L840-RAVLT_Delayed!$C$34)</f>
        <v>2.4981412573614299</v>
      </c>
      <c r="P840">
        <f t="shared" si="14"/>
        <v>83.4</v>
      </c>
    </row>
    <row r="841" spans="10:16">
      <c r="J841" s="5"/>
      <c r="L841">
        <f>RAVLT_Delayed!M841</f>
        <v>0.97411387705930896</v>
      </c>
      <c r="M841">
        <f>RAVLT_Delayed!N841</f>
        <v>83.5</v>
      </c>
      <c r="O841">
        <f>ABS(L841-RAVLT_Delayed!$C$34)</f>
        <v>2.502161857792002</v>
      </c>
      <c r="P841">
        <f t="shared" si="14"/>
        <v>83.5</v>
      </c>
    </row>
    <row r="842" spans="10:16">
      <c r="J842" s="5"/>
      <c r="L842">
        <f>RAVLT_Delayed!M842</f>
        <v>0.97815028626247102</v>
      </c>
      <c r="M842">
        <f>RAVLT_Delayed!N842</f>
        <v>83.6</v>
      </c>
      <c r="O842">
        <f>ABS(L842-RAVLT_Delayed!$C$34)</f>
        <v>2.5061982669951637</v>
      </c>
      <c r="P842">
        <f t="shared" si="14"/>
        <v>83.6</v>
      </c>
    </row>
    <row r="843" spans="10:16">
      <c r="J843" s="5"/>
      <c r="L843">
        <f>RAVLT_Delayed!M843</f>
        <v>0.98220269533347004</v>
      </c>
      <c r="M843">
        <f>RAVLT_Delayed!N843</f>
        <v>83.7</v>
      </c>
      <c r="O843">
        <f>ABS(L843-RAVLT_Delayed!$C$34)</f>
        <v>2.5102506760661627</v>
      </c>
      <c r="P843">
        <f t="shared" si="14"/>
        <v>83.7</v>
      </c>
    </row>
    <row r="844" spans="10:16">
      <c r="J844" s="5"/>
      <c r="L844">
        <f>RAVLT_Delayed!M844</f>
        <v>0.98627129870223795</v>
      </c>
      <c r="M844">
        <f>RAVLT_Delayed!N844</f>
        <v>83.8</v>
      </c>
      <c r="O844">
        <f>ABS(L844-RAVLT_Delayed!$C$34)</f>
        <v>2.5143192794349307</v>
      </c>
      <c r="P844">
        <f t="shared" si="14"/>
        <v>83.8</v>
      </c>
    </row>
    <row r="845" spans="10:16">
      <c r="J845" s="5"/>
      <c r="L845">
        <f>RAVLT_Delayed!M845</f>
        <v>0.99035629421357496</v>
      </c>
      <c r="M845">
        <f>RAVLT_Delayed!N845</f>
        <v>83.9</v>
      </c>
      <c r="O845">
        <f>ABS(L845-RAVLT_Delayed!$C$34)</f>
        <v>2.5184042749462678</v>
      </c>
      <c r="P845">
        <f t="shared" si="14"/>
        <v>83.9</v>
      </c>
    </row>
    <row r="846" spans="10:16">
      <c r="J846" s="5"/>
      <c r="L846">
        <f>RAVLT_Delayed!M846</f>
        <v>0.99445788320975304</v>
      </c>
      <c r="M846">
        <f>RAVLT_Delayed!N846</f>
        <v>84</v>
      </c>
      <c r="O846">
        <f>ABS(L846-RAVLT_Delayed!$C$34)</f>
        <v>2.5225058639424458</v>
      </c>
      <c r="P846">
        <f t="shared" si="14"/>
        <v>84</v>
      </c>
    </row>
    <row r="847" spans="10:16">
      <c r="J847" s="5"/>
      <c r="L847">
        <f>RAVLT_Delayed!M847</f>
        <v>0.99857627061566001</v>
      </c>
      <c r="M847">
        <f>RAVLT_Delayed!N847</f>
        <v>84.1</v>
      </c>
      <c r="O847">
        <f>ABS(L847-RAVLT_Delayed!$C$34)</f>
        <v>2.5266242513483528</v>
      </c>
      <c r="P847">
        <f t="shared" si="14"/>
        <v>84.1</v>
      </c>
    </row>
    <row r="848" spans="10:16">
      <c r="J848" s="5"/>
      <c r="L848">
        <f>RAVLT_Delayed!M848</f>
        <v>1.00271166502655</v>
      </c>
      <c r="M848">
        <f>RAVLT_Delayed!N848</f>
        <v>84.2</v>
      </c>
      <c r="O848">
        <f>ABS(L848-RAVLT_Delayed!$C$34)</f>
        <v>2.5307596457592427</v>
      </c>
      <c r="P848">
        <f t="shared" si="14"/>
        <v>84.2</v>
      </c>
    </row>
    <row r="849" spans="10:16">
      <c r="J849" s="5"/>
      <c r="L849">
        <f>RAVLT_Delayed!M849</f>
        <v>1.00686427879852</v>
      </c>
      <c r="M849">
        <f>RAVLT_Delayed!N849</f>
        <v>84.3</v>
      </c>
      <c r="O849">
        <f>ABS(L849-RAVLT_Delayed!$C$34)</f>
        <v>2.5349122595312128</v>
      </c>
      <c r="P849">
        <f t="shared" si="14"/>
        <v>84.3</v>
      </c>
    </row>
    <row r="850" spans="10:16">
      <c r="J850" s="5"/>
      <c r="L850">
        <f>RAVLT_Delayed!M850</f>
        <v>1.0110343281418199</v>
      </c>
      <c r="M850">
        <f>RAVLT_Delayed!N850</f>
        <v>84.4</v>
      </c>
      <c r="O850">
        <f>ABS(L850-RAVLT_Delayed!$C$34)</f>
        <v>2.5390823088745127</v>
      </c>
      <c r="P850">
        <f t="shared" si="14"/>
        <v>84.4</v>
      </c>
    </row>
    <row r="851" spans="10:16">
      <c r="J851" s="5"/>
      <c r="L851">
        <f>RAVLT_Delayed!M851</f>
        <v>1.0152220332170301</v>
      </c>
      <c r="M851">
        <f>RAVLT_Delayed!N851</f>
        <v>84.5</v>
      </c>
      <c r="O851">
        <f>ABS(L851-RAVLT_Delayed!$C$34)</f>
        <v>2.5432700139497229</v>
      </c>
      <c r="P851">
        <f t="shared" si="14"/>
        <v>84.5</v>
      </c>
    </row>
    <row r="852" spans="10:16">
      <c r="J852" s="5"/>
      <c r="L852">
        <f>RAVLT_Delayed!M852</f>
        <v>1.01942761823437</v>
      </c>
      <c r="M852">
        <f>RAVLT_Delayed!N852</f>
        <v>84.6</v>
      </c>
      <c r="O852">
        <f>ABS(L852-RAVLT_Delayed!$C$34)</f>
        <v>2.547475598967063</v>
      </c>
      <c r="P852">
        <f t="shared" si="14"/>
        <v>84.6</v>
      </c>
    </row>
    <row r="853" spans="10:16">
      <c r="J853" s="5"/>
      <c r="L853">
        <f>RAVLT_Delayed!M853</f>
        <v>1.0236513115560899</v>
      </c>
      <c r="M853">
        <f>RAVLT_Delayed!N853</f>
        <v>84.7</v>
      </c>
      <c r="O853">
        <f>ABS(L853-RAVLT_Delayed!$C$34)</f>
        <v>2.5516992922887827</v>
      </c>
      <c r="P853">
        <f t="shared" si="14"/>
        <v>84.7</v>
      </c>
    </row>
    <row r="854" spans="10:16">
      <c r="J854" s="5"/>
      <c r="L854">
        <f>RAVLT_Delayed!M854</f>
        <v>1.02789334580214</v>
      </c>
      <c r="M854">
        <f>RAVLT_Delayed!N854</f>
        <v>84.8</v>
      </c>
      <c r="O854">
        <f>ABS(L854-RAVLT_Delayed!$C$34)</f>
        <v>2.5559413265348327</v>
      </c>
      <c r="P854">
        <f t="shared" si="14"/>
        <v>84.8</v>
      </c>
    </row>
    <row r="855" spans="10:16">
      <c r="J855" s="5"/>
      <c r="L855">
        <f>RAVLT_Delayed!M855</f>
        <v>1.03215395795931</v>
      </c>
      <c r="M855">
        <f>RAVLT_Delayed!N855</f>
        <v>84.9</v>
      </c>
      <c r="O855">
        <f>ABS(L855-RAVLT_Delayed!$C$34)</f>
        <v>2.5602019386920025</v>
      </c>
      <c r="P855">
        <f t="shared" si="14"/>
        <v>84.9</v>
      </c>
    </row>
    <row r="856" spans="10:16">
      <c r="J856" s="5"/>
      <c r="L856">
        <f>RAVLT_Delayed!M856</f>
        <v>1.03643338949379</v>
      </c>
      <c r="M856">
        <f>RAVLT_Delayed!N856</f>
        <v>85</v>
      </c>
      <c r="O856">
        <f>ABS(L856-RAVLT_Delayed!$C$34)</f>
        <v>2.564481370226483</v>
      </c>
      <c r="P856">
        <f t="shared" si="14"/>
        <v>85</v>
      </c>
    </row>
    <row r="857" spans="10:16">
      <c r="J857" s="5"/>
      <c r="L857">
        <f>RAVLT_Delayed!M857</f>
        <v>1.0407318864675399</v>
      </c>
      <c r="M857">
        <f>RAVLT_Delayed!N857</f>
        <v>85.1</v>
      </c>
      <c r="O857">
        <f>ABS(L857-RAVLT_Delayed!$C$34)</f>
        <v>2.5687798672002327</v>
      </c>
      <c r="P857">
        <f t="shared" si="14"/>
        <v>85.1</v>
      </c>
    </row>
    <row r="858" spans="10:16">
      <c r="J858" s="5"/>
      <c r="L858">
        <f>RAVLT_Delayed!M858</f>
        <v>1.04504969965839</v>
      </c>
      <c r="M858">
        <f>RAVLT_Delayed!N858</f>
        <v>85.2</v>
      </c>
      <c r="O858">
        <f>ABS(L858-RAVLT_Delayed!$C$34)</f>
        <v>2.5730976803910828</v>
      </c>
      <c r="P858">
        <f t="shared" si="14"/>
        <v>85.2</v>
      </c>
    </row>
    <row r="859" spans="10:16">
      <c r="J859" s="5"/>
      <c r="L859">
        <f>RAVLT_Delayed!M859</f>
        <v>1.0493870846841</v>
      </c>
      <c r="M859">
        <f>RAVLT_Delayed!N859</f>
        <v>85.3</v>
      </c>
      <c r="O859">
        <f>ABS(L859-RAVLT_Delayed!$C$34)</f>
        <v>2.5774350654167928</v>
      </c>
      <c r="P859">
        <f t="shared" si="14"/>
        <v>85.3</v>
      </c>
    </row>
    <row r="860" spans="10:16">
      <c r="J860" s="5"/>
      <c r="L860">
        <f>RAVLT_Delayed!M860</f>
        <v>1.0537443021306701</v>
      </c>
      <c r="M860">
        <f>RAVLT_Delayed!N860</f>
        <v>85.4</v>
      </c>
      <c r="O860">
        <f>ABS(L860-RAVLT_Delayed!$C$34)</f>
        <v>2.581792282863363</v>
      </c>
      <c r="P860">
        <f t="shared" si="14"/>
        <v>85.4</v>
      </c>
    </row>
    <row r="861" spans="10:16">
      <c r="J861" s="5"/>
      <c r="L861">
        <f>RAVLT_Delayed!M861</f>
        <v>1.0581216176847801</v>
      </c>
      <c r="M861">
        <f>RAVLT_Delayed!N861</f>
        <v>85.5</v>
      </c>
      <c r="O861">
        <f>ABS(L861-RAVLT_Delayed!$C$34)</f>
        <v>2.5861695984174728</v>
      </c>
      <c r="P861">
        <f t="shared" si="14"/>
        <v>85.5</v>
      </c>
    </row>
    <row r="862" spans="10:16">
      <c r="J862" s="5"/>
      <c r="L862">
        <f>RAVLT_Delayed!M862</f>
        <v>1.0625193022708701</v>
      </c>
      <c r="M862">
        <f>RAVLT_Delayed!N862</f>
        <v>85.6</v>
      </c>
      <c r="O862">
        <f>ABS(L862-RAVLT_Delayed!$C$34)</f>
        <v>2.5905672830035629</v>
      </c>
      <c r="P862">
        <f t="shared" si="14"/>
        <v>85.6</v>
      </c>
    </row>
    <row r="863" spans="10:16">
      <c r="J863" s="5"/>
      <c r="L863">
        <f>RAVLT_Delayed!M863</f>
        <v>1.0669376321927699</v>
      </c>
      <c r="M863">
        <f>RAVLT_Delayed!N863</f>
        <v>85.7</v>
      </c>
      <c r="O863">
        <f>ABS(L863-RAVLT_Delayed!$C$34)</f>
        <v>2.5949856129254627</v>
      </c>
      <c r="P863">
        <f t="shared" si="14"/>
        <v>85.7</v>
      </c>
    </row>
    <row r="864" spans="10:16">
      <c r="J864" s="5"/>
      <c r="L864">
        <f>RAVLT_Delayed!M864</f>
        <v>1.07137688928021</v>
      </c>
      <c r="M864">
        <f>RAVLT_Delayed!N864</f>
        <v>85.8</v>
      </c>
      <c r="O864">
        <f>ABS(L864-RAVLT_Delayed!$C$34)</f>
        <v>2.5994248700129026</v>
      </c>
      <c r="P864">
        <f t="shared" si="14"/>
        <v>85.8</v>
      </c>
    </row>
    <row r="865" spans="10:16">
      <c r="J865" s="5"/>
      <c r="L865">
        <f>RAVLT_Delayed!M865</f>
        <v>1.0758373610404299</v>
      </c>
      <c r="M865">
        <f>RAVLT_Delayed!N865</f>
        <v>85.9</v>
      </c>
      <c r="O865">
        <f>ABS(L865-RAVLT_Delayed!$C$34)</f>
        <v>2.6038853417731227</v>
      </c>
      <c r="P865">
        <f t="shared" si="14"/>
        <v>85.9</v>
      </c>
    </row>
    <row r="866" spans="10:16">
      <c r="J866" s="5"/>
      <c r="L866">
        <f>RAVLT_Delayed!M866</f>
        <v>1.0803193408149601</v>
      </c>
      <c r="M866">
        <f>RAVLT_Delayed!N866</f>
        <v>86</v>
      </c>
      <c r="O866">
        <f>ABS(L866-RAVLT_Delayed!$C$34)</f>
        <v>2.6083673215476528</v>
      </c>
      <c r="P866">
        <f t="shared" si="14"/>
        <v>86</v>
      </c>
    </row>
    <row r="867" spans="10:16">
      <c r="J867" s="5"/>
      <c r="L867">
        <f>RAVLT_Delayed!M867</f>
        <v>1.08482312794196</v>
      </c>
      <c r="M867">
        <f>RAVLT_Delayed!N867</f>
        <v>86.1</v>
      </c>
      <c r="O867">
        <f>ABS(L867-RAVLT_Delayed!$C$34)</f>
        <v>2.6128711086746526</v>
      </c>
      <c r="P867">
        <f t="shared" si="14"/>
        <v>86.1</v>
      </c>
    </row>
    <row r="868" spans="10:16">
      <c r="J868" s="5"/>
      <c r="L868">
        <f>RAVLT_Delayed!M868</f>
        <v>1.0893490279242799</v>
      </c>
      <c r="M868">
        <f>RAVLT_Delayed!N868</f>
        <v>86.2</v>
      </c>
      <c r="O868">
        <f>ABS(L868-RAVLT_Delayed!$C$34)</f>
        <v>2.6173970086569724</v>
      </c>
      <c r="P868">
        <f t="shared" si="14"/>
        <v>86.2</v>
      </c>
    </row>
    <row r="869" spans="10:16">
      <c r="J869" s="5"/>
      <c r="L869">
        <f>RAVLT_Delayed!M869</f>
        <v>1.0938973526034399</v>
      </c>
      <c r="M869">
        <f>RAVLT_Delayed!N869</f>
        <v>86.3</v>
      </c>
      <c r="O869">
        <f>ABS(L869-RAVLT_Delayed!$C$34)</f>
        <v>2.6219453333361327</v>
      </c>
      <c r="P869">
        <f t="shared" si="14"/>
        <v>86.3</v>
      </c>
    </row>
    <row r="870" spans="10:16">
      <c r="J870" s="5"/>
      <c r="L870">
        <f>RAVLT_Delayed!M870</f>
        <v>1.09846842033986</v>
      </c>
      <c r="M870">
        <f>RAVLT_Delayed!N870</f>
        <v>86.4</v>
      </c>
      <c r="O870">
        <f>ABS(L870-RAVLT_Delayed!$C$34)</f>
        <v>2.6265164010725526</v>
      </c>
      <c r="P870">
        <f t="shared" si="14"/>
        <v>86.4</v>
      </c>
    </row>
    <row r="871" spans="10:16">
      <c r="J871" s="5"/>
      <c r="L871">
        <f>RAVLT_Delayed!M871</f>
        <v>1.1030625561995999</v>
      </c>
      <c r="M871">
        <f>RAVLT_Delayed!N871</f>
        <v>86.5</v>
      </c>
      <c r="O871">
        <f>ABS(L871-RAVLT_Delayed!$C$34)</f>
        <v>2.6311105369322929</v>
      </c>
      <c r="P871">
        <f t="shared" si="14"/>
        <v>86.5</v>
      </c>
    </row>
    <row r="872" spans="10:16">
      <c r="J872" s="5"/>
      <c r="L872">
        <f>RAVLT_Delayed!M872</f>
        <v>1.1076800921478001</v>
      </c>
      <c r="M872">
        <f>RAVLT_Delayed!N872</f>
        <v>86.6</v>
      </c>
      <c r="O872">
        <f>ABS(L872-RAVLT_Delayed!$C$34)</f>
        <v>2.635728072880493</v>
      </c>
      <c r="P872">
        <f t="shared" si="14"/>
        <v>86.6</v>
      </c>
    </row>
    <row r="873" spans="10:16">
      <c r="J873" s="5"/>
      <c r="L873">
        <f>RAVLT_Delayed!M873</f>
        <v>1.11232136724931</v>
      </c>
      <c r="M873">
        <f>RAVLT_Delayed!N873</f>
        <v>86.7</v>
      </c>
      <c r="O873">
        <f>ABS(L873-RAVLT_Delayed!$C$34)</f>
        <v>2.640369347982003</v>
      </c>
      <c r="P873">
        <f t="shared" si="14"/>
        <v>86.7</v>
      </c>
    </row>
    <row r="874" spans="10:16">
      <c r="J874" s="5"/>
      <c r="L874">
        <f>RAVLT_Delayed!M874</f>
        <v>1.1169867278766099</v>
      </c>
      <c r="M874">
        <f>RAVLT_Delayed!N874</f>
        <v>86.8</v>
      </c>
      <c r="O874">
        <f>ABS(L874-RAVLT_Delayed!$C$34)</f>
        <v>2.6450347086093027</v>
      </c>
      <c r="P874">
        <f t="shared" si="14"/>
        <v>86.8</v>
      </c>
    </row>
    <row r="875" spans="10:16">
      <c r="J875" s="5"/>
      <c r="L875">
        <f>RAVLT_Delayed!M875</f>
        <v>1.1216765279254901</v>
      </c>
      <c r="M875">
        <f>RAVLT_Delayed!N875</f>
        <v>86.9</v>
      </c>
      <c r="O875">
        <f>ABS(L875-RAVLT_Delayed!$C$34)</f>
        <v>2.6497245086581831</v>
      </c>
      <c r="P875">
        <f t="shared" si="14"/>
        <v>86.9</v>
      </c>
    </row>
    <row r="876" spans="10:16">
      <c r="J876" s="5"/>
      <c r="L876">
        <f>RAVLT_Delayed!M876</f>
        <v>1.1263911290388</v>
      </c>
      <c r="M876">
        <f>RAVLT_Delayed!N876</f>
        <v>87</v>
      </c>
      <c r="O876">
        <f>ABS(L876-RAVLT_Delayed!$C$34)</f>
        <v>2.6544391097714928</v>
      </c>
      <c r="P876">
        <f t="shared" si="14"/>
        <v>87</v>
      </c>
    </row>
    <row r="877" spans="10:16">
      <c r="J877" s="5"/>
      <c r="L877">
        <f>RAVLT_Delayed!M877</f>
        <v>1.1311309008386301</v>
      </c>
      <c r="M877">
        <f>RAVLT_Delayed!N877</f>
        <v>87.1</v>
      </c>
      <c r="O877">
        <f>ABS(L877-RAVLT_Delayed!$C$34)</f>
        <v>2.6591788815713229</v>
      </c>
      <c r="P877">
        <f t="shared" si="14"/>
        <v>87.1</v>
      </c>
    </row>
    <row r="878" spans="10:16">
      <c r="J878" s="5"/>
      <c r="L878">
        <f>RAVLT_Delayed!M878</f>
        <v>1.13589622116731</v>
      </c>
      <c r="M878">
        <f>RAVLT_Delayed!N878</f>
        <v>87.2</v>
      </c>
      <c r="O878">
        <f>ABS(L878-RAVLT_Delayed!$C$34)</f>
        <v>2.6639442019000028</v>
      </c>
      <c r="P878">
        <f t="shared" si="14"/>
        <v>87.2</v>
      </c>
    </row>
    <row r="879" spans="10:16">
      <c r="J879" s="5"/>
      <c r="L879">
        <f>RAVLT_Delayed!M879</f>
        <v>1.14068747633762</v>
      </c>
      <c r="M879">
        <f>RAVLT_Delayed!N879</f>
        <v>87.3</v>
      </c>
      <c r="O879">
        <f>ABS(L879-RAVLT_Delayed!$C$34)</f>
        <v>2.668735457070313</v>
      </c>
      <c r="P879">
        <f t="shared" si="14"/>
        <v>87.3</v>
      </c>
    </row>
    <row r="880" spans="10:16">
      <c r="J880" s="5"/>
      <c r="L880">
        <f>RAVLT_Delayed!M880</f>
        <v>1.1455050613927</v>
      </c>
      <c r="M880">
        <f>RAVLT_Delayed!N880</f>
        <v>87.4</v>
      </c>
      <c r="O880">
        <f>ABS(L880-RAVLT_Delayed!$C$34)</f>
        <v>2.673553042125393</v>
      </c>
      <c r="P880">
        <f t="shared" si="14"/>
        <v>87.4</v>
      </c>
    </row>
    <row r="881" spans="10:16">
      <c r="J881" s="5"/>
      <c r="L881">
        <f>RAVLT_Delayed!M881</f>
        <v>1.1503493803760101</v>
      </c>
      <c r="M881">
        <f>RAVLT_Delayed!N881</f>
        <v>87.5</v>
      </c>
      <c r="O881">
        <f>ABS(L881-RAVLT_Delayed!$C$34)</f>
        <v>2.6783973611087029</v>
      </c>
      <c r="P881">
        <f t="shared" si="14"/>
        <v>87.5</v>
      </c>
    </row>
    <row r="882" spans="10:16">
      <c r="J882" s="5"/>
      <c r="L882">
        <f>RAVLT_Delayed!M882</f>
        <v>1.15522084661195</v>
      </c>
      <c r="M882">
        <f>RAVLT_Delayed!N882</f>
        <v>87.6</v>
      </c>
      <c r="O882">
        <f>ABS(L882-RAVLT_Delayed!$C$34)</f>
        <v>2.6832688273446426</v>
      </c>
      <c r="P882">
        <f t="shared" si="14"/>
        <v>87.6</v>
      </c>
    </row>
    <row r="883" spans="10:16">
      <c r="J883" s="5"/>
      <c r="L883">
        <f>RAVLT_Delayed!M883</f>
        <v>1.1601198829975199</v>
      </c>
      <c r="M883">
        <f>RAVLT_Delayed!N883</f>
        <v>87.7</v>
      </c>
      <c r="O883">
        <f>ABS(L883-RAVLT_Delayed!$C$34)</f>
        <v>2.6881678637302127</v>
      </c>
      <c r="P883">
        <f t="shared" si="14"/>
        <v>87.7</v>
      </c>
    </row>
    <row r="884" spans="10:16">
      <c r="J884" s="5"/>
      <c r="L884">
        <f>RAVLT_Delayed!M884</f>
        <v>1.1650469223055999</v>
      </c>
      <c r="M884">
        <f>RAVLT_Delayed!N884</f>
        <v>87.8</v>
      </c>
      <c r="O884">
        <f>ABS(L884-RAVLT_Delayed!$C$34)</f>
        <v>2.6930949030382925</v>
      </c>
      <c r="P884">
        <f t="shared" si="14"/>
        <v>87.8</v>
      </c>
    </row>
    <row r="885" spans="10:16">
      <c r="J885" s="5"/>
      <c r="L885">
        <f>RAVLT_Delayed!M885</f>
        <v>1.17000240750048</v>
      </c>
      <c r="M885">
        <f>RAVLT_Delayed!N885</f>
        <v>87.9</v>
      </c>
      <c r="O885">
        <f>ABS(L885-RAVLT_Delayed!$C$34)</f>
        <v>2.698050388233173</v>
      </c>
      <c r="P885">
        <f t="shared" si="14"/>
        <v>87.9</v>
      </c>
    </row>
    <row r="886" spans="10:16">
      <c r="J886" s="5"/>
      <c r="L886">
        <f>RAVLT_Delayed!M886</f>
        <v>1.1749867920660899</v>
      </c>
      <c r="M886">
        <f>RAVLT_Delayed!N886</f>
        <v>88</v>
      </c>
      <c r="O886">
        <f>ABS(L886-RAVLT_Delayed!$C$34)</f>
        <v>2.7030347727987829</v>
      </c>
      <c r="P886">
        <f t="shared" si="14"/>
        <v>88</v>
      </c>
    </row>
    <row r="887" spans="10:16">
      <c r="J887" s="5"/>
      <c r="L887">
        <f>RAVLT_Delayed!M887</f>
        <v>1.1800005403477301</v>
      </c>
      <c r="M887">
        <f>RAVLT_Delayed!N887</f>
        <v>88.1</v>
      </c>
      <c r="O887">
        <f>ABS(L887-RAVLT_Delayed!$C$34)</f>
        <v>2.708048521080423</v>
      </c>
      <c r="P887">
        <f t="shared" si="14"/>
        <v>88.1</v>
      </c>
    </row>
    <row r="888" spans="10:16">
      <c r="J888" s="5"/>
      <c r="L888">
        <f>RAVLT_Delayed!M888</f>
        <v>1.1850441279078101</v>
      </c>
      <c r="M888">
        <f>RAVLT_Delayed!N888</f>
        <v>88.2</v>
      </c>
      <c r="O888">
        <f>ABS(L888-RAVLT_Delayed!$C$34)</f>
        <v>2.7130921086405029</v>
      </c>
      <c r="P888">
        <f t="shared" si="14"/>
        <v>88.2</v>
      </c>
    </row>
    <row r="889" spans="10:16">
      <c r="J889" s="5"/>
      <c r="L889">
        <f>RAVLT_Delayed!M889</f>
        <v>1.1901180418964199</v>
      </c>
      <c r="M889">
        <f>RAVLT_Delayed!N889</f>
        <v>88.3</v>
      </c>
      <c r="O889">
        <f>ABS(L889-RAVLT_Delayed!$C$34)</f>
        <v>2.7181660226291129</v>
      </c>
      <c r="P889">
        <f t="shared" si="14"/>
        <v>88.3</v>
      </c>
    </row>
    <row r="890" spans="10:16">
      <c r="J890" s="5"/>
      <c r="L890">
        <f>RAVLT_Delayed!M890</f>
        <v>1.1952227814374301</v>
      </c>
      <c r="M890">
        <f>RAVLT_Delayed!N890</f>
        <v>88.4</v>
      </c>
      <c r="O890">
        <f>ABS(L890-RAVLT_Delayed!$C$34)</f>
        <v>2.7232707621701229</v>
      </c>
      <c r="P890">
        <f t="shared" si="14"/>
        <v>88.4</v>
      </c>
    </row>
    <row r="891" spans="10:16">
      <c r="J891" s="5"/>
      <c r="L891">
        <f>RAVLT_Delayed!M891</f>
        <v>1.20035885803086</v>
      </c>
      <c r="M891">
        <f>RAVLT_Delayed!N891</f>
        <v>88.5</v>
      </c>
      <c r="O891">
        <f>ABS(L891-RAVLT_Delayed!$C$34)</f>
        <v>2.7284068387635525</v>
      </c>
      <c r="P891">
        <f t="shared" si="14"/>
        <v>88.5</v>
      </c>
    </row>
    <row r="892" spans="10:16">
      <c r="J892" s="5"/>
      <c r="L892">
        <f>RAVLT_Delayed!M892</f>
        <v>1.20552679597252</v>
      </c>
      <c r="M892">
        <f>RAVLT_Delayed!N892</f>
        <v>88.6</v>
      </c>
      <c r="O892">
        <f>ABS(L892-RAVLT_Delayed!$C$34)</f>
        <v>2.733574776705213</v>
      </c>
      <c r="P892">
        <f t="shared" si="14"/>
        <v>88.6</v>
      </c>
    </row>
    <row r="893" spans="10:16">
      <c r="J893" s="5"/>
      <c r="L893">
        <f>RAVLT_Delayed!M893</f>
        <v>1.2107271327916</v>
      </c>
      <c r="M893">
        <f>RAVLT_Delayed!N893</f>
        <v>88.7</v>
      </c>
      <c r="O893">
        <f>ABS(L893-RAVLT_Delayed!$C$34)</f>
        <v>2.7387751135242926</v>
      </c>
      <c r="P893">
        <f t="shared" si="14"/>
        <v>88.7</v>
      </c>
    </row>
    <row r="894" spans="10:16">
      <c r="J894" s="5"/>
      <c r="L894">
        <f>RAVLT_Delayed!M894</f>
        <v>1.2159604197073199</v>
      </c>
      <c r="M894">
        <f>RAVLT_Delayed!N894</f>
        <v>88.8</v>
      </c>
      <c r="O894">
        <f>ABS(L894-RAVLT_Delayed!$C$34)</f>
        <v>2.7440084004400127</v>
      </c>
      <c r="P894">
        <f t="shared" si="14"/>
        <v>88.8</v>
      </c>
    </row>
    <row r="895" spans="10:16">
      <c r="J895" s="5"/>
      <c r="L895">
        <f>RAVLT_Delayed!M895</f>
        <v>1.22122722210557</v>
      </c>
      <c r="M895">
        <f>RAVLT_Delayed!N895</f>
        <v>88.9</v>
      </c>
      <c r="O895">
        <f>ABS(L895-RAVLT_Delayed!$C$34)</f>
        <v>2.7492752028382625</v>
      </c>
      <c r="P895">
        <f t="shared" si="14"/>
        <v>88.9</v>
      </c>
    </row>
    <row r="896" spans="10:16">
      <c r="J896" s="5"/>
      <c r="L896">
        <f>RAVLT_Delayed!M896</f>
        <v>1.22652812003661</v>
      </c>
      <c r="M896">
        <f>RAVLT_Delayed!N896</f>
        <v>89</v>
      </c>
      <c r="O896">
        <f>ABS(L896-RAVLT_Delayed!$C$34)</f>
        <v>2.7545761007693028</v>
      </c>
      <c r="P896">
        <f t="shared" si="14"/>
        <v>89</v>
      </c>
    </row>
    <row r="897" spans="10:16">
      <c r="J897" s="5"/>
      <c r="L897">
        <f>RAVLT_Delayed!M897</f>
        <v>1.23186370873498</v>
      </c>
      <c r="M897">
        <f>RAVLT_Delayed!N897</f>
        <v>89.1</v>
      </c>
      <c r="O897">
        <f>ABS(L897-RAVLT_Delayed!$C$34)</f>
        <v>2.759911689467673</v>
      </c>
      <c r="P897">
        <f t="shared" si="14"/>
        <v>89.1</v>
      </c>
    </row>
    <row r="898" spans="10:16">
      <c r="J898" s="5"/>
      <c r="L898">
        <f>RAVLT_Delayed!M898</f>
        <v>1.23723459916283</v>
      </c>
      <c r="M898">
        <f>RAVLT_Delayed!N898</f>
        <v>89.2</v>
      </c>
      <c r="O898">
        <f>ABS(L898-RAVLT_Delayed!$C$34)</f>
        <v>2.7652825798955227</v>
      </c>
      <c r="P898">
        <f t="shared" si="14"/>
        <v>89.2</v>
      </c>
    </row>
    <row r="899" spans="10:16">
      <c r="J899" s="5"/>
      <c r="L899">
        <f>RAVLT_Delayed!M899</f>
        <v>1.24264141857788</v>
      </c>
      <c r="M899">
        <f>RAVLT_Delayed!N899</f>
        <v>89.3</v>
      </c>
      <c r="O899">
        <f>ABS(L899-RAVLT_Delayed!$C$34)</f>
        <v>2.770689399310573</v>
      </c>
      <c r="P899">
        <f t="shared" si="14"/>
        <v>89.3</v>
      </c>
    </row>
    <row r="900" spans="10:16">
      <c r="J900" s="5"/>
      <c r="L900">
        <f>RAVLT_Delayed!M900</f>
        <v>1.24808481112755</v>
      </c>
      <c r="M900">
        <f>RAVLT_Delayed!N900</f>
        <v>89.4</v>
      </c>
      <c r="O900">
        <f>ABS(L900-RAVLT_Delayed!$C$34)</f>
        <v>2.7761327918602428</v>
      </c>
      <c r="P900">
        <f t="shared" si="14"/>
        <v>89.4</v>
      </c>
    </row>
    <row r="901" spans="10:16">
      <c r="J901" s="5"/>
      <c r="L901">
        <f>RAVLT_Delayed!M901</f>
        <v>1.25356543847045</v>
      </c>
      <c r="M901">
        <f>RAVLT_Delayed!N901</f>
        <v>89.5</v>
      </c>
      <c r="O901">
        <f>ABS(L901-RAVLT_Delayed!$C$34)</f>
        <v>2.7816134192031425</v>
      </c>
      <c r="P901">
        <f t="shared" si="14"/>
        <v>89.5</v>
      </c>
    </row>
    <row r="902" spans="10:16">
      <c r="J902" s="5"/>
      <c r="L902">
        <f>RAVLT_Delayed!M902</f>
        <v>1.2590839804270699</v>
      </c>
      <c r="M902">
        <f>RAVLT_Delayed!N902</f>
        <v>89.6</v>
      </c>
      <c r="O902">
        <f>ABS(L902-RAVLT_Delayed!$C$34)</f>
        <v>2.7871319611597629</v>
      </c>
      <c r="P902">
        <f t="shared" si="14"/>
        <v>89.6</v>
      </c>
    </row>
    <row r="903" spans="10:16">
      <c r="J903" s="5"/>
      <c r="L903">
        <f>RAVLT_Delayed!M903</f>
        <v>1.2646411356610801</v>
      </c>
      <c r="M903">
        <f>RAVLT_Delayed!N903</f>
        <v>89.7</v>
      </c>
      <c r="O903">
        <f>ABS(L903-RAVLT_Delayed!$C$34)</f>
        <v>2.792689116393773</v>
      </c>
      <c r="P903">
        <f t="shared" ref="P903:P966" si="15">M903</f>
        <v>89.7</v>
      </c>
    </row>
    <row r="904" spans="10:16">
      <c r="J904" s="5"/>
      <c r="L904">
        <f>RAVLT_Delayed!M904</f>
        <v>1.27023762239315</v>
      </c>
      <c r="M904">
        <f>RAVLT_Delayed!N904</f>
        <v>89.8</v>
      </c>
      <c r="O904">
        <f>ABS(L904-RAVLT_Delayed!$C$34)</f>
        <v>2.7982856031258425</v>
      </c>
      <c r="P904">
        <f t="shared" si="15"/>
        <v>89.8</v>
      </c>
    </row>
    <row r="905" spans="10:16">
      <c r="J905" s="5"/>
      <c r="L905">
        <f>RAVLT_Delayed!M905</f>
        <v>1.2758741791491299</v>
      </c>
      <c r="M905">
        <f>RAVLT_Delayed!N905</f>
        <v>89.9</v>
      </c>
      <c r="O905">
        <f>ABS(L905-RAVLT_Delayed!$C$34)</f>
        <v>2.8039221598818225</v>
      </c>
      <c r="P905">
        <f t="shared" si="15"/>
        <v>89.9</v>
      </c>
    </row>
    <row r="906" spans="10:16">
      <c r="J906" s="5"/>
      <c r="L906">
        <f>RAVLT_Delayed!M906</f>
        <v>1.2815515655445999</v>
      </c>
      <c r="M906">
        <f>RAVLT_Delayed!N906</f>
        <v>90</v>
      </c>
      <c r="O906">
        <f>ABS(L906-RAVLT_Delayed!$C$34)</f>
        <v>2.8095995462772927</v>
      </c>
      <c r="P906">
        <f t="shared" si="15"/>
        <v>90</v>
      </c>
    </row>
    <row r="907" spans="10:16">
      <c r="J907" s="5"/>
      <c r="L907">
        <f>RAVLT_Delayed!M907</f>
        <v>1.28727056310794</v>
      </c>
      <c r="M907">
        <f>RAVLT_Delayed!N907</f>
        <v>90.1</v>
      </c>
      <c r="O907">
        <f>ABS(L907-RAVLT_Delayed!$C$34)</f>
        <v>2.8153185438406325</v>
      </c>
      <c r="P907">
        <f t="shared" si="15"/>
        <v>90.1</v>
      </c>
    </row>
    <row r="908" spans="10:16">
      <c r="J908" s="5"/>
      <c r="L908">
        <f>RAVLT_Delayed!M908</f>
        <v>1.2930319761442399</v>
      </c>
      <c r="M908">
        <f>RAVLT_Delayed!N908</f>
        <v>90.2</v>
      </c>
      <c r="O908">
        <f>ABS(L908-RAVLT_Delayed!$C$34)</f>
        <v>2.8210799568769325</v>
      </c>
      <c r="P908">
        <f t="shared" si="15"/>
        <v>90.2</v>
      </c>
    </row>
    <row r="909" spans="10:16">
      <c r="J909" s="5"/>
      <c r="L909">
        <f>RAVLT_Delayed!M909</f>
        <v>1.29883663264251</v>
      </c>
      <c r="M909">
        <f>RAVLT_Delayed!N909</f>
        <v>90.3</v>
      </c>
      <c r="O909">
        <f>ABS(L909-RAVLT_Delayed!$C$34)</f>
        <v>2.8268846133752028</v>
      </c>
      <c r="P909">
        <f t="shared" si="15"/>
        <v>90.3</v>
      </c>
    </row>
    <row r="910" spans="10:16">
      <c r="J910" s="5"/>
      <c r="L910">
        <f>RAVLT_Delayed!M910</f>
        <v>1.3046853852287901</v>
      </c>
      <c r="M910">
        <f>RAVLT_Delayed!N910</f>
        <v>90.4</v>
      </c>
      <c r="O910">
        <f>ABS(L910-RAVLT_Delayed!$C$34)</f>
        <v>2.8327333659614826</v>
      </c>
      <c r="P910">
        <f t="shared" si="15"/>
        <v>90.4</v>
      </c>
    </row>
    <row r="911" spans="10:16">
      <c r="J911" s="5"/>
      <c r="L911">
        <f>RAVLT_Delayed!M911</f>
        <v>1.3105791121681301</v>
      </c>
      <c r="M911">
        <f>RAVLT_Delayed!N911</f>
        <v>90.5</v>
      </c>
      <c r="O911">
        <f>ABS(L911-RAVLT_Delayed!$C$34)</f>
        <v>2.8386270929008228</v>
      </c>
      <c r="P911">
        <f t="shared" si="15"/>
        <v>90.5</v>
      </c>
    </row>
    <row r="912" spans="10:16">
      <c r="J912" s="5"/>
      <c r="L912">
        <f>RAVLT_Delayed!M912</f>
        <v>1.3165187184182601</v>
      </c>
      <c r="M912">
        <f>RAVLT_Delayed!N912</f>
        <v>90.6</v>
      </c>
      <c r="O912">
        <f>ABS(L912-RAVLT_Delayed!$C$34)</f>
        <v>2.8445666991509526</v>
      </c>
      <c r="P912">
        <f t="shared" si="15"/>
        <v>90.6</v>
      </c>
    </row>
    <row r="913" spans="10:16">
      <c r="J913" s="5"/>
      <c r="L913">
        <f>RAVLT_Delayed!M913</f>
        <v>1.3225051367384399</v>
      </c>
      <c r="M913">
        <f>RAVLT_Delayed!N913</f>
        <v>90.7</v>
      </c>
      <c r="O913">
        <f>ABS(L913-RAVLT_Delayed!$C$34)</f>
        <v>2.8505531174711329</v>
      </c>
      <c r="P913">
        <f t="shared" si="15"/>
        <v>90.7</v>
      </c>
    </row>
    <row r="914" spans="10:16">
      <c r="J914" s="5"/>
      <c r="L914">
        <f>RAVLT_Delayed!M914</f>
        <v>1.3285393288568099</v>
      </c>
      <c r="M914">
        <f>RAVLT_Delayed!N914</f>
        <v>90.8</v>
      </c>
      <c r="O914">
        <f>ABS(L914-RAVLT_Delayed!$C$34)</f>
        <v>2.8565873095895027</v>
      </c>
      <c r="P914">
        <f t="shared" si="15"/>
        <v>90.8</v>
      </c>
    </row>
    <row r="915" spans="10:16">
      <c r="J915" s="5"/>
      <c r="L915">
        <f>RAVLT_Delayed!M915</f>
        <v>1.33462228670019</v>
      </c>
      <c r="M915">
        <f>RAVLT_Delayed!N915</f>
        <v>90.9</v>
      </c>
      <c r="O915">
        <f>ABS(L915-RAVLT_Delayed!$C$34)</f>
        <v>2.8626702674328826</v>
      </c>
      <c r="P915">
        <f t="shared" si="15"/>
        <v>90.9</v>
      </c>
    </row>
    <row r="916" spans="10:16">
      <c r="J916" s="5"/>
      <c r="L916">
        <f>RAVLT_Delayed!M916</f>
        <v>1.3407550336902201</v>
      </c>
      <c r="M916">
        <f>RAVLT_Delayed!N916</f>
        <v>91</v>
      </c>
      <c r="O916">
        <f>ABS(L916-RAVLT_Delayed!$C$34)</f>
        <v>2.8688030144229129</v>
      </c>
      <c r="P916">
        <f t="shared" si="15"/>
        <v>91</v>
      </c>
    </row>
    <row r="917" spans="10:16">
      <c r="J917" s="5"/>
      <c r="L917">
        <f>RAVLT_Delayed!M917</f>
        <v>1.34693862611028</v>
      </c>
      <c r="M917">
        <f>RAVLT_Delayed!N917</f>
        <v>91.1</v>
      </c>
      <c r="O917">
        <f>ABS(L917-RAVLT_Delayed!$C$34)</f>
        <v>2.874986606842973</v>
      </c>
      <c r="P917">
        <f t="shared" si="15"/>
        <v>91.1</v>
      </c>
    </row>
    <row r="918" spans="10:16">
      <c r="J918" s="5"/>
      <c r="L918">
        <f>RAVLT_Delayed!M918</f>
        <v>1.3531741545480001</v>
      </c>
      <c r="M918">
        <f>RAVLT_Delayed!N918</f>
        <v>91.2</v>
      </c>
      <c r="O918">
        <f>ABS(L918-RAVLT_Delayed!$C$34)</f>
        <v>2.8812221352806926</v>
      </c>
      <c r="P918">
        <f t="shared" si="15"/>
        <v>91.2</v>
      </c>
    </row>
    <row r="919" spans="10:16">
      <c r="J919" s="5"/>
      <c r="L919">
        <f>RAVLT_Delayed!M919</f>
        <v>1.35946274541826</v>
      </c>
      <c r="M919">
        <f>RAVLT_Delayed!N919</f>
        <v>91.3</v>
      </c>
      <c r="O919">
        <f>ABS(L919-RAVLT_Delayed!$C$34)</f>
        <v>2.8875107261509525</v>
      </c>
      <c r="P919">
        <f t="shared" si="15"/>
        <v>91.3</v>
      </c>
    </row>
    <row r="920" spans="10:16">
      <c r="J920" s="5"/>
      <c r="L920">
        <f>RAVLT_Delayed!M920</f>
        <v>1.36580556257227</v>
      </c>
      <c r="M920">
        <f>RAVLT_Delayed!N920</f>
        <v>91.4</v>
      </c>
      <c r="O920">
        <f>ABS(L920-RAVLT_Delayed!$C$34)</f>
        <v>2.8938535433049628</v>
      </c>
      <c r="P920">
        <f t="shared" si="15"/>
        <v>91.4</v>
      </c>
    </row>
    <row r="921" spans="10:16">
      <c r="J921" s="5"/>
      <c r="L921">
        <f>RAVLT_Delayed!M921</f>
        <v>1.3722038089987301</v>
      </c>
      <c r="M921">
        <f>RAVLT_Delayed!N921</f>
        <v>91.5</v>
      </c>
      <c r="O921">
        <f>ABS(L921-RAVLT_Delayed!$C$34)</f>
        <v>2.9002517897314228</v>
      </c>
      <c r="P921">
        <f t="shared" si="15"/>
        <v>91.5</v>
      </c>
    </row>
    <row r="922" spans="10:16">
      <c r="J922" s="5"/>
      <c r="L922">
        <f>RAVLT_Delayed!M922</f>
        <v>1.3786587286232801</v>
      </c>
      <c r="M922">
        <f>RAVLT_Delayed!N922</f>
        <v>91.6</v>
      </c>
      <c r="O922">
        <f>ABS(L922-RAVLT_Delayed!$C$34)</f>
        <v>2.9067067093559729</v>
      </c>
      <c r="P922">
        <f t="shared" si="15"/>
        <v>91.6</v>
      </c>
    </row>
    <row r="923" spans="10:16">
      <c r="J923" s="5"/>
      <c r="L923">
        <f>RAVLT_Delayed!M923</f>
        <v>1.38517160821344</v>
      </c>
      <c r="M923">
        <f>RAVLT_Delayed!N923</f>
        <v>91.7</v>
      </c>
      <c r="O923">
        <f>ABS(L923-RAVLT_Delayed!$C$34)</f>
        <v>2.9132195889461325</v>
      </c>
      <c r="P923">
        <f t="shared" si="15"/>
        <v>91.7</v>
      </c>
    </row>
    <row r="924" spans="10:16">
      <c r="J924" s="5"/>
      <c r="L924">
        <f>RAVLT_Delayed!M924</f>
        <v>1.3917437793963301</v>
      </c>
      <c r="M924">
        <f>RAVLT_Delayed!N924</f>
        <v>91.8</v>
      </c>
      <c r="O924">
        <f>ABS(L924-RAVLT_Delayed!$C$34)</f>
        <v>2.9197917601290229</v>
      </c>
      <c r="P924">
        <f t="shared" si="15"/>
        <v>91.8</v>
      </c>
    </row>
    <row r="925" spans="10:16">
      <c r="J925" s="5"/>
      <c r="L925">
        <f>RAVLT_Delayed!M925</f>
        <v>1.3983766207974999</v>
      </c>
      <c r="M925">
        <f>RAVLT_Delayed!N925</f>
        <v>91.9</v>
      </c>
      <c r="O925">
        <f>ABS(L925-RAVLT_Delayed!$C$34)</f>
        <v>2.9264246015301927</v>
      </c>
      <c r="P925">
        <f t="shared" si="15"/>
        <v>91.9</v>
      </c>
    </row>
    <row r="926" spans="10:16">
      <c r="J926" s="5"/>
      <c r="L926">
        <f>RAVLT_Delayed!M926</f>
        <v>1.40507156030963</v>
      </c>
      <c r="M926">
        <f>RAVLT_Delayed!N926</f>
        <v>92</v>
      </c>
      <c r="O926">
        <f>ABS(L926-RAVLT_Delayed!$C$34)</f>
        <v>2.9331195410423225</v>
      </c>
      <c r="P926">
        <f t="shared" si="15"/>
        <v>92</v>
      </c>
    </row>
    <row r="927" spans="10:16">
      <c r="J927" s="5"/>
      <c r="L927">
        <f>RAVLT_Delayed!M927</f>
        <v>1.4118300775008099</v>
      </c>
      <c r="M927">
        <f>RAVLT_Delayed!N927</f>
        <v>92.1</v>
      </c>
      <c r="O927">
        <f>ABS(L927-RAVLT_Delayed!$C$34)</f>
        <v>2.9398780582335027</v>
      </c>
      <c r="P927">
        <f t="shared" si="15"/>
        <v>92.1</v>
      </c>
    </row>
    <row r="928" spans="10:16">
      <c r="J928" s="5"/>
      <c r="L928">
        <f>RAVLT_Delayed!M928</f>
        <v>1.41865370617274</v>
      </c>
      <c r="M928">
        <f>RAVLT_Delayed!N928</f>
        <v>92.2</v>
      </c>
      <c r="O928">
        <f>ABS(L928-RAVLT_Delayed!$C$34)</f>
        <v>2.946701686905433</v>
      </c>
      <c r="P928">
        <f t="shared" si="15"/>
        <v>92.2</v>
      </c>
    </row>
    <row r="929" spans="10:16">
      <c r="J929" s="5"/>
      <c r="L929">
        <f>RAVLT_Delayed!M929</f>
        <v>1.42554403708045</v>
      </c>
      <c r="M929">
        <f>RAVLT_Delayed!N929</f>
        <v>92.3</v>
      </c>
      <c r="O929">
        <f>ABS(L929-RAVLT_Delayed!$C$34)</f>
        <v>2.9535920178131425</v>
      </c>
      <c r="P929">
        <f t="shared" si="15"/>
        <v>92.3</v>
      </c>
    </row>
    <row r="930" spans="10:16">
      <c r="J930" s="5"/>
      <c r="L930">
        <f>RAVLT_Delayed!M930</f>
        <v>1.4325027208258101</v>
      </c>
      <c r="M930">
        <f>RAVLT_Delayed!N930</f>
        <v>92.4</v>
      </c>
      <c r="O930">
        <f>ABS(L930-RAVLT_Delayed!$C$34)</f>
        <v>2.9605507015585029</v>
      </c>
      <c r="P930">
        <f t="shared" si="15"/>
        <v>92.4</v>
      </c>
    </row>
    <row r="931" spans="10:16">
      <c r="J931" s="5"/>
      <c r="L931">
        <f>RAVLT_Delayed!M931</f>
        <v>1.4395314709384599</v>
      </c>
      <c r="M931">
        <f>RAVLT_Delayed!N931</f>
        <v>92.5</v>
      </c>
      <c r="O931">
        <f>ABS(L931-RAVLT_Delayed!$C$34)</f>
        <v>2.9675794516711527</v>
      </c>
      <c r="P931">
        <f t="shared" si="15"/>
        <v>92.5</v>
      </c>
    </row>
    <row r="932" spans="10:16">
      <c r="J932" s="5"/>
      <c r="L932">
        <f>RAVLT_Delayed!M932</f>
        <v>1.4466320671589801</v>
      </c>
      <c r="M932">
        <f>RAVLT_Delayed!N932</f>
        <v>92.6</v>
      </c>
      <c r="O932">
        <f>ABS(L932-RAVLT_Delayed!$C$34)</f>
        <v>2.9746800478916731</v>
      </c>
      <c r="P932">
        <f t="shared" si="15"/>
        <v>92.6</v>
      </c>
    </row>
    <row r="933" spans="10:16">
      <c r="J933" s="5"/>
      <c r="L933">
        <f>RAVLT_Delayed!M933</f>
        <v>1.4538063589405701</v>
      </c>
      <c r="M933">
        <f>RAVLT_Delayed!N933</f>
        <v>92.7</v>
      </c>
      <c r="O933">
        <f>ABS(L933-RAVLT_Delayed!$C$34)</f>
        <v>2.9818543396732631</v>
      </c>
      <c r="P933">
        <f t="shared" si="15"/>
        <v>92.7</v>
      </c>
    </row>
    <row r="934" spans="10:16">
      <c r="J934" s="5"/>
      <c r="L934">
        <f>RAVLT_Delayed!M934</f>
        <v>1.46105626918691</v>
      </c>
      <c r="M934">
        <f>RAVLT_Delayed!N934</f>
        <v>92.8</v>
      </c>
      <c r="O934">
        <f>ABS(L934-RAVLT_Delayed!$C$34)</f>
        <v>2.9891042499196026</v>
      </c>
      <c r="P934">
        <f t="shared" si="15"/>
        <v>92.8</v>
      </c>
    </row>
    <row r="935" spans="10:16">
      <c r="J935" s="5"/>
      <c r="L935">
        <f>RAVLT_Delayed!M935</f>
        <v>1.46838379824566</v>
      </c>
      <c r="M935">
        <f>RAVLT_Delayed!N935</f>
        <v>92.9</v>
      </c>
      <c r="O935">
        <f>ABS(L935-RAVLT_Delayed!$C$34)</f>
        <v>2.9964317789783528</v>
      </c>
      <c r="P935">
        <f t="shared" si="15"/>
        <v>92.9</v>
      </c>
    </row>
    <row r="936" spans="10:16">
      <c r="J936" s="5"/>
      <c r="L936">
        <f>RAVLT_Delayed!M936</f>
        <v>1.47579102817917</v>
      </c>
      <c r="M936">
        <f>RAVLT_Delayed!N936</f>
        <v>93</v>
      </c>
      <c r="O936">
        <f>ABS(L936-RAVLT_Delayed!$C$34)</f>
        <v>3.0038390089118625</v>
      </c>
      <c r="P936">
        <f t="shared" si="15"/>
        <v>93</v>
      </c>
    </row>
    <row r="937" spans="10:16">
      <c r="J937" s="5"/>
      <c r="L937">
        <f>RAVLT_Delayed!M937</f>
        <v>1.48328012733562</v>
      </c>
      <c r="M937">
        <f>RAVLT_Delayed!N937</f>
        <v>93.1</v>
      </c>
      <c r="O937">
        <f>ABS(L937-RAVLT_Delayed!$C$34)</f>
        <v>3.0113281080683127</v>
      </c>
      <c r="P937">
        <f t="shared" si="15"/>
        <v>93.1</v>
      </c>
    </row>
    <row r="938" spans="10:16">
      <c r="J938" s="5"/>
      <c r="L938">
        <f>RAVLT_Delayed!M938</f>
        <v>1.4908533552466601</v>
      </c>
      <c r="M938">
        <f>RAVLT_Delayed!N938</f>
        <v>93.2</v>
      </c>
      <c r="O938">
        <f>ABS(L938-RAVLT_Delayed!$C$34)</f>
        <v>3.0189013359793528</v>
      </c>
      <c r="P938">
        <f t="shared" si="15"/>
        <v>93.2</v>
      </c>
    </row>
    <row r="939" spans="10:16">
      <c r="J939" s="5"/>
      <c r="L939">
        <f>RAVLT_Delayed!M939</f>
        <v>1.4985130678799801</v>
      </c>
      <c r="M939">
        <f>RAVLT_Delayed!N939</f>
        <v>93.3</v>
      </c>
      <c r="O939">
        <f>ABS(L939-RAVLT_Delayed!$C$34)</f>
        <v>3.0265610486126731</v>
      </c>
      <c r="P939">
        <f t="shared" si="15"/>
        <v>93.3</v>
      </c>
    </row>
    <row r="940" spans="10:16">
      <c r="J940" s="5"/>
      <c r="L940">
        <f>RAVLT_Delayed!M940</f>
        <v>1.50626172327824</v>
      </c>
      <c r="M940">
        <f>RAVLT_Delayed!N940</f>
        <v>93.4</v>
      </c>
      <c r="O940">
        <f>ABS(L940-RAVLT_Delayed!$C$34)</f>
        <v>3.0343097040109326</v>
      </c>
      <c r="P940">
        <f t="shared" si="15"/>
        <v>93.4</v>
      </c>
    </row>
    <row r="941" spans="10:16">
      <c r="J941" s="5"/>
      <c r="L941">
        <f>RAVLT_Delayed!M941</f>
        <v>1.51410188761928</v>
      </c>
      <c r="M941">
        <f>RAVLT_Delayed!N941</f>
        <v>93.5</v>
      </c>
      <c r="O941">
        <f>ABS(L941-RAVLT_Delayed!$C$34)</f>
        <v>3.0421498683519728</v>
      </c>
      <c r="P941">
        <f t="shared" si="15"/>
        <v>93.5</v>
      </c>
    </row>
    <row r="942" spans="10:16">
      <c r="J942" s="5"/>
      <c r="L942">
        <f>RAVLT_Delayed!M942</f>
        <v>1.5220362417358599</v>
      </c>
      <c r="M942">
        <f>RAVLT_Delayed!N942</f>
        <v>93.6</v>
      </c>
      <c r="O942">
        <f>ABS(L942-RAVLT_Delayed!$C$34)</f>
        <v>3.0500842224685529</v>
      </c>
      <c r="P942">
        <f t="shared" si="15"/>
        <v>93.6</v>
      </c>
    </row>
    <row r="943" spans="10:16">
      <c r="J943" s="5"/>
      <c r="L943">
        <f>RAVLT_Delayed!M943</f>
        <v>1.5300675881378301</v>
      </c>
      <c r="M943">
        <f>RAVLT_Delayed!N943</f>
        <v>93.7</v>
      </c>
      <c r="O943">
        <f>ABS(L943-RAVLT_Delayed!$C$34)</f>
        <v>3.058115568870523</v>
      </c>
      <c r="P943">
        <f t="shared" si="15"/>
        <v>93.7</v>
      </c>
    </row>
    <row r="944" spans="10:16">
      <c r="J944" s="5"/>
      <c r="L944">
        <f>RAVLT_Delayed!M944</f>
        <v>1.53819885858406</v>
      </c>
      <c r="M944">
        <f>RAVLT_Delayed!N944</f>
        <v>93.8</v>
      </c>
      <c r="O944">
        <f>ABS(L944-RAVLT_Delayed!$C$34)</f>
        <v>3.0662468393167526</v>
      </c>
      <c r="P944">
        <f t="shared" si="15"/>
        <v>93.8</v>
      </c>
    </row>
    <row r="945" spans="10:16">
      <c r="J945" s="5"/>
      <c r="L945">
        <f>RAVLT_Delayed!M945</f>
        <v>1.54643312225675</v>
      </c>
      <c r="M945">
        <f>RAVLT_Delayed!N945</f>
        <v>93.9</v>
      </c>
      <c r="O945">
        <f>ABS(L945-RAVLT_Delayed!$C$34)</f>
        <v>3.0744811029894428</v>
      </c>
      <c r="P945">
        <f t="shared" si="15"/>
        <v>93.9</v>
      </c>
    </row>
    <row r="946" spans="10:16">
      <c r="J946" s="5"/>
      <c r="L946">
        <f>RAVLT_Delayed!M946</f>
        <v>1.5547735945968499</v>
      </c>
      <c r="M946">
        <f>RAVLT_Delayed!N946</f>
        <v>94</v>
      </c>
      <c r="O946">
        <f>ABS(L946-RAVLT_Delayed!$C$34)</f>
        <v>3.0828215753295427</v>
      </c>
      <c r="P946">
        <f t="shared" si="15"/>
        <v>94</v>
      </c>
    </row>
    <row r="947" spans="10:16">
      <c r="J947" s="5"/>
      <c r="L947">
        <f>RAVLT_Delayed!M947</f>
        <v>1.5632236468662799</v>
      </c>
      <c r="M947">
        <f>RAVLT_Delayed!N947</f>
        <v>94.1</v>
      </c>
      <c r="O947">
        <f>ABS(L947-RAVLT_Delayed!$C$34)</f>
        <v>3.0912716275989727</v>
      </c>
      <c r="P947">
        <f t="shared" si="15"/>
        <v>94.1</v>
      </c>
    </row>
    <row r="948" spans="10:16">
      <c r="J948" s="5"/>
      <c r="L948">
        <f>RAVLT_Delayed!M948</f>
        <v>1.5717868165098601</v>
      </c>
      <c r="M948">
        <f>RAVLT_Delayed!N948</f>
        <v>94.2</v>
      </c>
      <c r="O948">
        <f>ABS(L948-RAVLT_Delayed!$C$34)</f>
        <v>3.0998347972425528</v>
      </c>
      <c r="P948">
        <f t="shared" si="15"/>
        <v>94.2</v>
      </c>
    </row>
    <row r="949" spans="10:16">
      <c r="J949" s="5"/>
      <c r="L949">
        <f>RAVLT_Delayed!M949</f>
        <v>1.58046681839936</v>
      </c>
      <c r="M949">
        <f>RAVLT_Delayed!N949</f>
        <v>94.3</v>
      </c>
      <c r="O949">
        <f>ABS(L949-RAVLT_Delayed!$C$34)</f>
        <v>3.1085147991320525</v>
      </c>
      <c r="P949">
        <f t="shared" si="15"/>
        <v>94.3</v>
      </c>
    </row>
    <row r="950" spans="10:16">
      <c r="J950" s="5"/>
      <c r="L950">
        <f>RAVLT_Delayed!M950</f>
        <v>1.5892675570513899</v>
      </c>
      <c r="M950">
        <f>RAVLT_Delayed!N950</f>
        <v>94.4</v>
      </c>
      <c r="O950">
        <f>ABS(L950-RAVLT_Delayed!$C$34)</f>
        <v>3.1173155377840827</v>
      </c>
      <c r="P950">
        <f t="shared" si="15"/>
        <v>94.4</v>
      </c>
    </row>
    <row r="951" spans="10:16">
      <c r="J951" s="5"/>
      <c r="L951">
        <f>RAVLT_Delayed!M951</f>
        <v>1.59819313992282</v>
      </c>
      <c r="M951">
        <f>RAVLT_Delayed!N951</f>
        <v>94.5</v>
      </c>
      <c r="O951">
        <f>ABS(L951-RAVLT_Delayed!$C$34)</f>
        <v>3.1262411206555125</v>
      </c>
      <c r="P951">
        <f t="shared" si="15"/>
        <v>94.5</v>
      </c>
    </row>
    <row r="952" spans="10:16">
      <c r="J952" s="5"/>
      <c r="L952">
        <f>RAVLT_Delayed!M952</f>
        <v>1.60724789190022</v>
      </c>
      <c r="M952">
        <f>RAVLT_Delayed!N952</f>
        <v>94.6</v>
      </c>
      <c r="O952">
        <f>ABS(L952-RAVLT_Delayed!$C$34)</f>
        <v>3.1352958726329128</v>
      </c>
      <c r="P952">
        <f t="shared" si="15"/>
        <v>94.6</v>
      </c>
    </row>
    <row r="953" spans="10:16">
      <c r="J953" s="5"/>
      <c r="L953">
        <f>RAVLT_Delayed!M953</f>
        <v>1.61643637111502</v>
      </c>
      <c r="M953">
        <f>RAVLT_Delayed!N953</f>
        <v>94.7</v>
      </c>
      <c r="O953">
        <f>ABS(L953-RAVLT_Delayed!$C$34)</f>
        <v>3.144484351847713</v>
      </c>
      <c r="P953">
        <f t="shared" si="15"/>
        <v>94.7</v>
      </c>
    </row>
    <row r="954" spans="10:16">
      <c r="J954" s="5"/>
      <c r="L954">
        <f>RAVLT_Delayed!M954</f>
        <v>1.6257633862332399</v>
      </c>
      <c r="M954">
        <f>RAVLT_Delayed!N954</f>
        <v>94.8</v>
      </c>
      <c r="O954">
        <f>ABS(L954-RAVLT_Delayed!$C$34)</f>
        <v>3.1538113669659325</v>
      </c>
      <c r="P954">
        <f t="shared" si="15"/>
        <v>94.8</v>
      </c>
    </row>
    <row r="955" spans="10:16">
      <c r="J955" s="5"/>
      <c r="L955">
        <f>RAVLT_Delayed!M955</f>
        <v>1.63523401538865</v>
      </c>
      <c r="M955">
        <f>RAVLT_Delayed!N955</f>
        <v>94.9</v>
      </c>
      <c r="O955">
        <f>ABS(L955-RAVLT_Delayed!$C$34)</f>
        <v>3.1632819961213428</v>
      </c>
      <c r="P955">
        <f t="shared" si="15"/>
        <v>94.9</v>
      </c>
    </row>
    <row r="956" spans="10:16">
      <c r="J956" s="5"/>
      <c r="L956">
        <f>RAVLT_Delayed!M956</f>
        <v>1.64485362695147</v>
      </c>
      <c r="M956">
        <f>RAVLT_Delayed!N956</f>
        <v>95</v>
      </c>
      <c r="O956">
        <f>ABS(L956-RAVLT_Delayed!$C$34)</f>
        <v>3.172901607684163</v>
      </c>
      <c r="P956">
        <f t="shared" si="15"/>
        <v>95</v>
      </c>
    </row>
    <row r="957" spans="10:16">
      <c r="J957" s="5"/>
      <c r="L957">
        <f>RAVLT_Delayed!M957</f>
        <v>1.6546279023510799</v>
      </c>
      <c r="M957">
        <f>RAVLT_Delayed!N957</f>
        <v>95.1</v>
      </c>
      <c r="O957">
        <f>ABS(L957-RAVLT_Delayed!$C$34)</f>
        <v>3.1826758830837729</v>
      </c>
      <c r="P957">
        <f t="shared" si="15"/>
        <v>95.1</v>
      </c>
    </row>
    <row r="958" spans="10:16">
      <c r="J958" s="5"/>
      <c r="L958">
        <f>RAVLT_Delayed!M958</f>
        <v>1.6645628612027199</v>
      </c>
      <c r="M958">
        <f>RAVLT_Delayed!N958</f>
        <v>95.2</v>
      </c>
      <c r="O958">
        <f>ABS(L958-RAVLT_Delayed!$C$34)</f>
        <v>3.1926108419354127</v>
      </c>
      <c r="P958">
        <f t="shared" si="15"/>
        <v>95.2</v>
      </c>
    </row>
    <row r="959" spans="10:16">
      <c r="J959" s="5"/>
      <c r="L959">
        <f>RAVLT_Delayed!M959</f>
        <v>1.6746648890243301</v>
      </c>
      <c r="M959">
        <f>RAVLT_Delayed!N959</f>
        <v>95.3</v>
      </c>
      <c r="O959">
        <f>ABS(L959-RAVLT_Delayed!$C$34)</f>
        <v>3.2027128697570229</v>
      </c>
      <c r="P959">
        <f t="shared" si="15"/>
        <v>95.3</v>
      </c>
    </row>
    <row r="960" spans="10:16">
      <c r="J960" s="5"/>
      <c r="L960">
        <f>RAVLT_Delayed!M960</f>
        <v>1.6849407678719199</v>
      </c>
      <c r="M960">
        <f>RAVLT_Delayed!N960</f>
        <v>95.4</v>
      </c>
      <c r="O960">
        <f>ABS(L960-RAVLT_Delayed!$C$34)</f>
        <v>3.2129887486046127</v>
      </c>
      <c r="P960">
        <f t="shared" si="15"/>
        <v>95.4</v>
      </c>
    </row>
    <row r="961" spans="10:16">
      <c r="J961" s="5"/>
      <c r="L961">
        <f>RAVLT_Delayed!M961</f>
        <v>1.69539771027214</v>
      </c>
      <c r="M961">
        <f>RAVLT_Delayed!N961</f>
        <v>95.5</v>
      </c>
      <c r="O961">
        <f>ABS(L961-RAVLT_Delayed!$C$34)</f>
        <v>3.2234456910048328</v>
      </c>
      <c r="P961">
        <f t="shared" si="15"/>
        <v>95.5</v>
      </c>
    </row>
    <row r="962" spans="10:16">
      <c r="J962" s="5"/>
      <c r="L962">
        <f>RAVLT_Delayed!M962</f>
        <v>1.7060433968889599</v>
      </c>
      <c r="M962">
        <f>RAVLT_Delayed!N962</f>
        <v>95.6</v>
      </c>
      <c r="O962">
        <f>ABS(L962-RAVLT_Delayed!$C$34)</f>
        <v>3.2340913776216524</v>
      </c>
      <c r="P962">
        <f t="shared" si="15"/>
        <v>95.6</v>
      </c>
    </row>
    <row r="963" spans="10:16">
      <c r="J963" s="5"/>
      <c r="L963">
        <f>RAVLT_Delayed!M963</f>
        <v>1.7168860184310399</v>
      </c>
      <c r="M963">
        <f>RAVLT_Delayed!N963</f>
        <v>95.7</v>
      </c>
      <c r="O963">
        <f>ABS(L963-RAVLT_Delayed!$C$34)</f>
        <v>3.2449339991637327</v>
      </c>
      <c r="P963">
        <f t="shared" si="15"/>
        <v>95.7</v>
      </c>
    </row>
    <row r="964" spans="10:16">
      <c r="J964" s="5"/>
      <c r="L964">
        <f>RAVLT_Delayed!M964</f>
        <v>1.72793432238842</v>
      </c>
      <c r="M964">
        <f>RAVLT_Delayed!N964</f>
        <v>95.8</v>
      </c>
      <c r="O964">
        <f>ABS(L964-RAVLT_Delayed!$C$34)</f>
        <v>3.2559823031211126</v>
      </c>
      <c r="P964">
        <f t="shared" si="15"/>
        <v>95.8</v>
      </c>
    </row>
    <row r="965" spans="10:16">
      <c r="J965" s="5"/>
      <c r="L965">
        <f>RAVLT_Delayed!M965</f>
        <v>1.7391976652852501</v>
      </c>
      <c r="M965">
        <f>RAVLT_Delayed!N965</f>
        <v>95.9</v>
      </c>
      <c r="O965">
        <f>ABS(L965-RAVLT_Delayed!$C$34)</f>
        <v>3.2672456460179431</v>
      </c>
      <c r="P965">
        <f t="shared" si="15"/>
        <v>95.9</v>
      </c>
    </row>
    <row r="966" spans="10:16">
      <c r="J966" s="5"/>
      <c r="L966">
        <f>RAVLT_Delayed!M966</f>
        <v>1.7506860712521699</v>
      </c>
      <c r="M966">
        <f>RAVLT_Delayed!N966</f>
        <v>96</v>
      </c>
      <c r="O966">
        <f>ABS(L966-RAVLT_Delayed!$C$34)</f>
        <v>3.2787340519848627</v>
      </c>
      <c r="P966">
        <f t="shared" si="15"/>
        <v>96</v>
      </c>
    </row>
    <row r="967" spans="10:16">
      <c r="J967" s="5"/>
      <c r="L967">
        <f>RAVLT_Delayed!M967</f>
        <v>1.7624102978623899</v>
      </c>
      <c r="M967">
        <f>RAVLT_Delayed!N967</f>
        <v>96.1</v>
      </c>
      <c r="O967">
        <f>ABS(L967-RAVLT_Delayed!$C$34)</f>
        <v>3.2904582785950827</v>
      </c>
      <c r="P967">
        <f t="shared" ref="P967:P1006" si="16">M967</f>
        <v>96.1</v>
      </c>
    </row>
    <row r="968" spans="10:16">
      <c r="J968" s="5"/>
      <c r="L968">
        <f>RAVLT_Delayed!M968</f>
        <v>1.7743819103449601</v>
      </c>
      <c r="M968">
        <f>RAVLT_Delayed!N968</f>
        <v>96.2</v>
      </c>
      <c r="O968">
        <f>ABS(L968-RAVLT_Delayed!$C$34)</f>
        <v>3.3024298910776526</v>
      </c>
      <c r="P968">
        <f t="shared" si="16"/>
        <v>96.2</v>
      </c>
    </row>
    <row r="969" spans="10:16">
      <c r="J969" s="5"/>
      <c r="L969">
        <f>RAVLT_Delayed!M969</f>
        <v>1.7866133654934699</v>
      </c>
      <c r="M969">
        <f>RAVLT_Delayed!N969</f>
        <v>96.3</v>
      </c>
      <c r="O969">
        <f>ABS(L969-RAVLT_Delayed!$C$34)</f>
        <v>3.3146613462261625</v>
      </c>
      <c r="P969">
        <f t="shared" si="16"/>
        <v>96.3</v>
      </c>
    </row>
    <row r="970" spans="10:16">
      <c r="J970" s="5"/>
      <c r="L970">
        <f>RAVLT_Delayed!M970</f>
        <v>1.79911810683797</v>
      </c>
      <c r="M970">
        <f>RAVLT_Delayed!N970</f>
        <v>96.4</v>
      </c>
      <c r="O970">
        <f>ABS(L970-RAVLT_Delayed!$C$34)</f>
        <v>3.3271660875706628</v>
      </c>
      <c r="P970">
        <f t="shared" si="16"/>
        <v>96.4</v>
      </c>
    </row>
    <row r="971" spans="10:16">
      <c r="J971" s="5"/>
      <c r="L971">
        <f>RAVLT_Delayed!M971</f>
        <v>1.8119106729526</v>
      </c>
      <c r="M971">
        <f>RAVLT_Delayed!N971</f>
        <v>96.5</v>
      </c>
      <c r="O971">
        <f>ABS(L971-RAVLT_Delayed!$C$34)</f>
        <v>3.3399586536852928</v>
      </c>
      <c r="P971">
        <f t="shared" si="16"/>
        <v>96.5</v>
      </c>
    </row>
    <row r="972" spans="10:16">
      <c r="J972" s="5"/>
      <c r="L972">
        <f>RAVLT_Delayed!M972</f>
        <v>1.8250068211463999</v>
      </c>
      <c r="M972">
        <f>RAVLT_Delayed!N972</f>
        <v>96.6</v>
      </c>
      <c r="O972">
        <f>ABS(L972-RAVLT_Delayed!$C$34)</f>
        <v>3.3530548018790927</v>
      </c>
      <c r="P972">
        <f t="shared" si="16"/>
        <v>96.6</v>
      </c>
    </row>
    <row r="973" spans="10:16">
      <c r="J973" s="5"/>
      <c r="L973">
        <f>RAVLT_Delayed!M973</f>
        <v>1.83842366924778</v>
      </c>
      <c r="M973">
        <f>RAVLT_Delayed!N973</f>
        <v>96.7</v>
      </c>
      <c r="O973">
        <f>ABS(L973-RAVLT_Delayed!$C$34)</f>
        <v>3.3664716499804728</v>
      </c>
      <c r="P973">
        <f t="shared" si="16"/>
        <v>96.7</v>
      </c>
    </row>
    <row r="974" spans="10:16">
      <c r="J974" s="5"/>
      <c r="L974">
        <f>RAVLT_Delayed!M974</f>
        <v>1.8521798587690499</v>
      </c>
      <c r="M974">
        <f>RAVLT_Delayed!N974</f>
        <v>96.8</v>
      </c>
      <c r="O974">
        <f>ABS(L974-RAVLT_Delayed!$C$34)</f>
        <v>3.3802278395017424</v>
      </c>
      <c r="P974">
        <f t="shared" si="16"/>
        <v>96.8</v>
      </c>
    </row>
    <row r="975" spans="10:16">
      <c r="J975" s="5"/>
      <c r="L975">
        <f>RAVLT_Delayed!M975</f>
        <v>1.86629574345811</v>
      </c>
      <c r="M975">
        <f>RAVLT_Delayed!N975</f>
        <v>96.9</v>
      </c>
      <c r="O975">
        <f>ABS(L975-RAVLT_Delayed!$C$34)</f>
        <v>3.3943437241908025</v>
      </c>
      <c r="P975">
        <f t="shared" si="16"/>
        <v>96.9</v>
      </c>
    </row>
    <row r="976" spans="10:16">
      <c r="J976" s="5"/>
      <c r="L976">
        <f>RAVLT_Delayed!M976</f>
        <v>1.88079360815125</v>
      </c>
      <c r="M976">
        <f>RAVLT_Delayed!N976</f>
        <v>97</v>
      </c>
      <c r="O976">
        <f>ABS(L976-RAVLT_Delayed!$C$34)</f>
        <v>3.4088415888839427</v>
      </c>
      <c r="P976">
        <f t="shared" si="16"/>
        <v>97</v>
      </c>
    </row>
    <row r="977" spans="10:16">
      <c r="J977" s="5"/>
      <c r="L977">
        <f>RAVLT_Delayed!M977</f>
        <v>1.8956979239918399</v>
      </c>
      <c r="M977">
        <f>RAVLT_Delayed!N977</f>
        <v>97.1</v>
      </c>
      <c r="O977">
        <f>ABS(L977-RAVLT_Delayed!$C$34)</f>
        <v>3.4237459047245329</v>
      </c>
      <c r="P977">
        <f t="shared" si="16"/>
        <v>97.1</v>
      </c>
    </row>
    <row r="978" spans="10:16">
      <c r="J978" s="5"/>
      <c r="L978">
        <f>RAVLT_Delayed!M978</f>
        <v>1.9110356475491199</v>
      </c>
      <c r="M978">
        <f>RAVLT_Delayed!N978</f>
        <v>97.2</v>
      </c>
      <c r="O978">
        <f>ABS(L978-RAVLT_Delayed!$C$34)</f>
        <v>3.4390836282818125</v>
      </c>
      <c r="P978">
        <f t="shared" si="16"/>
        <v>97.2</v>
      </c>
    </row>
    <row r="979" spans="10:16">
      <c r="J979" s="5"/>
      <c r="L979">
        <f>RAVLT_Delayed!M979</f>
        <v>1.9268365732639099</v>
      </c>
      <c r="M979">
        <f>RAVLT_Delayed!N979</f>
        <v>97.3</v>
      </c>
      <c r="O979">
        <f>ABS(L979-RAVLT_Delayed!$C$34)</f>
        <v>3.4548845539966027</v>
      </c>
      <c r="P979">
        <f t="shared" si="16"/>
        <v>97.3</v>
      </c>
    </row>
    <row r="980" spans="10:16">
      <c r="J980" s="5"/>
      <c r="L980">
        <f>RAVLT_Delayed!M980</f>
        <v>1.9431337511050699</v>
      </c>
      <c r="M980">
        <f>RAVLT_Delayed!N980</f>
        <v>97.4</v>
      </c>
      <c r="O980">
        <f>ABS(L980-RAVLT_Delayed!$C$34)</f>
        <v>3.4711817318377625</v>
      </c>
      <c r="P980">
        <f t="shared" si="16"/>
        <v>97.4</v>
      </c>
    </row>
    <row r="981" spans="10:16">
      <c r="J981" s="5"/>
      <c r="L981">
        <f>RAVLT_Delayed!M981</f>
        <v>1.9599639845400501</v>
      </c>
      <c r="M981">
        <f>RAVLT_Delayed!N981</f>
        <v>97.5</v>
      </c>
      <c r="O981">
        <f>ABS(L981-RAVLT_Delayed!$C$34)</f>
        <v>3.4880119652727428</v>
      </c>
      <c r="P981">
        <f t="shared" si="16"/>
        <v>97.5</v>
      </c>
    </row>
    <row r="982" spans="10:16">
      <c r="J982" s="5"/>
      <c r="L982">
        <f>RAVLT_Delayed!M982</f>
        <v>1.9773684281819499</v>
      </c>
      <c r="M982">
        <f>RAVLT_Delayed!N982</f>
        <v>97.6</v>
      </c>
      <c r="O982">
        <f>ABS(L982-RAVLT_Delayed!$C$34)</f>
        <v>3.5054164089146429</v>
      </c>
      <c r="P982">
        <f t="shared" si="16"/>
        <v>97.6</v>
      </c>
    </row>
    <row r="983" spans="10:16">
      <c r="J983" s="5"/>
      <c r="L983">
        <f>RAVLT_Delayed!M983</f>
        <v>1.9953933101678201</v>
      </c>
      <c r="M983">
        <f>RAVLT_Delayed!N983</f>
        <v>97.7</v>
      </c>
      <c r="O983">
        <f>ABS(L983-RAVLT_Delayed!$C$34)</f>
        <v>3.5234412909005126</v>
      </c>
      <c r="P983">
        <f t="shared" si="16"/>
        <v>97.7</v>
      </c>
    </row>
    <row r="984" spans="10:16">
      <c r="J984" s="5"/>
      <c r="L984">
        <f>RAVLT_Delayed!M984</f>
        <v>2.0140908120181402</v>
      </c>
      <c r="M984">
        <f>RAVLT_Delayed!N984</f>
        <v>97.8</v>
      </c>
      <c r="O984">
        <f>ABS(L984-RAVLT_Delayed!$C$34)</f>
        <v>3.542138792750833</v>
      </c>
      <c r="P984">
        <f t="shared" si="16"/>
        <v>97.8</v>
      </c>
    </row>
    <row r="985" spans="10:16">
      <c r="J985" s="5"/>
      <c r="L985">
        <f>RAVLT_Delayed!M985</f>
        <v>2.0335201492530501</v>
      </c>
      <c r="M985">
        <f>RAVLT_Delayed!N985</f>
        <v>97.9</v>
      </c>
      <c r="O985">
        <f>ABS(L985-RAVLT_Delayed!$C$34)</f>
        <v>3.5615681299857429</v>
      </c>
      <c r="P985">
        <f t="shared" si="16"/>
        <v>97.9</v>
      </c>
    </row>
    <row r="986" spans="10:16">
      <c r="J986" s="5"/>
      <c r="L986">
        <f>RAVLT_Delayed!M986</f>
        <v>2.0537489106318199</v>
      </c>
      <c r="M986">
        <f>RAVLT_Delayed!N986</f>
        <v>98</v>
      </c>
      <c r="O986">
        <f>ABS(L986-RAVLT_Delayed!$C$34)</f>
        <v>3.5817968913645126</v>
      </c>
      <c r="P986">
        <f t="shared" si="16"/>
        <v>98</v>
      </c>
    </row>
    <row r="987" spans="10:16">
      <c r="J987" s="5"/>
      <c r="L987">
        <f>RAVLT_Delayed!M987</f>
        <v>2.0748547343933099</v>
      </c>
      <c r="M987">
        <f>RAVLT_Delayed!N987</f>
        <v>98.1</v>
      </c>
      <c r="O987">
        <f>ABS(L987-RAVLT_Delayed!$C$34)</f>
        <v>3.6029027151260027</v>
      </c>
      <c r="P987">
        <f t="shared" si="16"/>
        <v>98.1</v>
      </c>
    </row>
    <row r="988" spans="10:16">
      <c r="J988" s="5"/>
      <c r="L988">
        <f>RAVLT_Delayed!M988</f>
        <v>2.0969274291643401</v>
      </c>
      <c r="M988">
        <f>RAVLT_Delayed!N988</f>
        <v>98.2</v>
      </c>
      <c r="O988">
        <f>ABS(L988-RAVLT_Delayed!$C$34)</f>
        <v>3.6249754098970328</v>
      </c>
      <c r="P988">
        <f t="shared" si="16"/>
        <v>98.2</v>
      </c>
    </row>
    <row r="989" spans="10:16">
      <c r="J989" s="5"/>
      <c r="L989">
        <f>RAVLT_Delayed!M989</f>
        <v>2.1200716897421499</v>
      </c>
      <c r="M989">
        <f>RAVLT_Delayed!N989</f>
        <v>98.3</v>
      </c>
      <c r="O989">
        <f>ABS(L989-RAVLT_Delayed!$C$34)</f>
        <v>3.6481196704748426</v>
      </c>
      <c r="P989">
        <f t="shared" si="16"/>
        <v>98.3</v>
      </c>
    </row>
    <row r="990" spans="10:16">
      <c r="J990" s="5"/>
      <c r="L990">
        <f>RAVLT_Delayed!M990</f>
        <v>2.1444106209118399</v>
      </c>
      <c r="M990">
        <f>RAVLT_Delayed!N990</f>
        <v>98.4</v>
      </c>
      <c r="O990">
        <f>ABS(L990-RAVLT_Delayed!$C$34)</f>
        <v>3.6724586016445326</v>
      </c>
      <c r="P990">
        <f t="shared" si="16"/>
        <v>98.4</v>
      </c>
    </row>
    <row r="991" spans="10:16">
      <c r="J991" s="5"/>
      <c r="L991">
        <f>RAVLT_Delayed!M991</f>
        <v>2.1700903775845601</v>
      </c>
      <c r="M991">
        <f>RAVLT_Delayed!N991</f>
        <v>98.5</v>
      </c>
      <c r="O991">
        <f>ABS(L991-RAVLT_Delayed!$C$34)</f>
        <v>3.6981383583172529</v>
      </c>
      <c r="P991">
        <f t="shared" si="16"/>
        <v>98.5</v>
      </c>
    </row>
    <row r="992" spans="10:16">
      <c r="J992" s="5"/>
      <c r="L992">
        <f>RAVLT_Delayed!M992</f>
        <v>2.19728637664105</v>
      </c>
      <c r="M992">
        <f>RAVLT_Delayed!N992</f>
        <v>98.6</v>
      </c>
      <c r="O992">
        <f>ABS(L992-RAVLT_Delayed!$C$34)</f>
        <v>3.7253343573737427</v>
      </c>
      <c r="P992">
        <f t="shared" si="16"/>
        <v>98.6</v>
      </c>
    </row>
    <row r="993" spans="10:16">
      <c r="J993" s="5"/>
      <c r="L993">
        <f>RAVLT_Delayed!M993</f>
        <v>2.2262117693171701</v>
      </c>
      <c r="M993">
        <f>RAVLT_Delayed!N993</f>
        <v>98.7</v>
      </c>
      <c r="O993">
        <f>ABS(L993-RAVLT_Delayed!$C$34)</f>
        <v>3.7542597500498629</v>
      </c>
      <c r="P993">
        <f t="shared" si="16"/>
        <v>98.7</v>
      </c>
    </row>
    <row r="994" spans="10:16">
      <c r="J994" s="5"/>
      <c r="L994">
        <f>RAVLT_Delayed!M994</f>
        <v>2.2571292444862201</v>
      </c>
      <c r="M994">
        <f>RAVLT_Delayed!N994</f>
        <v>98.8</v>
      </c>
      <c r="O994">
        <f>ABS(L994-RAVLT_Delayed!$C$34)</f>
        <v>3.7851772252189129</v>
      </c>
      <c r="P994">
        <f t="shared" si="16"/>
        <v>98.8</v>
      </c>
    </row>
    <row r="995" spans="10:16">
      <c r="J995" s="5"/>
      <c r="L995">
        <f>RAVLT_Delayed!M995</f>
        <v>2.2903678778552701</v>
      </c>
      <c r="M995">
        <f>RAVLT_Delayed!N995</f>
        <v>98.9</v>
      </c>
      <c r="O995">
        <f>ABS(L995-RAVLT_Delayed!$C$34)</f>
        <v>3.8184158585879628</v>
      </c>
      <c r="P995">
        <f t="shared" si="16"/>
        <v>98.9</v>
      </c>
    </row>
    <row r="996" spans="10:16">
      <c r="J996" s="5"/>
      <c r="L996">
        <f>RAVLT_Delayed!M996</f>
        <v>2.3263478740408399</v>
      </c>
      <c r="M996">
        <f>RAVLT_Delayed!N996</f>
        <v>99</v>
      </c>
      <c r="O996">
        <f>ABS(L996-RAVLT_Delayed!$C$34)</f>
        <v>3.8543958547735326</v>
      </c>
      <c r="P996">
        <f t="shared" si="16"/>
        <v>99</v>
      </c>
    </row>
    <row r="997" spans="10:16">
      <c r="J997" s="5"/>
      <c r="L997">
        <f>RAVLT_Delayed!M997</f>
        <v>2.3656181268642902</v>
      </c>
      <c r="M997">
        <f>RAVLT_Delayed!N997</f>
        <v>99.1</v>
      </c>
      <c r="O997">
        <f>ABS(L997-RAVLT_Delayed!$C$34)</f>
        <v>3.893666107596983</v>
      </c>
      <c r="P997">
        <f t="shared" si="16"/>
        <v>99.1</v>
      </c>
    </row>
    <row r="998" spans="10:16">
      <c r="J998" s="5"/>
      <c r="L998">
        <f>RAVLT_Delayed!M998</f>
        <v>2.4089155458154599</v>
      </c>
      <c r="M998">
        <f>RAVLT_Delayed!N998</f>
        <v>99.2</v>
      </c>
      <c r="O998">
        <f>ABS(L998-RAVLT_Delayed!$C$34)</f>
        <v>3.9369635265481526</v>
      </c>
      <c r="P998">
        <f t="shared" si="16"/>
        <v>99.2</v>
      </c>
    </row>
    <row r="999" spans="10:16">
      <c r="J999" s="5"/>
      <c r="L999">
        <f>RAVLT_Delayed!M999</f>
        <v>2.4572633902054402</v>
      </c>
      <c r="M999">
        <f>RAVLT_Delayed!N999</f>
        <v>99.3</v>
      </c>
      <c r="O999">
        <f>ABS(L999-RAVLT_Delayed!$C$34)</f>
        <v>3.9853113709381329</v>
      </c>
      <c r="P999">
        <f t="shared" si="16"/>
        <v>99.3</v>
      </c>
    </row>
    <row r="1000" spans="10:16">
      <c r="J1000" s="5"/>
      <c r="L1000">
        <f>RAVLT_Delayed!M1000</f>
        <v>2.5121443279304598</v>
      </c>
      <c r="M1000">
        <f>RAVLT_Delayed!N1000</f>
        <v>99.4</v>
      </c>
      <c r="O1000">
        <f>ABS(L1000-RAVLT_Delayed!$C$34)</f>
        <v>4.040192308663153</v>
      </c>
      <c r="P1000">
        <f t="shared" si="16"/>
        <v>99.4</v>
      </c>
    </row>
    <row r="1001" spans="10:16">
      <c r="J1001" s="5"/>
      <c r="L1001">
        <f>RAVLT_Delayed!M1001</f>
        <v>2.5758293035488999</v>
      </c>
      <c r="M1001">
        <f>RAVLT_Delayed!N1001</f>
        <v>99.5</v>
      </c>
      <c r="O1001">
        <f>ABS(L1001-RAVLT_Delayed!$C$34)</f>
        <v>4.1038772842815927</v>
      </c>
      <c r="P1001">
        <f t="shared" si="16"/>
        <v>99.5</v>
      </c>
    </row>
    <row r="1002" spans="10:16">
      <c r="J1002" s="5"/>
      <c r="L1002">
        <f>RAVLT_Delayed!M1002</f>
        <v>2.6520698079021998</v>
      </c>
      <c r="M1002">
        <f>RAVLT_Delayed!N1002</f>
        <v>99.6</v>
      </c>
      <c r="O1002">
        <f>ABS(L1002-RAVLT_Delayed!$C$34)</f>
        <v>4.1801177886348926</v>
      </c>
      <c r="P1002">
        <f t="shared" si="16"/>
        <v>99.6</v>
      </c>
    </row>
    <row r="1003" spans="10:16">
      <c r="J1003" s="5"/>
      <c r="L1003">
        <f>RAVLT_Delayed!M1003</f>
        <v>2.74778138544499</v>
      </c>
      <c r="M1003">
        <f>RAVLT_Delayed!N1003</f>
        <v>99.7</v>
      </c>
      <c r="O1003">
        <f>ABS(L1003-RAVLT_Delayed!$C$34)</f>
        <v>4.2758293661776827</v>
      </c>
      <c r="P1003">
        <f t="shared" si="16"/>
        <v>99.7</v>
      </c>
    </row>
    <row r="1004" spans="10:16">
      <c r="J1004" s="5"/>
      <c r="L1004">
        <f>RAVLT_Delayed!M1004</f>
        <v>2.8781617390954799</v>
      </c>
      <c r="M1004">
        <f>RAVLT_Delayed!N1004</f>
        <v>99.8</v>
      </c>
      <c r="O1004">
        <f>ABS(L1004-RAVLT_Delayed!$C$34)</f>
        <v>4.4062097198281727</v>
      </c>
      <c r="P1004">
        <f t="shared" si="16"/>
        <v>99.8</v>
      </c>
    </row>
    <row r="1005" spans="10:16">
      <c r="J1005" s="5"/>
      <c r="L1005">
        <f>RAVLT_Delayed!M1005</f>
        <v>3.0902323061678101</v>
      </c>
      <c r="M1005">
        <f>RAVLT_Delayed!N1005</f>
        <v>99.9</v>
      </c>
      <c r="O1005">
        <f>ABS(L1005-RAVLT_Delayed!$C$34)</f>
        <v>4.6182802869005029</v>
      </c>
      <c r="P1005">
        <f t="shared" si="16"/>
        <v>99.9</v>
      </c>
    </row>
    <row r="1006" spans="10:16">
      <c r="J1006" s="5"/>
      <c r="L1006">
        <f>RAVLT_Delayed!M1006</f>
        <v>4.75342430881709</v>
      </c>
      <c r="M1006">
        <f>RAVLT_Delayed!N1006</f>
        <v>100</v>
      </c>
      <c r="O1006">
        <f>ABS(L1006-RAVLT_Delayed!$C$34)</f>
        <v>6.2814722895497823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2">
    <pageSetUpPr fitToPage="1"/>
  </sheetPr>
  <dimension ref="A1:N1006"/>
  <sheetViews>
    <sheetView showGridLines="0" zoomScale="70" zoomScaleNormal="70" workbookViewId="0">
      <selection activeCell="C27" sqref="C27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str">
        <f>SD_PERC_RAVLTL!A42</f>
        <v xml:space="preserve"> 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7" t="s">
        <v>18</v>
      </c>
      <c r="J5" s="58"/>
      <c r="M5" s="27" t="s">
        <v>11</v>
      </c>
      <c r="N5" s="28" t="s">
        <v>44</v>
      </c>
    </row>
    <row r="6" spans="1:14">
      <c r="B6" t="s">
        <v>62</v>
      </c>
      <c r="C6" s="59">
        <v>35.655673446568301</v>
      </c>
      <c r="I6" s="10" t="s">
        <v>36</v>
      </c>
      <c r="J6" s="59">
        <v>60.7258615824</v>
      </c>
      <c r="M6" s="59">
        <v>-4.7534243088228996</v>
      </c>
      <c r="N6" s="59">
        <v>0</v>
      </c>
    </row>
    <row r="7" spans="1:14">
      <c r="B7" t="s">
        <v>63</v>
      </c>
      <c r="C7" s="59">
        <v>-0.42174411338988399</v>
      </c>
      <c r="M7" s="59">
        <v>-3.0902323061678101</v>
      </c>
      <c r="N7" s="59">
        <v>0.1</v>
      </c>
    </row>
    <row r="8" spans="1:14">
      <c r="B8" t="s">
        <v>65</v>
      </c>
      <c r="C8" s="59">
        <v>0.582085005516359</v>
      </c>
      <c r="I8" s="9"/>
      <c r="J8" s="9"/>
      <c r="M8" s="59">
        <v>-2.8781617390954799</v>
      </c>
      <c r="N8" s="59">
        <v>0.2</v>
      </c>
    </row>
    <row r="9" spans="1:14">
      <c r="B9" t="s">
        <v>70</v>
      </c>
      <c r="C9" s="59">
        <v>-4.6601611189286496</v>
      </c>
      <c r="H9" s="9" t="s">
        <v>34</v>
      </c>
      <c r="I9" s="57" t="s">
        <v>37</v>
      </c>
      <c r="J9" s="58"/>
      <c r="M9" s="59">
        <v>-2.74778138544499</v>
      </c>
      <c r="N9" s="59">
        <v>0.3</v>
      </c>
    </row>
    <row r="10" spans="1:14">
      <c r="B10" s="29"/>
      <c r="C10" s="30"/>
      <c r="I10" s="12" t="s">
        <v>3</v>
      </c>
      <c r="J10" s="13" t="s">
        <v>36</v>
      </c>
      <c r="M10" s="59">
        <v>-2.6520698079021998</v>
      </c>
      <c r="N10" s="59">
        <v>0.4</v>
      </c>
    </row>
    <row r="11" spans="1:14">
      <c r="B11" s="29"/>
      <c r="C11" s="30"/>
      <c r="I11" s="14"/>
      <c r="J11" s="15"/>
      <c r="M11" s="59">
        <v>-2.5758293035488999</v>
      </c>
      <c r="N11" s="59">
        <v>0.5</v>
      </c>
    </row>
    <row r="12" spans="1:14">
      <c r="B12" s="29"/>
      <c r="C12" s="30"/>
      <c r="I12" s="14"/>
      <c r="J12" s="15"/>
      <c r="M12" s="59">
        <v>-2.5121443279304598</v>
      </c>
      <c r="N12" s="59">
        <v>0.6</v>
      </c>
    </row>
    <row r="13" spans="1:14">
      <c r="B13" s="29"/>
      <c r="C13" s="30"/>
      <c r="I13" s="14"/>
      <c r="J13" s="15"/>
      <c r="M13" s="59">
        <v>-2.4572633902054402</v>
      </c>
      <c r="N13" s="59">
        <v>0.7</v>
      </c>
    </row>
    <row r="14" spans="1:14">
      <c r="B14" s="29"/>
      <c r="C14" s="30"/>
      <c r="I14" s="14"/>
      <c r="J14" s="15"/>
      <c r="M14" s="59">
        <v>-2.4089155458154599</v>
      </c>
      <c r="N14" s="59">
        <v>0.8</v>
      </c>
    </row>
    <row r="15" spans="1:14">
      <c r="B15" s="29"/>
      <c r="C15" s="30"/>
      <c r="I15" s="14"/>
      <c r="J15" s="15"/>
      <c r="M15" s="59">
        <v>-2.3656181268642902</v>
      </c>
      <c r="N15" s="59">
        <v>0.9</v>
      </c>
    </row>
    <row r="16" spans="1:14">
      <c r="B16" s="29"/>
      <c r="C16" s="30"/>
      <c r="I16" s="14"/>
      <c r="J16" s="15"/>
      <c r="M16" s="59">
        <v>-2.3263478740408399</v>
      </c>
      <c r="N16" s="59">
        <v>1</v>
      </c>
    </row>
    <row r="17" spans="1:14">
      <c r="B17" s="29"/>
      <c r="C17" s="30"/>
      <c r="I17" s="14"/>
      <c r="J17" s="15"/>
      <c r="M17" s="59">
        <v>-2.2903678778552701</v>
      </c>
      <c r="N17" s="59">
        <v>1.1000000000000001</v>
      </c>
    </row>
    <row r="18" spans="1:14">
      <c r="B18" s="29"/>
      <c r="C18" s="30"/>
      <c r="I18" s="14"/>
      <c r="J18" s="15"/>
      <c r="M18" s="59">
        <v>-2.2571292444862201</v>
      </c>
      <c r="N18" s="59">
        <v>1.2</v>
      </c>
    </row>
    <row r="19" spans="1:14">
      <c r="B19" s="29"/>
      <c r="C19" s="30"/>
      <c r="I19" s="14"/>
      <c r="J19" s="15"/>
      <c r="M19" s="59">
        <v>-2.2262117693171799</v>
      </c>
      <c r="N19" s="59">
        <v>1.3</v>
      </c>
    </row>
    <row r="20" spans="1:14">
      <c r="B20" s="29"/>
      <c r="C20" s="30"/>
      <c r="I20" s="14"/>
      <c r="J20" s="15"/>
      <c r="M20" s="59">
        <v>-2.19728637664105</v>
      </c>
      <c r="N20" s="59">
        <v>1.4</v>
      </c>
    </row>
    <row r="21" spans="1:14">
      <c r="B21" s="29"/>
      <c r="C21" s="30"/>
      <c r="I21" s="14"/>
      <c r="J21" s="15"/>
      <c r="M21" s="59">
        <v>-2.1700903775845601</v>
      </c>
      <c r="N21" s="59">
        <v>1.5</v>
      </c>
    </row>
    <row r="22" spans="1:14">
      <c r="B22" s="29"/>
      <c r="C22" s="30"/>
      <c r="I22" s="16"/>
      <c r="J22" s="17"/>
      <c r="M22" s="59">
        <v>-2.1444106209118399</v>
      </c>
      <c r="N22" s="59">
        <v>1.6</v>
      </c>
    </row>
    <row r="23" spans="1:14">
      <c r="B23" s="29"/>
      <c r="C23" s="30"/>
      <c r="M23" s="59">
        <v>-2.1200716897421499</v>
      </c>
      <c r="N23" s="59">
        <v>1.7</v>
      </c>
    </row>
    <row r="24" spans="1:14">
      <c r="B24" s="31"/>
      <c r="C24" s="11"/>
      <c r="M24" s="59">
        <v>-2.0969274291643401</v>
      </c>
      <c r="N24" s="59">
        <v>1.8</v>
      </c>
    </row>
    <row r="25" spans="1:14">
      <c r="H25" s="9" t="s">
        <v>35</v>
      </c>
      <c r="I25" s="57" t="s">
        <v>42</v>
      </c>
      <c r="J25" s="58"/>
      <c r="M25" s="59">
        <v>-2.0748547343933099</v>
      </c>
      <c r="N25" s="59">
        <v>1.9</v>
      </c>
    </row>
    <row r="26" spans="1:14">
      <c r="I26" s="12" t="s">
        <v>1</v>
      </c>
      <c r="J26" s="13" t="s">
        <v>17</v>
      </c>
      <c r="M26" s="59">
        <v>-2.0537489106318199</v>
      </c>
      <c r="N26" s="59">
        <v>2</v>
      </c>
    </row>
    <row r="27" spans="1:14">
      <c r="A27" s="34">
        <v>4</v>
      </c>
      <c r="B27" s="2" t="s">
        <v>2</v>
      </c>
      <c r="C27" s="32">
        <f>C6+(C7*('Normative data'!C6-71.28))+(RAVLT_Learning!C8*'Normative data'!C8)+(C9*'Normative data'!C7)</f>
        <v>65.717593848999229</v>
      </c>
      <c r="I27" s="14"/>
      <c r="J27" s="15"/>
      <c r="M27" s="59">
        <v>-2.0335201492530501</v>
      </c>
      <c r="N27" s="59">
        <v>2.1</v>
      </c>
    </row>
    <row r="28" spans="1:14">
      <c r="B28" s="2" t="s">
        <v>6</v>
      </c>
      <c r="C28" s="2"/>
      <c r="D28" s="2"/>
      <c r="E28" s="2"/>
      <c r="F28" s="2"/>
      <c r="I28" s="14"/>
      <c r="J28" s="15"/>
      <c r="M28" s="59">
        <v>-2.0140908120181402</v>
      </c>
      <c r="N28" s="59">
        <v>2.2000000000000002</v>
      </c>
    </row>
    <row r="29" spans="1:14">
      <c r="B29" s="2" t="s">
        <v>7</v>
      </c>
      <c r="C29" s="2"/>
      <c r="D29" s="2"/>
      <c r="E29" s="2"/>
      <c r="F29" s="2"/>
      <c r="I29" s="14"/>
      <c r="J29" s="15"/>
      <c r="M29" s="59">
        <v>-1.9953933101678201</v>
      </c>
      <c r="N29" s="59">
        <v>2.2999999999999998</v>
      </c>
    </row>
    <row r="30" spans="1:14">
      <c r="B30" s="2" t="s">
        <v>8</v>
      </c>
      <c r="I30" s="14"/>
      <c r="J30" s="15"/>
      <c r="M30" s="59">
        <v>-1.9773684281819499</v>
      </c>
      <c r="N30" s="59">
        <v>2.4</v>
      </c>
    </row>
    <row r="31" spans="1:14">
      <c r="I31" s="14"/>
      <c r="J31" s="15"/>
      <c r="M31" s="59">
        <v>-1.9599639845400501</v>
      </c>
      <c r="N31" s="59">
        <v>2.5</v>
      </c>
    </row>
    <row r="32" spans="1:14">
      <c r="I32" s="35"/>
      <c r="J32" s="17"/>
      <c r="M32" s="59">
        <v>-1.9431337511050699</v>
      </c>
      <c r="N32" s="59">
        <v>2.6</v>
      </c>
    </row>
    <row r="33" spans="2:14">
      <c r="B33" t="s">
        <v>9</v>
      </c>
      <c r="C33">
        <f>'Normative data'!C12-RAVLT_Learning!C27</f>
        <v>-65.717593848999229</v>
      </c>
      <c r="M33" s="59">
        <v>-1.9268365732639099</v>
      </c>
      <c r="N33" s="59">
        <v>2.7</v>
      </c>
    </row>
    <row r="34" spans="2:14">
      <c r="B34" t="s">
        <v>12</v>
      </c>
      <c r="C34">
        <f>C33/SD_PERC_RAVLTL!I38</f>
        <v>-8.4332468225307888</v>
      </c>
      <c r="I34" t="s">
        <v>41</v>
      </c>
      <c r="J34">
        <f>SD_PERC_RAVLTL!I38</f>
        <v>7.7926799999999998</v>
      </c>
      <c r="M34" s="59">
        <v>-1.9110356475491199</v>
      </c>
      <c r="N34" s="59">
        <v>2.8</v>
      </c>
    </row>
    <row r="35" spans="2:14">
      <c r="F35" s="60"/>
      <c r="M35" s="59">
        <v>-1.8956979239918399</v>
      </c>
      <c r="N35" s="59">
        <v>2.9</v>
      </c>
    </row>
    <row r="36" spans="2:14">
      <c r="M36" s="59">
        <v>-1.88079360815125</v>
      </c>
      <c r="N36" s="59">
        <v>3</v>
      </c>
    </row>
    <row r="37" spans="2:14">
      <c r="M37" s="59">
        <v>-1.86629574345811</v>
      </c>
      <c r="N37" s="59">
        <v>3.1</v>
      </c>
    </row>
    <row r="38" spans="2:14">
      <c r="M38" s="59">
        <v>-1.8521798587690499</v>
      </c>
      <c r="N38" s="59">
        <v>3.2</v>
      </c>
    </row>
    <row r="39" spans="2:14">
      <c r="M39" s="59">
        <v>-1.83842366924778</v>
      </c>
      <c r="N39" s="59">
        <v>3.3</v>
      </c>
    </row>
    <row r="40" spans="2:14">
      <c r="M40" s="59">
        <v>-1.8250068211463999</v>
      </c>
      <c r="N40" s="59">
        <v>3.4</v>
      </c>
    </row>
    <row r="41" spans="2:14">
      <c r="M41" s="59">
        <v>-1.8119106729526</v>
      </c>
      <c r="N41" s="59">
        <v>3.5</v>
      </c>
    </row>
    <row r="42" spans="2:14">
      <c r="M42" s="59">
        <v>-1.79911810683797</v>
      </c>
      <c r="N42" s="59">
        <v>3.6</v>
      </c>
    </row>
    <row r="43" spans="2:14">
      <c r="M43" s="59">
        <v>-1.7866133654934699</v>
      </c>
      <c r="N43" s="59">
        <v>3.7</v>
      </c>
    </row>
    <row r="44" spans="2:14">
      <c r="M44" s="59">
        <v>-1.7743819103449601</v>
      </c>
      <c r="N44" s="59">
        <v>3.8</v>
      </c>
    </row>
    <row r="45" spans="2:14">
      <c r="M45" s="59">
        <v>-1.7624102978623899</v>
      </c>
      <c r="N45" s="59">
        <v>3.9</v>
      </c>
    </row>
    <row r="46" spans="2:14">
      <c r="M46" s="59">
        <v>-1.7506860712521699</v>
      </c>
      <c r="N46" s="59">
        <v>4</v>
      </c>
    </row>
    <row r="47" spans="2:14">
      <c r="M47" s="59">
        <v>-1.7391976652852501</v>
      </c>
      <c r="N47" s="59">
        <v>4.0999999999999996</v>
      </c>
    </row>
    <row r="48" spans="2:14">
      <c r="M48" s="59">
        <v>-1.72793432238842</v>
      </c>
      <c r="N48" s="59">
        <v>4.2</v>
      </c>
    </row>
    <row r="49" spans="13:14">
      <c r="M49" s="59">
        <v>-1.7168860184310399</v>
      </c>
      <c r="N49" s="59">
        <v>4.3</v>
      </c>
    </row>
    <row r="50" spans="13:14">
      <c r="M50" s="59">
        <v>-1.7060433968889599</v>
      </c>
      <c r="N50" s="59">
        <v>4.4000000000000004</v>
      </c>
    </row>
    <row r="51" spans="13:14">
      <c r="M51" s="59">
        <v>-1.69539771027214</v>
      </c>
      <c r="N51" s="59">
        <v>4.5</v>
      </c>
    </row>
    <row r="52" spans="13:14">
      <c r="M52" s="59">
        <v>-1.6849407678719099</v>
      </c>
      <c r="N52" s="59">
        <v>4.5999999999999996</v>
      </c>
    </row>
    <row r="53" spans="13:14">
      <c r="M53" s="59">
        <v>-1.6746648890243301</v>
      </c>
      <c r="N53" s="59">
        <v>4.7</v>
      </c>
    </row>
    <row r="54" spans="13:14">
      <c r="M54" s="59">
        <v>-1.6645628612027199</v>
      </c>
      <c r="N54" s="59">
        <v>4.8</v>
      </c>
    </row>
    <row r="55" spans="13:14">
      <c r="M55" s="59">
        <v>-1.6546279023510799</v>
      </c>
      <c r="N55" s="59">
        <v>4.9000000000000004</v>
      </c>
    </row>
    <row r="56" spans="13:14">
      <c r="M56" s="59">
        <v>-1.64485362695147</v>
      </c>
      <c r="N56" s="59">
        <v>5</v>
      </c>
    </row>
    <row r="57" spans="13:14">
      <c r="M57" s="59">
        <v>-1.63523401538865</v>
      </c>
      <c r="N57" s="59">
        <v>5.0999999999999996</v>
      </c>
    </row>
    <row r="58" spans="13:14">
      <c r="M58" s="59">
        <v>-1.6257633862332299</v>
      </c>
      <c r="N58" s="59">
        <v>5.2</v>
      </c>
    </row>
    <row r="59" spans="13:14">
      <c r="M59" s="59">
        <v>-1.61643637111502</v>
      </c>
      <c r="N59" s="59">
        <v>5.3</v>
      </c>
    </row>
    <row r="60" spans="13:14">
      <c r="M60" s="59">
        <v>-1.60724789190022</v>
      </c>
      <c r="N60" s="59">
        <v>5.4</v>
      </c>
    </row>
    <row r="61" spans="13:14">
      <c r="M61" s="59">
        <v>-1.59819313992282</v>
      </c>
      <c r="N61" s="59">
        <v>5.5</v>
      </c>
    </row>
    <row r="62" spans="13:14">
      <c r="M62" s="59">
        <v>-1.5892675570513899</v>
      </c>
      <c r="N62" s="59">
        <v>5.6</v>
      </c>
    </row>
    <row r="63" spans="13:14">
      <c r="M63" s="59">
        <v>-1.58046681839936</v>
      </c>
      <c r="N63" s="59">
        <v>5.7</v>
      </c>
    </row>
    <row r="64" spans="13:14">
      <c r="M64" s="59">
        <v>-1.5717868165098601</v>
      </c>
      <c r="N64" s="59">
        <v>5.8</v>
      </c>
    </row>
    <row r="65" spans="13:14">
      <c r="M65" s="59">
        <v>-1.5632236468662799</v>
      </c>
      <c r="N65" s="59">
        <v>5.9</v>
      </c>
    </row>
    <row r="66" spans="13:14">
      <c r="M66" s="59">
        <v>-1.5547735945968499</v>
      </c>
      <c r="N66" s="59">
        <v>6</v>
      </c>
    </row>
    <row r="67" spans="13:14">
      <c r="M67" s="59">
        <v>-1.54643312225675</v>
      </c>
      <c r="N67" s="59">
        <v>6.1</v>
      </c>
    </row>
    <row r="68" spans="13:14">
      <c r="M68" s="59">
        <v>-1.53819885858406</v>
      </c>
      <c r="N68" s="59">
        <v>6.2</v>
      </c>
    </row>
    <row r="69" spans="13:14">
      <c r="M69" s="59">
        <v>-1.5300675881378301</v>
      </c>
      <c r="N69" s="59">
        <v>6.3</v>
      </c>
    </row>
    <row r="70" spans="13:14">
      <c r="M70" s="59">
        <v>-1.5220362417358599</v>
      </c>
      <c r="N70" s="59">
        <v>6.4</v>
      </c>
    </row>
    <row r="71" spans="13:14">
      <c r="M71" s="59">
        <v>-1.51410188761928</v>
      </c>
      <c r="N71" s="59">
        <v>6.5</v>
      </c>
    </row>
    <row r="72" spans="13:14">
      <c r="M72" s="59">
        <v>-1.50626172327824</v>
      </c>
      <c r="N72" s="59">
        <v>6.6</v>
      </c>
    </row>
    <row r="73" spans="13:14">
      <c r="M73" s="59">
        <v>-1.4985130678799801</v>
      </c>
      <c r="N73" s="59">
        <v>6.7</v>
      </c>
    </row>
    <row r="74" spans="13:14">
      <c r="M74" s="59">
        <v>-1.4908533552466601</v>
      </c>
      <c r="N74" s="59">
        <v>6.8</v>
      </c>
    </row>
    <row r="75" spans="13:14">
      <c r="M75" s="59">
        <v>-1.48328012733562</v>
      </c>
      <c r="N75" s="59">
        <v>6.9</v>
      </c>
    </row>
    <row r="76" spans="13:14">
      <c r="M76" s="59">
        <v>-1.47579102817917</v>
      </c>
      <c r="N76" s="59">
        <v>7</v>
      </c>
    </row>
    <row r="77" spans="13:14">
      <c r="M77" s="59">
        <v>-1.46838379824566</v>
      </c>
      <c r="N77" s="59">
        <v>7.1</v>
      </c>
    </row>
    <row r="78" spans="13:14">
      <c r="M78" s="59">
        <v>-1.46105626918691</v>
      </c>
      <c r="N78" s="59">
        <v>7.2</v>
      </c>
    </row>
    <row r="79" spans="13:14">
      <c r="M79" s="59">
        <v>-1.4538063589405701</v>
      </c>
      <c r="N79" s="59">
        <v>7.3</v>
      </c>
    </row>
    <row r="80" spans="13:14">
      <c r="M80" s="59">
        <v>-1.4466320671589801</v>
      </c>
      <c r="N80" s="59">
        <v>7.4</v>
      </c>
    </row>
    <row r="81" spans="13:14">
      <c r="M81" s="59">
        <v>-1.4395314709384599</v>
      </c>
      <c r="N81" s="59">
        <v>7.5</v>
      </c>
    </row>
    <row r="82" spans="13:14">
      <c r="M82" s="59">
        <v>-1.4325027208258101</v>
      </c>
      <c r="N82" s="59">
        <v>7.6</v>
      </c>
    </row>
    <row r="83" spans="13:14">
      <c r="M83" s="59">
        <v>-1.42554403708045</v>
      </c>
      <c r="N83" s="59">
        <v>7.7</v>
      </c>
    </row>
    <row r="84" spans="13:14">
      <c r="M84" s="59">
        <v>-1.41865370617274</v>
      </c>
      <c r="N84" s="59">
        <v>7.8</v>
      </c>
    </row>
    <row r="85" spans="13:14">
      <c r="M85" s="59">
        <v>-1.4118300775008099</v>
      </c>
      <c r="N85" s="59">
        <v>7.9</v>
      </c>
    </row>
    <row r="86" spans="13:14">
      <c r="M86" s="59">
        <v>-1.40507156030963</v>
      </c>
      <c r="N86" s="59">
        <v>8</v>
      </c>
    </row>
    <row r="87" spans="13:14">
      <c r="M87" s="59">
        <v>-1.3983766207974999</v>
      </c>
      <c r="N87" s="59">
        <v>8.1</v>
      </c>
    </row>
    <row r="88" spans="13:14">
      <c r="M88" s="59">
        <v>-1.3917437793963301</v>
      </c>
      <c r="N88" s="59">
        <v>8.1999999999999993</v>
      </c>
    </row>
    <row r="89" spans="13:14">
      <c r="M89" s="59">
        <v>-1.38517160821344</v>
      </c>
      <c r="N89" s="59">
        <v>8.3000000000000007</v>
      </c>
    </row>
    <row r="90" spans="13:14">
      <c r="M90" s="59">
        <v>-1.3786587286232801</v>
      </c>
      <c r="N90" s="59">
        <v>8.4</v>
      </c>
    </row>
    <row r="91" spans="13:14">
      <c r="M91" s="59">
        <v>-1.3722038089987301</v>
      </c>
      <c r="N91" s="59">
        <v>8.5</v>
      </c>
    </row>
    <row r="92" spans="13:14">
      <c r="M92" s="59">
        <v>-1.36580556257227</v>
      </c>
      <c r="N92" s="59">
        <v>8.6</v>
      </c>
    </row>
    <row r="93" spans="13:14">
      <c r="M93" s="59">
        <v>-1.35946274541826</v>
      </c>
      <c r="N93" s="59">
        <v>8.6999999999999993</v>
      </c>
    </row>
    <row r="94" spans="13:14">
      <c r="M94" s="59">
        <v>-1.3531741545480001</v>
      </c>
      <c r="N94" s="59">
        <v>8.8000000000000007</v>
      </c>
    </row>
    <row r="95" spans="13:14">
      <c r="M95" s="59">
        <v>-1.34693862611028</v>
      </c>
      <c r="N95" s="59">
        <v>8.9</v>
      </c>
    </row>
    <row r="96" spans="13:14">
      <c r="M96" s="59">
        <v>-1.3407550336902201</v>
      </c>
      <c r="N96" s="59">
        <v>9</v>
      </c>
    </row>
    <row r="97" spans="13:14">
      <c r="M97" s="59">
        <v>-1.33462228670019</v>
      </c>
      <c r="N97" s="59">
        <v>9.1</v>
      </c>
    </row>
    <row r="98" spans="13:14">
      <c r="M98" s="59">
        <v>-1.3285393288568099</v>
      </c>
      <c r="N98" s="59">
        <v>9.1999999999999993</v>
      </c>
    </row>
    <row r="99" spans="13:14">
      <c r="M99" s="59">
        <v>-1.3225051367384399</v>
      </c>
      <c r="N99" s="59">
        <v>9.3000000000000007</v>
      </c>
    </row>
    <row r="100" spans="13:14">
      <c r="M100" s="59">
        <v>-1.3165187184182601</v>
      </c>
      <c r="N100" s="59">
        <v>9.4</v>
      </c>
    </row>
    <row r="101" spans="13:14">
      <c r="M101" s="59">
        <v>-1.3105791121681301</v>
      </c>
      <c r="N101" s="59">
        <v>9.5</v>
      </c>
    </row>
    <row r="102" spans="13:14">
      <c r="M102" s="59">
        <v>-1.3046853852287901</v>
      </c>
      <c r="N102" s="59">
        <v>9.6</v>
      </c>
    </row>
    <row r="103" spans="13:14">
      <c r="M103" s="59">
        <v>-1.29883663264251</v>
      </c>
      <c r="N103" s="59">
        <v>9.6999999999999993</v>
      </c>
    </row>
    <row r="104" spans="13:14">
      <c r="M104" s="59">
        <v>-1.2930319761442399</v>
      </c>
      <c r="N104" s="59">
        <v>9.8000000000000007</v>
      </c>
    </row>
    <row r="105" spans="13:14">
      <c r="M105" s="59">
        <v>-1.28727056310794</v>
      </c>
      <c r="N105" s="59">
        <v>9.9</v>
      </c>
    </row>
    <row r="106" spans="13:14">
      <c r="M106" s="59">
        <v>-1.2815515655445999</v>
      </c>
      <c r="N106" s="59">
        <v>10</v>
      </c>
    </row>
    <row r="107" spans="13:14">
      <c r="M107" s="59">
        <v>-1.2758741791491299</v>
      </c>
      <c r="N107" s="59">
        <v>10.1</v>
      </c>
    </row>
    <row r="108" spans="13:14">
      <c r="M108" s="59">
        <v>-1.27023762239315</v>
      </c>
      <c r="N108" s="59">
        <v>10.199999999999999</v>
      </c>
    </row>
    <row r="109" spans="13:14">
      <c r="M109" s="59">
        <v>-1.2646411356610801</v>
      </c>
      <c r="N109" s="59">
        <v>10.3</v>
      </c>
    </row>
    <row r="110" spans="13:14">
      <c r="M110" s="59">
        <v>-1.2590839804270699</v>
      </c>
      <c r="N110" s="59">
        <v>10.4</v>
      </c>
    </row>
    <row r="111" spans="13:14">
      <c r="M111" s="59">
        <v>-1.25356543847045</v>
      </c>
      <c r="N111" s="59">
        <v>10.5</v>
      </c>
    </row>
    <row r="112" spans="13:14">
      <c r="M112" s="59">
        <v>-1.24808481112755</v>
      </c>
      <c r="N112" s="59">
        <v>10.6</v>
      </c>
    </row>
    <row r="113" spans="13:14">
      <c r="M113" s="59">
        <v>-1.24264141857788</v>
      </c>
      <c r="N113" s="59">
        <v>10.7</v>
      </c>
    </row>
    <row r="114" spans="13:14">
      <c r="M114" s="59">
        <v>-1.23723459916283</v>
      </c>
      <c r="N114" s="59">
        <v>10.8</v>
      </c>
    </row>
    <row r="115" spans="13:14">
      <c r="M115" s="59">
        <v>-1.23186370873498</v>
      </c>
      <c r="N115" s="59">
        <v>10.9</v>
      </c>
    </row>
    <row r="116" spans="13:14">
      <c r="M116" s="59">
        <v>-1.22652812003661</v>
      </c>
      <c r="N116" s="59">
        <v>11</v>
      </c>
    </row>
    <row r="117" spans="13:14">
      <c r="M117" s="59">
        <v>-1.22122722210557</v>
      </c>
      <c r="N117" s="59">
        <v>11.1</v>
      </c>
    </row>
    <row r="118" spans="13:14">
      <c r="M118" s="59">
        <v>-1.2159604197073199</v>
      </c>
      <c r="N118" s="59">
        <v>11.2</v>
      </c>
    </row>
    <row r="119" spans="13:14">
      <c r="M119" s="59">
        <v>-1.2107271327916</v>
      </c>
      <c r="N119" s="59">
        <v>11.3</v>
      </c>
    </row>
    <row r="120" spans="13:14">
      <c r="M120" s="59">
        <v>-1.20552679597252</v>
      </c>
      <c r="N120" s="59">
        <v>11.4</v>
      </c>
    </row>
    <row r="121" spans="13:14">
      <c r="M121" s="59">
        <v>-1.20035885803086</v>
      </c>
      <c r="N121" s="59">
        <v>11.5</v>
      </c>
    </row>
    <row r="122" spans="13:14">
      <c r="M122" s="59">
        <v>-1.1952227814374301</v>
      </c>
      <c r="N122" s="59">
        <v>11.6</v>
      </c>
    </row>
    <row r="123" spans="13:14">
      <c r="M123" s="59">
        <v>-1.1901180418964199</v>
      </c>
      <c r="N123" s="59">
        <v>11.7</v>
      </c>
    </row>
    <row r="124" spans="13:14">
      <c r="M124" s="59">
        <v>-1.1850441279078101</v>
      </c>
      <c r="N124" s="59">
        <v>11.8</v>
      </c>
    </row>
    <row r="125" spans="13:14">
      <c r="M125" s="59">
        <v>-1.1800005403477301</v>
      </c>
      <c r="N125" s="59">
        <v>11.9</v>
      </c>
    </row>
    <row r="126" spans="13:14">
      <c r="M126" s="59">
        <v>-1.1749867920660899</v>
      </c>
      <c r="N126" s="59">
        <v>12</v>
      </c>
    </row>
    <row r="127" spans="13:14">
      <c r="M127" s="59">
        <v>-1.17000240750048</v>
      </c>
      <c r="N127" s="59">
        <v>12.1</v>
      </c>
    </row>
    <row r="128" spans="13:14">
      <c r="M128" s="59">
        <v>-1.1650469223055999</v>
      </c>
      <c r="N128" s="59">
        <v>12.2</v>
      </c>
    </row>
    <row r="129" spans="13:14">
      <c r="M129" s="59">
        <v>-1.1601198829975199</v>
      </c>
      <c r="N129" s="59">
        <v>12.3</v>
      </c>
    </row>
    <row r="130" spans="13:14">
      <c r="M130" s="59">
        <v>-1.15522084661195</v>
      </c>
      <c r="N130" s="59">
        <v>12.4</v>
      </c>
    </row>
    <row r="131" spans="13:14">
      <c r="M131" s="59">
        <v>-1.1503493803760101</v>
      </c>
      <c r="N131" s="59">
        <v>12.5</v>
      </c>
    </row>
    <row r="132" spans="13:14">
      <c r="M132" s="59">
        <v>-1.1455050613927</v>
      </c>
      <c r="N132" s="59">
        <v>12.6</v>
      </c>
    </row>
    <row r="133" spans="13:14">
      <c r="M133" s="59">
        <v>-1.14068747633762</v>
      </c>
      <c r="N133" s="59">
        <v>12.7</v>
      </c>
    </row>
    <row r="134" spans="13:14">
      <c r="M134" s="59">
        <v>-1.13589622116731</v>
      </c>
      <c r="N134" s="59">
        <v>12.8</v>
      </c>
    </row>
    <row r="135" spans="13:14">
      <c r="M135" s="59">
        <v>-1.1311309008386301</v>
      </c>
      <c r="N135" s="59">
        <v>12.9</v>
      </c>
    </row>
    <row r="136" spans="13:14">
      <c r="M136" s="59">
        <v>-1.1263911290388</v>
      </c>
      <c r="N136" s="59">
        <v>13</v>
      </c>
    </row>
    <row r="137" spans="13:14">
      <c r="M137" s="59">
        <v>-1.1216765279254901</v>
      </c>
      <c r="N137" s="59">
        <v>13.1</v>
      </c>
    </row>
    <row r="138" spans="13:14">
      <c r="M138" s="59">
        <v>-1.1169867278766099</v>
      </c>
      <c r="N138" s="59">
        <v>13.2</v>
      </c>
    </row>
    <row r="139" spans="13:14">
      <c r="M139" s="59">
        <v>-1.11232136724931</v>
      </c>
      <c r="N139" s="59">
        <v>13.3</v>
      </c>
    </row>
    <row r="140" spans="13:14">
      <c r="M140" s="59">
        <v>-1.1076800921478001</v>
      </c>
      <c r="N140" s="59">
        <v>13.4</v>
      </c>
    </row>
    <row r="141" spans="13:14">
      <c r="M141" s="59">
        <v>-1.1030625561995999</v>
      </c>
      <c r="N141" s="59">
        <v>13.5</v>
      </c>
    </row>
    <row r="142" spans="13:14">
      <c r="M142" s="59">
        <v>-1.09846842033986</v>
      </c>
      <c r="N142" s="59">
        <v>13.6</v>
      </c>
    </row>
    <row r="143" spans="13:14">
      <c r="M143" s="59">
        <v>-1.0938973526034399</v>
      </c>
      <c r="N143" s="59">
        <v>13.7</v>
      </c>
    </row>
    <row r="144" spans="13:14">
      <c r="M144" s="59">
        <v>-1.0893490279242799</v>
      </c>
      <c r="N144" s="59">
        <v>13.8</v>
      </c>
    </row>
    <row r="145" spans="13:14">
      <c r="M145" s="59">
        <v>-1.08482312794196</v>
      </c>
      <c r="N145" s="59">
        <v>13.9</v>
      </c>
    </row>
    <row r="146" spans="13:14">
      <c r="M146" s="59">
        <v>-1.0803193408149601</v>
      </c>
      <c r="N146" s="59">
        <v>14</v>
      </c>
    </row>
    <row r="147" spans="13:14">
      <c r="M147" s="59">
        <v>-1.0758373610404299</v>
      </c>
      <c r="N147" s="59">
        <v>14.1</v>
      </c>
    </row>
    <row r="148" spans="13:14">
      <c r="M148" s="59">
        <v>-1.07137688928021</v>
      </c>
      <c r="N148" s="59">
        <v>14.2</v>
      </c>
    </row>
    <row r="149" spans="13:14">
      <c r="M149" s="59">
        <v>-1.0669376321927699</v>
      </c>
      <c r="N149" s="59">
        <v>14.3</v>
      </c>
    </row>
    <row r="150" spans="13:14">
      <c r="M150" s="59">
        <v>-1.0625193022708701</v>
      </c>
      <c r="N150" s="59">
        <v>14.4</v>
      </c>
    </row>
    <row r="151" spans="13:14">
      <c r="M151" s="59">
        <v>-1.0581216176847801</v>
      </c>
      <c r="N151" s="59">
        <v>14.5</v>
      </c>
    </row>
    <row r="152" spans="13:14">
      <c r="M152" s="59">
        <v>-1.0537443021306701</v>
      </c>
      <c r="N152" s="59">
        <v>14.6</v>
      </c>
    </row>
    <row r="153" spans="13:14">
      <c r="M153" s="59">
        <v>-1.0493870846841</v>
      </c>
      <c r="N153" s="59">
        <v>14.7</v>
      </c>
    </row>
    <row r="154" spans="13:14">
      <c r="M154" s="59">
        <v>-1.04504969965839</v>
      </c>
      <c r="N154" s="59">
        <v>14.8</v>
      </c>
    </row>
    <row r="155" spans="13:14">
      <c r="M155" s="59">
        <v>-1.0407318864675399</v>
      </c>
      <c r="N155" s="59">
        <v>14.9</v>
      </c>
    </row>
    <row r="156" spans="13:14">
      <c r="M156" s="59">
        <v>-1.03643338949379</v>
      </c>
      <c r="N156" s="59">
        <v>15</v>
      </c>
    </row>
    <row r="157" spans="13:14">
      <c r="M157" s="59">
        <v>-1.03215395795931</v>
      </c>
      <c r="N157" s="59">
        <v>15.1</v>
      </c>
    </row>
    <row r="158" spans="13:14">
      <c r="M158" s="59">
        <v>-1.02789334580214</v>
      </c>
      <c r="N158" s="59">
        <v>15.2</v>
      </c>
    </row>
    <row r="159" spans="13:14">
      <c r="M159" s="59">
        <v>-1.0236513115560899</v>
      </c>
      <c r="N159" s="59">
        <v>15.3</v>
      </c>
    </row>
    <row r="160" spans="13:14">
      <c r="M160" s="59">
        <v>-1.01942761823437</v>
      </c>
      <c r="N160" s="59">
        <v>15.4</v>
      </c>
    </row>
    <row r="161" spans="13:14">
      <c r="M161" s="59">
        <v>-1.0152220332170301</v>
      </c>
      <c r="N161" s="59">
        <v>15.5</v>
      </c>
    </row>
    <row r="162" spans="13:14">
      <c r="M162" s="59">
        <v>-1.0110343281418199</v>
      </c>
      <c r="N162" s="59">
        <v>15.6</v>
      </c>
    </row>
    <row r="163" spans="13:14">
      <c r="M163" s="59">
        <v>-1.00686427879852</v>
      </c>
      <c r="N163" s="59">
        <v>15.7</v>
      </c>
    </row>
    <row r="164" spans="13:14">
      <c r="M164" s="59">
        <v>-1.00271166502655</v>
      </c>
      <c r="N164" s="59">
        <v>15.8</v>
      </c>
    </row>
    <row r="165" spans="13:14">
      <c r="M165" s="59">
        <v>-0.99857627061566001</v>
      </c>
      <c r="N165" s="59">
        <v>15.9</v>
      </c>
    </row>
    <row r="166" spans="13:14">
      <c r="M166" s="59">
        <v>-0.99445788320975304</v>
      </c>
      <c r="N166" s="59">
        <v>16</v>
      </c>
    </row>
    <row r="167" spans="13:14">
      <c r="M167" s="59">
        <v>-0.99035629421357496</v>
      </c>
      <c r="N167" s="59">
        <v>16.100000000000001</v>
      </c>
    </row>
    <row r="168" spans="13:14">
      <c r="M168" s="59">
        <v>-0.98627129870223795</v>
      </c>
      <c r="N168" s="59">
        <v>16.2</v>
      </c>
    </row>
    <row r="169" spans="13:14">
      <c r="M169" s="59">
        <v>-0.98220269533347004</v>
      </c>
      <c r="N169" s="59">
        <v>16.3</v>
      </c>
    </row>
    <row r="170" spans="13:14">
      <c r="M170" s="59">
        <v>-0.97815028626247102</v>
      </c>
      <c r="N170" s="59">
        <v>16.399999999999999</v>
      </c>
    </row>
    <row r="171" spans="13:14">
      <c r="M171" s="59">
        <v>-0.97411387705930896</v>
      </c>
      <c r="N171" s="59">
        <v>16.5</v>
      </c>
    </row>
    <row r="172" spans="13:14">
      <c r="M172" s="59">
        <v>-0.97009327662873701</v>
      </c>
      <c r="N172" s="59">
        <v>16.600000000000001</v>
      </c>
    </row>
    <row r="173" spans="13:14">
      <c r="M173" s="59">
        <v>-0.96608829713237299</v>
      </c>
      <c r="N173" s="59">
        <v>16.7</v>
      </c>
    </row>
    <row r="174" spans="13:14">
      <c r="M174" s="59">
        <v>-0.96209875391314204</v>
      </c>
      <c r="N174" s="59">
        <v>16.8</v>
      </c>
    </row>
    <row r="175" spans="13:14">
      <c r="M175" s="59">
        <v>-0.95812446542190299</v>
      </c>
      <c r="N175" s="59">
        <v>16.899999999999999</v>
      </c>
    </row>
    <row r="176" spans="13:14">
      <c r="M176" s="59">
        <v>-0.95416525314619405</v>
      </c>
      <c r="N176" s="59">
        <v>17</v>
      </c>
    </row>
    <row r="177" spans="13:14">
      <c r="M177" s="59">
        <v>-0.950220941541015</v>
      </c>
      <c r="N177" s="59">
        <v>17.100000000000001</v>
      </c>
    </row>
    <row r="178" spans="13:14">
      <c r="M178" s="59">
        <v>-0.94629135796157604</v>
      </c>
      <c r="N178" s="59">
        <v>17.2</v>
      </c>
    </row>
    <row r="179" spans="13:14">
      <c r="M179" s="59">
        <v>-0.94237633259794995</v>
      </c>
      <c r="N179" s="59">
        <v>17.3</v>
      </c>
    </row>
    <row r="180" spans="13:14">
      <c r="M180" s="59">
        <v>-0.93847569841156797</v>
      </c>
      <c r="N180" s="59">
        <v>17.399999999999999</v>
      </c>
    </row>
    <row r="181" spans="13:14">
      <c r="M181" s="59">
        <v>-0.93458929107347999</v>
      </c>
      <c r="N181" s="59">
        <v>17.5</v>
      </c>
    </row>
    <row r="182" spans="13:14">
      <c r="M182" s="59">
        <v>-0.93071694890433898</v>
      </c>
      <c r="N182" s="59">
        <v>17.600000000000001</v>
      </c>
    </row>
    <row r="183" spans="13:14">
      <c r="M183" s="59">
        <v>-0.92685851281604403</v>
      </c>
      <c r="N183" s="59">
        <v>17.7</v>
      </c>
    </row>
    <row r="184" spans="13:14">
      <c r="M184" s="59">
        <v>-0.92301382625497996</v>
      </c>
      <c r="N184" s="59">
        <v>17.8</v>
      </c>
    </row>
    <row r="185" spans="13:14">
      <c r="M185" s="59">
        <v>-0.91918273514682003</v>
      </c>
      <c r="N185" s="59">
        <v>17.899999999999999</v>
      </c>
    </row>
    <row r="186" spans="13:14">
      <c r="M186" s="59">
        <v>-0.91536508784281401</v>
      </c>
      <c r="N186" s="59">
        <v>18</v>
      </c>
    </row>
    <row r="187" spans="13:14">
      <c r="M187" s="59">
        <v>-0.91156073506754098</v>
      </c>
      <c r="N187" s="59">
        <v>18.100000000000001</v>
      </c>
    </row>
    <row r="188" spans="13:14">
      <c r="M188" s="59">
        <v>-0.90776952986805504</v>
      </c>
      <c r="N188" s="59">
        <v>18.2</v>
      </c>
    </row>
    <row r="189" spans="13:14">
      <c r="M189" s="59">
        <v>-0.90399132756440204</v>
      </c>
      <c r="N189" s="59">
        <v>18.3</v>
      </c>
    </row>
    <row r="190" spans="13:14">
      <c r="M190" s="59">
        <v>-0.90022598570143297</v>
      </c>
      <c r="N190" s="59">
        <v>18.399999999999999</v>
      </c>
    </row>
    <row r="191" spans="13:14">
      <c r="M191" s="59">
        <v>-0.89647336400191602</v>
      </c>
      <c r="N191" s="59">
        <v>18.5</v>
      </c>
    </row>
    <row r="192" spans="13:14">
      <c r="M192" s="59">
        <v>-0.89273332432085595</v>
      </c>
      <c r="N192" s="59">
        <v>18.600000000000001</v>
      </c>
    </row>
    <row r="193" spans="13:14">
      <c r="M193" s="59">
        <v>-0.88900573060102495</v>
      </c>
      <c r="N193" s="59">
        <v>18.7</v>
      </c>
    </row>
    <row r="194" spans="13:14">
      <c r="M194" s="59">
        <v>-0.88529044882964103</v>
      </c>
      <c r="N194" s="59">
        <v>18.8</v>
      </c>
    </row>
    <row r="195" spans="13:14">
      <c r="M195" s="59">
        <v>-0.88158734699617503</v>
      </c>
      <c r="N195" s="59">
        <v>18.899999999999999</v>
      </c>
    </row>
    <row r="196" spans="13:14">
      <c r="M196" s="59">
        <v>-0.87789629505122802</v>
      </c>
      <c r="N196" s="59">
        <v>19</v>
      </c>
    </row>
    <row r="197" spans="13:14">
      <c r="M197" s="59">
        <v>-0.87421716486648304</v>
      </c>
      <c r="N197" s="59">
        <v>19.100000000000001</v>
      </c>
    </row>
    <row r="198" spans="13:14">
      <c r="M198" s="59">
        <v>-0.87054983019565402</v>
      </c>
      <c r="N198" s="59">
        <v>19.2</v>
      </c>
    </row>
    <row r="199" spans="13:14">
      <c r="M199" s="59">
        <v>-0.86689416663643803</v>
      </c>
      <c r="N199" s="59">
        <v>19.3</v>
      </c>
    </row>
    <row r="200" spans="13:14">
      <c r="M200" s="59">
        <v>-0.86325005159342105</v>
      </c>
      <c r="N200" s="59">
        <v>19.399999999999999</v>
      </c>
    </row>
    <row r="201" spans="13:14">
      <c r="M201" s="59">
        <v>-0.85961736424191104</v>
      </c>
      <c r="N201" s="59">
        <v>19.5</v>
      </c>
    </row>
    <row r="202" spans="13:14">
      <c r="M202" s="59">
        <v>-0.85599598549268197</v>
      </c>
      <c r="N202" s="59">
        <v>19.600000000000001</v>
      </c>
    </row>
    <row r="203" spans="13:14">
      <c r="M203" s="59">
        <v>-0.85238579795757496</v>
      </c>
      <c r="N203" s="59">
        <v>19.7</v>
      </c>
    </row>
    <row r="204" spans="13:14">
      <c r="M204" s="59">
        <v>-0.84878668591596695</v>
      </c>
      <c r="N204" s="59">
        <v>19.8</v>
      </c>
    </row>
    <row r="205" spans="13:14">
      <c r="M205" s="59">
        <v>-0.84519853528205002</v>
      </c>
      <c r="N205" s="59">
        <v>19.899999999999999</v>
      </c>
    </row>
    <row r="206" spans="13:14">
      <c r="M206" s="59">
        <v>-0.84162123357291396</v>
      </c>
      <c r="N206" s="59">
        <v>20</v>
      </c>
    </row>
    <row r="207" spans="13:14">
      <c r="M207" s="59">
        <v>-0.83805466987740695</v>
      </c>
      <c r="N207" s="59">
        <v>20.100000000000001</v>
      </c>
    </row>
    <row r="208" spans="13:14">
      <c r="M208" s="59">
        <v>-0.83449873482574</v>
      </c>
      <c r="N208" s="59">
        <v>20.2</v>
      </c>
    </row>
    <row r="209" spans="13:14">
      <c r="M209" s="59">
        <v>-0.83095332055983795</v>
      </c>
      <c r="N209" s="59">
        <v>20.3</v>
      </c>
    </row>
    <row r="210" spans="13:14">
      <c r="M210" s="59">
        <v>-0.82741832070438204</v>
      </c>
      <c r="N210" s="59">
        <v>20.399999999999999</v>
      </c>
    </row>
    <row r="211" spans="13:14">
      <c r="M211" s="59">
        <v>-0.823893630338557</v>
      </c>
      <c r="N211" s="59">
        <v>20.5</v>
      </c>
    </row>
    <row r="212" spans="13:14">
      <c r="M212" s="59">
        <v>-0.82037914596846095</v>
      </c>
      <c r="N212" s="59">
        <v>20.6</v>
      </c>
    </row>
    <row r="213" spans="13:14">
      <c r="M213" s="59">
        <v>-0.81687476550016302</v>
      </c>
      <c r="N213" s="59">
        <v>20.7</v>
      </c>
    </row>
    <row r="214" spans="13:14">
      <c r="M214" s="59">
        <v>-0.81338038821340397</v>
      </c>
      <c r="N214" s="59">
        <v>20.8</v>
      </c>
    </row>
    <row r="215" spans="13:14">
      <c r="M215" s="59">
        <v>-0.80989591473589795</v>
      </c>
      <c r="N215" s="59">
        <v>20.9</v>
      </c>
    </row>
    <row r="216" spans="13:14">
      <c r="M216" s="59">
        <v>-0.80642124701824003</v>
      </c>
      <c r="N216" s="59">
        <v>21</v>
      </c>
    </row>
    <row r="217" spans="13:14">
      <c r="M217" s="59">
        <v>-0.80295628830939403</v>
      </c>
      <c r="N217" s="59">
        <v>21.1</v>
      </c>
    </row>
    <row r="218" spans="13:14">
      <c r="M218" s="59">
        <v>-0.79950094313273701</v>
      </c>
      <c r="N218" s="59">
        <v>21.2</v>
      </c>
    </row>
    <row r="219" spans="13:14">
      <c r="M219" s="59">
        <v>-0.79605511726266298</v>
      </c>
      <c r="N219" s="59">
        <v>21.3</v>
      </c>
    </row>
    <row r="220" spans="13:14">
      <c r="M220" s="59">
        <v>-0.79261871770171199</v>
      </c>
      <c r="N220" s="59">
        <v>21.4</v>
      </c>
    </row>
    <row r="221" spans="13:14">
      <c r="M221" s="59">
        <v>-0.789191652658222</v>
      </c>
      <c r="N221" s="59">
        <v>21.5</v>
      </c>
    </row>
    <row r="222" spans="13:14">
      <c r="M222" s="59">
        <v>-0.78577383152448399</v>
      </c>
      <c r="N222" s="59">
        <v>21.6</v>
      </c>
    </row>
    <row r="223" spans="13:14">
      <c r="M223" s="59">
        <v>-0.78236516485538699</v>
      </c>
      <c r="N223" s="59">
        <v>21.7</v>
      </c>
    </row>
    <row r="224" spans="13:14">
      <c r="M224" s="59">
        <v>-0.77896556434754505</v>
      </c>
      <c r="N224" s="59">
        <v>21.8</v>
      </c>
    </row>
    <row r="225" spans="13:14">
      <c r="M225" s="59">
        <v>-0.77557494281888395</v>
      </c>
      <c r="N225" s="59">
        <v>21.9</v>
      </c>
    </row>
    <row r="226" spans="13:14">
      <c r="M226" s="59">
        <v>-0.77219321418868503</v>
      </c>
      <c r="N226" s="59">
        <v>22</v>
      </c>
    </row>
    <row r="227" spans="13:14">
      <c r="M227" s="59">
        <v>-0.76882029345806202</v>
      </c>
      <c r="N227" s="59">
        <v>22.1</v>
      </c>
    </row>
    <row r="228" spans="13:14">
      <c r="M228" s="59">
        <v>-0.765456096690878</v>
      </c>
      <c r="N228" s="59">
        <v>22.2</v>
      </c>
    </row>
    <row r="229" spans="13:14">
      <c r="M229" s="59">
        <v>-0.76210054099506697</v>
      </c>
      <c r="N229" s="59">
        <v>22.3</v>
      </c>
    </row>
    <row r="230" spans="13:14">
      <c r="M230" s="59">
        <v>-0.75875354450437105</v>
      </c>
      <c r="N230" s="59">
        <v>22.4</v>
      </c>
    </row>
    <row r="231" spans="13:14">
      <c r="M231" s="59">
        <v>-0.75541502636046898</v>
      </c>
      <c r="N231" s="59">
        <v>22.5</v>
      </c>
    </row>
    <row r="232" spans="13:14">
      <c r="M232" s="59">
        <v>-0.752084906695491</v>
      </c>
      <c r="N232" s="59">
        <v>22.6</v>
      </c>
    </row>
    <row r="233" spans="13:14">
      <c r="M233" s="59">
        <v>-0.74876310661490897</v>
      </c>
      <c r="N233" s="59">
        <v>22.7</v>
      </c>
    </row>
    <row r="234" spans="13:14">
      <c r="M234" s="59">
        <v>-0.74544954818078901</v>
      </c>
      <c r="N234" s="59">
        <v>22.8</v>
      </c>
    </row>
    <row r="235" spans="13:14">
      <c r="M235" s="59">
        <v>-0.74214415439540904</v>
      </c>
      <c r="N235" s="59">
        <v>22.9</v>
      </c>
    </row>
    <row r="236" spans="13:14">
      <c r="M236" s="59">
        <v>-0.73884684918521404</v>
      </c>
      <c r="N236" s="59">
        <v>23</v>
      </c>
    </row>
    <row r="237" spans="13:14">
      <c r="M237" s="59">
        <v>-0.73555755738511097</v>
      </c>
      <c r="N237" s="59">
        <v>23.1</v>
      </c>
    </row>
    <row r="238" spans="13:14">
      <c r="M238" s="59">
        <v>-0.73227620472309995</v>
      </c>
      <c r="N238" s="59">
        <v>23.2</v>
      </c>
    </row>
    <row r="239" spans="13:14">
      <c r="M239" s="59">
        <v>-0.72900271780521897</v>
      </c>
      <c r="N239" s="59">
        <v>23.3</v>
      </c>
    </row>
    <row r="240" spans="13:14">
      <c r="M240" s="59">
        <v>-0.72573702410080498</v>
      </c>
      <c r="N240" s="59">
        <v>23.4</v>
      </c>
    </row>
    <row r="241" spans="13:14">
      <c r="M241" s="59">
        <v>-0.72247905192806305</v>
      </c>
      <c r="N241" s="59">
        <v>23.5</v>
      </c>
    </row>
    <row r="242" spans="13:14">
      <c r="M242" s="59">
        <v>-0.71922873043992397</v>
      </c>
      <c r="N242" s="59">
        <v>23.6</v>
      </c>
    </row>
    <row r="243" spans="13:14">
      <c r="M243" s="59">
        <v>-0.71598598961020499</v>
      </c>
      <c r="N243" s="59">
        <v>23.7</v>
      </c>
    </row>
    <row r="244" spans="13:14">
      <c r="M244" s="59">
        <v>-0.71275076022004302</v>
      </c>
      <c r="N244" s="59">
        <v>23.8</v>
      </c>
    </row>
    <row r="245" spans="13:14">
      <c r="M245" s="59">
        <v>-0.70952297384460805</v>
      </c>
      <c r="N245" s="59">
        <v>23.9</v>
      </c>
    </row>
    <row r="246" spans="13:14">
      <c r="M246" s="59">
        <v>-0.70630256284008797</v>
      </c>
      <c r="N246" s="59">
        <v>24</v>
      </c>
    </row>
    <row r="247" spans="13:14">
      <c r="M247" s="59">
        <v>-0.70308946033092901</v>
      </c>
      <c r="N247" s="59">
        <v>24.1</v>
      </c>
    </row>
    <row r="248" spans="13:14">
      <c r="M248" s="59">
        <v>-0.69988360019734097</v>
      </c>
      <c r="N248" s="59">
        <v>24.2</v>
      </c>
    </row>
    <row r="249" spans="13:14">
      <c r="M249" s="59">
        <v>-0.69668491706305102</v>
      </c>
      <c r="N249" s="59">
        <v>24.3</v>
      </c>
    </row>
    <row r="250" spans="13:14">
      <c r="M250" s="59">
        <v>-0.69349334628328896</v>
      </c>
      <c r="N250" s="59">
        <v>24.4</v>
      </c>
    </row>
    <row r="251" spans="13:14">
      <c r="M251" s="59">
        <v>-0.69030882393303405</v>
      </c>
      <c r="N251" s="59">
        <v>24.5</v>
      </c>
    </row>
    <row r="252" spans="13:14">
      <c r="M252" s="59">
        <v>-0.68713128679546898</v>
      </c>
      <c r="N252" s="59">
        <v>24.6</v>
      </c>
    </row>
    <row r="253" spans="13:14">
      <c r="M253" s="59">
        <v>-0.68396067235068203</v>
      </c>
      <c r="N253" s="59">
        <v>24.7</v>
      </c>
    </row>
    <row r="254" spans="13:14">
      <c r="M254" s="59">
        <v>-0.68079691876457504</v>
      </c>
      <c r="N254" s="59">
        <v>24.8</v>
      </c>
    </row>
    <row r="255" spans="13:14">
      <c r="M255" s="59">
        <v>-0.67763996487799605</v>
      </c>
      <c r="N255" s="59">
        <v>24.9</v>
      </c>
    </row>
    <row r="256" spans="13:14">
      <c r="M256" s="59">
        <v>-0.67448975019608204</v>
      </c>
      <c r="N256" s="59">
        <v>25</v>
      </c>
    </row>
    <row r="257" spans="13:14">
      <c r="M257" s="59">
        <v>-0.67134621487780499</v>
      </c>
      <c r="N257" s="59">
        <v>25.1</v>
      </c>
    </row>
    <row r="258" spans="13:14">
      <c r="M258" s="59">
        <v>-0.66820929972572296</v>
      </c>
      <c r="N258" s="59">
        <v>25.2</v>
      </c>
    </row>
    <row r="259" spans="13:14">
      <c r="M259" s="59">
        <v>-0.665078946175923</v>
      </c>
      <c r="N259" s="59">
        <v>25.3</v>
      </c>
    </row>
    <row r="260" spans="13:14">
      <c r="M260" s="59">
        <v>-0.66195509628816196</v>
      </c>
      <c r="N260" s="59">
        <v>25.4</v>
      </c>
    </row>
    <row r="261" spans="13:14">
      <c r="M261" s="59">
        <v>-0.65883769273618797</v>
      </c>
      <c r="N261" s="59">
        <v>25.5</v>
      </c>
    </row>
    <row r="262" spans="13:14">
      <c r="M262" s="59">
        <v>-0.65572667879825297</v>
      </c>
      <c r="N262" s="59">
        <v>25.6</v>
      </c>
    </row>
    <row r="263" spans="13:14">
      <c r="M263" s="59">
        <v>-0.65262199834780099</v>
      </c>
      <c r="N263" s="59">
        <v>25.7</v>
      </c>
    </row>
    <row r="264" spans="13:14">
      <c r="M264" s="59">
        <v>-0.64952359584432495</v>
      </c>
      <c r="N264" s="59">
        <v>25.8</v>
      </c>
    </row>
    <row r="265" spans="13:14">
      <c r="M265" s="59">
        <v>-0.64643141632440704</v>
      </c>
      <c r="N265" s="59">
        <v>25.9</v>
      </c>
    </row>
    <row r="266" spans="13:14">
      <c r="M266" s="59">
        <v>-0.64334540539291696</v>
      </c>
      <c r="N266" s="59">
        <v>26</v>
      </c>
    </row>
    <row r="267" spans="13:14">
      <c r="M267" s="59">
        <v>-0.64026550921437397</v>
      </c>
      <c r="N267" s="59">
        <v>26.1</v>
      </c>
    </row>
    <row r="268" spans="13:14">
      <c r="M268" s="59">
        <v>-0.637191674504475</v>
      </c>
      <c r="N268" s="59">
        <v>26.2</v>
      </c>
    </row>
    <row r="269" spans="13:14">
      <c r="M269" s="59">
        <v>-0.63412384852176995</v>
      </c>
      <c r="N269" s="59">
        <v>26.3</v>
      </c>
    </row>
    <row r="270" spans="13:14">
      <c r="M270" s="59">
        <v>-0.63106197905949901</v>
      </c>
      <c r="N270" s="59">
        <v>26.4</v>
      </c>
    </row>
    <row r="271" spans="13:14">
      <c r="M271" s="59">
        <v>-0.62800601443756998</v>
      </c>
      <c r="N271" s="59">
        <v>26.5</v>
      </c>
    </row>
    <row r="272" spans="13:14">
      <c r="M272" s="59">
        <v>-0.62495590349468699</v>
      </c>
      <c r="N272" s="59">
        <v>26.6</v>
      </c>
    </row>
    <row r="273" spans="13:14">
      <c r="M273" s="59">
        <v>-0.62191159558062403</v>
      </c>
      <c r="N273" s="59">
        <v>26.7</v>
      </c>
    </row>
    <row r="274" spans="13:14">
      <c r="M274" s="59">
        <v>-0.61887304054862902</v>
      </c>
      <c r="N274" s="59">
        <v>26.8</v>
      </c>
    </row>
    <row r="275" spans="13:14">
      <c r="M275" s="59">
        <v>-0.61584018874797197</v>
      </c>
      <c r="N275" s="59">
        <v>26.9</v>
      </c>
    </row>
    <row r="276" spans="13:14">
      <c r="M276" s="59">
        <v>-0.61281299101662701</v>
      </c>
      <c r="N276" s="59">
        <v>27</v>
      </c>
    </row>
    <row r="277" spans="13:14">
      <c r="M277" s="59">
        <v>-0.60979139867408005</v>
      </c>
      <c r="N277" s="59">
        <v>27.1</v>
      </c>
    </row>
    <row r="278" spans="13:14">
      <c r="M278" s="59">
        <v>-0.60677536351426498</v>
      </c>
      <c r="N278" s="59">
        <v>27.2</v>
      </c>
    </row>
    <row r="279" spans="13:14">
      <c r="M279" s="59">
        <v>-0.60376483779862999</v>
      </c>
      <c r="N279" s="59">
        <v>27.3</v>
      </c>
    </row>
    <row r="280" spans="13:14">
      <c r="M280" s="59">
        <v>-0.60075977424931903</v>
      </c>
      <c r="N280" s="59">
        <v>27.4</v>
      </c>
    </row>
    <row r="281" spans="13:14">
      <c r="M281" s="59">
        <v>-0.59776012604247797</v>
      </c>
      <c r="N281" s="59">
        <v>27.5</v>
      </c>
    </row>
    <row r="282" spans="13:14">
      <c r="M282" s="59">
        <v>-0.59476584680167799</v>
      </c>
      <c r="N282" s="59">
        <v>27.6</v>
      </c>
    </row>
    <row r="283" spans="13:14">
      <c r="M283" s="59">
        <v>-0.591776890591446</v>
      </c>
      <c r="N283" s="59">
        <v>27.7</v>
      </c>
    </row>
    <row r="284" spans="13:14">
      <c r="M284" s="59">
        <v>-0.58879321191092004</v>
      </c>
      <c r="N284" s="59">
        <v>27.8</v>
      </c>
    </row>
    <row r="285" spans="13:14">
      <c r="M285" s="59">
        <v>-0.58581476568759905</v>
      </c>
      <c r="N285" s="59">
        <v>27.9</v>
      </c>
    </row>
    <row r="286" spans="13:14">
      <c r="M286" s="59">
        <v>-0.58284150727121598</v>
      </c>
      <c r="N286" s="59">
        <v>28</v>
      </c>
    </row>
    <row r="287" spans="13:14">
      <c r="M287" s="59">
        <v>-0.57987339242770397</v>
      </c>
      <c r="N287" s="59">
        <v>28.1</v>
      </c>
    </row>
    <row r="288" spans="13:14">
      <c r="M288" s="59">
        <v>-0.576910377333271</v>
      </c>
      <c r="N288" s="59">
        <v>28.2</v>
      </c>
    </row>
    <row r="289" spans="13:14">
      <c r="M289" s="59">
        <v>-0.57395241856857304</v>
      </c>
      <c r="N289" s="59">
        <v>28.3</v>
      </c>
    </row>
    <row r="290" spans="13:14">
      <c r="M290" s="59">
        <v>-0.57099947311298704</v>
      </c>
      <c r="N290" s="59">
        <v>28.4</v>
      </c>
    </row>
    <row r="291" spans="13:14">
      <c r="M291" s="59">
        <v>-0.56805149833898305</v>
      </c>
      <c r="N291" s="59">
        <v>28.5</v>
      </c>
    </row>
    <row r="292" spans="13:14">
      <c r="M292" s="59">
        <v>-0.56510845200658399</v>
      </c>
      <c r="N292" s="59">
        <v>28.6</v>
      </c>
    </row>
    <row r="293" spans="13:14">
      <c r="M293" s="59">
        <v>-0.56217029225792603</v>
      </c>
      <c r="N293" s="59">
        <v>28.7</v>
      </c>
    </row>
    <row r="294" spans="13:14">
      <c r="M294" s="59">
        <v>-0.55923697761190705</v>
      </c>
      <c r="N294" s="59">
        <v>28.8</v>
      </c>
    </row>
    <row r="295" spans="13:14">
      <c r="M295" s="59">
        <v>-0.556308466958918</v>
      </c>
      <c r="N295" s="59">
        <v>28.9</v>
      </c>
    </row>
    <row r="296" spans="13:14">
      <c r="M296" s="59">
        <v>-0.55338471955567303</v>
      </c>
      <c r="N296" s="59">
        <v>29</v>
      </c>
    </row>
    <row r="297" spans="13:14">
      <c r="M297" s="59">
        <v>-0.550465695020113</v>
      </c>
      <c r="N297" s="59">
        <v>29.1</v>
      </c>
    </row>
    <row r="298" spans="13:14">
      <c r="M298" s="59">
        <v>-0.54755135332640104</v>
      </c>
      <c r="N298" s="59">
        <v>29.2</v>
      </c>
    </row>
    <row r="299" spans="13:14">
      <c r="M299" s="59">
        <v>-0.54464165479999904</v>
      </c>
      <c r="N299" s="59">
        <v>29.3</v>
      </c>
    </row>
    <row r="300" spans="13:14">
      <c r="M300" s="59">
        <v>-0.54173656011281701</v>
      </c>
      <c r="N300" s="59">
        <v>29.4</v>
      </c>
    </row>
    <row r="301" spans="13:14">
      <c r="M301" s="59">
        <v>-0.53883603027844995</v>
      </c>
      <c r="N301" s="59">
        <v>29.5</v>
      </c>
    </row>
    <row r="302" spans="13:14">
      <c r="M302" s="59">
        <v>-0.53594002664748996</v>
      </c>
      <c r="N302" s="59">
        <v>29.6</v>
      </c>
    </row>
    <row r="303" spans="13:14">
      <c r="M303" s="59">
        <v>-0.53304851090290895</v>
      </c>
      <c r="N303" s="59">
        <v>29.7</v>
      </c>
    </row>
    <row r="304" spans="13:14">
      <c r="M304" s="59">
        <v>-0.53016144505551899</v>
      </c>
      <c r="N304" s="59">
        <v>29.8</v>
      </c>
    </row>
    <row r="305" spans="13:14">
      <c r="M305" s="59">
        <v>-0.52727879143950795</v>
      </c>
      <c r="N305" s="59">
        <v>29.9</v>
      </c>
    </row>
    <row r="306" spans="13:14">
      <c r="M306" s="59">
        <v>-0.524400512708041</v>
      </c>
      <c r="N306" s="59">
        <v>30</v>
      </c>
    </row>
    <row r="307" spans="13:14">
      <c r="M307" s="59">
        <v>-0.52152657182893203</v>
      </c>
      <c r="N307" s="59">
        <v>30.1</v>
      </c>
    </row>
    <row r="308" spans="13:14">
      <c r="M308" s="59">
        <v>-0.51865693208039099</v>
      </c>
      <c r="N308" s="59">
        <v>30.2</v>
      </c>
    </row>
    <row r="309" spans="13:14">
      <c r="M309" s="59">
        <v>-0.515791557046827</v>
      </c>
      <c r="N309" s="59">
        <v>30.3</v>
      </c>
    </row>
    <row r="310" spans="13:14">
      <c r="M310" s="59">
        <v>-0.51293041061472799</v>
      </c>
      <c r="N310" s="59">
        <v>30.4</v>
      </c>
    </row>
    <row r="311" spans="13:14">
      <c r="M311" s="59">
        <v>-0.51007345696859496</v>
      </c>
      <c r="N311" s="59">
        <v>30.5</v>
      </c>
    </row>
    <row r="312" spans="13:14">
      <c r="M312" s="59">
        <v>-0.50722066058694604</v>
      </c>
      <c r="N312" s="59">
        <v>30.6</v>
      </c>
    </row>
    <row r="313" spans="13:14">
      <c r="M313" s="59">
        <v>-0.50437198623838098</v>
      </c>
      <c r="N313" s="59">
        <v>30.7</v>
      </c>
    </row>
    <row r="314" spans="13:14">
      <c r="M314" s="59">
        <v>-0.50152739897770804</v>
      </c>
      <c r="N314" s="59">
        <v>30.8</v>
      </c>
    </row>
    <row r="315" spans="13:14">
      <c r="M315" s="59">
        <v>-0.49868686414212199</v>
      </c>
      <c r="N315" s="59">
        <v>30.9</v>
      </c>
    </row>
    <row r="316" spans="13:14">
      <c r="M316" s="59">
        <v>-0.49585034734745298</v>
      </c>
      <c r="N316" s="59">
        <v>31</v>
      </c>
    </row>
    <row r="317" spans="13:14">
      <c r="M317" s="59">
        <v>-0.49301781448446502</v>
      </c>
      <c r="N317" s="59">
        <v>31.1</v>
      </c>
    </row>
    <row r="318" spans="13:14">
      <c r="M318" s="59">
        <v>-0.49018923171520901</v>
      </c>
      <c r="N318" s="59">
        <v>31.2</v>
      </c>
    </row>
    <row r="319" spans="13:14">
      <c r="M319" s="59">
        <v>-0.48736456546944101</v>
      </c>
      <c r="N319" s="59">
        <v>31.3</v>
      </c>
    </row>
    <row r="320" spans="13:14">
      <c r="M320" s="59">
        <v>-0.48454378244107899</v>
      </c>
      <c r="N320" s="59">
        <v>31.4</v>
      </c>
    </row>
    <row r="321" spans="13:14">
      <c r="M321" s="59">
        <v>-0.48172684958473</v>
      </c>
      <c r="N321" s="59">
        <v>31.5</v>
      </c>
    </row>
    <row r="322" spans="13:14">
      <c r="M322" s="59">
        <v>-0.47891373411225602</v>
      </c>
      <c r="N322" s="59">
        <v>31.6</v>
      </c>
    </row>
    <row r="323" spans="13:14">
      <c r="M323" s="59">
        <v>-0.47610440348939498</v>
      </c>
      <c r="N323" s="59">
        <v>31.7</v>
      </c>
    </row>
    <row r="324" spans="13:14">
      <c r="M324" s="59">
        <v>-0.47329882543243701</v>
      </c>
      <c r="N324" s="59">
        <v>31.8</v>
      </c>
    </row>
    <row r="325" spans="13:14">
      <c r="M325" s="59">
        <v>-0.470496967904941</v>
      </c>
      <c r="N325" s="59">
        <v>31.9</v>
      </c>
    </row>
    <row r="326" spans="13:14">
      <c r="M326" s="59">
        <v>-0.46769879911450801</v>
      </c>
      <c r="N326" s="59">
        <v>32</v>
      </c>
    </row>
    <row r="327" spans="13:14">
      <c r="M327" s="59">
        <v>-0.46490428750959401</v>
      </c>
      <c r="N327" s="59">
        <v>32.1</v>
      </c>
    </row>
    <row r="328" spans="13:14">
      <c r="M328" s="59">
        <v>-0.462113401776377</v>
      </c>
      <c r="N328" s="59">
        <v>32.200000000000003</v>
      </c>
    </row>
    <row r="329" spans="13:14">
      <c r="M329" s="59">
        <v>-0.45932611083566299</v>
      </c>
      <c r="N329" s="59">
        <v>32.299999999999997</v>
      </c>
    </row>
    <row r="330" spans="13:14">
      <c r="M330" s="59">
        <v>-0.45654238383984003</v>
      </c>
      <c r="N330" s="59">
        <v>32.4</v>
      </c>
    </row>
    <row r="331" spans="13:14">
      <c r="M331" s="59">
        <v>-0.45376219016987901</v>
      </c>
      <c r="N331" s="59">
        <v>32.5</v>
      </c>
    </row>
    <row r="332" spans="13:14">
      <c r="M332" s="59">
        <v>-0.45098549943237098</v>
      </c>
      <c r="N332" s="59">
        <v>32.6</v>
      </c>
    </row>
    <row r="333" spans="13:14">
      <c r="M333" s="59">
        <v>-0.44821228145660902</v>
      </c>
      <c r="N333" s="59">
        <v>32.700000000000003</v>
      </c>
    </row>
    <row r="334" spans="13:14">
      <c r="M334" s="59">
        <v>-0.44544250629172</v>
      </c>
      <c r="N334" s="59">
        <v>32.799999999999997</v>
      </c>
    </row>
    <row r="335" spans="13:14">
      <c r="M335" s="59">
        <v>-0.44267614420382101</v>
      </c>
      <c r="N335" s="59">
        <v>32.9</v>
      </c>
    </row>
    <row r="336" spans="13:14">
      <c r="M336" s="59">
        <v>-0.43991316567323402</v>
      </c>
      <c r="N336" s="59">
        <v>33</v>
      </c>
    </row>
    <row r="337" spans="13:14">
      <c r="M337" s="59">
        <v>-0.43715354139172202</v>
      </c>
      <c r="N337" s="59">
        <v>33.1</v>
      </c>
    </row>
    <row r="338" spans="13:14">
      <c r="M338" s="59">
        <v>-0.43439724225978099</v>
      </c>
      <c r="N338" s="59">
        <v>33.200000000000003</v>
      </c>
    </row>
    <row r="339" spans="13:14">
      <c r="M339" s="59">
        <v>-0.43164423938395602</v>
      </c>
      <c r="N339" s="59">
        <v>33.299999999999997</v>
      </c>
    </row>
    <row r="340" spans="13:14">
      <c r="M340" s="59">
        <v>-0.42889450407420099</v>
      </c>
      <c r="N340" s="59">
        <v>33.4</v>
      </c>
    </row>
    <row r="341" spans="13:14">
      <c r="M341" s="59">
        <v>-0.42614800784127799</v>
      </c>
      <c r="N341" s="59">
        <v>33.5</v>
      </c>
    </row>
    <row r="342" spans="13:14">
      <c r="M342" s="59">
        <v>-0.42340472239418298</v>
      </c>
      <c r="N342" s="59">
        <v>33.6</v>
      </c>
    </row>
    <row r="343" spans="13:14">
      <c r="M343" s="59">
        <v>-0.42066461963761498</v>
      </c>
      <c r="N343" s="59">
        <v>33.700000000000003</v>
      </c>
    </row>
    <row r="344" spans="13:14">
      <c r="M344" s="59">
        <v>-0.41792767166948203</v>
      </c>
      <c r="N344" s="59">
        <v>33.799999999999997</v>
      </c>
    </row>
    <row r="345" spans="13:14">
      <c r="M345" s="59">
        <v>-0.41519385077842702</v>
      </c>
      <c r="N345" s="59">
        <v>33.9</v>
      </c>
    </row>
    <row r="346" spans="13:14">
      <c r="M346" s="59">
        <v>-0.41246312944140501</v>
      </c>
      <c r="N346" s="59">
        <v>34</v>
      </c>
    </row>
    <row r="347" spans="13:14">
      <c r="M347" s="59">
        <v>-0.40973548032128099</v>
      </c>
      <c r="N347" s="59">
        <v>34.1</v>
      </c>
    </row>
    <row r="348" spans="13:14">
      <c r="M348" s="59">
        <v>-0.40701087626446603</v>
      </c>
      <c r="N348" s="59">
        <v>34.200000000000003</v>
      </c>
    </row>
    <row r="349" spans="13:14">
      <c r="M349" s="59">
        <v>-0.40428929029857902</v>
      </c>
      <c r="N349" s="59">
        <v>34.299999999999997</v>
      </c>
    </row>
    <row r="350" spans="13:14">
      <c r="M350" s="59">
        <v>-0.40157069563014802</v>
      </c>
      <c r="N350" s="59">
        <v>34.4</v>
      </c>
    </row>
    <row r="351" spans="13:14">
      <c r="M351" s="59">
        <v>-0.39885506564233703</v>
      </c>
      <c r="N351" s="59">
        <v>34.5</v>
      </c>
    </row>
    <row r="352" spans="13:14">
      <c r="M352" s="59">
        <v>-0.39614237389269802</v>
      </c>
      <c r="N352" s="59">
        <v>34.6</v>
      </c>
    </row>
    <row r="353" spans="13:14">
      <c r="M353" s="59">
        <v>-0.39343259411096598</v>
      </c>
      <c r="N353" s="59">
        <v>34.700000000000003</v>
      </c>
    </row>
    <row r="354" spans="13:14">
      <c r="M354" s="59">
        <v>-0.39072570019686997</v>
      </c>
      <c r="N354" s="59">
        <v>34.799999999999997</v>
      </c>
    </row>
    <row r="355" spans="13:14">
      <c r="M355" s="59">
        <v>-0.38802166621797701</v>
      </c>
      <c r="N355" s="59">
        <v>34.9</v>
      </c>
    </row>
    <row r="356" spans="13:14">
      <c r="M356" s="59">
        <v>-0.38532046640756801</v>
      </c>
      <c r="N356" s="59">
        <v>35</v>
      </c>
    </row>
    <row r="357" spans="13:14">
      <c r="M357" s="59">
        <v>-0.38262207516253399</v>
      </c>
      <c r="N357" s="59">
        <v>35.1</v>
      </c>
    </row>
    <row r="358" spans="13:14">
      <c r="M358" s="59">
        <v>-0.379926467041307</v>
      </c>
      <c r="N358" s="59">
        <v>35.200000000000003</v>
      </c>
    </row>
    <row r="359" spans="13:14">
      <c r="M359" s="59">
        <v>-0.377233616761812</v>
      </c>
      <c r="N359" s="59">
        <v>35.299999999999997</v>
      </c>
    </row>
    <row r="360" spans="13:14">
      <c r="M360" s="59">
        <v>-0.37454349919944302</v>
      </c>
      <c r="N360" s="59">
        <v>35.4</v>
      </c>
    </row>
    <row r="361" spans="13:14">
      <c r="M361" s="59">
        <v>-0.37185608938507497</v>
      </c>
      <c r="N361" s="59">
        <v>35.5</v>
      </c>
    </row>
    <row r="362" spans="13:14">
      <c r="M362" s="59">
        <v>-0.36917136250309002</v>
      </c>
      <c r="N362" s="59">
        <v>35.6</v>
      </c>
    </row>
    <row r="363" spans="13:14">
      <c r="M363" s="59">
        <v>-0.36648929388943402</v>
      </c>
      <c r="N363" s="59">
        <v>35.700000000000003</v>
      </c>
    </row>
    <row r="364" spans="13:14">
      <c r="M364" s="59">
        <v>-0.36380985902969598</v>
      </c>
      <c r="N364" s="59">
        <v>35.799999999999997</v>
      </c>
    </row>
    <row r="365" spans="13:14">
      <c r="M365" s="59">
        <v>-0.36113303355721199</v>
      </c>
      <c r="N365" s="59">
        <v>35.9</v>
      </c>
    </row>
    <row r="366" spans="13:14">
      <c r="M366" s="59">
        <v>-0.35845879325119401</v>
      </c>
      <c r="N366" s="59">
        <v>36</v>
      </c>
    </row>
    <row r="367" spans="13:14">
      <c r="M367" s="59">
        <v>-0.35578711403487501</v>
      </c>
      <c r="N367" s="59">
        <v>36.1</v>
      </c>
    </row>
    <row r="368" spans="13:14">
      <c r="M368" s="59">
        <v>-0.35311797197368899</v>
      </c>
      <c r="N368" s="59">
        <v>36.200000000000003</v>
      </c>
    </row>
    <row r="369" spans="13:14">
      <c r="M369" s="59">
        <v>-0.350451343273461</v>
      </c>
      <c r="N369" s="59">
        <v>36.299999999999997</v>
      </c>
    </row>
    <row r="370" spans="13:14">
      <c r="M370" s="59">
        <v>-0.34778720427862703</v>
      </c>
      <c r="N370" s="59">
        <v>36.4</v>
      </c>
    </row>
    <row r="371" spans="13:14">
      <c r="M371" s="59">
        <v>-0.34512553147047198</v>
      </c>
      <c r="N371" s="59">
        <v>36.5</v>
      </c>
    </row>
    <row r="372" spans="13:14">
      <c r="M372" s="59">
        <v>-0.34246630146539098</v>
      </c>
      <c r="N372" s="59">
        <v>36.6</v>
      </c>
    </row>
    <row r="373" spans="13:14">
      <c r="M373" s="59">
        <v>-0.33980949101316699</v>
      </c>
      <c r="N373" s="59">
        <v>36.700000000000003</v>
      </c>
    </row>
    <row r="374" spans="13:14">
      <c r="M374" s="59">
        <v>-0.33715507699527703</v>
      </c>
      <c r="N374" s="59">
        <v>36.799999999999997</v>
      </c>
    </row>
    <row r="375" spans="13:14">
      <c r="M375" s="59">
        <v>-0.334503036423212</v>
      </c>
      <c r="N375" s="59">
        <v>36.9</v>
      </c>
    </row>
    <row r="376" spans="13:14">
      <c r="M376" s="59">
        <v>-0.33185334643681702</v>
      </c>
      <c r="N376" s="59">
        <v>37</v>
      </c>
    </row>
    <row r="377" spans="13:14">
      <c r="M377" s="59">
        <v>-0.32920598430265102</v>
      </c>
      <c r="N377" s="59">
        <v>37.1</v>
      </c>
    </row>
    <row r="378" spans="13:14">
      <c r="M378" s="59">
        <v>-0.32656092741237303</v>
      </c>
      <c r="N378" s="59">
        <v>37.200000000000003</v>
      </c>
    </row>
    <row r="379" spans="13:14">
      <c r="M379" s="59">
        <v>-0.32391815328113299</v>
      </c>
      <c r="N379" s="59">
        <v>37.299999999999997</v>
      </c>
    </row>
    <row r="380" spans="13:14">
      <c r="M380" s="59">
        <v>-0.32127763954599597</v>
      </c>
      <c r="N380" s="59">
        <v>37.4</v>
      </c>
    </row>
    <row r="381" spans="13:14">
      <c r="M381" s="59">
        <v>-0.31863936396437498</v>
      </c>
      <c r="N381" s="59">
        <v>37.5</v>
      </c>
    </row>
    <row r="382" spans="13:14">
      <c r="M382" s="59">
        <v>-0.31600330441248298</v>
      </c>
      <c r="N382" s="59">
        <v>37.6</v>
      </c>
    </row>
    <row r="383" spans="13:14">
      <c r="M383" s="59">
        <v>-0.31336943888380597</v>
      </c>
      <c r="N383" s="59">
        <v>37.700000000000003</v>
      </c>
    </row>
    <row r="384" spans="13:14">
      <c r="M384" s="59">
        <v>-0.31073774548759198</v>
      </c>
      <c r="N384" s="59">
        <v>37.799999999999997</v>
      </c>
    </row>
    <row r="385" spans="13:14">
      <c r="M385" s="59">
        <v>-0.30810820244735498</v>
      </c>
      <c r="N385" s="59">
        <v>37.9</v>
      </c>
    </row>
    <row r="386" spans="13:14">
      <c r="M386" s="59">
        <v>-0.30548078809939699</v>
      </c>
      <c r="N386" s="59">
        <v>38</v>
      </c>
    </row>
    <row r="387" spans="13:14">
      <c r="M387" s="59">
        <v>-0.302855480891349</v>
      </c>
      <c r="N387" s="59">
        <v>38.1</v>
      </c>
    </row>
    <row r="388" spans="13:14">
      <c r="M388" s="59">
        <v>-0.30023225938072201</v>
      </c>
      <c r="N388" s="59">
        <v>38.200000000000003</v>
      </c>
    </row>
    <row r="389" spans="13:14">
      <c r="M389" s="59">
        <v>-0.29761110223347997</v>
      </c>
      <c r="N389" s="59">
        <v>38.299999999999997</v>
      </c>
    </row>
    <row r="390" spans="13:14">
      <c r="M390" s="59">
        <v>-0.29499198822262601</v>
      </c>
      <c r="N390" s="59">
        <v>38.4</v>
      </c>
    </row>
    <row r="391" spans="13:14">
      <c r="M391" s="59">
        <v>-0.29237489622680402</v>
      </c>
      <c r="N391" s="59">
        <v>38.5</v>
      </c>
    </row>
    <row r="392" spans="13:14">
      <c r="M392" s="59">
        <v>-0.28975980522891398</v>
      </c>
      <c r="N392" s="59">
        <v>38.6</v>
      </c>
    </row>
    <row r="393" spans="13:14">
      <c r="M393" s="59">
        <v>-0.28714669431474499</v>
      </c>
      <c r="N393" s="59">
        <v>38.700000000000003</v>
      </c>
    </row>
    <row r="394" spans="13:14">
      <c r="M394" s="59">
        <v>-0.28453554267162201</v>
      </c>
      <c r="N394" s="59">
        <v>38.799999999999997</v>
      </c>
    </row>
    <row r="395" spans="13:14">
      <c r="M395" s="59">
        <v>-0.28192632958706099</v>
      </c>
      <c r="N395" s="59">
        <v>38.9</v>
      </c>
    </row>
    <row r="396" spans="13:14">
      <c r="M396" s="59">
        <v>-0.27931903444745398</v>
      </c>
      <c r="N396" s="59">
        <v>39</v>
      </c>
    </row>
    <row r="397" spans="13:14">
      <c r="M397" s="59">
        <v>-0.27671363673674698</v>
      </c>
      <c r="N397" s="59">
        <v>39.1</v>
      </c>
    </row>
    <row r="398" spans="13:14">
      <c r="M398" s="59">
        <v>-0.27411011603514701</v>
      </c>
      <c r="N398" s="59">
        <v>39.200000000000003</v>
      </c>
    </row>
    <row r="399" spans="13:14">
      <c r="M399" s="59">
        <v>-0.27150845201783902</v>
      </c>
      <c r="N399" s="59">
        <v>39.299999999999997</v>
      </c>
    </row>
    <row r="400" spans="13:14">
      <c r="M400" s="59">
        <v>-0.26890862445371</v>
      </c>
      <c r="N400" s="59">
        <v>39.4</v>
      </c>
    </row>
    <row r="401" spans="13:14">
      <c r="M401" s="59">
        <v>-0.26631061320409499</v>
      </c>
      <c r="N401" s="59">
        <v>39.5</v>
      </c>
    </row>
    <row r="402" spans="13:14">
      <c r="M402" s="59">
        <v>-0.26371439822152998</v>
      </c>
      <c r="N402" s="59">
        <v>39.6</v>
      </c>
    </row>
    <row r="403" spans="13:14">
      <c r="M403" s="59">
        <v>-0.26111995954851802</v>
      </c>
      <c r="N403" s="59">
        <v>39.700000000000003</v>
      </c>
    </row>
    <row r="404" spans="13:14">
      <c r="M404" s="59">
        <v>-0.25852727731630998</v>
      </c>
      <c r="N404" s="59">
        <v>39.799999999999997</v>
      </c>
    </row>
    <row r="405" spans="13:14">
      <c r="M405" s="59">
        <v>-0.25593633174369301</v>
      </c>
      <c r="N405" s="59">
        <v>39.9</v>
      </c>
    </row>
    <row r="406" spans="13:14">
      <c r="M406" s="59">
        <v>-0.2533471031358</v>
      </c>
      <c r="N406" s="59">
        <v>40</v>
      </c>
    </row>
    <row r="407" spans="13:14">
      <c r="M407" s="59">
        <v>-0.25075957188291598</v>
      </c>
      <c r="N407" s="59">
        <v>40.1</v>
      </c>
    </row>
    <row r="408" spans="13:14">
      <c r="M408" s="59">
        <v>-0.24817371845931299</v>
      </c>
      <c r="N408" s="59">
        <v>40.200000000000003</v>
      </c>
    </row>
    <row r="409" spans="13:14">
      <c r="M409" s="59">
        <v>-0.24558952342208101</v>
      </c>
      <c r="N409" s="59">
        <v>40.299999999999997</v>
      </c>
    </row>
    <row r="410" spans="13:14">
      <c r="M410" s="59">
        <v>-0.24300696740998201</v>
      </c>
      <c r="N410" s="59">
        <v>40.4</v>
      </c>
    </row>
    <row r="411" spans="13:14">
      <c r="M411" s="59">
        <v>-0.24042603114230801</v>
      </c>
      <c r="N411" s="59">
        <v>40.5</v>
      </c>
    </row>
    <row r="412" spans="13:14">
      <c r="M412" s="59">
        <v>-0.237846695417749</v>
      </c>
      <c r="N412" s="59">
        <v>40.6</v>
      </c>
    </row>
    <row r="413" spans="13:14">
      <c r="M413" s="59">
        <v>-0.23526894111328001</v>
      </c>
      <c r="N413" s="59">
        <v>40.700000000000003</v>
      </c>
    </row>
    <row r="414" spans="13:14">
      <c r="M414" s="59">
        <v>-0.232692749183045</v>
      </c>
      <c r="N414" s="59">
        <v>40.799999999999997</v>
      </c>
    </row>
    <row r="415" spans="13:14">
      <c r="M415" s="59">
        <v>-0.23011810065726601</v>
      </c>
      <c r="N415" s="59">
        <v>40.9</v>
      </c>
    </row>
    <row r="416" spans="13:14">
      <c r="M416" s="59">
        <v>-0.227544976641149</v>
      </c>
      <c r="N416" s="59">
        <v>41</v>
      </c>
    </row>
    <row r="417" spans="13:14">
      <c r="M417" s="59">
        <v>-0.22497335831381099</v>
      </c>
      <c r="N417" s="59">
        <v>41.1</v>
      </c>
    </row>
    <row r="418" spans="13:14">
      <c r="M418" s="59">
        <v>-0.22240322692720599</v>
      </c>
      <c r="N418" s="59">
        <v>41.2</v>
      </c>
    </row>
    <row r="419" spans="13:14">
      <c r="M419" s="59">
        <v>-0.21983456380506899</v>
      </c>
      <c r="N419" s="59">
        <v>41.3</v>
      </c>
    </row>
    <row r="420" spans="13:14">
      <c r="M420" s="59">
        <v>-0.21726735034186301</v>
      </c>
      <c r="N420" s="59">
        <v>41.4</v>
      </c>
    </row>
    <row r="421" spans="13:14">
      <c r="M421" s="59">
        <v>-0.214701568001744</v>
      </c>
      <c r="N421" s="59">
        <v>41.5</v>
      </c>
    </row>
    <row r="422" spans="13:14">
      <c r="M422" s="59">
        <v>-0.21213719831752401</v>
      </c>
      <c r="N422" s="59">
        <v>41.6</v>
      </c>
    </row>
    <row r="423" spans="13:14">
      <c r="M423" s="59">
        <v>-0.209574222889649</v>
      </c>
      <c r="N423" s="59">
        <v>41.7</v>
      </c>
    </row>
    <row r="424" spans="13:14">
      <c r="M424" s="59">
        <v>-0.207012623385187</v>
      </c>
      <c r="N424" s="59">
        <v>41.8</v>
      </c>
    </row>
    <row r="425" spans="13:14">
      <c r="M425" s="59">
        <v>-0.20445238153682099</v>
      </c>
      <c r="N425" s="59">
        <v>41.9</v>
      </c>
    </row>
    <row r="426" spans="13:14">
      <c r="M426" s="59">
        <v>-0.20189347914185099</v>
      </c>
      <c r="N426" s="59">
        <v>42</v>
      </c>
    </row>
    <row r="427" spans="13:14">
      <c r="M427" s="59">
        <v>-0.199335898061207</v>
      </c>
      <c r="N427" s="59">
        <v>42.1</v>
      </c>
    </row>
    <row r="428" spans="13:14">
      <c r="M428" s="59">
        <v>-0.19677962021846701</v>
      </c>
      <c r="N428" s="59">
        <v>42.2</v>
      </c>
    </row>
    <row r="429" spans="13:14">
      <c r="M429" s="59">
        <v>-0.19422462759888301</v>
      </c>
      <c r="N429" s="59">
        <v>42.3</v>
      </c>
    </row>
    <row r="430" spans="13:14">
      <c r="M430" s="59">
        <v>-0.19167090224842001</v>
      </c>
      <c r="N430" s="59">
        <v>42.4</v>
      </c>
    </row>
    <row r="431" spans="13:14">
      <c r="M431" s="59">
        <v>-0.18911842627279199</v>
      </c>
      <c r="N431" s="59">
        <v>42.5</v>
      </c>
    </row>
    <row r="432" spans="13:14">
      <c r="M432" s="59">
        <v>-0.18656718183651899</v>
      </c>
      <c r="N432" s="59">
        <v>42.6</v>
      </c>
    </row>
    <row r="433" spans="13:14">
      <c r="M433" s="59">
        <v>-0.18401715116198</v>
      </c>
      <c r="N433" s="59">
        <v>42.7</v>
      </c>
    </row>
    <row r="434" spans="13:14">
      <c r="M434" s="59">
        <v>-0.181468316528477</v>
      </c>
      <c r="N434" s="59">
        <v>42.8</v>
      </c>
    </row>
    <row r="435" spans="13:14">
      <c r="M435" s="59">
        <v>-0.17892066027131201</v>
      </c>
      <c r="N435" s="59">
        <v>42.9</v>
      </c>
    </row>
    <row r="436" spans="13:14">
      <c r="M436" s="59">
        <v>-0.17637416478086099</v>
      </c>
      <c r="N436" s="59">
        <v>43</v>
      </c>
    </row>
    <row r="437" spans="13:14">
      <c r="M437" s="59">
        <v>-0.17382881250166199</v>
      </c>
      <c r="N437" s="59">
        <v>43.1</v>
      </c>
    </row>
    <row r="438" spans="13:14">
      <c r="M438" s="59">
        <v>-0.171284585931507</v>
      </c>
      <c r="N438" s="59">
        <v>43.2</v>
      </c>
    </row>
    <row r="439" spans="13:14">
      <c r="M439" s="59">
        <v>-0.16874146762053799</v>
      </c>
      <c r="N439" s="59">
        <v>43.3</v>
      </c>
    </row>
    <row r="440" spans="13:14">
      <c r="M440" s="59">
        <v>-0.16619944017035901</v>
      </c>
      <c r="N440" s="59">
        <v>43.4</v>
      </c>
    </row>
    <row r="441" spans="13:14">
      <c r="M441" s="59">
        <v>-0.163658486233141</v>
      </c>
      <c r="N441" s="59">
        <v>43.5</v>
      </c>
    </row>
    <row r="442" spans="13:14">
      <c r="M442" s="59">
        <v>-0.16111858851074501</v>
      </c>
      <c r="N442" s="59">
        <v>43.6</v>
      </c>
    </row>
    <row r="443" spans="13:14">
      <c r="M443" s="59">
        <v>-0.15857972975384299</v>
      </c>
      <c r="N443" s="59">
        <v>43.7</v>
      </c>
    </row>
    <row r="444" spans="13:14">
      <c r="M444" s="59">
        <v>-0.15604189276104999</v>
      </c>
      <c r="N444" s="59">
        <v>43.8</v>
      </c>
    </row>
    <row r="445" spans="13:14">
      <c r="M445" s="59">
        <v>-0.153505060378057</v>
      </c>
      <c r="N445" s="59">
        <v>43.9</v>
      </c>
    </row>
    <row r="446" spans="13:14">
      <c r="M446" s="59">
        <v>-0.150969215496777</v>
      </c>
      <c r="N446" s="59">
        <v>44</v>
      </c>
    </row>
    <row r="447" spans="13:14">
      <c r="M447" s="59">
        <v>-0.14843434105448999</v>
      </c>
      <c r="N447" s="59">
        <v>44.1</v>
      </c>
    </row>
    <row r="448" spans="13:14">
      <c r="M448" s="59">
        <v>-0.145900420032994</v>
      </c>
      <c r="N448" s="59">
        <v>44.2</v>
      </c>
    </row>
    <row r="449" spans="13:14">
      <c r="M449" s="59">
        <v>-0.14336743545776701</v>
      </c>
      <c r="N449" s="59">
        <v>44.3</v>
      </c>
    </row>
    <row r="450" spans="13:14">
      <c r="M450" s="59">
        <v>-0.14083537039712701</v>
      </c>
      <c r="N450" s="59">
        <v>44.4</v>
      </c>
    </row>
    <row r="451" spans="13:14">
      <c r="M451" s="59">
        <v>-0.138304207961404</v>
      </c>
      <c r="N451" s="59">
        <v>44.5</v>
      </c>
    </row>
    <row r="452" spans="13:14">
      <c r="M452" s="59">
        <v>-0.13577393130211199</v>
      </c>
      <c r="N452" s="59">
        <v>44.6</v>
      </c>
    </row>
    <row r="453" spans="13:14">
      <c r="M453" s="59">
        <v>-0.13324452361112399</v>
      </c>
      <c r="N453" s="59">
        <v>44.7</v>
      </c>
    </row>
    <row r="454" spans="13:14">
      <c r="M454" s="59">
        <v>-0.130715968119863</v>
      </c>
      <c r="N454" s="59">
        <v>44.8</v>
      </c>
    </row>
    <row r="455" spans="13:14">
      <c r="M455" s="59">
        <v>-0.128188248098485</v>
      </c>
      <c r="N455" s="59">
        <v>44.9</v>
      </c>
    </row>
    <row r="456" spans="13:14">
      <c r="M456" s="59">
        <v>-0.12566134685507399</v>
      </c>
      <c r="N456" s="59">
        <v>45</v>
      </c>
    </row>
    <row r="457" spans="13:14">
      <c r="M457" s="59">
        <v>-0.123135247734837</v>
      </c>
      <c r="N457" s="59">
        <v>45.1</v>
      </c>
    </row>
    <row r="458" spans="13:14">
      <c r="M458" s="59">
        <v>-0.120609934119307</v>
      </c>
      <c r="N458" s="59">
        <v>45.2</v>
      </c>
    </row>
    <row r="459" spans="13:14">
      <c r="M459" s="59">
        <v>-0.11808538942555299</v>
      </c>
      <c r="N459" s="59">
        <v>45.3</v>
      </c>
    </row>
    <row r="460" spans="13:14">
      <c r="M460" s="59">
        <v>-0.115561597105383</v>
      </c>
      <c r="N460" s="59">
        <v>45.4</v>
      </c>
    </row>
    <row r="461" spans="13:14">
      <c r="M461" s="59">
        <v>-0.11303854064456501</v>
      </c>
      <c r="N461" s="59">
        <v>45.5</v>
      </c>
    </row>
    <row r="462" spans="13:14">
      <c r="M462" s="59">
        <v>-0.110516203562042</v>
      </c>
      <c r="N462" s="59">
        <v>45.6</v>
      </c>
    </row>
    <row r="463" spans="13:14">
      <c r="M463" s="59">
        <v>-0.107994569409154</v>
      </c>
      <c r="N463" s="59">
        <v>45.7</v>
      </c>
    </row>
    <row r="464" spans="13:14">
      <c r="M464" s="59">
        <v>-0.105473621768868</v>
      </c>
      <c r="N464" s="59">
        <v>45.8</v>
      </c>
    </row>
    <row r="465" spans="13:14">
      <c r="M465" s="59">
        <v>-0.10295334425500401</v>
      </c>
      <c r="N465" s="59">
        <v>45.9</v>
      </c>
    </row>
    <row r="466" spans="13:14">
      <c r="M466" s="59">
        <v>-0.10043372051147</v>
      </c>
      <c r="N466" s="59">
        <v>46</v>
      </c>
    </row>
    <row r="467" spans="13:14">
      <c r="M467" s="59">
        <v>-9.7914734211499294E-2</v>
      </c>
      <c r="N467" s="59">
        <v>46.1</v>
      </c>
    </row>
    <row r="468" spans="13:14">
      <c r="M468" s="59">
        <v>-9.5396369056891903E-2</v>
      </c>
      <c r="N468" s="59">
        <v>46.2</v>
      </c>
    </row>
    <row r="469" spans="13:14">
      <c r="M469" s="59">
        <v>-9.28786087772564E-2</v>
      </c>
      <c r="N469" s="59">
        <v>46.3</v>
      </c>
    </row>
    <row r="470" spans="13:14">
      <c r="M470" s="59">
        <v>-9.0361437129258607E-2</v>
      </c>
      <c r="N470" s="59">
        <v>46.4</v>
      </c>
    </row>
    <row r="471" spans="13:14">
      <c r="M471" s="59">
        <v>-8.7844837895871705E-2</v>
      </c>
      <c r="N471" s="59">
        <v>46.5</v>
      </c>
    </row>
    <row r="472" spans="13:14">
      <c r="M472" s="59">
        <v>-8.5328794885629E-2</v>
      </c>
      <c r="N472" s="59">
        <v>46.6</v>
      </c>
    </row>
    <row r="473" spans="13:14">
      <c r="M473" s="59">
        <v>-8.2813291931881194E-2</v>
      </c>
      <c r="N473" s="59">
        <v>46.7</v>
      </c>
    </row>
    <row r="474" spans="13:14">
      <c r="M474" s="59">
        <v>-8.0298312892054899E-2</v>
      </c>
      <c r="N474" s="59">
        <v>46.8</v>
      </c>
    </row>
    <row r="475" spans="13:14">
      <c r="M475" s="59">
        <v>-7.7783841646915097E-2</v>
      </c>
      <c r="N475" s="59">
        <v>46.9</v>
      </c>
    </row>
    <row r="476" spans="13:14">
      <c r="M476" s="59">
        <v>-7.5269862099829804E-2</v>
      </c>
      <c r="N476" s="59">
        <v>47</v>
      </c>
    </row>
    <row r="477" spans="13:14">
      <c r="M477" s="59">
        <v>-7.2756358176037303E-2</v>
      </c>
      <c r="N477" s="59">
        <v>47.1</v>
      </c>
    </row>
    <row r="478" spans="13:14">
      <c r="M478" s="59">
        <v>-7.0243313821916606E-2</v>
      </c>
      <c r="N478" s="59">
        <v>47.2</v>
      </c>
    </row>
    <row r="479" spans="13:14">
      <c r="M479" s="59">
        <v>-6.7730713004258994E-2</v>
      </c>
      <c r="N479" s="59">
        <v>47.3</v>
      </c>
    </row>
    <row r="480" spans="13:14">
      <c r="M480" s="59">
        <v>-6.5218539709543596E-2</v>
      </c>
      <c r="N480" s="59">
        <v>47.4</v>
      </c>
    </row>
    <row r="481" spans="13:14">
      <c r="M481" s="59">
        <v>-6.2706777943213707E-2</v>
      </c>
      <c r="N481" s="59">
        <v>47.5</v>
      </c>
    </row>
    <row r="482" spans="13:14">
      <c r="M482" s="59">
        <v>-6.0195411728956497E-2</v>
      </c>
      <c r="N482" s="59">
        <v>47.6</v>
      </c>
    </row>
    <row r="483" spans="13:14">
      <c r="M483" s="59">
        <v>-5.7684425107984001E-2</v>
      </c>
      <c r="N483" s="59">
        <v>47.7</v>
      </c>
    </row>
    <row r="484" spans="13:14">
      <c r="M484" s="59">
        <v>-5.5173802138316699E-2</v>
      </c>
      <c r="N484" s="59">
        <v>47.8</v>
      </c>
    </row>
    <row r="485" spans="13:14">
      <c r="M485" s="59">
        <v>-5.2663526894068301E-2</v>
      </c>
      <c r="N485" s="59">
        <v>47.9</v>
      </c>
    </row>
    <row r="486" spans="13:14">
      <c r="M486" s="59">
        <v>-5.0153583464733698E-2</v>
      </c>
      <c r="N486" s="59">
        <v>48</v>
      </c>
    </row>
    <row r="487" spans="13:14">
      <c r="M487" s="59">
        <v>-4.7643955954476597E-2</v>
      </c>
      <c r="N487" s="59">
        <v>48.1</v>
      </c>
    </row>
    <row r="488" spans="13:14">
      <c r="M488" s="59">
        <v>-4.5134628481421302E-2</v>
      </c>
      <c r="N488" s="59">
        <v>48.2</v>
      </c>
    </row>
    <row r="489" spans="13:14">
      <c r="M489" s="59">
        <v>-4.2625585176944397E-2</v>
      </c>
      <c r="N489" s="59">
        <v>48.3</v>
      </c>
    </row>
    <row r="490" spans="13:14">
      <c r="M490" s="59">
        <v>-4.0116810184968099E-2</v>
      </c>
      <c r="N490" s="59">
        <v>48.4</v>
      </c>
    </row>
    <row r="491" spans="13:14">
      <c r="M491" s="59">
        <v>-3.7608287661255901E-2</v>
      </c>
      <c r="N491" s="59">
        <v>48.5</v>
      </c>
    </row>
    <row r="492" spans="13:14">
      <c r="M492" s="59">
        <v>-3.5100001772708798E-2</v>
      </c>
      <c r="N492" s="59">
        <v>48.6</v>
      </c>
    </row>
    <row r="493" spans="13:14">
      <c r="M493" s="59">
        <v>-3.2591936696663097E-2</v>
      </c>
      <c r="N493" s="59">
        <v>48.7</v>
      </c>
    </row>
    <row r="494" spans="13:14">
      <c r="M494" s="59">
        <v>-3.0084076620189099E-2</v>
      </c>
      <c r="N494" s="59">
        <v>48.8</v>
      </c>
    </row>
    <row r="495" spans="13:14">
      <c r="M495" s="59">
        <v>-2.7576405739391699E-2</v>
      </c>
      <c r="N495" s="59">
        <v>48.9</v>
      </c>
    </row>
    <row r="496" spans="13:14">
      <c r="M496" s="59">
        <v>-2.5068908258711099E-2</v>
      </c>
      <c r="N496" s="59">
        <v>49</v>
      </c>
    </row>
    <row r="497" spans="13:14">
      <c r="M497" s="59">
        <v>-2.25615683902247E-2</v>
      </c>
      <c r="N497" s="59">
        <v>49.1</v>
      </c>
    </row>
    <row r="498" spans="13:14">
      <c r="M498" s="59">
        <v>-2.0054370352950601E-2</v>
      </c>
      <c r="N498" s="59">
        <v>49.2</v>
      </c>
    </row>
    <row r="499" spans="13:14">
      <c r="M499" s="59">
        <v>-1.7547298372150799E-2</v>
      </c>
      <c r="N499" s="59">
        <v>49.3</v>
      </c>
    </row>
    <row r="500" spans="13:14">
      <c r="M500" s="59">
        <v>-1.5040336678635699E-2</v>
      </c>
      <c r="N500" s="59">
        <v>49.4</v>
      </c>
    </row>
    <row r="501" spans="13:14">
      <c r="M501" s="59">
        <v>-1.25334695080693E-2</v>
      </c>
      <c r="N501" s="59">
        <v>49.5</v>
      </c>
    </row>
    <row r="502" spans="13:14">
      <c r="M502" s="59">
        <v>-1.00266811002748E-2</v>
      </c>
      <c r="N502" s="59">
        <v>49.6</v>
      </c>
    </row>
    <row r="503" spans="13:14">
      <c r="M503" s="59">
        <v>-7.5199556985405197E-3</v>
      </c>
      <c r="N503" s="59">
        <v>49.7</v>
      </c>
    </row>
    <row r="504" spans="13:14">
      <c r="M504" s="59">
        <v>-5.0132775489266602E-3</v>
      </c>
      <c r="N504" s="59">
        <v>49.8</v>
      </c>
    </row>
    <row r="505" spans="13:14">
      <c r="M505" s="59">
        <v>-2.5066308995717701E-3</v>
      </c>
      <c r="N505" s="59">
        <v>49.9</v>
      </c>
    </row>
    <row r="506" spans="13:14">
      <c r="M506" s="59">
        <v>0</v>
      </c>
      <c r="N506" s="59">
        <v>50</v>
      </c>
    </row>
    <row r="507" spans="13:14">
      <c r="M507" s="59">
        <v>2.5066308995717701E-3</v>
      </c>
      <c r="N507" s="59">
        <v>50.1</v>
      </c>
    </row>
    <row r="508" spans="13:14">
      <c r="M508" s="59">
        <v>5.0132775489266602E-3</v>
      </c>
      <c r="N508" s="59">
        <v>50.2</v>
      </c>
    </row>
    <row r="509" spans="13:14">
      <c r="M509" s="59">
        <v>7.5199556985405197E-3</v>
      </c>
      <c r="N509" s="59">
        <v>50.3</v>
      </c>
    </row>
    <row r="510" spans="13:14">
      <c r="M510" s="59">
        <v>1.00266811002748E-2</v>
      </c>
      <c r="N510" s="59">
        <v>50.4</v>
      </c>
    </row>
    <row r="511" spans="13:14">
      <c r="M511" s="59">
        <v>1.25334695080693E-2</v>
      </c>
      <c r="N511" s="59">
        <v>50.5</v>
      </c>
    </row>
    <row r="512" spans="13:14">
      <c r="M512" s="59">
        <v>1.5040336678635699E-2</v>
      </c>
      <c r="N512" s="59">
        <v>50.6</v>
      </c>
    </row>
    <row r="513" spans="13:14">
      <c r="M513" s="59">
        <v>1.7547298372150799E-2</v>
      </c>
      <c r="N513" s="59">
        <v>50.7</v>
      </c>
    </row>
    <row r="514" spans="13:14">
      <c r="M514" s="59">
        <v>2.0054370352950601E-2</v>
      </c>
      <c r="N514" s="59">
        <v>50.8</v>
      </c>
    </row>
    <row r="515" spans="13:14">
      <c r="M515" s="59">
        <v>2.25615683902247E-2</v>
      </c>
      <c r="N515" s="59">
        <v>50.9</v>
      </c>
    </row>
    <row r="516" spans="13:14">
      <c r="M516" s="59">
        <v>2.5068908258711099E-2</v>
      </c>
      <c r="N516" s="59">
        <v>51</v>
      </c>
    </row>
    <row r="517" spans="13:14">
      <c r="M517" s="59">
        <v>2.7576405739391699E-2</v>
      </c>
      <c r="N517" s="59">
        <v>51.1</v>
      </c>
    </row>
    <row r="518" spans="13:14">
      <c r="M518" s="59">
        <v>3.0084076620189099E-2</v>
      </c>
      <c r="N518" s="59">
        <v>51.2</v>
      </c>
    </row>
    <row r="519" spans="13:14">
      <c r="M519" s="59">
        <v>3.2591936696663097E-2</v>
      </c>
      <c r="N519" s="59">
        <v>51.3</v>
      </c>
    </row>
    <row r="520" spans="13:14">
      <c r="M520" s="59">
        <v>3.5100001772708798E-2</v>
      </c>
      <c r="N520" s="59">
        <v>51.4</v>
      </c>
    </row>
    <row r="521" spans="13:14">
      <c r="M521" s="59">
        <v>3.7608287661255901E-2</v>
      </c>
      <c r="N521" s="59">
        <v>51.5</v>
      </c>
    </row>
    <row r="522" spans="13:14">
      <c r="M522" s="59">
        <v>4.0116810184968099E-2</v>
      </c>
      <c r="N522" s="59">
        <v>51.6</v>
      </c>
    </row>
    <row r="523" spans="13:14">
      <c r="M523" s="59">
        <v>4.2625585176944397E-2</v>
      </c>
      <c r="N523" s="59">
        <v>51.7</v>
      </c>
    </row>
    <row r="524" spans="13:14">
      <c r="M524" s="59">
        <v>4.5134628481421302E-2</v>
      </c>
      <c r="N524" s="59">
        <v>51.8</v>
      </c>
    </row>
    <row r="525" spans="13:14">
      <c r="M525" s="59">
        <v>4.7643955954476597E-2</v>
      </c>
      <c r="N525" s="59">
        <v>51.9</v>
      </c>
    </row>
    <row r="526" spans="13:14">
      <c r="M526" s="59">
        <v>5.0153583464733698E-2</v>
      </c>
      <c r="N526" s="59">
        <v>52</v>
      </c>
    </row>
    <row r="527" spans="13:14">
      <c r="M527" s="59">
        <v>5.2663526894068502E-2</v>
      </c>
      <c r="N527" s="59">
        <v>52.1</v>
      </c>
    </row>
    <row r="528" spans="13:14">
      <c r="M528" s="59">
        <v>5.5173802138316803E-2</v>
      </c>
      <c r="N528" s="59">
        <v>52.2</v>
      </c>
    </row>
    <row r="529" spans="13:14">
      <c r="M529" s="59">
        <v>5.7684425107984202E-2</v>
      </c>
      <c r="N529" s="59">
        <v>52.3</v>
      </c>
    </row>
    <row r="530" spans="13:14">
      <c r="M530" s="59">
        <v>6.0195411728956601E-2</v>
      </c>
      <c r="N530" s="59">
        <v>52.4</v>
      </c>
    </row>
    <row r="531" spans="13:14">
      <c r="M531" s="59">
        <v>6.2706777943213804E-2</v>
      </c>
      <c r="N531" s="59">
        <v>52.5</v>
      </c>
    </row>
    <row r="532" spans="13:14">
      <c r="M532" s="59">
        <v>6.5218539709543694E-2</v>
      </c>
      <c r="N532" s="59">
        <v>52.6</v>
      </c>
    </row>
    <row r="533" spans="13:14">
      <c r="M533" s="59">
        <v>6.7730713004259202E-2</v>
      </c>
      <c r="N533" s="59">
        <v>52.7</v>
      </c>
    </row>
    <row r="534" spans="13:14">
      <c r="M534" s="59">
        <v>7.0243313821916703E-2</v>
      </c>
      <c r="N534" s="59">
        <v>52.8</v>
      </c>
    </row>
    <row r="535" spans="13:14">
      <c r="M535" s="59">
        <v>7.2756358176037497E-2</v>
      </c>
      <c r="N535" s="59">
        <v>52.9</v>
      </c>
    </row>
    <row r="536" spans="13:14">
      <c r="M536" s="59">
        <v>7.5269862099829901E-2</v>
      </c>
      <c r="N536" s="59">
        <v>53</v>
      </c>
    </row>
    <row r="537" spans="13:14">
      <c r="M537" s="59">
        <v>7.7783841646915194E-2</v>
      </c>
      <c r="N537" s="59">
        <v>53.1</v>
      </c>
    </row>
    <row r="538" spans="13:14">
      <c r="M538" s="59">
        <v>8.0298312892054996E-2</v>
      </c>
      <c r="N538" s="59">
        <v>53.2</v>
      </c>
    </row>
    <row r="539" spans="13:14">
      <c r="M539" s="59">
        <v>8.2813291931881305E-2</v>
      </c>
      <c r="N539" s="59">
        <v>53.3</v>
      </c>
    </row>
    <row r="540" spans="13:14">
      <c r="M540" s="59">
        <v>8.5328794885629194E-2</v>
      </c>
      <c r="N540" s="59">
        <v>53.4</v>
      </c>
    </row>
    <row r="541" spans="13:14">
      <c r="M541" s="59">
        <v>8.7844837895871802E-2</v>
      </c>
      <c r="N541" s="59">
        <v>53.5</v>
      </c>
    </row>
    <row r="542" spans="13:14">
      <c r="M542" s="59">
        <v>9.0361437129258801E-2</v>
      </c>
      <c r="N542" s="59">
        <v>53.6</v>
      </c>
    </row>
    <row r="543" spans="13:14">
      <c r="M543" s="59">
        <v>9.2878608777256497E-2</v>
      </c>
      <c r="N543" s="59">
        <v>53.7</v>
      </c>
    </row>
    <row r="544" spans="13:14">
      <c r="M544" s="59">
        <v>9.5396369056892E-2</v>
      </c>
      <c r="N544" s="59">
        <v>53.8</v>
      </c>
    </row>
    <row r="545" spans="13:14">
      <c r="M545" s="59">
        <v>9.7914734211499502E-2</v>
      </c>
      <c r="N545" s="59">
        <v>53.9</v>
      </c>
    </row>
    <row r="546" spans="13:14">
      <c r="M546" s="59">
        <v>0.10043372051147</v>
      </c>
      <c r="N546" s="59">
        <v>54</v>
      </c>
    </row>
    <row r="547" spans="13:14">
      <c r="M547" s="59">
        <v>0.10295334425500401</v>
      </c>
      <c r="N547" s="59">
        <v>54.1</v>
      </c>
    </row>
    <row r="548" spans="13:14">
      <c r="M548" s="59">
        <v>0.105473621768868</v>
      </c>
      <c r="N548" s="59">
        <v>54.2</v>
      </c>
    </row>
    <row r="549" spans="13:14">
      <c r="M549" s="59">
        <v>0.107994569409154</v>
      </c>
      <c r="N549" s="59">
        <v>54.3</v>
      </c>
    </row>
    <row r="550" spans="13:14">
      <c r="M550" s="59">
        <v>0.110516203562042</v>
      </c>
      <c r="N550" s="59">
        <v>54.4</v>
      </c>
    </row>
    <row r="551" spans="13:14">
      <c r="M551" s="59">
        <v>0.11303854064456501</v>
      </c>
      <c r="N551" s="59">
        <v>54.5</v>
      </c>
    </row>
    <row r="552" spans="13:14">
      <c r="M552" s="59">
        <v>0.115561597105383</v>
      </c>
      <c r="N552" s="59">
        <v>54.6</v>
      </c>
    </row>
    <row r="553" spans="13:14">
      <c r="M553" s="59">
        <v>0.11808538942555299</v>
      </c>
      <c r="N553" s="59">
        <v>54.7</v>
      </c>
    </row>
    <row r="554" spans="13:14">
      <c r="M554" s="59">
        <v>0.120609934119307</v>
      </c>
      <c r="N554" s="59">
        <v>54.8</v>
      </c>
    </row>
    <row r="555" spans="13:14">
      <c r="M555" s="59">
        <v>0.123135247734837</v>
      </c>
      <c r="N555" s="59">
        <v>54.9</v>
      </c>
    </row>
    <row r="556" spans="13:14">
      <c r="M556" s="59">
        <v>0.12566134685507399</v>
      </c>
      <c r="N556" s="59">
        <v>55</v>
      </c>
    </row>
    <row r="557" spans="13:14">
      <c r="M557" s="59">
        <v>0.128188248098486</v>
      </c>
      <c r="N557" s="59">
        <v>55.1</v>
      </c>
    </row>
    <row r="558" spans="13:14">
      <c r="M558" s="59">
        <v>0.130715968119863</v>
      </c>
      <c r="N558" s="59">
        <v>55.2</v>
      </c>
    </row>
    <row r="559" spans="13:14">
      <c r="M559" s="59">
        <v>0.13324452361112399</v>
      </c>
      <c r="N559" s="59">
        <v>55.3</v>
      </c>
    </row>
    <row r="560" spans="13:14">
      <c r="M560" s="59">
        <v>0.13577393130211199</v>
      </c>
      <c r="N560" s="59">
        <v>55.4</v>
      </c>
    </row>
    <row r="561" spans="13:14">
      <c r="M561" s="59">
        <v>0.138304207961405</v>
      </c>
      <c r="N561" s="59">
        <v>55.5</v>
      </c>
    </row>
    <row r="562" spans="13:14">
      <c r="M562" s="59">
        <v>0.14083537039712701</v>
      </c>
      <c r="N562" s="59">
        <v>55.6</v>
      </c>
    </row>
    <row r="563" spans="13:14">
      <c r="M563" s="59">
        <v>0.14336743545776701</v>
      </c>
      <c r="N563" s="59">
        <v>55.7</v>
      </c>
    </row>
    <row r="564" spans="13:14">
      <c r="M564" s="59">
        <v>0.145900420032994</v>
      </c>
      <c r="N564" s="59">
        <v>55.8</v>
      </c>
    </row>
    <row r="565" spans="13:14">
      <c r="M565" s="59">
        <v>0.14843434105448999</v>
      </c>
      <c r="N565" s="59">
        <v>55.9</v>
      </c>
    </row>
    <row r="566" spans="13:14">
      <c r="M566" s="59">
        <v>0.150969215496777</v>
      </c>
      <c r="N566" s="59">
        <v>56</v>
      </c>
    </row>
    <row r="567" spans="13:14">
      <c r="M567" s="59">
        <v>0.153505060378057</v>
      </c>
      <c r="N567" s="59">
        <v>56.1</v>
      </c>
    </row>
    <row r="568" spans="13:14">
      <c r="M568" s="59">
        <v>0.15604189276104999</v>
      </c>
      <c r="N568" s="59">
        <v>56.2</v>
      </c>
    </row>
    <row r="569" spans="13:14">
      <c r="M569" s="59">
        <v>0.15857972975384399</v>
      </c>
      <c r="N569" s="59">
        <v>56.3</v>
      </c>
    </row>
    <row r="570" spans="13:14">
      <c r="M570" s="59">
        <v>0.16111858851074601</v>
      </c>
      <c r="N570" s="59">
        <v>56.4</v>
      </c>
    </row>
    <row r="571" spans="13:14">
      <c r="M571" s="59">
        <v>0.163658486233141</v>
      </c>
      <c r="N571" s="59">
        <v>56.5</v>
      </c>
    </row>
    <row r="572" spans="13:14">
      <c r="M572" s="59">
        <v>0.16619944017035901</v>
      </c>
      <c r="N572" s="59">
        <v>56.6</v>
      </c>
    </row>
    <row r="573" spans="13:14">
      <c r="M573" s="59">
        <v>0.16874146762053799</v>
      </c>
      <c r="N573" s="59">
        <v>56.7</v>
      </c>
    </row>
    <row r="574" spans="13:14">
      <c r="M574" s="59">
        <v>0.171284585931507</v>
      </c>
      <c r="N574" s="59">
        <v>56.8</v>
      </c>
    </row>
    <row r="575" spans="13:14">
      <c r="M575" s="59">
        <v>0.17382881250166299</v>
      </c>
      <c r="N575" s="59">
        <v>56.9</v>
      </c>
    </row>
    <row r="576" spans="13:14">
      <c r="M576" s="59">
        <v>0.17637416478086099</v>
      </c>
      <c r="N576" s="59">
        <v>57</v>
      </c>
    </row>
    <row r="577" spans="13:14">
      <c r="M577" s="59">
        <v>0.17892066027131201</v>
      </c>
      <c r="N577" s="59">
        <v>57.1</v>
      </c>
    </row>
    <row r="578" spans="13:14">
      <c r="M578" s="59">
        <v>0.181468316528477</v>
      </c>
      <c r="N578" s="59">
        <v>57.2</v>
      </c>
    </row>
    <row r="579" spans="13:14">
      <c r="M579" s="59">
        <v>0.18401715116198</v>
      </c>
      <c r="N579" s="59">
        <v>57.3</v>
      </c>
    </row>
    <row r="580" spans="13:14">
      <c r="M580" s="59">
        <v>0.18656718183651999</v>
      </c>
      <c r="N580" s="59">
        <v>57.4</v>
      </c>
    </row>
    <row r="581" spans="13:14">
      <c r="M581" s="59">
        <v>0.18911842627279299</v>
      </c>
      <c r="N581" s="59">
        <v>57.5</v>
      </c>
    </row>
    <row r="582" spans="13:14">
      <c r="M582" s="59">
        <v>0.19167090224842001</v>
      </c>
      <c r="N582" s="59">
        <v>57.6</v>
      </c>
    </row>
    <row r="583" spans="13:14">
      <c r="M583" s="59">
        <v>0.19422462759888301</v>
      </c>
      <c r="N583" s="59">
        <v>57.7</v>
      </c>
    </row>
    <row r="584" spans="13:14">
      <c r="M584" s="59">
        <v>0.19677962021846701</v>
      </c>
      <c r="N584" s="59">
        <v>57.8</v>
      </c>
    </row>
    <row r="585" spans="13:14">
      <c r="M585" s="59">
        <v>0.199335898061207</v>
      </c>
      <c r="N585" s="59">
        <v>57.9</v>
      </c>
    </row>
    <row r="586" spans="13:14">
      <c r="M586" s="59">
        <v>0.20189347914185099</v>
      </c>
      <c r="N586" s="59">
        <v>58</v>
      </c>
    </row>
    <row r="587" spans="13:14">
      <c r="M587" s="59">
        <v>0.20445238153682099</v>
      </c>
      <c r="N587" s="59">
        <v>58.1</v>
      </c>
    </row>
    <row r="588" spans="13:14">
      <c r="M588" s="59">
        <v>0.207012623385187</v>
      </c>
      <c r="N588" s="59">
        <v>58.2</v>
      </c>
    </row>
    <row r="589" spans="13:14">
      <c r="M589" s="59">
        <v>0.209574222889649</v>
      </c>
      <c r="N589" s="59">
        <v>58.3</v>
      </c>
    </row>
    <row r="590" spans="13:14">
      <c r="M590" s="59">
        <v>0.21213719831752401</v>
      </c>
      <c r="N590" s="59">
        <v>58.4</v>
      </c>
    </row>
    <row r="591" spans="13:14">
      <c r="M591" s="59">
        <v>0.214701568001744</v>
      </c>
      <c r="N591" s="59">
        <v>58.5</v>
      </c>
    </row>
    <row r="592" spans="13:14">
      <c r="M592" s="59">
        <v>0.21726735034186301</v>
      </c>
      <c r="N592" s="59">
        <v>58.6</v>
      </c>
    </row>
    <row r="593" spans="13:14">
      <c r="M593" s="59">
        <v>0.21983456380506899</v>
      </c>
      <c r="N593" s="59">
        <v>58.7</v>
      </c>
    </row>
    <row r="594" spans="13:14">
      <c r="M594" s="59">
        <v>0.22240322692720599</v>
      </c>
      <c r="N594" s="59">
        <v>58.8</v>
      </c>
    </row>
    <row r="595" spans="13:14">
      <c r="M595" s="59">
        <v>0.22497335831381099</v>
      </c>
      <c r="N595" s="59">
        <v>58.9</v>
      </c>
    </row>
    <row r="596" spans="13:14">
      <c r="M596" s="59">
        <v>0.227544976641149</v>
      </c>
      <c r="N596" s="59">
        <v>59</v>
      </c>
    </row>
    <row r="597" spans="13:14">
      <c r="M597" s="59">
        <v>0.23011810065726601</v>
      </c>
      <c r="N597" s="59">
        <v>59.1</v>
      </c>
    </row>
    <row r="598" spans="13:14">
      <c r="M598" s="59">
        <v>0.232692749183045</v>
      </c>
      <c r="N598" s="59">
        <v>59.2</v>
      </c>
    </row>
    <row r="599" spans="13:14">
      <c r="M599" s="59">
        <v>0.23526894111328001</v>
      </c>
      <c r="N599" s="59">
        <v>59.3</v>
      </c>
    </row>
    <row r="600" spans="13:14">
      <c r="M600" s="59">
        <v>0.237846695417749</v>
      </c>
      <c r="N600" s="59">
        <v>59.4</v>
      </c>
    </row>
    <row r="601" spans="13:14">
      <c r="M601" s="59">
        <v>0.24042603114230801</v>
      </c>
      <c r="N601" s="59">
        <v>59.5</v>
      </c>
    </row>
    <row r="602" spans="13:14">
      <c r="M602" s="59">
        <v>0.24300696740998201</v>
      </c>
      <c r="N602" s="59">
        <v>59.6</v>
      </c>
    </row>
    <row r="603" spans="13:14">
      <c r="M603" s="59">
        <v>0.24558952342208101</v>
      </c>
      <c r="N603" s="59">
        <v>59.7</v>
      </c>
    </row>
    <row r="604" spans="13:14">
      <c r="M604" s="59">
        <v>0.24817371845931299</v>
      </c>
      <c r="N604" s="59">
        <v>59.8</v>
      </c>
    </row>
    <row r="605" spans="13:14">
      <c r="M605" s="59">
        <v>0.25075957188291598</v>
      </c>
      <c r="N605" s="59">
        <v>59.9</v>
      </c>
    </row>
    <row r="606" spans="13:14">
      <c r="M606" s="59">
        <v>0.2533471031358</v>
      </c>
      <c r="N606" s="59">
        <v>60</v>
      </c>
    </row>
    <row r="607" spans="13:14">
      <c r="M607" s="59">
        <v>0.25593633174369301</v>
      </c>
      <c r="N607" s="59">
        <v>60.1</v>
      </c>
    </row>
    <row r="608" spans="13:14">
      <c r="M608" s="59">
        <v>0.25852727731630998</v>
      </c>
      <c r="N608" s="59">
        <v>60.2</v>
      </c>
    </row>
    <row r="609" spans="13:14">
      <c r="M609" s="59">
        <v>0.26111995954851802</v>
      </c>
      <c r="N609" s="59">
        <v>60.3</v>
      </c>
    </row>
    <row r="610" spans="13:14">
      <c r="M610" s="59">
        <v>0.26371439822152998</v>
      </c>
      <c r="N610" s="59">
        <v>60.4</v>
      </c>
    </row>
    <row r="611" spans="13:14">
      <c r="M611" s="59">
        <v>0.26631061320409499</v>
      </c>
      <c r="N611" s="59">
        <v>60.5</v>
      </c>
    </row>
    <row r="612" spans="13:14">
      <c r="M612" s="59">
        <v>0.26890862445371</v>
      </c>
      <c r="N612" s="59">
        <v>60.6</v>
      </c>
    </row>
    <row r="613" spans="13:14">
      <c r="M613" s="59">
        <v>0.27150845201783902</v>
      </c>
      <c r="N613" s="59">
        <v>60.7</v>
      </c>
    </row>
    <row r="614" spans="13:14">
      <c r="M614" s="59">
        <v>0.27411011603514701</v>
      </c>
      <c r="N614" s="59">
        <v>60.8</v>
      </c>
    </row>
    <row r="615" spans="13:14">
      <c r="M615" s="59">
        <v>0.27671363673674698</v>
      </c>
      <c r="N615" s="59">
        <v>60.9</v>
      </c>
    </row>
    <row r="616" spans="13:14">
      <c r="M616" s="59">
        <v>0.27931903444745398</v>
      </c>
      <c r="N616" s="59">
        <v>61</v>
      </c>
    </row>
    <row r="617" spans="13:14">
      <c r="M617" s="59">
        <v>0.28192632958706099</v>
      </c>
      <c r="N617" s="59">
        <v>61.1</v>
      </c>
    </row>
    <row r="618" spans="13:14">
      <c r="M618" s="59">
        <v>0.28453554267162201</v>
      </c>
      <c r="N618" s="59">
        <v>61.2</v>
      </c>
    </row>
    <row r="619" spans="13:14">
      <c r="M619" s="59">
        <v>0.28714669431474499</v>
      </c>
      <c r="N619" s="59">
        <v>61.3</v>
      </c>
    </row>
    <row r="620" spans="13:14">
      <c r="M620" s="59">
        <v>0.28975980522891398</v>
      </c>
      <c r="N620" s="59">
        <v>61.4</v>
      </c>
    </row>
    <row r="621" spans="13:14">
      <c r="M621" s="59">
        <v>0.29237489622680402</v>
      </c>
      <c r="N621" s="59">
        <v>61.5</v>
      </c>
    </row>
    <row r="622" spans="13:14">
      <c r="M622" s="59">
        <v>0.29499198822262601</v>
      </c>
      <c r="N622" s="59">
        <v>61.6</v>
      </c>
    </row>
    <row r="623" spans="13:14">
      <c r="M623" s="59">
        <v>0.29761110223347997</v>
      </c>
      <c r="N623" s="59">
        <v>61.7</v>
      </c>
    </row>
    <row r="624" spans="13:14">
      <c r="M624" s="59">
        <v>0.30023225938072201</v>
      </c>
      <c r="N624" s="59">
        <v>61.8</v>
      </c>
    </row>
    <row r="625" spans="13:14">
      <c r="M625" s="59">
        <v>0.302855480891349</v>
      </c>
      <c r="N625" s="59">
        <v>61.9</v>
      </c>
    </row>
    <row r="626" spans="13:14">
      <c r="M626" s="59">
        <v>0.30548078809939699</v>
      </c>
      <c r="N626" s="59">
        <v>62</v>
      </c>
    </row>
    <row r="627" spans="13:14">
      <c r="M627" s="59">
        <v>0.30810820244735498</v>
      </c>
      <c r="N627" s="59">
        <v>62.1</v>
      </c>
    </row>
    <row r="628" spans="13:14">
      <c r="M628" s="59">
        <v>0.31073774548759198</v>
      </c>
      <c r="N628" s="59">
        <v>62.2</v>
      </c>
    </row>
    <row r="629" spans="13:14">
      <c r="M629" s="59">
        <v>0.31336943888380597</v>
      </c>
      <c r="N629" s="59">
        <v>62.3</v>
      </c>
    </row>
    <row r="630" spans="13:14">
      <c r="M630" s="59">
        <v>0.31600330441248298</v>
      </c>
      <c r="N630" s="59">
        <v>62.4</v>
      </c>
    </row>
    <row r="631" spans="13:14">
      <c r="M631" s="59">
        <v>0.31863936396437498</v>
      </c>
      <c r="N631" s="59">
        <v>62.5</v>
      </c>
    </row>
    <row r="632" spans="13:14">
      <c r="M632" s="59">
        <v>0.32127763954599597</v>
      </c>
      <c r="N632" s="59">
        <v>62.6</v>
      </c>
    </row>
    <row r="633" spans="13:14">
      <c r="M633" s="59">
        <v>0.32391815328113299</v>
      </c>
      <c r="N633" s="59">
        <v>62.7</v>
      </c>
    </row>
    <row r="634" spans="13:14">
      <c r="M634" s="59">
        <v>0.32656092741237303</v>
      </c>
      <c r="N634" s="59">
        <v>62.8</v>
      </c>
    </row>
    <row r="635" spans="13:14">
      <c r="M635" s="59">
        <v>0.32920598430265102</v>
      </c>
      <c r="N635" s="59">
        <v>62.9</v>
      </c>
    </row>
    <row r="636" spans="13:14">
      <c r="M636" s="59">
        <v>0.33185334643681702</v>
      </c>
      <c r="N636" s="59">
        <v>63</v>
      </c>
    </row>
    <row r="637" spans="13:14">
      <c r="M637" s="59">
        <v>0.334503036423212</v>
      </c>
      <c r="N637" s="59">
        <v>63.1</v>
      </c>
    </row>
    <row r="638" spans="13:14">
      <c r="M638" s="59">
        <v>0.33715507699527703</v>
      </c>
      <c r="N638" s="59">
        <v>63.2</v>
      </c>
    </row>
    <row r="639" spans="13:14">
      <c r="M639" s="59">
        <v>0.33980949101316699</v>
      </c>
      <c r="N639" s="59">
        <v>63.3</v>
      </c>
    </row>
    <row r="640" spans="13:14">
      <c r="M640" s="59">
        <v>0.34246630146539098</v>
      </c>
      <c r="N640" s="59">
        <v>63.4</v>
      </c>
    </row>
    <row r="641" spans="13:14">
      <c r="M641" s="59">
        <v>0.34512553147047198</v>
      </c>
      <c r="N641" s="59">
        <v>63.5</v>
      </c>
    </row>
    <row r="642" spans="13:14">
      <c r="M642" s="59">
        <v>0.34778720427862703</v>
      </c>
      <c r="N642" s="59">
        <v>63.6</v>
      </c>
    </row>
    <row r="643" spans="13:14">
      <c r="M643" s="59">
        <v>0.350451343273461</v>
      </c>
      <c r="N643" s="59">
        <v>63.7</v>
      </c>
    </row>
    <row r="644" spans="13:14">
      <c r="M644" s="59">
        <v>0.35311797197368899</v>
      </c>
      <c r="N644" s="59">
        <v>63.8</v>
      </c>
    </row>
    <row r="645" spans="13:14">
      <c r="M645" s="59">
        <v>0.35578711403487501</v>
      </c>
      <c r="N645" s="59">
        <v>63.9</v>
      </c>
    </row>
    <row r="646" spans="13:14">
      <c r="M646" s="59">
        <v>0.35845879325119401</v>
      </c>
      <c r="N646" s="59">
        <v>64</v>
      </c>
    </row>
    <row r="647" spans="13:14">
      <c r="M647" s="59">
        <v>0.36113303355721199</v>
      </c>
      <c r="N647" s="59">
        <v>64.099999999999994</v>
      </c>
    </row>
    <row r="648" spans="13:14">
      <c r="M648" s="59">
        <v>0.36380985902969598</v>
      </c>
      <c r="N648" s="59">
        <v>64.2</v>
      </c>
    </row>
    <row r="649" spans="13:14">
      <c r="M649" s="59">
        <v>0.36648929388943402</v>
      </c>
      <c r="N649" s="59">
        <v>64.3</v>
      </c>
    </row>
    <row r="650" spans="13:14">
      <c r="M650" s="59">
        <v>0.36917136250309002</v>
      </c>
      <c r="N650" s="59">
        <v>64.400000000000006</v>
      </c>
    </row>
    <row r="651" spans="13:14">
      <c r="M651" s="59">
        <v>0.37185608938507497</v>
      </c>
      <c r="N651" s="59">
        <v>64.5</v>
      </c>
    </row>
    <row r="652" spans="13:14">
      <c r="M652" s="59">
        <v>0.37454349919944302</v>
      </c>
      <c r="N652" s="59">
        <v>64.599999999999994</v>
      </c>
    </row>
    <row r="653" spans="13:14">
      <c r="M653" s="59">
        <v>0.377233616761812</v>
      </c>
      <c r="N653" s="59">
        <v>64.7</v>
      </c>
    </row>
    <row r="654" spans="13:14">
      <c r="M654" s="59">
        <v>0.379926467041307</v>
      </c>
      <c r="N654" s="59">
        <v>64.8</v>
      </c>
    </row>
    <row r="655" spans="13:14">
      <c r="M655" s="59">
        <v>0.38262207516253399</v>
      </c>
      <c r="N655" s="59">
        <v>64.900000000000006</v>
      </c>
    </row>
    <row r="656" spans="13:14">
      <c r="M656" s="59">
        <v>0.38532046640756801</v>
      </c>
      <c r="N656" s="59">
        <v>65</v>
      </c>
    </row>
    <row r="657" spans="13:14">
      <c r="M657" s="59">
        <v>0.38802166621797701</v>
      </c>
      <c r="N657" s="59">
        <v>65.099999999999994</v>
      </c>
    </row>
    <row r="658" spans="13:14">
      <c r="M658" s="59">
        <v>0.39072570019686997</v>
      </c>
      <c r="N658" s="59">
        <v>65.2</v>
      </c>
    </row>
    <row r="659" spans="13:14">
      <c r="M659" s="59">
        <v>0.39343259411096698</v>
      </c>
      <c r="N659" s="59">
        <v>65.3</v>
      </c>
    </row>
    <row r="660" spans="13:14">
      <c r="M660" s="59">
        <v>0.39614237389269802</v>
      </c>
      <c r="N660" s="59">
        <v>65.400000000000006</v>
      </c>
    </row>
    <row r="661" spans="13:14">
      <c r="M661" s="59">
        <v>0.39885506564233703</v>
      </c>
      <c r="N661" s="59">
        <v>65.5</v>
      </c>
    </row>
    <row r="662" spans="13:14">
      <c r="M662" s="59">
        <v>0.40157069563014902</v>
      </c>
      <c r="N662" s="59">
        <v>65.599999999999994</v>
      </c>
    </row>
    <row r="663" spans="13:14">
      <c r="M663" s="59">
        <v>0.40428929029857902</v>
      </c>
      <c r="N663" s="59">
        <v>65.7</v>
      </c>
    </row>
    <row r="664" spans="13:14">
      <c r="M664" s="59">
        <v>0.40701087626446603</v>
      </c>
      <c r="N664" s="59">
        <v>65.8</v>
      </c>
    </row>
    <row r="665" spans="13:14">
      <c r="M665" s="59">
        <v>0.40973548032128099</v>
      </c>
      <c r="N665" s="59">
        <v>65.900000000000006</v>
      </c>
    </row>
    <row r="666" spans="13:14">
      <c r="M666" s="59">
        <v>0.41246312944140501</v>
      </c>
      <c r="N666" s="59">
        <v>66</v>
      </c>
    </row>
    <row r="667" spans="13:14">
      <c r="M667" s="59">
        <v>0.41519385077842702</v>
      </c>
      <c r="N667" s="59">
        <v>66.099999999999994</v>
      </c>
    </row>
    <row r="668" spans="13:14">
      <c r="M668" s="59">
        <v>0.41792767166948203</v>
      </c>
      <c r="N668" s="59">
        <v>66.2</v>
      </c>
    </row>
    <row r="669" spans="13:14">
      <c r="M669" s="59">
        <v>0.42066461963761598</v>
      </c>
      <c r="N669" s="59">
        <v>66.3</v>
      </c>
    </row>
    <row r="670" spans="13:14">
      <c r="M670" s="59">
        <v>0.42340472239418298</v>
      </c>
      <c r="N670" s="59">
        <v>66.400000000000006</v>
      </c>
    </row>
    <row r="671" spans="13:14">
      <c r="M671" s="59">
        <v>0.42614800784127799</v>
      </c>
      <c r="N671" s="59">
        <v>66.5</v>
      </c>
    </row>
    <row r="672" spans="13:14">
      <c r="M672" s="59">
        <v>0.42889450407420199</v>
      </c>
      <c r="N672" s="59">
        <v>66.599999999999994</v>
      </c>
    </row>
    <row r="673" spans="13:14">
      <c r="M673" s="59">
        <v>0.43164423938395602</v>
      </c>
      <c r="N673" s="59">
        <v>66.7</v>
      </c>
    </row>
    <row r="674" spans="13:14">
      <c r="M674" s="59">
        <v>0.43439724225978099</v>
      </c>
      <c r="N674" s="59">
        <v>66.8</v>
      </c>
    </row>
    <row r="675" spans="13:14">
      <c r="M675" s="59">
        <v>0.43715354139172202</v>
      </c>
      <c r="N675" s="59">
        <v>66.900000000000006</v>
      </c>
    </row>
    <row r="676" spans="13:14">
      <c r="M676" s="59">
        <v>0.43991316567323402</v>
      </c>
      <c r="N676" s="59">
        <v>67</v>
      </c>
    </row>
    <row r="677" spans="13:14">
      <c r="M677" s="59">
        <v>0.44267614420382201</v>
      </c>
      <c r="N677" s="59">
        <v>67.099999999999994</v>
      </c>
    </row>
    <row r="678" spans="13:14">
      <c r="M678" s="59">
        <v>0.44544250629172</v>
      </c>
      <c r="N678" s="59">
        <v>67.2</v>
      </c>
    </row>
    <row r="679" spans="13:14">
      <c r="M679" s="59">
        <v>0.44821228145660902</v>
      </c>
      <c r="N679" s="59">
        <v>67.3</v>
      </c>
    </row>
    <row r="680" spans="13:14">
      <c r="M680" s="59">
        <v>0.45098549943237098</v>
      </c>
      <c r="N680" s="59">
        <v>67.400000000000006</v>
      </c>
    </row>
    <row r="681" spans="13:14">
      <c r="M681" s="59">
        <v>0.45376219016988001</v>
      </c>
      <c r="N681" s="59">
        <v>67.5</v>
      </c>
    </row>
    <row r="682" spans="13:14">
      <c r="M682" s="59">
        <v>0.45654238383984103</v>
      </c>
      <c r="N682" s="59">
        <v>67.599999999999994</v>
      </c>
    </row>
    <row r="683" spans="13:14">
      <c r="M683" s="59">
        <v>0.45932611083566299</v>
      </c>
      <c r="N683" s="59">
        <v>67.7</v>
      </c>
    </row>
    <row r="684" spans="13:14">
      <c r="M684" s="59">
        <v>0.462113401776377</v>
      </c>
      <c r="N684" s="59">
        <v>67.8</v>
      </c>
    </row>
    <row r="685" spans="13:14">
      <c r="M685" s="59">
        <v>0.464904287509595</v>
      </c>
      <c r="N685" s="59">
        <v>67.900000000000006</v>
      </c>
    </row>
    <row r="686" spans="13:14">
      <c r="M686" s="59">
        <v>0.46769879911450801</v>
      </c>
      <c r="N686" s="59">
        <v>68</v>
      </c>
    </row>
    <row r="687" spans="13:14">
      <c r="M687" s="59">
        <v>0.470496967904941</v>
      </c>
      <c r="N687" s="59">
        <v>68.099999999999994</v>
      </c>
    </row>
    <row r="688" spans="13:14">
      <c r="M688" s="59">
        <v>0.47329882543243701</v>
      </c>
      <c r="N688" s="59">
        <v>68.2</v>
      </c>
    </row>
    <row r="689" spans="13:14">
      <c r="M689" s="59">
        <v>0.47610440348939498</v>
      </c>
      <c r="N689" s="59">
        <v>68.3</v>
      </c>
    </row>
    <row r="690" spans="13:14">
      <c r="M690" s="59">
        <v>0.47891373411225602</v>
      </c>
      <c r="N690" s="59">
        <v>68.400000000000006</v>
      </c>
    </row>
    <row r="691" spans="13:14">
      <c r="M691" s="59">
        <v>0.48172684958473</v>
      </c>
      <c r="N691" s="59">
        <v>68.5</v>
      </c>
    </row>
    <row r="692" spans="13:14">
      <c r="M692" s="59">
        <v>0.48454378244107899</v>
      </c>
      <c r="N692" s="59">
        <v>68.599999999999994</v>
      </c>
    </row>
    <row r="693" spans="13:14">
      <c r="M693" s="59">
        <v>0.48736456546944101</v>
      </c>
      <c r="N693" s="59">
        <v>68.7</v>
      </c>
    </row>
    <row r="694" spans="13:14">
      <c r="M694" s="59">
        <v>0.49018923171521001</v>
      </c>
      <c r="N694" s="59">
        <v>68.8</v>
      </c>
    </row>
    <row r="695" spans="13:14">
      <c r="M695" s="59">
        <v>0.49301781448446502</v>
      </c>
      <c r="N695" s="59">
        <v>68.900000000000006</v>
      </c>
    </row>
    <row r="696" spans="13:14">
      <c r="M696" s="59">
        <v>0.49585034734745298</v>
      </c>
      <c r="N696" s="59">
        <v>69</v>
      </c>
    </row>
    <row r="697" spans="13:14">
      <c r="M697" s="59">
        <v>0.49868686414212199</v>
      </c>
      <c r="N697" s="59">
        <v>69.099999999999994</v>
      </c>
    </row>
    <row r="698" spans="13:14">
      <c r="M698" s="59">
        <v>0.50152739897770804</v>
      </c>
      <c r="N698" s="59">
        <v>69.2</v>
      </c>
    </row>
    <row r="699" spans="13:14">
      <c r="M699" s="59">
        <v>0.50437198623838198</v>
      </c>
      <c r="N699" s="59">
        <v>69.3</v>
      </c>
    </row>
    <row r="700" spans="13:14">
      <c r="M700" s="59">
        <v>0.50722066058694604</v>
      </c>
      <c r="N700" s="59">
        <v>69.400000000000006</v>
      </c>
    </row>
    <row r="701" spans="13:14">
      <c r="M701" s="59">
        <v>0.51007345696859496</v>
      </c>
      <c r="N701" s="59">
        <v>69.5</v>
      </c>
    </row>
    <row r="702" spans="13:14">
      <c r="M702" s="59">
        <v>0.51293041061472899</v>
      </c>
      <c r="N702" s="59">
        <v>69.599999999999994</v>
      </c>
    </row>
    <row r="703" spans="13:14">
      <c r="M703" s="59">
        <v>0.515791557046828</v>
      </c>
      <c r="N703" s="59">
        <v>69.7</v>
      </c>
    </row>
    <row r="704" spans="13:14">
      <c r="M704" s="59">
        <v>0.51865693208039099</v>
      </c>
      <c r="N704" s="59">
        <v>69.8</v>
      </c>
    </row>
    <row r="705" spans="13:14">
      <c r="M705" s="59">
        <v>0.52152657182893203</v>
      </c>
      <c r="N705" s="59">
        <v>69.900000000000006</v>
      </c>
    </row>
    <row r="706" spans="13:14">
      <c r="M706" s="59">
        <v>0.524400512708041</v>
      </c>
      <c r="N706" s="59">
        <v>70</v>
      </c>
    </row>
    <row r="707" spans="13:14">
      <c r="M707" s="59">
        <v>0.52727879143950895</v>
      </c>
      <c r="N707" s="59">
        <v>70.099999999999994</v>
      </c>
    </row>
    <row r="708" spans="13:14">
      <c r="M708" s="59">
        <v>0.53016144505551899</v>
      </c>
      <c r="N708" s="59">
        <v>70.2</v>
      </c>
    </row>
    <row r="709" spans="13:14">
      <c r="M709" s="59">
        <v>0.53304851090290895</v>
      </c>
      <c r="N709" s="59">
        <v>70.3</v>
      </c>
    </row>
    <row r="710" spans="13:14">
      <c r="M710" s="59">
        <v>0.53594002664748996</v>
      </c>
      <c r="N710" s="59">
        <v>70.400000000000006</v>
      </c>
    </row>
    <row r="711" spans="13:14">
      <c r="M711" s="59">
        <v>0.53883603027844995</v>
      </c>
      <c r="N711" s="59">
        <v>70.5</v>
      </c>
    </row>
    <row r="712" spans="13:14">
      <c r="M712" s="59">
        <v>0.54173656011281701</v>
      </c>
      <c r="N712" s="59">
        <v>70.599999999999994</v>
      </c>
    </row>
    <row r="713" spans="13:14">
      <c r="M713" s="59">
        <v>0.54464165479999904</v>
      </c>
      <c r="N713" s="59">
        <v>70.7</v>
      </c>
    </row>
    <row r="714" spans="13:14">
      <c r="M714" s="59">
        <v>0.54755135332640104</v>
      </c>
      <c r="N714" s="59">
        <v>70.8</v>
      </c>
    </row>
    <row r="715" spans="13:14">
      <c r="M715" s="59">
        <v>0.550465695020112</v>
      </c>
      <c r="N715" s="59">
        <v>70.900000000000006</v>
      </c>
    </row>
    <row r="716" spans="13:14">
      <c r="M716" s="59">
        <v>0.55338471955567303</v>
      </c>
      <c r="N716" s="59">
        <v>71</v>
      </c>
    </row>
    <row r="717" spans="13:14">
      <c r="M717" s="59">
        <v>0.556308466958918</v>
      </c>
      <c r="N717" s="59">
        <v>71.099999999999994</v>
      </c>
    </row>
    <row r="718" spans="13:14">
      <c r="M718" s="59">
        <v>0.55923697761190705</v>
      </c>
      <c r="N718" s="59">
        <v>71.2</v>
      </c>
    </row>
    <row r="719" spans="13:14">
      <c r="M719" s="59">
        <v>0.56217029225792603</v>
      </c>
      <c r="N719" s="59">
        <v>71.3</v>
      </c>
    </row>
    <row r="720" spans="13:14">
      <c r="M720" s="59">
        <v>0.56510845200658399</v>
      </c>
      <c r="N720" s="59">
        <v>71.400000000000006</v>
      </c>
    </row>
    <row r="721" spans="13:14">
      <c r="M721" s="59">
        <v>0.56805149833898305</v>
      </c>
      <c r="N721" s="59">
        <v>71.5</v>
      </c>
    </row>
    <row r="722" spans="13:14">
      <c r="M722" s="59">
        <v>0.57099947311298704</v>
      </c>
      <c r="N722" s="59">
        <v>71.599999999999994</v>
      </c>
    </row>
    <row r="723" spans="13:14">
      <c r="M723" s="59">
        <v>0.57395241856857304</v>
      </c>
      <c r="N723" s="59">
        <v>71.7</v>
      </c>
    </row>
    <row r="724" spans="13:14">
      <c r="M724" s="59">
        <v>0.576910377333271</v>
      </c>
      <c r="N724" s="59">
        <v>71.8</v>
      </c>
    </row>
    <row r="725" spans="13:14">
      <c r="M725" s="59">
        <v>0.57987339242770397</v>
      </c>
      <c r="N725" s="59">
        <v>71.900000000000006</v>
      </c>
    </row>
    <row r="726" spans="13:14">
      <c r="M726" s="59">
        <v>0.58284150727121598</v>
      </c>
      <c r="N726" s="59">
        <v>72</v>
      </c>
    </row>
    <row r="727" spans="13:14">
      <c r="M727" s="59">
        <v>0.58581476568759905</v>
      </c>
      <c r="N727" s="59">
        <v>72.099999999999994</v>
      </c>
    </row>
    <row r="728" spans="13:14">
      <c r="M728" s="59">
        <v>0.58879321191092004</v>
      </c>
      <c r="N728" s="59">
        <v>72.2</v>
      </c>
    </row>
    <row r="729" spans="13:14">
      <c r="M729" s="59">
        <v>0.591776890591446</v>
      </c>
      <c r="N729" s="59">
        <v>72.3</v>
      </c>
    </row>
    <row r="730" spans="13:14">
      <c r="M730" s="59">
        <v>0.59476584680167799</v>
      </c>
      <c r="N730" s="59">
        <v>72.400000000000006</v>
      </c>
    </row>
    <row r="731" spans="13:14">
      <c r="M731" s="59">
        <v>0.59776012604247797</v>
      </c>
      <c r="N731" s="59">
        <v>72.5</v>
      </c>
    </row>
    <row r="732" spans="13:14">
      <c r="M732" s="59">
        <v>0.60075977424931903</v>
      </c>
      <c r="N732" s="59">
        <v>72.599999999999994</v>
      </c>
    </row>
    <row r="733" spans="13:14">
      <c r="M733" s="59">
        <v>0.60376483779862999</v>
      </c>
      <c r="N733" s="59">
        <v>72.7</v>
      </c>
    </row>
    <row r="734" spans="13:14">
      <c r="M734" s="59">
        <v>0.60677536351426498</v>
      </c>
      <c r="N734" s="59">
        <v>72.8</v>
      </c>
    </row>
    <row r="735" spans="13:14">
      <c r="M735" s="59">
        <v>0.60979139867408005</v>
      </c>
      <c r="N735" s="59">
        <v>72.900000000000006</v>
      </c>
    </row>
    <row r="736" spans="13:14">
      <c r="M736" s="59">
        <v>0.61281299101662701</v>
      </c>
      <c r="N736" s="59">
        <v>73</v>
      </c>
    </row>
    <row r="737" spans="13:14">
      <c r="M737" s="59">
        <v>0.61584018874797197</v>
      </c>
      <c r="N737" s="59">
        <v>73.099999999999994</v>
      </c>
    </row>
    <row r="738" spans="13:14">
      <c r="M738" s="59">
        <v>0.61887304054862902</v>
      </c>
      <c r="N738" s="59">
        <v>73.2</v>
      </c>
    </row>
    <row r="739" spans="13:14">
      <c r="M739" s="59">
        <v>0.62191159558062403</v>
      </c>
      <c r="N739" s="59">
        <v>73.3</v>
      </c>
    </row>
    <row r="740" spans="13:14">
      <c r="M740" s="59">
        <v>0.62495590349468699</v>
      </c>
      <c r="N740" s="59">
        <v>73.400000000000006</v>
      </c>
    </row>
    <row r="741" spans="13:14">
      <c r="M741" s="59">
        <v>0.62800601443756998</v>
      </c>
      <c r="N741" s="59">
        <v>73.5</v>
      </c>
    </row>
    <row r="742" spans="13:14">
      <c r="M742" s="59">
        <v>0.63106197905949901</v>
      </c>
      <c r="N742" s="59">
        <v>73.599999999999994</v>
      </c>
    </row>
    <row r="743" spans="13:14">
      <c r="M743" s="59">
        <v>0.63412384852176995</v>
      </c>
      <c r="N743" s="59">
        <v>73.7</v>
      </c>
    </row>
    <row r="744" spans="13:14">
      <c r="M744" s="59">
        <v>0.637191674504475</v>
      </c>
      <c r="N744" s="59">
        <v>73.8</v>
      </c>
    </row>
    <row r="745" spans="13:14">
      <c r="M745" s="59">
        <v>0.64026550921437397</v>
      </c>
      <c r="N745" s="59">
        <v>73.900000000000006</v>
      </c>
    </row>
    <row r="746" spans="13:14">
      <c r="M746" s="59">
        <v>0.64334540539291696</v>
      </c>
      <c r="N746" s="59">
        <v>74</v>
      </c>
    </row>
    <row r="747" spans="13:14">
      <c r="M747" s="59">
        <v>0.64643141632440704</v>
      </c>
      <c r="N747" s="59">
        <v>74.099999999999994</v>
      </c>
    </row>
    <row r="748" spans="13:14">
      <c r="M748" s="59">
        <v>0.64952359584432495</v>
      </c>
      <c r="N748" s="59">
        <v>74.2</v>
      </c>
    </row>
    <row r="749" spans="13:14">
      <c r="M749" s="59">
        <v>0.65262199834780099</v>
      </c>
      <c r="N749" s="59">
        <v>74.3</v>
      </c>
    </row>
    <row r="750" spans="13:14">
      <c r="M750" s="59">
        <v>0.65572667879825297</v>
      </c>
      <c r="N750" s="59">
        <v>74.400000000000006</v>
      </c>
    </row>
    <row r="751" spans="13:14">
      <c r="M751" s="59">
        <v>0.65883769273618797</v>
      </c>
      <c r="N751" s="59">
        <v>74.5</v>
      </c>
    </row>
    <row r="752" spans="13:14">
      <c r="M752" s="59">
        <v>0.66195509628816196</v>
      </c>
      <c r="N752" s="59">
        <v>74.599999999999994</v>
      </c>
    </row>
    <row r="753" spans="13:14">
      <c r="M753" s="59">
        <v>0.665078946175923</v>
      </c>
      <c r="N753" s="59">
        <v>74.7</v>
      </c>
    </row>
    <row r="754" spans="13:14">
      <c r="M754" s="59">
        <v>0.66820929972572296</v>
      </c>
      <c r="N754" s="59">
        <v>74.8</v>
      </c>
    </row>
    <row r="755" spans="13:14">
      <c r="M755" s="59">
        <v>0.67134621487780499</v>
      </c>
      <c r="N755" s="59">
        <v>74.900000000000006</v>
      </c>
    </row>
    <row r="756" spans="13:14">
      <c r="M756" s="59">
        <v>0.67448975019608204</v>
      </c>
      <c r="N756" s="59">
        <v>75</v>
      </c>
    </row>
    <row r="757" spans="13:14">
      <c r="M757" s="59">
        <v>0.67763996487799605</v>
      </c>
      <c r="N757" s="59">
        <v>75.099999999999994</v>
      </c>
    </row>
    <row r="758" spans="13:14">
      <c r="M758" s="59">
        <v>0.68079691876457504</v>
      </c>
      <c r="N758" s="59">
        <v>75.2</v>
      </c>
    </row>
    <row r="759" spans="13:14">
      <c r="M759" s="59">
        <v>0.68396067235068203</v>
      </c>
      <c r="N759" s="59">
        <v>75.3</v>
      </c>
    </row>
    <row r="760" spans="13:14">
      <c r="M760" s="59">
        <v>0.68713128679546898</v>
      </c>
      <c r="N760" s="59">
        <v>75.400000000000006</v>
      </c>
    </row>
    <row r="761" spans="13:14">
      <c r="M761" s="59">
        <v>0.69030882393303405</v>
      </c>
      <c r="N761" s="59">
        <v>75.5</v>
      </c>
    </row>
    <row r="762" spans="13:14">
      <c r="M762" s="59">
        <v>0.69349334628328896</v>
      </c>
      <c r="N762" s="59">
        <v>75.599999999999994</v>
      </c>
    </row>
    <row r="763" spans="13:14">
      <c r="M763" s="59">
        <v>0.69668491706305102</v>
      </c>
      <c r="N763" s="59">
        <v>75.7</v>
      </c>
    </row>
    <row r="764" spans="13:14">
      <c r="M764" s="59">
        <v>0.69988360019734097</v>
      </c>
      <c r="N764" s="59">
        <v>75.8</v>
      </c>
    </row>
    <row r="765" spans="13:14">
      <c r="M765" s="59">
        <v>0.70308946033092901</v>
      </c>
      <c r="N765" s="59">
        <v>75.900000000000006</v>
      </c>
    </row>
    <row r="766" spans="13:14">
      <c r="M766" s="59">
        <v>0.70630256284008797</v>
      </c>
      <c r="N766" s="59">
        <v>76</v>
      </c>
    </row>
    <row r="767" spans="13:14">
      <c r="M767" s="59">
        <v>0.70952297384460805</v>
      </c>
      <c r="N767" s="59">
        <v>76.099999999999994</v>
      </c>
    </row>
    <row r="768" spans="13:14">
      <c r="M768" s="59">
        <v>0.71275076022004302</v>
      </c>
      <c r="N768" s="59">
        <v>76.2</v>
      </c>
    </row>
    <row r="769" spans="13:14">
      <c r="M769" s="59">
        <v>0.71598598961020499</v>
      </c>
      <c r="N769" s="59">
        <v>76.3</v>
      </c>
    </row>
    <row r="770" spans="13:14">
      <c r="M770" s="59">
        <v>0.71922873043992397</v>
      </c>
      <c r="N770" s="59">
        <v>76.400000000000006</v>
      </c>
    </row>
    <row r="771" spans="13:14">
      <c r="M771" s="59">
        <v>0.72247905192806305</v>
      </c>
      <c r="N771" s="59">
        <v>76.5</v>
      </c>
    </row>
    <row r="772" spans="13:14">
      <c r="M772" s="59">
        <v>0.72573702410080498</v>
      </c>
      <c r="N772" s="59">
        <v>76.599999999999994</v>
      </c>
    </row>
    <row r="773" spans="13:14">
      <c r="M773" s="59">
        <v>0.72900271780521897</v>
      </c>
      <c r="N773" s="59">
        <v>76.7</v>
      </c>
    </row>
    <row r="774" spans="13:14">
      <c r="M774" s="59">
        <v>0.73227620472309995</v>
      </c>
      <c r="N774" s="59">
        <v>76.8</v>
      </c>
    </row>
    <row r="775" spans="13:14">
      <c r="M775" s="59">
        <v>0.73555755738511097</v>
      </c>
      <c r="N775" s="59">
        <v>76.900000000000006</v>
      </c>
    </row>
    <row r="776" spans="13:14">
      <c r="M776" s="59">
        <v>0.73884684918521404</v>
      </c>
      <c r="N776" s="59">
        <v>77</v>
      </c>
    </row>
    <row r="777" spans="13:14">
      <c r="M777" s="59">
        <v>0.74214415439540904</v>
      </c>
      <c r="N777" s="59">
        <v>77.099999999999994</v>
      </c>
    </row>
    <row r="778" spans="13:14">
      <c r="M778" s="59">
        <v>0.74544954818078901</v>
      </c>
      <c r="N778" s="59">
        <v>77.2</v>
      </c>
    </row>
    <row r="779" spans="13:14">
      <c r="M779" s="59">
        <v>0.74876310661490897</v>
      </c>
      <c r="N779" s="59">
        <v>77.3</v>
      </c>
    </row>
    <row r="780" spans="13:14">
      <c r="M780" s="59">
        <v>0.752084906695491</v>
      </c>
      <c r="N780" s="59">
        <v>77.400000000000006</v>
      </c>
    </row>
    <row r="781" spans="13:14">
      <c r="M781" s="59">
        <v>0.75541502636046898</v>
      </c>
      <c r="N781" s="59">
        <v>77.5</v>
      </c>
    </row>
    <row r="782" spans="13:14">
      <c r="M782" s="59">
        <v>0.75875354450437105</v>
      </c>
      <c r="N782" s="59">
        <v>77.599999999999994</v>
      </c>
    </row>
    <row r="783" spans="13:14">
      <c r="M783" s="59">
        <v>0.76210054099506697</v>
      </c>
      <c r="N783" s="59">
        <v>77.7</v>
      </c>
    </row>
    <row r="784" spans="13:14">
      <c r="M784" s="59">
        <v>0.765456096690878</v>
      </c>
      <c r="N784" s="59">
        <v>77.8</v>
      </c>
    </row>
    <row r="785" spans="13:14">
      <c r="M785" s="59">
        <v>0.76882029345806202</v>
      </c>
      <c r="N785" s="59">
        <v>77.900000000000006</v>
      </c>
    </row>
    <row r="786" spans="13:14">
      <c r="M786" s="59">
        <v>0.77219321418868503</v>
      </c>
      <c r="N786" s="59">
        <v>78</v>
      </c>
    </row>
    <row r="787" spans="13:14">
      <c r="M787" s="59">
        <v>0.77557494281888395</v>
      </c>
      <c r="N787" s="59">
        <v>78.099999999999994</v>
      </c>
    </row>
    <row r="788" spans="13:14">
      <c r="M788" s="59">
        <v>0.77896556434754505</v>
      </c>
      <c r="N788" s="59">
        <v>78.2</v>
      </c>
    </row>
    <row r="789" spans="13:14">
      <c r="M789" s="59">
        <v>0.78236516485538699</v>
      </c>
      <c r="N789" s="59">
        <v>78.3</v>
      </c>
    </row>
    <row r="790" spans="13:14">
      <c r="M790" s="59">
        <v>0.78577383152448399</v>
      </c>
      <c r="N790" s="59">
        <v>78.400000000000006</v>
      </c>
    </row>
    <row r="791" spans="13:14">
      <c r="M791" s="59">
        <v>0.789191652658222</v>
      </c>
      <c r="N791" s="59">
        <v>78.5</v>
      </c>
    </row>
    <row r="792" spans="13:14">
      <c r="M792" s="59">
        <v>0.79261871770171199</v>
      </c>
      <c r="N792" s="59">
        <v>78.599999999999994</v>
      </c>
    </row>
    <row r="793" spans="13:14">
      <c r="M793" s="59">
        <v>0.79605511726266298</v>
      </c>
      <c r="N793" s="59">
        <v>78.7</v>
      </c>
    </row>
    <row r="794" spans="13:14">
      <c r="M794" s="59">
        <v>0.79950094313273701</v>
      </c>
      <c r="N794" s="59">
        <v>78.8</v>
      </c>
    </row>
    <row r="795" spans="13:14">
      <c r="M795" s="59">
        <v>0.80295628830939403</v>
      </c>
      <c r="N795" s="59">
        <v>78.900000000000006</v>
      </c>
    </row>
    <row r="796" spans="13:14">
      <c r="M796" s="59">
        <v>0.80642124701824003</v>
      </c>
      <c r="N796" s="59">
        <v>79</v>
      </c>
    </row>
    <row r="797" spans="13:14">
      <c r="M797" s="59">
        <v>0.80989591473589795</v>
      </c>
      <c r="N797" s="59">
        <v>79.099999999999994</v>
      </c>
    </row>
    <row r="798" spans="13:14">
      <c r="M798" s="59">
        <v>0.81338038821340397</v>
      </c>
      <c r="N798" s="59">
        <v>79.2</v>
      </c>
    </row>
    <row r="799" spans="13:14">
      <c r="M799" s="59">
        <v>0.81687476550016402</v>
      </c>
      <c r="N799" s="59">
        <v>79.3</v>
      </c>
    </row>
    <row r="800" spans="13:14">
      <c r="M800" s="59">
        <v>0.82037914596846095</v>
      </c>
      <c r="N800" s="59">
        <v>79.400000000000006</v>
      </c>
    </row>
    <row r="801" spans="13:14">
      <c r="M801" s="59">
        <v>0.823893630338558</v>
      </c>
      <c r="N801" s="59">
        <v>79.5</v>
      </c>
    </row>
    <row r="802" spans="13:14">
      <c r="M802" s="59">
        <v>0.82741832070438204</v>
      </c>
      <c r="N802" s="59">
        <v>79.599999999999994</v>
      </c>
    </row>
    <row r="803" spans="13:14">
      <c r="M803" s="59">
        <v>0.83095332055983795</v>
      </c>
      <c r="N803" s="59">
        <v>79.7</v>
      </c>
    </row>
    <row r="804" spans="13:14">
      <c r="M804" s="59">
        <v>0.83449873482574</v>
      </c>
      <c r="N804" s="59">
        <v>79.8</v>
      </c>
    </row>
    <row r="805" spans="13:14">
      <c r="M805" s="59">
        <v>0.83805466987740695</v>
      </c>
      <c r="N805" s="59">
        <v>79.900000000000006</v>
      </c>
    </row>
    <row r="806" spans="13:14">
      <c r="M806" s="59">
        <v>0.84162123357291396</v>
      </c>
      <c r="N806" s="59">
        <v>80</v>
      </c>
    </row>
    <row r="807" spans="13:14">
      <c r="M807" s="59">
        <v>0.84519853528205002</v>
      </c>
      <c r="N807" s="59">
        <v>80.099999999999994</v>
      </c>
    </row>
    <row r="808" spans="13:14">
      <c r="M808" s="59">
        <v>0.84878668591596695</v>
      </c>
      <c r="N808" s="59">
        <v>80.2</v>
      </c>
    </row>
    <row r="809" spans="13:14">
      <c r="M809" s="59">
        <v>0.85238579795757496</v>
      </c>
      <c r="N809" s="59">
        <v>80.3</v>
      </c>
    </row>
    <row r="810" spans="13:14">
      <c r="M810" s="59">
        <v>0.85599598549268197</v>
      </c>
      <c r="N810" s="59">
        <v>80.400000000000006</v>
      </c>
    </row>
    <row r="811" spans="13:14">
      <c r="M811" s="59">
        <v>0.85961736424191204</v>
      </c>
      <c r="N811" s="59">
        <v>80.5</v>
      </c>
    </row>
    <row r="812" spans="13:14">
      <c r="M812" s="59">
        <v>0.86325005159342105</v>
      </c>
      <c r="N812" s="59">
        <v>80.599999999999994</v>
      </c>
    </row>
    <row r="813" spans="13:14">
      <c r="M813" s="59">
        <v>0.86689416663643803</v>
      </c>
      <c r="N813" s="59">
        <v>80.7</v>
      </c>
    </row>
    <row r="814" spans="13:14">
      <c r="M814" s="59">
        <v>0.87054983019565402</v>
      </c>
      <c r="N814" s="59">
        <v>80.8</v>
      </c>
    </row>
    <row r="815" spans="13:14">
      <c r="M815" s="59">
        <v>0.87421716486648404</v>
      </c>
      <c r="N815" s="59">
        <v>80.900000000000006</v>
      </c>
    </row>
    <row r="816" spans="13:14">
      <c r="M816" s="59">
        <v>0.87789629505122901</v>
      </c>
      <c r="N816" s="59">
        <v>81</v>
      </c>
    </row>
    <row r="817" spans="13:14">
      <c r="M817" s="59">
        <v>0.88158734699617503</v>
      </c>
      <c r="N817" s="59">
        <v>81.099999999999994</v>
      </c>
    </row>
    <row r="818" spans="13:14">
      <c r="M818" s="59">
        <v>0.88529044882964203</v>
      </c>
      <c r="N818" s="59">
        <v>81.2</v>
      </c>
    </row>
    <row r="819" spans="13:14">
      <c r="M819" s="59">
        <v>0.88900573060102495</v>
      </c>
      <c r="N819" s="59">
        <v>81.3</v>
      </c>
    </row>
    <row r="820" spans="13:14">
      <c r="M820" s="59">
        <v>0.89273332432085595</v>
      </c>
      <c r="N820" s="59">
        <v>81.400000000000006</v>
      </c>
    </row>
    <row r="821" spans="13:14">
      <c r="M821" s="59">
        <v>0.89647336400191602</v>
      </c>
      <c r="N821" s="59">
        <v>81.5</v>
      </c>
    </row>
    <row r="822" spans="13:14">
      <c r="M822" s="59">
        <v>0.90022598570143397</v>
      </c>
      <c r="N822" s="59">
        <v>81.599999999999994</v>
      </c>
    </row>
    <row r="823" spans="13:14">
      <c r="M823" s="59">
        <v>0.90399132756440204</v>
      </c>
      <c r="N823" s="59">
        <v>81.7</v>
      </c>
    </row>
    <row r="824" spans="13:14">
      <c r="M824" s="59">
        <v>0.90776952986805604</v>
      </c>
      <c r="N824" s="59">
        <v>81.8</v>
      </c>
    </row>
    <row r="825" spans="13:14">
      <c r="M825" s="59">
        <v>0.91156073506754098</v>
      </c>
      <c r="N825" s="59">
        <v>81.900000000000006</v>
      </c>
    </row>
    <row r="826" spans="13:14">
      <c r="M826" s="59">
        <v>0.91536508784281401</v>
      </c>
      <c r="N826" s="59">
        <v>82</v>
      </c>
    </row>
    <row r="827" spans="13:14">
      <c r="M827" s="59">
        <v>0.91918273514682003</v>
      </c>
      <c r="N827" s="59">
        <v>82.1</v>
      </c>
    </row>
    <row r="828" spans="13:14">
      <c r="M828" s="59">
        <v>0.92301382625497996</v>
      </c>
      <c r="N828" s="59">
        <v>82.2</v>
      </c>
    </row>
    <row r="829" spans="13:14">
      <c r="M829" s="59">
        <v>0.92685851281604403</v>
      </c>
      <c r="N829" s="59">
        <v>82.3</v>
      </c>
    </row>
    <row r="830" spans="13:14">
      <c r="M830" s="59">
        <v>0.93071694890433998</v>
      </c>
      <c r="N830" s="59">
        <v>82.4</v>
      </c>
    </row>
    <row r="831" spans="13:14">
      <c r="M831" s="59">
        <v>0.93458929107347999</v>
      </c>
      <c r="N831" s="59">
        <v>82.5</v>
      </c>
    </row>
    <row r="832" spans="13:14">
      <c r="M832" s="59">
        <v>0.93847569841156897</v>
      </c>
      <c r="N832" s="59">
        <v>82.6</v>
      </c>
    </row>
    <row r="833" spans="13:14">
      <c r="M833" s="59">
        <v>0.94237633259795095</v>
      </c>
      <c r="N833" s="59">
        <v>82.7</v>
      </c>
    </row>
    <row r="834" spans="13:14">
      <c r="M834" s="59">
        <v>0.94629135796157604</v>
      </c>
      <c r="N834" s="59">
        <v>82.8</v>
      </c>
    </row>
    <row r="835" spans="13:14">
      <c r="M835" s="59">
        <v>0.950220941541016</v>
      </c>
      <c r="N835" s="59">
        <v>82.9</v>
      </c>
    </row>
    <row r="836" spans="13:14">
      <c r="M836" s="59">
        <v>0.95416525314619505</v>
      </c>
      <c r="N836" s="59">
        <v>83</v>
      </c>
    </row>
    <row r="837" spans="13:14">
      <c r="M837" s="59">
        <v>0.95812446542190299</v>
      </c>
      <c r="N837" s="59">
        <v>83.1</v>
      </c>
    </row>
    <row r="838" spans="13:14">
      <c r="M838" s="59">
        <v>0.96209875391314204</v>
      </c>
      <c r="N838" s="59">
        <v>83.2</v>
      </c>
    </row>
    <row r="839" spans="13:14">
      <c r="M839" s="59">
        <v>0.96608829713237299</v>
      </c>
      <c r="N839" s="59">
        <v>83.3</v>
      </c>
    </row>
    <row r="840" spans="13:14">
      <c r="M840" s="59">
        <v>0.97009327662873701</v>
      </c>
      <c r="N840" s="59">
        <v>83.4</v>
      </c>
    </row>
    <row r="841" spans="13:14">
      <c r="M841" s="59">
        <v>0.97411387705930896</v>
      </c>
      <c r="N841" s="59">
        <v>83.5</v>
      </c>
    </row>
    <row r="842" spans="13:14">
      <c r="M842" s="59">
        <v>0.97815028626247102</v>
      </c>
      <c r="N842" s="59">
        <v>83.6</v>
      </c>
    </row>
    <row r="843" spans="13:14">
      <c r="M843" s="59">
        <v>0.98220269533347004</v>
      </c>
      <c r="N843" s="59">
        <v>83.7</v>
      </c>
    </row>
    <row r="844" spans="13:14">
      <c r="M844" s="59">
        <v>0.98627129870223795</v>
      </c>
      <c r="N844" s="59">
        <v>83.8</v>
      </c>
    </row>
    <row r="845" spans="13:14">
      <c r="M845" s="59">
        <v>0.99035629421357496</v>
      </c>
      <c r="N845" s="59">
        <v>83.9</v>
      </c>
    </row>
    <row r="846" spans="13:14">
      <c r="M846" s="59">
        <v>0.99445788320975304</v>
      </c>
      <c r="N846" s="59">
        <v>84</v>
      </c>
    </row>
    <row r="847" spans="13:14">
      <c r="M847" s="59">
        <v>0.99857627061566001</v>
      </c>
      <c r="N847" s="59">
        <v>84.1</v>
      </c>
    </row>
    <row r="848" spans="13:14">
      <c r="M848" s="59">
        <v>1.00271166502655</v>
      </c>
      <c r="N848" s="59">
        <v>84.2</v>
      </c>
    </row>
    <row r="849" spans="13:14">
      <c r="M849" s="59">
        <v>1.00686427879852</v>
      </c>
      <c r="N849" s="59">
        <v>84.3</v>
      </c>
    </row>
    <row r="850" spans="13:14">
      <c r="M850" s="59">
        <v>1.0110343281418199</v>
      </c>
      <c r="N850" s="59">
        <v>84.4</v>
      </c>
    </row>
    <row r="851" spans="13:14">
      <c r="M851" s="59">
        <v>1.0152220332170301</v>
      </c>
      <c r="N851" s="59">
        <v>84.5</v>
      </c>
    </row>
    <row r="852" spans="13:14">
      <c r="M852" s="59">
        <v>1.01942761823437</v>
      </c>
      <c r="N852" s="59">
        <v>84.6</v>
      </c>
    </row>
    <row r="853" spans="13:14">
      <c r="M853" s="59">
        <v>1.0236513115560899</v>
      </c>
      <c r="N853" s="59">
        <v>84.7</v>
      </c>
    </row>
    <row r="854" spans="13:14">
      <c r="M854" s="59">
        <v>1.02789334580214</v>
      </c>
      <c r="N854" s="59">
        <v>84.8</v>
      </c>
    </row>
    <row r="855" spans="13:14">
      <c r="M855" s="59">
        <v>1.03215395795931</v>
      </c>
      <c r="N855" s="59">
        <v>84.9</v>
      </c>
    </row>
    <row r="856" spans="13:14">
      <c r="M856" s="59">
        <v>1.03643338949379</v>
      </c>
      <c r="N856" s="59">
        <v>85</v>
      </c>
    </row>
    <row r="857" spans="13:14">
      <c r="M857" s="59">
        <v>1.0407318864675399</v>
      </c>
      <c r="N857" s="59">
        <v>85.1</v>
      </c>
    </row>
    <row r="858" spans="13:14">
      <c r="M858" s="59">
        <v>1.04504969965839</v>
      </c>
      <c r="N858" s="59">
        <v>85.2</v>
      </c>
    </row>
    <row r="859" spans="13:14">
      <c r="M859" s="59">
        <v>1.0493870846841</v>
      </c>
      <c r="N859" s="59">
        <v>85.3</v>
      </c>
    </row>
    <row r="860" spans="13:14">
      <c r="M860" s="59">
        <v>1.0537443021306701</v>
      </c>
      <c r="N860" s="59">
        <v>85.4</v>
      </c>
    </row>
    <row r="861" spans="13:14">
      <c r="M861" s="59">
        <v>1.0581216176847801</v>
      </c>
      <c r="N861" s="59">
        <v>85.5</v>
      </c>
    </row>
    <row r="862" spans="13:14">
      <c r="M862" s="59">
        <v>1.0625193022708701</v>
      </c>
      <c r="N862" s="59">
        <v>85.6</v>
      </c>
    </row>
    <row r="863" spans="13:14">
      <c r="M863" s="59">
        <v>1.0669376321927699</v>
      </c>
      <c r="N863" s="59">
        <v>85.7</v>
      </c>
    </row>
    <row r="864" spans="13:14">
      <c r="M864" s="59">
        <v>1.07137688928021</v>
      </c>
      <c r="N864" s="59">
        <v>85.8</v>
      </c>
    </row>
    <row r="865" spans="13:14">
      <c r="M865" s="59">
        <v>1.0758373610404299</v>
      </c>
      <c r="N865" s="59">
        <v>85.9</v>
      </c>
    </row>
    <row r="866" spans="13:14">
      <c r="M866" s="59">
        <v>1.0803193408149601</v>
      </c>
      <c r="N866" s="59">
        <v>86</v>
      </c>
    </row>
    <row r="867" spans="13:14">
      <c r="M867" s="59">
        <v>1.08482312794196</v>
      </c>
      <c r="N867" s="59">
        <v>86.1</v>
      </c>
    </row>
    <row r="868" spans="13:14">
      <c r="M868" s="59">
        <v>1.0893490279242799</v>
      </c>
      <c r="N868" s="59">
        <v>86.2</v>
      </c>
    </row>
    <row r="869" spans="13:14">
      <c r="M869" s="59">
        <v>1.0938973526034399</v>
      </c>
      <c r="N869" s="59">
        <v>86.3</v>
      </c>
    </row>
    <row r="870" spans="13:14">
      <c r="M870" s="59">
        <v>1.09846842033986</v>
      </c>
      <c r="N870" s="59">
        <v>86.4</v>
      </c>
    </row>
    <row r="871" spans="13:14">
      <c r="M871" s="59">
        <v>1.1030625561995999</v>
      </c>
      <c r="N871" s="59">
        <v>86.5</v>
      </c>
    </row>
    <row r="872" spans="13:14">
      <c r="M872" s="59">
        <v>1.1076800921478001</v>
      </c>
      <c r="N872" s="59">
        <v>86.6</v>
      </c>
    </row>
    <row r="873" spans="13:14">
      <c r="M873" s="59">
        <v>1.11232136724931</v>
      </c>
      <c r="N873" s="59">
        <v>86.7</v>
      </c>
    </row>
    <row r="874" spans="13:14">
      <c r="M874" s="59">
        <v>1.1169867278766099</v>
      </c>
      <c r="N874" s="59">
        <v>86.8</v>
      </c>
    </row>
    <row r="875" spans="13:14">
      <c r="M875" s="59">
        <v>1.1216765279254901</v>
      </c>
      <c r="N875" s="59">
        <v>86.9</v>
      </c>
    </row>
    <row r="876" spans="13:14">
      <c r="M876" s="59">
        <v>1.1263911290388</v>
      </c>
      <c r="N876" s="59">
        <v>87</v>
      </c>
    </row>
    <row r="877" spans="13:14">
      <c r="M877" s="59">
        <v>1.1311309008386301</v>
      </c>
      <c r="N877" s="59">
        <v>87.1</v>
      </c>
    </row>
    <row r="878" spans="13:14">
      <c r="M878" s="59">
        <v>1.13589622116731</v>
      </c>
      <c r="N878" s="59">
        <v>87.2</v>
      </c>
    </row>
    <row r="879" spans="13:14">
      <c r="M879" s="59">
        <v>1.14068747633762</v>
      </c>
      <c r="N879" s="59">
        <v>87.3</v>
      </c>
    </row>
    <row r="880" spans="13:14">
      <c r="M880" s="59">
        <v>1.1455050613927</v>
      </c>
      <c r="N880" s="59">
        <v>87.4</v>
      </c>
    </row>
    <row r="881" spans="13:14">
      <c r="M881" s="59">
        <v>1.1503493803760101</v>
      </c>
      <c r="N881" s="59">
        <v>87.5</v>
      </c>
    </row>
    <row r="882" spans="13:14">
      <c r="M882" s="59">
        <v>1.15522084661195</v>
      </c>
      <c r="N882" s="59">
        <v>87.6</v>
      </c>
    </row>
    <row r="883" spans="13:14">
      <c r="M883" s="59">
        <v>1.1601198829975199</v>
      </c>
      <c r="N883" s="59">
        <v>87.7</v>
      </c>
    </row>
    <row r="884" spans="13:14">
      <c r="M884" s="59">
        <v>1.1650469223055999</v>
      </c>
      <c r="N884" s="59">
        <v>87.8</v>
      </c>
    </row>
    <row r="885" spans="13:14">
      <c r="M885" s="59">
        <v>1.17000240750048</v>
      </c>
      <c r="N885" s="59">
        <v>87.9</v>
      </c>
    </row>
    <row r="886" spans="13:14">
      <c r="M886" s="59">
        <v>1.1749867920660899</v>
      </c>
      <c r="N886" s="59">
        <v>88</v>
      </c>
    </row>
    <row r="887" spans="13:14">
      <c r="M887" s="59">
        <v>1.1800005403477301</v>
      </c>
      <c r="N887" s="59">
        <v>88.1</v>
      </c>
    </row>
    <row r="888" spans="13:14">
      <c r="M888" s="59">
        <v>1.1850441279078101</v>
      </c>
      <c r="N888" s="59">
        <v>88.2</v>
      </c>
    </row>
    <row r="889" spans="13:14">
      <c r="M889" s="59">
        <v>1.1901180418964199</v>
      </c>
      <c r="N889" s="59">
        <v>88.3</v>
      </c>
    </row>
    <row r="890" spans="13:14">
      <c r="M890" s="59">
        <v>1.1952227814374301</v>
      </c>
      <c r="N890" s="59">
        <v>88.4</v>
      </c>
    </row>
    <row r="891" spans="13:14">
      <c r="M891" s="59">
        <v>1.20035885803086</v>
      </c>
      <c r="N891" s="59">
        <v>88.5</v>
      </c>
    </row>
    <row r="892" spans="13:14">
      <c r="M892" s="59">
        <v>1.20552679597252</v>
      </c>
      <c r="N892" s="59">
        <v>88.6</v>
      </c>
    </row>
    <row r="893" spans="13:14">
      <c r="M893" s="59">
        <v>1.2107271327916</v>
      </c>
      <c r="N893" s="59">
        <v>88.7</v>
      </c>
    </row>
    <row r="894" spans="13:14">
      <c r="M894" s="59">
        <v>1.2159604197073199</v>
      </c>
      <c r="N894" s="59">
        <v>88.8</v>
      </c>
    </row>
    <row r="895" spans="13:14">
      <c r="M895" s="59">
        <v>1.22122722210557</v>
      </c>
      <c r="N895" s="59">
        <v>88.9</v>
      </c>
    </row>
    <row r="896" spans="13:14">
      <c r="M896" s="59">
        <v>1.22652812003661</v>
      </c>
      <c r="N896" s="59">
        <v>89</v>
      </c>
    </row>
    <row r="897" spans="13:14">
      <c r="M897" s="59">
        <v>1.23186370873498</v>
      </c>
      <c r="N897" s="59">
        <v>89.1</v>
      </c>
    </row>
    <row r="898" spans="13:14">
      <c r="M898" s="59">
        <v>1.23723459916283</v>
      </c>
      <c r="N898" s="59">
        <v>89.2</v>
      </c>
    </row>
    <row r="899" spans="13:14">
      <c r="M899" s="59">
        <v>1.24264141857788</v>
      </c>
      <c r="N899" s="59">
        <v>89.3</v>
      </c>
    </row>
    <row r="900" spans="13:14">
      <c r="M900" s="59">
        <v>1.24808481112755</v>
      </c>
      <c r="N900" s="59">
        <v>89.4</v>
      </c>
    </row>
    <row r="901" spans="13:14">
      <c r="M901" s="59">
        <v>1.25356543847045</v>
      </c>
      <c r="N901" s="59">
        <v>89.5</v>
      </c>
    </row>
    <row r="902" spans="13:14">
      <c r="M902" s="59">
        <v>1.2590839804270699</v>
      </c>
      <c r="N902" s="59">
        <v>89.6</v>
      </c>
    </row>
    <row r="903" spans="13:14">
      <c r="M903" s="59">
        <v>1.2646411356610801</v>
      </c>
      <c r="N903" s="59">
        <v>89.7</v>
      </c>
    </row>
    <row r="904" spans="13:14">
      <c r="M904" s="59">
        <v>1.27023762239315</v>
      </c>
      <c r="N904" s="59">
        <v>89.8</v>
      </c>
    </row>
    <row r="905" spans="13:14">
      <c r="M905" s="59">
        <v>1.2758741791491299</v>
      </c>
      <c r="N905" s="59">
        <v>89.9</v>
      </c>
    </row>
    <row r="906" spans="13:14">
      <c r="M906" s="59">
        <v>1.2815515655445999</v>
      </c>
      <c r="N906" s="59">
        <v>90</v>
      </c>
    </row>
    <row r="907" spans="13:14">
      <c r="M907" s="59">
        <v>1.28727056310794</v>
      </c>
      <c r="N907" s="59">
        <v>90.1</v>
      </c>
    </row>
    <row r="908" spans="13:14">
      <c r="M908" s="59">
        <v>1.2930319761442399</v>
      </c>
      <c r="N908" s="59">
        <v>90.2</v>
      </c>
    </row>
    <row r="909" spans="13:14">
      <c r="M909" s="59">
        <v>1.29883663264251</v>
      </c>
      <c r="N909" s="59">
        <v>90.3</v>
      </c>
    </row>
    <row r="910" spans="13:14">
      <c r="M910" s="59">
        <v>1.3046853852287901</v>
      </c>
      <c r="N910" s="59">
        <v>90.4</v>
      </c>
    </row>
    <row r="911" spans="13:14">
      <c r="M911" s="59">
        <v>1.3105791121681301</v>
      </c>
      <c r="N911" s="59">
        <v>90.5</v>
      </c>
    </row>
    <row r="912" spans="13:14">
      <c r="M912" s="59">
        <v>1.3165187184182601</v>
      </c>
      <c r="N912" s="59">
        <v>90.6</v>
      </c>
    </row>
    <row r="913" spans="13:14">
      <c r="M913" s="59">
        <v>1.3225051367384399</v>
      </c>
      <c r="N913" s="59">
        <v>90.7</v>
      </c>
    </row>
    <row r="914" spans="13:14">
      <c r="M914" s="59">
        <v>1.3285393288568099</v>
      </c>
      <c r="N914" s="59">
        <v>90.8</v>
      </c>
    </row>
    <row r="915" spans="13:14">
      <c r="M915" s="59">
        <v>1.33462228670019</v>
      </c>
      <c r="N915" s="59">
        <v>90.9</v>
      </c>
    </row>
    <row r="916" spans="13:14">
      <c r="M916" s="59">
        <v>1.3407550336902201</v>
      </c>
      <c r="N916" s="59">
        <v>91</v>
      </c>
    </row>
    <row r="917" spans="13:14">
      <c r="M917" s="59">
        <v>1.34693862611028</v>
      </c>
      <c r="N917" s="59">
        <v>91.1</v>
      </c>
    </row>
    <row r="918" spans="13:14">
      <c r="M918" s="59">
        <v>1.3531741545480001</v>
      </c>
      <c r="N918" s="59">
        <v>91.2</v>
      </c>
    </row>
    <row r="919" spans="13:14">
      <c r="M919" s="59">
        <v>1.35946274541826</v>
      </c>
      <c r="N919" s="59">
        <v>91.3</v>
      </c>
    </row>
    <row r="920" spans="13:14">
      <c r="M920" s="59">
        <v>1.36580556257227</v>
      </c>
      <c r="N920" s="59">
        <v>91.4</v>
      </c>
    </row>
    <row r="921" spans="13:14">
      <c r="M921" s="59">
        <v>1.3722038089987301</v>
      </c>
      <c r="N921" s="59">
        <v>91.5</v>
      </c>
    </row>
    <row r="922" spans="13:14">
      <c r="M922" s="59">
        <v>1.3786587286232801</v>
      </c>
      <c r="N922" s="59">
        <v>91.6</v>
      </c>
    </row>
    <row r="923" spans="13:14">
      <c r="M923" s="59">
        <v>1.38517160821344</v>
      </c>
      <c r="N923" s="59">
        <v>91.7</v>
      </c>
    </row>
    <row r="924" spans="13:14">
      <c r="M924" s="59">
        <v>1.3917437793963301</v>
      </c>
      <c r="N924" s="59">
        <v>91.8</v>
      </c>
    </row>
    <row r="925" spans="13:14">
      <c r="M925" s="59">
        <v>1.3983766207974999</v>
      </c>
      <c r="N925" s="59">
        <v>91.9</v>
      </c>
    </row>
    <row r="926" spans="13:14">
      <c r="M926" s="59">
        <v>1.40507156030963</v>
      </c>
      <c r="N926" s="59">
        <v>92</v>
      </c>
    </row>
    <row r="927" spans="13:14">
      <c r="M927" s="59">
        <v>1.4118300775008099</v>
      </c>
      <c r="N927" s="59">
        <v>92.1</v>
      </c>
    </row>
    <row r="928" spans="13:14">
      <c r="M928" s="59">
        <v>1.41865370617274</v>
      </c>
      <c r="N928" s="59">
        <v>92.2</v>
      </c>
    </row>
    <row r="929" spans="13:14">
      <c r="M929" s="59">
        <v>1.42554403708045</v>
      </c>
      <c r="N929" s="59">
        <v>92.3</v>
      </c>
    </row>
    <row r="930" spans="13:14">
      <c r="M930" s="59">
        <v>1.4325027208258101</v>
      </c>
      <c r="N930" s="59">
        <v>92.4</v>
      </c>
    </row>
    <row r="931" spans="13:14">
      <c r="M931" s="59">
        <v>1.4395314709384599</v>
      </c>
      <c r="N931" s="59">
        <v>92.5</v>
      </c>
    </row>
    <row r="932" spans="13:14">
      <c r="M932" s="59">
        <v>1.4466320671589801</v>
      </c>
      <c r="N932" s="59">
        <v>92.6</v>
      </c>
    </row>
    <row r="933" spans="13:14">
      <c r="M933" s="59">
        <v>1.4538063589405701</v>
      </c>
      <c r="N933" s="59">
        <v>92.7</v>
      </c>
    </row>
    <row r="934" spans="13:14">
      <c r="M934" s="59">
        <v>1.46105626918691</v>
      </c>
      <c r="N934" s="59">
        <v>92.8</v>
      </c>
    </row>
    <row r="935" spans="13:14">
      <c r="M935" s="59">
        <v>1.46838379824566</v>
      </c>
      <c r="N935" s="59">
        <v>92.9</v>
      </c>
    </row>
    <row r="936" spans="13:14">
      <c r="M936" s="59">
        <v>1.47579102817917</v>
      </c>
      <c r="N936" s="59">
        <v>93</v>
      </c>
    </row>
    <row r="937" spans="13:14">
      <c r="M937" s="59">
        <v>1.48328012733562</v>
      </c>
      <c r="N937" s="59">
        <v>93.1</v>
      </c>
    </row>
    <row r="938" spans="13:14">
      <c r="M938" s="59">
        <v>1.4908533552466601</v>
      </c>
      <c r="N938" s="59">
        <v>93.2</v>
      </c>
    </row>
    <row r="939" spans="13:14">
      <c r="M939" s="59">
        <v>1.4985130678799801</v>
      </c>
      <c r="N939" s="59">
        <v>93.3</v>
      </c>
    </row>
    <row r="940" spans="13:14">
      <c r="M940" s="59">
        <v>1.50626172327824</v>
      </c>
      <c r="N940" s="59">
        <v>93.4</v>
      </c>
    </row>
    <row r="941" spans="13:14">
      <c r="M941" s="59">
        <v>1.51410188761928</v>
      </c>
      <c r="N941" s="59">
        <v>93.5</v>
      </c>
    </row>
    <row r="942" spans="13:14">
      <c r="M942" s="59">
        <v>1.5220362417358599</v>
      </c>
      <c r="N942" s="59">
        <v>93.6</v>
      </c>
    </row>
    <row r="943" spans="13:14">
      <c r="M943" s="59">
        <v>1.5300675881378301</v>
      </c>
      <c r="N943" s="59">
        <v>93.7</v>
      </c>
    </row>
    <row r="944" spans="13:14">
      <c r="M944" s="59">
        <v>1.53819885858406</v>
      </c>
      <c r="N944" s="59">
        <v>93.8</v>
      </c>
    </row>
    <row r="945" spans="13:14">
      <c r="M945" s="59">
        <v>1.54643312225675</v>
      </c>
      <c r="N945" s="59">
        <v>93.9</v>
      </c>
    </row>
    <row r="946" spans="13:14">
      <c r="M946" s="59">
        <v>1.5547735945968499</v>
      </c>
      <c r="N946" s="59">
        <v>94</v>
      </c>
    </row>
    <row r="947" spans="13:14">
      <c r="M947" s="59">
        <v>1.5632236468662799</v>
      </c>
      <c r="N947" s="59">
        <v>94.1</v>
      </c>
    </row>
    <row r="948" spans="13:14">
      <c r="M948" s="59">
        <v>1.5717868165098601</v>
      </c>
      <c r="N948" s="59">
        <v>94.2</v>
      </c>
    </row>
    <row r="949" spans="13:14">
      <c r="M949" s="59">
        <v>1.58046681839936</v>
      </c>
      <c r="N949" s="59">
        <v>94.3</v>
      </c>
    </row>
    <row r="950" spans="13:14">
      <c r="M950" s="59">
        <v>1.5892675570513899</v>
      </c>
      <c r="N950" s="59">
        <v>94.4</v>
      </c>
    </row>
    <row r="951" spans="13:14">
      <c r="M951" s="59">
        <v>1.59819313992282</v>
      </c>
      <c r="N951" s="59">
        <v>94.5</v>
      </c>
    </row>
    <row r="952" spans="13:14">
      <c r="M952" s="59">
        <v>1.60724789190022</v>
      </c>
      <c r="N952" s="59">
        <v>94.6</v>
      </c>
    </row>
    <row r="953" spans="13:14">
      <c r="M953" s="59">
        <v>1.61643637111502</v>
      </c>
      <c r="N953" s="59">
        <v>94.7</v>
      </c>
    </row>
    <row r="954" spans="13:14">
      <c r="M954" s="59">
        <v>1.6257633862332399</v>
      </c>
      <c r="N954" s="59">
        <v>94.8</v>
      </c>
    </row>
    <row r="955" spans="13:14">
      <c r="M955" s="59">
        <v>1.63523401538865</v>
      </c>
      <c r="N955" s="59">
        <v>94.9</v>
      </c>
    </row>
    <row r="956" spans="13:14">
      <c r="M956" s="59">
        <v>1.64485362695147</v>
      </c>
      <c r="N956" s="59">
        <v>95</v>
      </c>
    </row>
    <row r="957" spans="13:14">
      <c r="M957" s="59">
        <v>1.6546279023510799</v>
      </c>
      <c r="N957" s="59">
        <v>95.1</v>
      </c>
    </row>
    <row r="958" spans="13:14">
      <c r="M958" s="59">
        <v>1.6645628612027199</v>
      </c>
      <c r="N958" s="59">
        <v>95.2</v>
      </c>
    </row>
    <row r="959" spans="13:14">
      <c r="M959" s="59">
        <v>1.6746648890243301</v>
      </c>
      <c r="N959" s="59">
        <v>95.3</v>
      </c>
    </row>
    <row r="960" spans="13:14">
      <c r="M960" s="59">
        <v>1.6849407678719199</v>
      </c>
      <c r="N960" s="59">
        <v>95.4</v>
      </c>
    </row>
    <row r="961" spans="13:14">
      <c r="M961" s="59">
        <v>1.69539771027214</v>
      </c>
      <c r="N961" s="59">
        <v>95.5</v>
      </c>
    </row>
    <row r="962" spans="13:14">
      <c r="M962" s="59">
        <v>1.7060433968889599</v>
      </c>
      <c r="N962" s="59">
        <v>95.6</v>
      </c>
    </row>
    <row r="963" spans="13:14">
      <c r="M963" s="59">
        <v>1.7168860184310399</v>
      </c>
      <c r="N963" s="59">
        <v>95.7</v>
      </c>
    </row>
    <row r="964" spans="13:14">
      <c r="M964" s="59">
        <v>1.72793432238842</v>
      </c>
      <c r="N964" s="59">
        <v>95.8</v>
      </c>
    </row>
    <row r="965" spans="13:14">
      <c r="M965" s="59">
        <v>1.7391976652852501</v>
      </c>
      <c r="N965" s="59">
        <v>95.9</v>
      </c>
    </row>
    <row r="966" spans="13:14">
      <c r="M966" s="59">
        <v>1.7506860712521699</v>
      </c>
      <c r="N966" s="59">
        <v>96</v>
      </c>
    </row>
    <row r="967" spans="13:14">
      <c r="M967" s="59">
        <v>1.7624102978623899</v>
      </c>
      <c r="N967" s="59">
        <v>96.1</v>
      </c>
    </row>
    <row r="968" spans="13:14">
      <c r="M968" s="59">
        <v>1.7743819103449601</v>
      </c>
      <c r="N968" s="59">
        <v>96.2</v>
      </c>
    </row>
    <row r="969" spans="13:14">
      <c r="M969" s="59">
        <v>1.7866133654934699</v>
      </c>
      <c r="N969" s="59">
        <v>96.3</v>
      </c>
    </row>
    <row r="970" spans="13:14">
      <c r="M970" s="59">
        <v>1.79911810683797</v>
      </c>
      <c r="N970" s="59">
        <v>96.4</v>
      </c>
    </row>
    <row r="971" spans="13:14">
      <c r="M971" s="59">
        <v>1.8119106729526</v>
      </c>
      <c r="N971" s="59">
        <v>96.5</v>
      </c>
    </row>
    <row r="972" spans="13:14">
      <c r="M972" s="59">
        <v>1.8250068211463999</v>
      </c>
      <c r="N972" s="59">
        <v>96.6</v>
      </c>
    </row>
    <row r="973" spans="13:14">
      <c r="M973" s="59">
        <v>1.83842366924778</v>
      </c>
      <c r="N973" s="59">
        <v>96.7</v>
      </c>
    </row>
    <row r="974" spans="13:14">
      <c r="M974" s="59">
        <v>1.8521798587690499</v>
      </c>
      <c r="N974" s="59">
        <v>96.8</v>
      </c>
    </row>
    <row r="975" spans="13:14">
      <c r="M975" s="59">
        <v>1.86629574345811</v>
      </c>
      <c r="N975" s="59">
        <v>96.9</v>
      </c>
    </row>
    <row r="976" spans="13:14">
      <c r="M976" s="59">
        <v>1.88079360815125</v>
      </c>
      <c r="N976" s="59">
        <v>97</v>
      </c>
    </row>
    <row r="977" spans="13:14">
      <c r="M977" s="59">
        <v>1.8956979239918399</v>
      </c>
      <c r="N977" s="59">
        <v>97.1</v>
      </c>
    </row>
    <row r="978" spans="13:14">
      <c r="M978" s="59">
        <v>1.9110356475491199</v>
      </c>
      <c r="N978" s="59">
        <v>97.2</v>
      </c>
    </row>
    <row r="979" spans="13:14">
      <c r="M979" s="59">
        <v>1.9268365732639099</v>
      </c>
      <c r="N979" s="59">
        <v>97.3</v>
      </c>
    </row>
    <row r="980" spans="13:14">
      <c r="M980" s="59">
        <v>1.9431337511050699</v>
      </c>
      <c r="N980" s="59">
        <v>97.4</v>
      </c>
    </row>
    <row r="981" spans="13:14">
      <c r="M981" s="59">
        <v>1.9599639845400501</v>
      </c>
      <c r="N981" s="59">
        <v>97.5</v>
      </c>
    </row>
    <row r="982" spans="13:14">
      <c r="M982" s="59">
        <v>1.9773684281819499</v>
      </c>
      <c r="N982" s="59">
        <v>97.6</v>
      </c>
    </row>
    <row r="983" spans="13:14">
      <c r="M983" s="59">
        <v>1.9953933101678201</v>
      </c>
      <c r="N983" s="59">
        <v>97.7</v>
      </c>
    </row>
    <row r="984" spans="13:14">
      <c r="M984" s="59">
        <v>2.0140908120181402</v>
      </c>
      <c r="N984" s="59">
        <v>97.8</v>
      </c>
    </row>
    <row r="985" spans="13:14">
      <c r="M985" s="59">
        <v>2.0335201492530501</v>
      </c>
      <c r="N985" s="59">
        <v>97.9</v>
      </c>
    </row>
    <row r="986" spans="13:14">
      <c r="M986" s="59">
        <v>2.0537489106318199</v>
      </c>
      <c r="N986" s="59">
        <v>98</v>
      </c>
    </row>
    <row r="987" spans="13:14">
      <c r="M987" s="59">
        <v>2.0748547343933099</v>
      </c>
      <c r="N987" s="59">
        <v>98.1</v>
      </c>
    </row>
    <row r="988" spans="13:14">
      <c r="M988" s="59">
        <v>2.0969274291643401</v>
      </c>
      <c r="N988" s="59">
        <v>98.2</v>
      </c>
    </row>
    <row r="989" spans="13:14">
      <c r="M989" s="59">
        <v>2.1200716897421499</v>
      </c>
      <c r="N989" s="59">
        <v>98.3</v>
      </c>
    </row>
    <row r="990" spans="13:14">
      <c r="M990" s="59">
        <v>2.1444106209118399</v>
      </c>
      <c r="N990" s="59">
        <v>98.4</v>
      </c>
    </row>
    <row r="991" spans="13:14">
      <c r="M991" s="59">
        <v>2.1700903775845601</v>
      </c>
      <c r="N991" s="59">
        <v>98.5</v>
      </c>
    </row>
    <row r="992" spans="13:14">
      <c r="M992" s="59">
        <v>2.19728637664105</v>
      </c>
      <c r="N992" s="59">
        <v>98.6</v>
      </c>
    </row>
    <row r="993" spans="13:14">
      <c r="M993" s="59">
        <v>2.2262117693171701</v>
      </c>
      <c r="N993" s="59">
        <v>98.7</v>
      </c>
    </row>
    <row r="994" spans="13:14">
      <c r="M994" s="59">
        <v>2.2571292444862201</v>
      </c>
      <c r="N994" s="59">
        <v>98.8</v>
      </c>
    </row>
    <row r="995" spans="13:14">
      <c r="M995" s="59">
        <v>2.2903678778552701</v>
      </c>
      <c r="N995" s="59">
        <v>98.9</v>
      </c>
    </row>
    <row r="996" spans="13:14">
      <c r="M996" s="59">
        <v>2.3263478740408399</v>
      </c>
      <c r="N996" s="59">
        <v>99</v>
      </c>
    </row>
    <row r="997" spans="13:14">
      <c r="M997" s="59">
        <v>2.3656181268642902</v>
      </c>
      <c r="N997" s="59">
        <v>99.1</v>
      </c>
    </row>
    <row r="998" spans="13:14">
      <c r="M998" s="59">
        <v>2.4089155458154599</v>
      </c>
      <c r="N998" s="59">
        <v>99.2</v>
      </c>
    </row>
    <row r="999" spans="13:14">
      <c r="M999" s="59">
        <v>2.4572633902054402</v>
      </c>
      <c r="N999" s="59">
        <v>99.3</v>
      </c>
    </row>
    <row r="1000" spans="13:14">
      <c r="M1000" s="59">
        <v>2.5121443279304598</v>
      </c>
      <c r="N1000" s="59">
        <v>99.4</v>
      </c>
    </row>
    <row r="1001" spans="13:14">
      <c r="M1001" s="59">
        <v>2.5758293035488999</v>
      </c>
      <c r="N1001" s="59">
        <v>99.5</v>
      </c>
    </row>
    <row r="1002" spans="13:14">
      <c r="M1002" s="59">
        <v>2.6520698079021998</v>
      </c>
      <c r="N1002" s="59">
        <v>99.6</v>
      </c>
    </row>
    <row r="1003" spans="13:14">
      <c r="M1003" s="59">
        <v>2.74778138544499</v>
      </c>
      <c r="N1003" s="59">
        <v>99.7</v>
      </c>
    </row>
    <row r="1004" spans="13:14">
      <c r="M1004" s="59">
        <v>2.8781617390954799</v>
      </c>
      <c r="N1004" s="59">
        <v>99.8</v>
      </c>
    </row>
    <row r="1005" spans="13:14">
      <c r="M1005" s="59">
        <v>3.0902323061678101</v>
      </c>
      <c r="N1005" s="59">
        <v>99.9</v>
      </c>
    </row>
    <row r="1006" spans="13:14">
      <c r="M1006" s="59">
        <v>4.75342430881709</v>
      </c>
      <c r="N1006" s="59">
        <v>100</v>
      </c>
    </row>
  </sheetData>
  <mergeCells count="3">
    <mergeCell ref="I9:J9"/>
    <mergeCell ref="I5:J5"/>
    <mergeCell ref="I25:J25"/>
  </mergeCells>
  <pageMargins left="0.7" right="0.7" top="0.75" bottom="0.75" header="0.3" footer="0.3"/>
  <pageSetup paperSize="9" scale="3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4"/>
  <dimension ref="A1:T1006"/>
  <sheetViews>
    <sheetView topLeftCell="A9" workbookViewId="0">
      <selection activeCell="M29" sqref="M29"/>
    </sheetView>
  </sheetViews>
  <sheetFormatPr baseColWidth="10" defaultRowHeight="15.5"/>
  <cols>
    <col min="4" max="4" width="15.6640625" bestFit="1" customWidth="1"/>
    <col min="5" max="5" width="12.1640625" bestFit="1" customWidth="1"/>
    <col min="6" max="6" width="9.5" customWidth="1"/>
    <col min="7" max="7" width="15.33203125" bestFit="1" customWidth="1"/>
    <col min="8" max="8" width="7" customWidth="1"/>
    <col min="10" max="10" width="4.83203125" style="5" customWidth="1"/>
    <col min="11" max="11" width="5" customWidth="1"/>
    <col min="15" max="15" width="16" bestFit="1" customWidth="1"/>
    <col min="20" max="20" width="16" bestFit="1" customWidth="1"/>
  </cols>
  <sheetData>
    <row r="1" spans="1:20">
      <c r="A1" s="2" t="s">
        <v>4</v>
      </c>
      <c r="L1" s="2" t="s">
        <v>13</v>
      </c>
    </row>
    <row r="2" spans="1:20">
      <c r="A2" s="2"/>
      <c r="L2" s="2"/>
    </row>
    <row r="3" spans="1:20">
      <c r="A3" s="23" t="s">
        <v>18</v>
      </c>
      <c r="G3" s="21">
        <f>SQRT(RAVLT_Learning!J6)</f>
        <v>7.7926799999999998</v>
      </c>
    </row>
    <row r="4" spans="1:20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20">
      <c r="L5">
        <f>RAVLT_Learning!M6</f>
        <v>-4.7534243088228996</v>
      </c>
      <c r="M5">
        <f>RAVLT_Learning!N6</f>
        <v>0</v>
      </c>
      <c r="O5">
        <f>ABS(L5-RAVLT_Learning!$C$34)</f>
        <v>3.6798225137078893</v>
      </c>
      <c r="P5">
        <f>M5</f>
        <v>0</v>
      </c>
      <c r="R5" t="s">
        <v>15</v>
      </c>
      <c r="T5">
        <f>MIN(O5:O1006)</f>
        <v>3.6798225137078893</v>
      </c>
    </row>
    <row r="6" spans="1:20">
      <c r="A6" s="2" t="s">
        <v>28</v>
      </c>
      <c r="L6">
        <f>RAVLT_Learning!M7</f>
        <v>-3.0902323061678101</v>
      </c>
      <c r="M6">
        <f>RAVLT_Learning!N7</f>
        <v>0.1</v>
      </c>
      <c r="O6">
        <f>ABS(L6-RAVLT_Learning!$C$34)</f>
        <v>5.3430145163629792</v>
      </c>
      <c r="P6">
        <f t="shared" ref="P6:P70" si="0">M6</f>
        <v>0.1</v>
      </c>
      <c r="R6" t="s">
        <v>10</v>
      </c>
      <c r="T6">
        <f>VLOOKUP(T5, O5:P1006, 2, )</f>
        <v>0</v>
      </c>
    </row>
    <row r="7" spans="1:20">
      <c r="L7">
        <f>RAVLT_Learning!M8</f>
        <v>-2.8781617390954799</v>
      </c>
      <c r="M7">
        <f>RAVLT_Learning!N8</f>
        <v>0.2</v>
      </c>
      <c r="O7">
        <f>ABS(L7-RAVLT_Learning!$C$34)</f>
        <v>5.5550850834353085</v>
      </c>
      <c r="P7">
        <f t="shared" si="0"/>
        <v>0.2</v>
      </c>
    </row>
    <row r="8" spans="1:20">
      <c r="A8" t="s">
        <v>16</v>
      </c>
      <c r="B8">
        <f>RAVLT_Learning!C27</f>
        <v>65.717593848999229</v>
      </c>
    </row>
    <row r="9" spans="1:20">
      <c r="L9">
        <f>RAVLT_Learning!M9</f>
        <v>-2.74778138544499</v>
      </c>
      <c r="M9">
        <f>RAVLT_Learning!N9</f>
        <v>0.3</v>
      </c>
      <c r="O9">
        <f>ABS(L9-RAVLT_Learning!$C$34)</f>
        <v>5.6854654370857993</v>
      </c>
      <c r="P9">
        <f t="shared" si="0"/>
        <v>0.3</v>
      </c>
    </row>
    <row r="10" spans="1:20">
      <c r="B10" t="str">
        <f>RAVLT_Learning!J10</f>
        <v>Residual variance</v>
      </c>
      <c r="C10" t="str">
        <f>RAVLT_Learning!I10</f>
        <v>Predicted test score</v>
      </c>
      <c r="L10">
        <f>RAVLT_Learning!M10</f>
        <v>-2.6520698079021998</v>
      </c>
      <c r="M10">
        <f>RAVLT_Learning!N10</f>
        <v>0.4</v>
      </c>
      <c r="O10">
        <f>ABS(L10-RAVLT_Learning!$C$34)</f>
        <v>5.7811770146285895</v>
      </c>
      <c r="P10">
        <f t="shared" si="0"/>
        <v>0.4</v>
      </c>
    </row>
    <row r="11" spans="1:20">
      <c r="B11">
        <f>RAVLT_Learning!J11</f>
        <v>0</v>
      </c>
      <c r="C11">
        <f>RAVLT_Learning!I11</f>
        <v>0</v>
      </c>
      <c r="L11">
        <f>RAVLT_Learning!M11</f>
        <v>-2.5758293035488999</v>
      </c>
      <c r="M11">
        <f>RAVLT_Learning!N11</f>
        <v>0.5</v>
      </c>
      <c r="O11">
        <f>ABS(L11-RAVLT_Learning!$C$34)</f>
        <v>5.8574175189818884</v>
      </c>
      <c r="P11">
        <f t="shared" si="0"/>
        <v>0.5</v>
      </c>
    </row>
    <row r="12" spans="1:20">
      <c r="B12">
        <f>RAVLT_Learning!J12</f>
        <v>0</v>
      </c>
      <c r="C12">
        <f>RAVLT_Learning!I12</f>
        <v>0</v>
      </c>
      <c r="L12">
        <f>RAVLT_Learning!M12</f>
        <v>-2.5121443279304598</v>
      </c>
      <c r="M12">
        <f>RAVLT_Learning!N12</f>
        <v>0.6</v>
      </c>
      <c r="O12">
        <f>ABS(L12-RAVLT_Learning!$C$34)</f>
        <v>5.921102494600329</v>
      </c>
      <c r="P12">
        <f t="shared" si="0"/>
        <v>0.6</v>
      </c>
    </row>
    <row r="13" spans="1:20">
      <c r="B13">
        <f>RAVLT_Learning!J13</f>
        <v>0</v>
      </c>
      <c r="C13">
        <f>RAVLT_Learning!I13</f>
        <v>0</v>
      </c>
      <c r="L13">
        <f>RAVLT_Learning!M13</f>
        <v>-2.4572633902054402</v>
      </c>
      <c r="M13">
        <f>RAVLT_Learning!N13</f>
        <v>0.7</v>
      </c>
      <c r="O13">
        <f>ABS(L13-RAVLT_Learning!$C$34)</f>
        <v>5.9759834323253482</v>
      </c>
      <c r="P13">
        <f t="shared" si="0"/>
        <v>0.7</v>
      </c>
    </row>
    <row r="14" spans="1:20">
      <c r="B14">
        <f>RAVLT_Learning!J14</f>
        <v>0</v>
      </c>
      <c r="C14">
        <f>RAVLT_Learning!I14</f>
        <v>0</v>
      </c>
      <c r="L14">
        <f>RAVLT_Learning!M14</f>
        <v>-2.4089155458154599</v>
      </c>
      <c r="M14">
        <f>RAVLT_Learning!N14</f>
        <v>0.8</v>
      </c>
      <c r="O14">
        <f>ABS(L14-RAVLT_Learning!$C$34)</f>
        <v>6.024331276715329</v>
      </c>
      <c r="P14">
        <f t="shared" si="0"/>
        <v>0.8</v>
      </c>
    </row>
    <row r="15" spans="1:20">
      <c r="B15">
        <f>RAVLT_Learning!J15</f>
        <v>0</v>
      </c>
      <c r="C15">
        <f>RAVLT_Learning!I15</f>
        <v>0</v>
      </c>
      <c r="L15">
        <f>RAVLT_Learning!M15</f>
        <v>-2.3656181268642902</v>
      </c>
      <c r="M15">
        <f>RAVLT_Learning!N15</f>
        <v>0.9</v>
      </c>
      <c r="O15">
        <f>ABS(L15-RAVLT_Learning!$C$34)</f>
        <v>6.0676286956664987</v>
      </c>
      <c r="P15">
        <f t="shared" si="0"/>
        <v>0.9</v>
      </c>
    </row>
    <row r="16" spans="1:20">
      <c r="B16">
        <f>RAVLT_Learning!J16</f>
        <v>0</v>
      </c>
      <c r="C16">
        <f>RAVLT_Learning!I16</f>
        <v>0</v>
      </c>
      <c r="L16">
        <f>RAVLT_Learning!M16</f>
        <v>-2.3263478740408399</v>
      </c>
      <c r="M16">
        <f>RAVLT_Learning!N16</f>
        <v>1</v>
      </c>
      <c r="O16">
        <f>ABS(L16-RAVLT_Learning!$C$34)</f>
        <v>6.106898948489949</v>
      </c>
      <c r="P16">
        <f t="shared" si="0"/>
        <v>1</v>
      </c>
    </row>
    <row r="17" spans="1:16">
      <c r="B17">
        <f>RAVLT_Learning!J17</f>
        <v>0</v>
      </c>
      <c r="C17">
        <f>RAVLT_Learning!I17</f>
        <v>0</v>
      </c>
      <c r="L17">
        <f>RAVLT_Learning!M17</f>
        <v>-2.2903678778552701</v>
      </c>
      <c r="M17">
        <f>RAVLT_Learning!N17</f>
        <v>1.1000000000000001</v>
      </c>
      <c r="O17">
        <f>ABS(L17-RAVLT_Learning!$C$34)</f>
        <v>6.1428789446755188</v>
      </c>
      <c r="P17">
        <f t="shared" si="0"/>
        <v>1.1000000000000001</v>
      </c>
    </row>
    <row r="18" spans="1:16">
      <c r="B18">
        <f>RAVLT_Learning!J18</f>
        <v>0</v>
      </c>
      <c r="C18">
        <f>RAVLT_Learning!I18</f>
        <v>0</v>
      </c>
      <c r="L18">
        <f>RAVLT_Learning!M18</f>
        <v>-2.2571292444862201</v>
      </c>
      <c r="M18">
        <f>RAVLT_Learning!N18</f>
        <v>1.2</v>
      </c>
      <c r="O18">
        <f>ABS(L18-RAVLT_Learning!$C$34)</f>
        <v>6.1761175780445683</v>
      </c>
      <c r="P18">
        <f t="shared" si="0"/>
        <v>1.2</v>
      </c>
    </row>
    <row r="19" spans="1:16">
      <c r="B19">
        <f>RAVLT_Learning!J19</f>
        <v>0</v>
      </c>
      <c r="C19">
        <f>RAVLT_Learning!I19</f>
        <v>0</v>
      </c>
      <c r="L19">
        <f>RAVLT_Learning!M19</f>
        <v>-2.2262117693171799</v>
      </c>
      <c r="M19">
        <f>RAVLT_Learning!N19</f>
        <v>1.3</v>
      </c>
      <c r="O19">
        <f>ABS(L19-RAVLT_Learning!$C$34)</f>
        <v>6.2070350532136089</v>
      </c>
      <c r="P19">
        <f t="shared" si="0"/>
        <v>1.3</v>
      </c>
    </row>
    <row r="20" spans="1:16">
      <c r="B20">
        <f>RAVLT_Learning!J20</f>
        <v>0</v>
      </c>
      <c r="C20">
        <f>RAVLT_Learning!I20</f>
        <v>0</v>
      </c>
      <c r="E20" t="s">
        <v>36</v>
      </c>
      <c r="G20" s="9">
        <f t="array" ref="G20">INDEX(B11:B22,MATCH(MIN(ABS(C11:C22-B8)),ABS(C11:C22-B8),0))</f>
        <v>0</v>
      </c>
      <c r="L20">
        <f>RAVLT_Learning!M20</f>
        <v>-2.19728637664105</v>
      </c>
      <c r="M20">
        <f>RAVLT_Learning!N20</f>
        <v>1.4</v>
      </c>
      <c r="O20">
        <f>ABS(L20-RAVLT_Learning!$C$34)</f>
        <v>6.2359604458897389</v>
      </c>
      <c r="P20">
        <f t="shared" si="0"/>
        <v>1.4</v>
      </c>
    </row>
    <row r="21" spans="1:16">
      <c r="B21">
        <f>RAVLT_Learning!J21</f>
        <v>0</v>
      </c>
      <c r="C21">
        <f>RAVLT_Learning!I21</f>
        <v>0</v>
      </c>
      <c r="E21" t="s">
        <v>38</v>
      </c>
      <c r="G21" s="21">
        <f>SQRT(G20)</f>
        <v>0</v>
      </c>
      <c r="L21">
        <f>RAVLT_Learning!M21</f>
        <v>-2.1700903775845601</v>
      </c>
      <c r="M21">
        <f>RAVLT_Learning!N21</f>
        <v>1.5</v>
      </c>
      <c r="O21">
        <f>ABS(L21-RAVLT_Learning!$C$34)</f>
        <v>6.2631564449462287</v>
      </c>
      <c r="P21">
        <f t="shared" si="0"/>
        <v>1.5</v>
      </c>
    </row>
    <row r="22" spans="1:16">
      <c r="B22">
        <f>RAVLT_Learning!J22</f>
        <v>0</v>
      </c>
      <c r="C22">
        <f>RAVLT_Learning!I22</f>
        <v>0</v>
      </c>
      <c r="L22">
        <f>RAVLT_Learning!M22</f>
        <v>-2.1444106209118399</v>
      </c>
      <c r="M22">
        <f>RAVLT_Learning!N22</f>
        <v>1.6</v>
      </c>
      <c r="O22">
        <f>ABS(L22-RAVLT_Learning!$C$34)</f>
        <v>6.288836201618949</v>
      </c>
      <c r="P22">
        <f t="shared" si="0"/>
        <v>1.6</v>
      </c>
    </row>
    <row r="23" spans="1:16">
      <c r="E23" t="s">
        <v>20</v>
      </c>
      <c r="F23" s="20" t="s">
        <v>19</v>
      </c>
      <c r="L23">
        <f>RAVLT_Learning!M23</f>
        <v>-2.1200716897421499</v>
      </c>
      <c r="M23">
        <f>RAVLT_Learning!N23</f>
        <v>1.7</v>
      </c>
      <c r="O23">
        <f>ABS(L23-RAVLT_Learning!$C$34)</f>
        <v>6.313175132788639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RAVLT_Learning!M24</f>
        <v>-2.0969274291643401</v>
      </c>
      <c r="M24">
        <f>RAVLT_Learning!N24</f>
        <v>1.8</v>
      </c>
      <c r="O24">
        <f>ABS(L24-RAVLT_Learning!$C$34)</f>
        <v>6.3363193933664483</v>
      </c>
      <c r="P24">
        <f t="shared" si="0"/>
        <v>1.8</v>
      </c>
    </row>
    <row r="25" spans="1:16">
      <c r="A25" s="2" t="s">
        <v>27</v>
      </c>
      <c r="L25">
        <f>RAVLT_Learning!M25</f>
        <v>-2.0748547343933099</v>
      </c>
      <c r="M25">
        <f>RAVLT_Learning!N25</f>
        <v>1.9</v>
      </c>
      <c r="O25">
        <f>ABS(L25-RAVLT_Learning!$C$34)</f>
        <v>6.3583920881374789</v>
      </c>
      <c r="P25">
        <f t="shared" si="0"/>
        <v>1.9</v>
      </c>
    </row>
    <row r="26" spans="1:16">
      <c r="H26" s="1"/>
      <c r="L26">
        <f>RAVLT_Learning!M26</f>
        <v>-2.0537489106318199</v>
      </c>
      <c r="M26">
        <f>RAVLT_Learning!N26</f>
        <v>2</v>
      </c>
      <c r="O26">
        <f>ABS(L26-RAVLT_Learning!$C$34)</f>
        <v>6.3794979118989694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L27">
        <f>RAVLT_Learning!M27</f>
        <v>-2.0335201492530501</v>
      </c>
      <c r="M27">
        <f>RAVLT_Learning!N27</f>
        <v>2.1</v>
      </c>
      <c r="O27">
        <f>ABS(L27-RAVLT_Learning!$C$34)</f>
        <v>6.3997266732777387</v>
      </c>
      <c r="P27">
        <f t="shared" si="0"/>
        <v>2.1</v>
      </c>
    </row>
    <row r="28" spans="1:16">
      <c r="A28">
        <f>RAVLT_Learning!I27</f>
        <v>0</v>
      </c>
      <c r="B28">
        <f>RAVLT_Learning!J27</f>
        <v>0</v>
      </c>
      <c r="C28">
        <v>1</v>
      </c>
      <c r="D28">
        <f>B28*C28</f>
        <v>0</v>
      </c>
      <c r="L28">
        <f>RAVLT_Learning!M28</f>
        <v>-2.0140908120181402</v>
      </c>
      <c r="M28">
        <f>RAVLT_Learning!N28</f>
        <v>2.2000000000000002</v>
      </c>
      <c r="O28">
        <f>ABS(L28-RAVLT_Learning!$C$34)</f>
        <v>6.4191560105126486</v>
      </c>
      <c r="P28">
        <f t="shared" si="0"/>
        <v>2.2000000000000002</v>
      </c>
    </row>
    <row r="29" spans="1:16">
      <c r="A29">
        <f>RAVLT_Learning!I28</f>
        <v>0</v>
      </c>
      <c r="B29">
        <f>RAVLT_Learning!J28</f>
        <v>0</v>
      </c>
      <c r="C29">
        <f>B8</f>
        <v>65.717593848999229</v>
      </c>
      <c r="D29">
        <f t="shared" ref="D29:D33" si="1">B29*C29</f>
        <v>0</v>
      </c>
      <c r="L29">
        <f>RAVLT_Learning!M29</f>
        <v>-1.9953933101678201</v>
      </c>
      <c r="M29">
        <f>RAVLT_Learning!N29</f>
        <v>2.2999999999999998</v>
      </c>
      <c r="O29">
        <f>ABS(L29-RAVLT_Learning!$C$34)</f>
        <v>6.4378535123629685</v>
      </c>
      <c r="P29">
        <f t="shared" si="0"/>
        <v>2.2999999999999998</v>
      </c>
    </row>
    <row r="30" spans="1:16">
      <c r="A30">
        <f>RAVLT_Learning!I29</f>
        <v>0</v>
      </c>
      <c r="B30">
        <f>RAVLT_Learning!J29</f>
        <v>0</v>
      </c>
      <c r="C30">
        <f>B8^2</f>
        <v>4318.8021413020215</v>
      </c>
      <c r="D30">
        <f t="shared" si="1"/>
        <v>0</v>
      </c>
      <c r="L30">
        <f>RAVLT_Learning!M30</f>
        <v>-1.9773684281819499</v>
      </c>
      <c r="M30">
        <f>RAVLT_Learning!N30</f>
        <v>2.4</v>
      </c>
      <c r="O30">
        <f>ABS(L30-RAVLT_Learning!$C$34)</f>
        <v>6.4558783943488391</v>
      </c>
      <c r="P30">
        <f t="shared" si="0"/>
        <v>2.4</v>
      </c>
    </row>
    <row r="31" spans="1:16">
      <c r="A31">
        <f>RAVLT_Learning!I30</f>
        <v>0</v>
      </c>
      <c r="B31">
        <f>RAVLT_Learning!J30</f>
        <v>0</v>
      </c>
      <c r="C31">
        <f>B8^3</f>
        <v>283821.28503627441</v>
      </c>
      <c r="D31">
        <f t="shared" si="1"/>
        <v>0</v>
      </c>
      <c r="L31">
        <f>RAVLT_Learning!M31</f>
        <v>-1.9599639845400501</v>
      </c>
      <c r="M31">
        <f>RAVLT_Learning!N31</f>
        <v>2.5</v>
      </c>
      <c r="O31">
        <f>ABS(L31-RAVLT_Learning!$C$34)</f>
        <v>6.4732828379907392</v>
      </c>
      <c r="P31">
        <f t="shared" si="0"/>
        <v>2.5</v>
      </c>
    </row>
    <row r="32" spans="1:16">
      <c r="A32">
        <f>RAVLT_Learning!I31</f>
        <v>0</v>
      </c>
      <c r="B32">
        <f>RAVLT_Learning!J31</f>
        <v>0</v>
      </c>
      <c r="C32">
        <f>B8^4</f>
        <v>18652051.935714927</v>
      </c>
      <c r="D32">
        <f t="shared" si="1"/>
        <v>0</v>
      </c>
      <c r="L32">
        <f>RAVLT_Learning!M32</f>
        <v>-1.9431337511050699</v>
      </c>
      <c r="M32">
        <f>RAVLT_Learning!N32</f>
        <v>2.6</v>
      </c>
      <c r="O32">
        <f>ABS(L32-RAVLT_Learning!$C$34)</f>
        <v>6.4901130714257187</v>
      </c>
      <c r="P32">
        <f t="shared" si="0"/>
        <v>2.6</v>
      </c>
    </row>
    <row r="33" spans="1:16">
      <c r="A33">
        <f>RAVLT_Learning!I32</f>
        <v>0</v>
      </c>
      <c r="B33">
        <f>RAVLT_Learning!J32</f>
        <v>0</v>
      </c>
      <c r="C33">
        <f>B8^5</f>
        <v>1225767973.5617535</v>
      </c>
      <c r="D33">
        <f t="shared" si="1"/>
        <v>0</v>
      </c>
      <c r="L33">
        <f>RAVLT_Learning!M33</f>
        <v>-1.9268365732639099</v>
      </c>
      <c r="M33">
        <f>RAVLT_Learning!N33</f>
        <v>2.7</v>
      </c>
      <c r="O33">
        <f>ABS(L33-RAVLT_Learning!$C$34)</f>
        <v>6.5064102492668789</v>
      </c>
      <c r="P33">
        <f t="shared" si="0"/>
        <v>2.7</v>
      </c>
    </row>
    <row r="34" spans="1:16">
      <c r="G34" s="21">
        <f>SQRT(D35)</f>
        <v>0</v>
      </c>
      <c r="L34">
        <f>RAVLT_Learning!M34</f>
        <v>-1.9110356475491199</v>
      </c>
      <c r="M34">
        <f>RAVLT_Learning!N34</f>
        <v>2.8</v>
      </c>
      <c r="O34">
        <f>ABS(L34-RAVLT_Learning!$C$34)</f>
        <v>6.5222111749816687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0</v>
      </c>
      <c r="E35" s="18"/>
      <c r="F35" s="18"/>
      <c r="G35" s="18"/>
      <c r="H35" s="18"/>
      <c r="I35" s="18"/>
      <c r="J35" s="19"/>
      <c r="L35">
        <f>RAVLT_Learning!M35</f>
        <v>-1.8956979239918399</v>
      </c>
      <c r="M35">
        <f>RAVLT_Learning!N35</f>
        <v>2.9</v>
      </c>
      <c r="O35">
        <f>ABS(L35-RAVLT_Learning!$C$34)</f>
        <v>6.5375488985389492</v>
      </c>
      <c r="P35">
        <f t="shared" si="0"/>
        <v>2.9</v>
      </c>
    </row>
    <row r="36" spans="1:16">
      <c r="L36">
        <f>RAVLT_Learning!M36</f>
        <v>-1.88079360815125</v>
      </c>
      <c r="M36">
        <f>RAVLT_Learning!N36</f>
        <v>3</v>
      </c>
      <c r="O36">
        <f>ABS(L36-RAVLT_Learning!$C$34)</f>
        <v>6.5524532143795389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L37">
        <f>RAVLT_Learning!M37</f>
        <v>-1.86629574345811</v>
      </c>
      <c r="M37">
        <f>RAVLT_Learning!N37</f>
        <v>3.1</v>
      </c>
      <c r="O37">
        <f>ABS(L37-RAVLT_Learning!$C$34)</f>
        <v>6.5669510790726786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1</v>
      </c>
      <c r="E38" s="24"/>
      <c r="F38" s="24"/>
      <c r="G38" s="2" t="s">
        <v>21</v>
      </c>
      <c r="H38" s="2"/>
      <c r="I38" s="2">
        <f>IF(D41=1, G3+G21+G34, )</f>
        <v>7.7926799999999998</v>
      </c>
      <c r="L38">
        <f>RAVLT_Learning!M38</f>
        <v>-1.8521798587690499</v>
      </c>
      <c r="M38">
        <f>RAVLT_Learning!N38</f>
        <v>3.2</v>
      </c>
      <c r="O38">
        <f>ABS(L38-RAVLT_Learning!$C$34)</f>
        <v>6.5810669637617387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L39">
        <f>RAVLT_Learning!M39</f>
        <v>-1.83842366924778</v>
      </c>
      <c r="M39">
        <f>RAVLT_Learning!N39</f>
        <v>3.3</v>
      </c>
      <c r="O39">
        <f>ABS(L39-RAVLT_Learning!$C$34)</f>
        <v>6.5948231532830093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0</v>
      </c>
      <c r="E40" s="24"/>
      <c r="F40" s="24"/>
      <c r="L40">
        <f>RAVLT_Learning!M40</f>
        <v>-1.8250068211463999</v>
      </c>
      <c r="M40">
        <f>RAVLT_Learning!N40</f>
        <v>3.4</v>
      </c>
      <c r="O40">
        <f>ABS(L40-RAVLT_Learning!$C$34)</f>
        <v>6.6082400013843889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L41">
        <f>RAVLT_Learning!M41</f>
        <v>-1.8119106729526</v>
      </c>
      <c r="M41">
        <f>RAVLT_Learning!N41</f>
        <v>3.5</v>
      </c>
      <c r="O41">
        <f>ABS(L41-RAVLT_Learning!$C$34)</f>
        <v>6.6213361495781893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L42">
        <f>RAVLT_Learning!M42</f>
        <v>-1.79911810683797</v>
      </c>
      <c r="M42">
        <f>RAVLT_Learning!N42</f>
        <v>3.6</v>
      </c>
      <c r="O42">
        <f>ABS(L42-RAVLT_Learning!$C$34)</f>
        <v>6.6341287156928193</v>
      </c>
      <c r="P42">
        <f t="shared" si="0"/>
        <v>3.6</v>
      </c>
    </row>
    <row r="43" spans="1:16">
      <c r="A43" s="22"/>
      <c r="L43">
        <f>RAVLT_Learning!M43</f>
        <v>-1.7866133654934699</v>
      </c>
      <c r="M43">
        <f>RAVLT_Learning!N43</f>
        <v>3.7</v>
      </c>
      <c r="O43">
        <f>ABS(L43-RAVLT_Learning!$C$34)</f>
        <v>6.6466334570373187</v>
      </c>
      <c r="P43">
        <f t="shared" si="0"/>
        <v>3.7</v>
      </c>
    </row>
    <row r="44" spans="1:16">
      <c r="L44">
        <f>RAVLT_Learning!M44</f>
        <v>-1.7743819103449601</v>
      </c>
      <c r="M44">
        <f>RAVLT_Learning!N44</f>
        <v>3.8</v>
      </c>
      <c r="O44">
        <f>ABS(L44-RAVLT_Learning!$C$34)</f>
        <v>6.6588649121858285</v>
      </c>
      <c r="P44">
        <f t="shared" si="0"/>
        <v>3.8</v>
      </c>
    </row>
    <row r="45" spans="1:16">
      <c r="L45">
        <f>RAVLT_Learning!M45</f>
        <v>-1.7624102978623899</v>
      </c>
      <c r="M45">
        <f>RAVLT_Learning!N45</f>
        <v>3.9</v>
      </c>
      <c r="O45">
        <f>ABS(L45-RAVLT_Learning!$C$34)</f>
        <v>6.6708365246683989</v>
      </c>
      <c r="P45">
        <f t="shared" si="0"/>
        <v>3.9</v>
      </c>
    </row>
    <row r="46" spans="1:16">
      <c r="L46">
        <f>RAVLT_Learning!M46</f>
        <v>-1.7506860712521699</v>
      </c>
      <c r="M46">
        <f>RAVLT_Learning!N46</f>
        <v>4</v>
      </c>
      <c r="O46">
        <f>ABS(L46-RAVLT_Learning!$C$34)</f>
        <v>6.6825607512786185</v>
      </c>
      <c r="P46">
        <f t="shared" si="0"/>
        <v>4</v>
      </c>
    </row>
    <row r="47" spans="1:16">
      <c r="L47">
        <f>RAVLT_Learning!M47</f>
        <v>-1.7391976652852501</v>
      </c>
      <c r="M47">
        <f>RAVLT_Learning!N47</f>
        <v>4.0999999999999996</v>
      </c>
      <c r="O47">
        <f>ABS(L47-RAVLT_Learning!$C$34)</f>
        <v>6.694049157245539</v>
      </c>
      <c r="P47">
        <f t="shared" si="0"/>
        <v>4.0999999999999996</v>
      </c>
    </row>
    <row r="48" spans="1:16">
      <c r="L48">
        <f>RAVLT_Learning!M48</f>
        <v>-1.72793432238842</v>
      </c>
      <c r="M48">
        <f>RAVLT_Learning!N48</f>
        <v>4.2</v>
      </c>
      <c r="O48">
        <f>ABS(L48-RAVLT_Learning!$C$34)</f>
        <v>6.7053125001423686</v>
      </c>
      <c r="P48">
        <f t="shared" si="0"/>
        <v>4.2</v>
      </c>
    </row>
    <row r="49" spans="12:16">
      <c r="L49">
        <f>RAVLT_Learning!M49</f>
        <v>-1.7168860184310399</v>
      </c>
      <c r="M49">
        <f>RAVLT_Learning!N49</f>
        <v>4.3</v>
      </c>
      <c r="O49">
        <f>ABS(L49-RAVLT_Learning!$C$34)</f>
        <v>6.7163608040997484</v>
      </c>
      <c r="P49">
        <f t="shared" si="0"/>
        <v>4.3</v>
      </c>
    </row>
    <row r="50" spans="12:16">
      <c r="L50">
        <f>RAVLT_Learning!M50</f>
        <v>-1.7060433968889599</v>
      </c>
      <c r="M50">
        <f>RAVLT_Learning!N50</f>
        <v>4.4000000000000004</v>
      </c>
      <c r="O50">
        <f>ABS(L50-RAVLT_Learning!$C$34)</f>
        <v>6.7272034256418287</v>
      </c>
      <c r="P50">
        <f t="shared" si="0"/>
        <v>4.4000000000000004</v>
      </c>
    </row>
    <row r="51" spans="12:16">
      <c r="L51">
        <f>RAVLT_Learning!M51</f>
        <v>-1.69539771027214</v>
      </c>
      <c r="M51">
        <f>RAVLT_Learning!N51</f>
        <v>4.5</v>
      </c>
      <c r="O51">
        <f>ABS(L51-RAVLT_Learning!$C$34)</f>
        <v>6.7378491122586492</v>
      </c>
      <c r="P51">
        <f t="shared" si="0"/>
        <v>4.5</v>
      </c>
    </row>
    <row r="52" spans="12:16">
      <c r="L52">
        <f>RAVLT_Learning!M52</f>
        <v>-1.6849407678719099</v>
      </c>
      <c r="M52">
        <f>RAVLT_Learning!N52</f>
        <v>4.5999999999999996</v>
      </c>
      <c r="O52">
        <f>ABS(L52-RAVLT_Learning!$C$34)</f>
        <v>6.7483060546588787</v>
      </c>
      <c r="P52">
        <f t="shared" si="0"/>
        <v>4.5999999999999996</v>
      </c>
    </row>
    <row r="53" spans="12:16">
      <c r="L53">
        <f>RAVLT_Learning!M53</f>
        <v>-1.6746648890243301</v>
      </c>
      <c r="M53">
        <f>RAVLT_Learning!N53</f>
        <v>4.7</v>
      </c>
      <c r="O53">
        <f>ABS(L53-RAVLT_Learning!$C$34)</f>
        <v>6.7585819335064592</v>
      </c>
      <c r="P53">
        <f t="shared" si="0"/>
        <v>4.7</v>
      </c>
    </row>
    <row r="54" spans="12:16">
      <c r="L54">
        <f>RAVLT_Learning!M54</f>
        <v>-1.6645628612027199</v>
      </c>
      <c r="M54">
        <f>RAVLT_Learning!N54</f>
        <v>4.8</v>
      </c>
      <c r="O54">
        <f>ABS(L54-RAVLT_Learning!$C$34)</f>
        <v>6.7686839613280689</v>
      </c>
      <c r="P54">
        <f t="shared" si="0"/>
        <v>4.8</v>
      </c>
    </row>
    <row r="55" spans="12:16">
      <c r="L55">
        <f>RAVLT_Learning!M55</f>
        <v>-1.6546279023510799</v>
      </c>
      <c r="M55">
        <f>RAVLT_Learning!N55</f>
        <v>4.9000000000000004</v>
      </c>
      <c r="O55">
        <f>ABS(L55-RAVLT_Learning!$C$34)</f>
        <v>6.7786189201797091</v>
      </c>
      <c r="P55">
        <f t="shared" si="0"/>
        <v>4.9000000000000004</v>
      </c>
    </row>
    <row r="56" spans="12:16">
      <c r="L56">
        <f>RAVLT_Learning!M56</f>
        <v>-1.64485362695147</v>
      </c>
      <c r="M56">
        <f>RAVLT_Learning!N56</f>
        <v>5</v>
      </c>
      <c r="O56">
        <f>ABS(L56-RAVLT_Learning!$C$34)</f>
        <v>6.7883931955793191</v>
      </c>
      <c r="P56">
        <f t="shared" si="0"/>
        <v>5</v>
      </c>
    </row>
    <row r="57" spans="12:16">
      <c r="L57">
        <f>RAVLT_Learning!M57</f>
        <v>-1.63523401538865</v>
      </c>
      <c r="M57">
        <f>RAVLT_Learning!N57</f>
        <v>5.0999999999999996</v>
      </c>
      <c r="O57">
        <f>ABS(L57-RAVLT_Learning!$C$34)</f>
        <v>6.7980128071421388</v>
      </c>
      <c r="P57">
        <f t="shared" si="0"/>
        <v>5.0999999999999996</v>
      </c>
    </row>
    <row r="58" spans="12:16">
      <c r="L58">
        <f>RAVLT_Learning!M58</f>
        <v>-1.6257633862332299</v>
      </c>
      <c r="M58">
        <f>RAVLT_Learning!N58</f>
        <v>5.2</v>
      </c>
      <c r="O58">
        <f>ABS(L58-RAVLT_Learning!$C$34)</f>
        <v>6.8074834362975594</v>
      </c>
      <c r="P58">
        <f t="shared" si="0"/>
        <v>5.2</v>
      </c>
    </row>
    <row r="59" spans="12:16">
      <c r="L59">
        <f>RAVLT_Learning!M59</f>
        <v>-1.61643637111502</v>
      </c>
      <c r="M59">
        <f>RAVLT_Learning!N59</f>
        <v>5.3</v>
      </c>
      <c r="O59">
        <f>ABS(L59-RAVLT_Learning!$C$34)</f>
        <v>6.816810451415769</v>
      </c>
      <c r="P59">
        <f t="shared" si="0"/>
        <v>5.3</v>
      </c>
    </row>
    <row r="60" spans="12:16">
      <c r="L60">
        <f>RAVLT_Learning!M60</f>
        <v>-1.60724789190022</v>
      </c>
      <c r="M60">
        <f>RAVLT_Learning!N60</f>
        <v>5.4</v>
      </c>
      <c r="O60">
        <f>ABS(L60-RAVLT_Learning!$C$34)</f>
        <v>6.8259989306305684</v>
      </c>
      <c r="P60">
        <f t="shared" si="0"/>
        <v>5.4</v>
      </c>
    </row>
    <row r="61" spans="12:16">
      <c r="L61">
        <f>RAVLT_Learning!M61</f>
        <v>-1.59819313992282</v>
      </c>
      <c r="M61">
        <f>RAVLT_Learning!N61</f>
        <v>5.5</v>
      </c>
      <c r="O61">
        <f>ABS(L61-RAVLT_Learning!$C$34)</f>
        <v>6.8350536826079686</v>
      </c>
      <c r="P61">
        <f t="shared" si="0"/>
        <v>5.5</v>
      </c>
    </row>
    <row r="62" spans="12:16">
      <c r="L62">
        <f>RAVLT_Learning!M62</f>
        <v>-1.5892675570513899</v>
      </c>
      <c r="M62">
        <f>RAVLT_Learning!N62</f>
        <v>5.6</v>
      </c>
      <c r="O62">
        <f>ABS(L62-RAVLT_Learning!$C$34)</f>
        <v>6.8439792654793994</v>
      </c>
      <c r="P62">
        <f t="shared" si="0"/>
        <v>5.6</v>
      </c>
    </row>
    <row r="63" spans="12:16">
      <c r="L63">
        <f>RAVLT_Learning!M63</f>
        <v>-1.58046681839936</v>
      </c>
      <c r="M63">
        <f>RAVLT_Learning!N63</f>
        <v>5.7</v>
      </c>
      <c r="O63">
        <f>ABS(L63-RAVLT_Learning!$C$34)</f>
        <v>6.8527800041314286</v>
      </c>
      <c r="P63">
        <f t="shared" si="0"/>
        <v>5.7</v>
      </c>
    </row>
    <row r="64" spans="12:16">
      <c r="L64">
        <f>RAVLT_Learning!M64</f>
        <v>-1.5717868165098601</v>
      </c>
      <c r="M64">
        <f>RAVLT_Learning!N64</f>
        <v>5.8</v>
      </c>
      <c r="O64">
        <f>ABS(L64-RAVLT_Learning!$C$34)</f>
        <v>6.8614600060209288</v>
      </c>
      <c r="P64">
        <f t="shared" si="0"/>
        <v>5.8</v>
      </c>
    </row>
    <row r="65" spans="12:16">
      <c r="L65">
        <f>RAVLT_Learning!M65</f>
        <v>-1.5632236468662799</v>
      </c>
      <c r="M65">
        <f>RAVLT_Learning!N65</f>
        <v>5.9</v>
      </c>
      <c r="O65">
        <f>ABS(L65-RAVLT_Learning!$C$34)</f>
        <v>6.8700231756645085</v>
      </c>
      <c r="P65">
        <f t="shared" si="0"/>
        <v>5.9</v>
      </c>
    </row>
    <row r="66" spans="12:16">
      <c r="L66">
        <f>RAVLT_Learning!M66</f>
        <v>-1.5547735945968499</v>
      </c>
      <c r="M66">
        <f>RAVLT_Learning!N66</f>
        <v>6</v>
      </c>
      <c r="O66">
        <f>ABS(L66-RAVLT_Learning!$C$34)</f>
        <v>6.8784732279339389</v>
      </c>
      <c r="P66">
        <f t="shared" si="0"/>
        <v>6</v>
      </c>
    </row>
    <row r="67" spans="12:16">
      <c r="L67">
        <f>RAVLT_Learning!M67</f>
        <v>-1.54643312225675</v>
      </c>
      <c r="M67">
        <f>RAVLT_Learning!N67</f>
        <v>6.1</v>
      </c>
      <c r="O67">
        <f>ABS(L67-RAVLT_Learning!$C$34)</f>
        <v>6.8868137002740388</v>
      </c>
      <c r="P67">
        <f t="shared" si="0"/>
        <v>6.1</v>
      </c>
    </row>
    <row r="68" spans="12:16">
      <c r="L68">
        <f>RAVLT_Learning!M68</f>
        <v>-1.53819885858406</v>
      </c>
      <c r="M68">
        <f>RAVLT_Learning!N68</f>
        <v>6.2</v>
      </c>
      <c r="O68">
        <f>ABS(L68-RAVLT_Learning!$C$34)</f>
        <v>6.8950479639467286</v>
      </c>
      <c r="P68">
        <f t="shared" si="0"/>
        <v>6.2</v>
      </c>
    </row>
    <row r="69" spans="12:16">
      <c r="L69">
        <f>RAVLT_Learning!M69</f>
        <v>-1.5300675881378301</v>
      </c>
      <c r="M69">
        <f>RAVLT_Learning!N69</f>
        <v>6.3</v>
      </c>
      <c r="O69">
        <f>ABS(L69-RAVLT_Learning!$C$34)</f>
        <v>6.903179234392959</v>
      </c>
      <c r="P69">
        <f t="shared" si="0"/>
        <v>6.3</v>
      </c>
    </row>
    <row r="70" spans="12:16">
      <c r="L70">
        <f>RAVLT_Learning!M70</f>
        <v>-1.5220362417358599</v>
      </c>
      <c r="M70">
        <f>RAVLT_Learning!N70</f>
        <v>6.4</v>
      </c>
      <c r="O70">
        <f>ABS(L70-RAVLT_Learning!$C$34)</f>
        <v>6.9112105807949291</v>
      </c>
      <c r="P70">
        <f t="shared" si="0"/>
        <v>6.4</v>
      </c>
    </row>
    <row r="71" spans="12:16">
      <c r="L71">
        <f>RAVLT_Learning!M71</f>
        <v>-1.51410188761928</v>
      </c>
      <c r="M71">
        <f>RAVLT_Learning!N71</f>
        <v>6.5</v>
      </c>
      <c r="O71">
        <f>ABS(L71-RAVLT_Learning!$C$34)</f>
        <v>6.9191449349115093</v>
      </c>
      <c r="P71">
        <f t="shared" ref="P71:P104" si="2">M71</f>
        <v>6.5</v>
      </c>
    </row>
    <row r="72" spans="12:16">
      <c r="L72">
        <f>RAVLT_Learning!M72</f>
        <v>-1.50626172327824</v>
      </c>
      <c r="M72">
        <f>RAVLT_Learning!N72</f>
        <v>6.6</v>
      </c>
      <c r="O72">
        <f>ABS(L72-RAVLT_Learning!$C$34)</f>
        <v>6.9269850992525486</v>
      </c>
      <c r="P72">
        <f t="shared" si="2"/>
        <v>6.6</v>
      </c>
    </row>
    <row r="73" spans="12:16">
      <c r="L73">
        <f>RAVLT_Learning!M73</f>
        <v>-1.4985130678799801</v>
      </c>
      <c r="M73">
        <f>RAVLT_Learning!N73</f>
        <v>6.7</v>
      </c>
      <c r="O73">
        <f>ABS(L73-RAVLT_Learning!$C$34)</f>
        <v>6.934733754650809</v>
      </c>
      <c r="P73">
        <f t="shared" si="2"/>
        <v>6.7</v>
      </c>
    </row>
    <row r="74" spans="12:16">
      <c r="L74">
        <f>RAVLT_Learning!M74</f>
        <v>-1.4908533552466601</v>
      </c>
      <c r="M74">
        <f>RAVLT_Learning!N74</f>
        <v>6.8</v>
      </c>
      <c r="O74">
        <f>ABS(L74-RAVLT_Learning!$C$34)</f>
        <v>6.9423934672841288</v>
      </c>
      <c r="P74">
        <f t="shared" si="2"/>
        <v>6.8</v>
      </c>
    </row>
    <row r="75" spans="12:16">
      <c r="L75">
        <f>RAVLT_Learning!M75</f>
        <v>-1.48328012733562</v>
      </c>
      <c r="M75">
        <f>RAVLT_Learning!N75</f>
        <v>6.9</v>
      </c>
      <c r="O75">
        <f>ABS(L75-RAVLT_Learning!$C$34)</f>
        <v>6.9499666951951689</v>
      </c>
      <c r="P75">
        <f t="shared" si="2"/>
        <v>6.9</v>
      </c>
    </row>
    <row r="76" spans="12:16">
      <c r="L76">
        <f>RAVLT_Learning!M76</f>
        <v>-1.47579102817917</v>
      </c>
      <c r="M76">
        <f>RAVLT_Learning!N76</f>
        <v>7</v>
      </c>
      <c r="O76">
        <f>ABS(L76-RAVLT_Learning!$C$34)</f>
        <v>6.9574557943516186</v>
      </c>
      <c r="P76">
        <f t="shared" si="2"/>
        <v>7</v>
      </c>
    </row>
    <row r="77" spans="12:16">
      <c r="L77">
        <f>RAVLT_Learning!M77</f>
        <v>-1.46838379824566</v>
      </c>
      <c r="M77">
        <f>RAVLT_Learning!N77</f>
        <v>7.1</v>
      </c>
      <c r="O77">
        <f>ABS(L77-RAVLT_Learning!$C$34)</f>
        <v>6.9648630242851288</v>
      </c>
      <c r="P77">
        <f t="shared" si="2"/>
        <v>7.1</v>
      </c>
    </row>
    <row r="78" spans="12:16">
      <c r="L78">
        <f>RAVLT_Learning!M78</f>
        <v>-1.46105626918691</v>
      </c>
      <c r="M78">
        <f>RAVLT_Learning!N78</f>
        <v>7.2</v>
      </c>
      <c r="O78">
        <f>ABS(L78-RAVLT_Learning!$C$34)</f>
        <v>6.9721905533438786</v>
      </c>
      <c r="P78">
        <f t="shared" si="2"/>
        <v>7.2</v>
      </c>
    </row>
    <row r="79" spans="12:16">
      <c r="L79">
        <f>RAVLT_Learning!M79</f>
        <v>-1.4538063589405701</v>
      </c>
      <c r="M79">
        <f>RAVLT_Learning!N79</f>
        <v>7.3</v>
      </c>
      <c r="O79">
        <f>ABS(L79-RAVLT_Learning!$C$34)</f>
        <v>6.979440463590219</v>
      </c>
      <c r="P79">
        <f t="shared" si="2"/>
        <v>7.3</v>
      </c>
    </row>
    <row r="80" spans="12:16">
      <c r="L80">
        <f>RAVLT_Learning!M80</f>
        <v>-1.4466320671589801</v>
      </c>
      <c r="M80">
        <f>RAVLT_Learning!N80</f>
        <v>7.4</v>
      </c>
      <c r="O80">
        <f>ABS(L80-RAVLT_Learning!$C$34)</f>
        <v>6.986614755371809</v>
      </c>
      <c r="P80">
        <f t="shared" si="2"/>
        <v>7.4</v>
      </c>
    </row>
    <row r="81" spans="12:16">
      <c r="L81">
        <f>RAVLT_Learning!M81</f>
        <v>-1.4395314709384599</v>
      </c>
      <c r="M81">
        <f>RAVLT_Learning!N81</f>
        <v>7.5</v>
      </c>
      <c r="O81">
        <f>ABS(L81-RAVLT_Learning!$C$34)</f>
        <v>6.9937153515923285</v>
      </c>
      <c r="P81">
        <f t="shared" si="2"/>
        <v>7.5</v>
      </c>
    </row>
    <row r="82" spans="12:16">
      <c r="L82">
        <f>RAVLT_Learning!M82</f>
        <v>-1.4325027208258101</v>
      </c>
      <c r="M82">
        <f>RAVLT_Learning!N82</f>
        <v>7.6</v>
      </c>
      <c r="O82">
        <f>ABS(L82-RAVLT_Learning!$C$34)</f>
        <v>7.0007441017049787</v>
      </c>
      <c r="P82">
        <f t="shared" si="2"/>
        <v>7.6</v>
      </c>
    </row>
    <row r="83" spans="12:16">
      <c r="L83">
        <f>RAVLT_Learning!M83</f>
        <v>-1.42554403708045</v>
      </c>
      <c r="M83">
        <f>RAVLT_Learning!N83</f>
        <v>7.7</v>
      </c>
      <c r="O83">
        <f>ABS(L83-RAVLT_Learning!$C$34)</f>
        <v>7.0077027854503386</v>
      </c>
      <c r="P83">
        <f t="shared" si="2"/>
        <v>7.7</v>
      </c>
    </row>
    <row r="84" spans="12:16">
      <c r="L84">
        <f>RAVLT_Learning!M84</f>
        <v>-1.41865370617274</v>
      </c>
      <c r="M84">
        <f>RAVLT_Learning!N84</f>
        <v>7.8</v>
      </c>
      <c r="O84">
        <f>ABS(L84-RAVLT_Learning!$C$34)</f>
        <v>7.0145931163580491</v>
      </c>
      <c r="P84">
        <f t="shared" si="2"/>
        <v>7.8</v>
      </c>
    </row>
    <row r="85" spans="12:16">
      <c r="L85">
        <f>RAVLT_Learning!M85</f>
        <v>-1.4118300775008099</v>
      </c>
      <c r="M85">
        <f>RAVLT_Learning!N85</f>
        <v>7.9</v>
      </c>
      <c r="O85">
        <f>ABS(L85-RAVLT_Learning!$C$34)</f>
        <v>7.0214167450299794</v>
      </c>
      <c r="P85">
        <f t="shared" si="2"/>
        <v>7.9</v>
      </c>
    </row>
    <row r="86" spans="12:16">
      <c r="L86">
        <f>RAVLT_Learning!M86</f>
        <v>-1.40507156030963</v>
      </c>
      <c r="M86">
        <f>RAVLT_Learning!N86</f>
        <v>8</v>
      </c>
      <c r="O86">
        <f>ABS(L86-RAVLT_Learning!$C$34)</f>
        <v>7.0281752622211586</v>
      </c>
      <c r="P86">
        <f t="shared" si="2"/>
        <v>8</v>
      </c>
    </row>
    <row r="87" spans="12:16">
      <c r="L87">
        <f>RAVLT_Learning!M87</f>
        <v>-1.3983766207974999</v>
      </c>
      <c r="M87">
        <f>RAVLT_Learning!N87</f>
        <v>8.1</v>
      </c>
      <c r="O87">
        <f>ABS(L87-RAVLT_Learning!$C$34)</f>
        <v>7.0348702017332894</v>
      </c>
      <c r="P87">
        <f t="shared" si="2"/>
        <v>8.1</v>
      </c>
    </row>
    <row r="88" spans="12:16">
      <c r="L88">
        <f>RAVLT_Learning!M88</f>
        <v>-1.3917437793963301</v>
      </c>
      <c r="M88">
        <f>RAVLT_Learning!N88</f>
        <v>8.1999999999999993</v>
      </c>
      <c r="O88">
        <f>ABS(L88-RAVLT_Learning!$C$34)</f>
        <v>7.0415030431344583</v>
      </c>
      <c r="P88">
        <f t="shared" si="2"/>
        <v>8.1999999999999993</v>
      </c>
    </row>
    <row r="89" spans="12:16">
      <c r="L89">
        <f>RAVLT_Learning!M89</f>
        <v>-1.38517160821344</v>
      </c>
      <c r="M89">
        <f>RAVLT_Learning!N89</f>
        <v>8.3000000000000007</v>
      </c>
      <c r="O89">
        <f>ABS(L89-RAVLT_Learning!$C$34)</f>
        <v>7.0480752143173486</v>
      </c>
      <c r="P89">
        <f t="shared" si="2"/>
        <v>8.3000000000000007</v>
      </c>
    </row>
    <row r="90" spans="12:16">
      <c r="L90">
        <f>RAVLT_Learning!M90</f>
        <v>-1.3786587286232801</v>
      </c>
      <c r="M90">
        <f>RAVLT_Learning!N90</f>
        <v>8.4</v>
      </c>
      <c r="O90">
        <f>ABS(L90-RAVLT_Learning!$C$34)</f>
        <v>7.0545880939075083</v>
      </c>
      <c r="P90">
        <f t="shared" si="2"/>
        <v>8.4</v>
      </c>
    </row>
    <row r="91" spans="12:16">
      <c r="L91">
        <f>RAVLT_Learning!M91</f>
        <v>-1.3722038089987301</v>
      </c>
      <c r="M91">
        <f>RAVLT_Learning!N91</f>
        <v>8.5</v>
      </c>
      <c r="O91">
        <f>ABS(L91-RAVLT_Learning!$C$34)</f>
        <v>7.0610430135320588</v>
      </c>
      <c r="P91">
        <f t="shared" si="2"/>
        <v>8.5</v>
      </c>
    </row>
    <row r="92" spans="12:16">
      <c r="L92">
        <f>RAVLT_Learning!M92</f>
        <v>-1.36580556257227</v>
      </c>
      <c r="M92">
        <f>RAVLT_Learning!N92</f>
        <v>8.6</v>
      </c>
      <c r="O92">
        <f>ABS(L92-RAVLT_Learning!$C$34)</f>
        <v>7.0674412599585192</v>
      </c>
      <c r="P92">
        <f t="shared" si="2"/>
        <v>8.6</v>
      </c>
    </row>
    <row r="93" spans="12:16">
      <c r="L93">
        <f>RAVLT_Learning!M93</f>
        <v>-1.35946274541826</v>
      </c>
      <c r="M93">
        <f>RAVLT_Learning!N93</f>
        <v>8.6999999999999993</v>
      </c>
      <c r="O93">
        <f>ABS(L93-RAVLT_Learning!$C$34)</f>
        <v>7.0737840771125287</v>
      </c>
      <c r="P93">
        <f t="shared" si="2"/>
        <v>8.6999999999999993</v>
      </c>
    </row>
    <row r="94" spans="12:16">
      <c r="L94">
        <f>RAVLT_Learning!M94</f>
        <v>-1.3531741545480001</v>
      </c>
      <c r="M94">
        <f>RAVLT_Learning!N94</f>
        <v>8.8000000000000007</v>
      </c>
      <c r="O94">
        <f>ABS(L94-RAVLT_Learning!$C$34)</f>
        <v>7.0800726679827886</v>
      </c>
      <c r="P94">
        <f t="shared" si="2"/>
        <v>8.8000000000000007</v>
      </c>
    </row>
    <row r="95" spans="12:16">
      <c r="L95">
        <f>RAVLT_Learning!M95</f>
        <v>-1.34693862611028</v>
      </c>
      <c r="M95">
        <f>RAVLT_Learning!N95</f>
        <v>8.9</v>
      </c>
      <c r="O95">
        <f>ABS(L95-RAVLT_Learning!$C$34)</f>
        <v>7.086308196420509</v>
      </c>
      <c r="P95">
        <f t="shared" si="2"/>
        <v>8.9</v>
      </c>
    </row>
    <row r="96" spans="12:16">
      <c r="L96">
        <f>RAVLT_Learning!M96</f>
        <v>-1.3407550336902201</v>
      </c>
      <c r="M96">
        <f>RAVLT_Learning!N96</f>
        <v>9</v>
      </c>
      <c r="O96">
        <f>ABS(L96-RAVLT_Learning!$C$34)</f>
        <v>7.0924917888405687</v>
      </c>
      <c r="P96">
        <f t="shared" si="2"/>
        <v>9</v>
      </c>
    </row>
    <row r="97" spans="12:16">
      <c r="L97">
        <f>RAVLT_Learning!M97</f>
        <v>-1.33462228670019</v>
      </c>
      <c r="M97">
        <f>RAVLT_Learning!N97</f>
        <v>9.1</v>
      </c>
      <c r="O97">
        <f>ABS(L97-RAVLT_Learning!$C$34)</f>
        <v>7.0986245358305986</v>
      </c>
      <c r="P97">
        <f t="shared" si="2"/>
        <v>9.1</v>
      </c>
    </row>
    <row r="98" spans="12:16">
      <c r="L98">
        <f>RAVLT_Learning!M98</f>
        <v>-1.3285393288568099</v>
      </c>
      <c r="M98">
        <f>RAVLT_Learning!N98</f>
        <v>9.1999999999999993</v>
      </c>
      <c r="O98">
        <f>ABS(L98-RAVLT_Learning!$C$34)</f>
        <v>7.1047074936739794</v>
      </c>
      <c r="P98">
        <f t="shared" si="2"/>
        <v>9.1999999999999993</v>
      </c>
    </row>
    <row r="99" spans="12:16">
      <c r="L99">
        <f>RAVLT_Learning!M99</f>
        <v>-1.3225051367384399</v>
      </c>
      <c r="M99">
        <f>RAVLT_Learning!N99</f>
        <v>9.3000000000000007</v>
      </c>
      <c r="O99">
        <f>ABS(L99-RAVLT_Learning!$C$34)</f>
        <v>7.1107416857923491</v>
      </c>
      <c r="P99">
        <f t="shared" si="2"/>
        <v>9.3000000000000007</v>
      </c>
    </row>
    <row r="100" spans="12:16">
      <c r="L100">
        <f>RAVLT_Learning!M100</f>
        <v>-1.3165187184182601</v>
      </c>
      <c r="M100">
        <f>RAVLT_Learning!N100</f>
        <v>9.4</v>
      </c>
      <c r="O100">
        <f>ABS(L100-RAVLT_Learning!$C$34)</f>
        <v>7.1167281041125285</v>
      </c>
      <c r="P100">
        <f t="shared" si="2"/>
        <v>9.4</v>
      </c>
    </row>
    <row r="101" spans="12:16">
      <c r="L101">
        <f>RAVLT_Learning!M101</f>
        <v>-1.3105791121681301</v>
      </c>
      <c r="M101">
        <f>RAVLT_Learning!N101</f>
        <v>9.5</v>
      </c>
      <c r="O101">
        <f>ABS(L101-RAVLT_Learning!$C$34)</f>
        <v>7.1226677103626592</v>
      </c>
      <c r="P101">
        <f t="shared" si="2"/>
        <v>9.5</v>
      </c>
    </row>
    <row r="102" spans="12:16">
      <c r="L102">
        <f>RAVLT_Learning!M102</f>
        <v>-1.3046853852287901</v>
      </c>
      <c r="M102">
        <f>RAVLT_Learning!N102</f>
        <v>9.6</v>
      </c>
      <c r="O102">
        <f>ABS(L102-RAVLT_Learning!$C$34)</f>
        <v>7.1285614373019985</v>
      </c>
      <c r="P102">
        <f t="shared" si="2"/>
        <v>9.6</v>
      </c>
    </row>
    <row r="103" spans="12:16">
      <c r="L103">
        <f>RAVLT_Learning!M103</f>
        <v>-1.29883663264251</v>
      </c>
      <c r="M103">
        <f>RAVLT_Learning!N103</f>
        <v>9.6999999999999993</v>
      </c>
      <c r="O103">
        <f>ABS(L103-RAVLT_Learning!$C$34)</f>
        <v>7.1344101898882784</v>
      </c>
      <c r="P103">
        <f t="shared" si="2"/>
        <v>9.6999999999999993</v>
      </c>
    </row>
    <row r="104" spans="12:16">
      <c r="L104">
        <f>RAVLT_Learning!M104</f>
        <v>-1.2930319761442399</v>
      </c>
      <c r="M104">
        <f>RAVLT_Learning!N104</f>
        <v>9.8000000000000007</v>
      </c>
      <c r="O104">
        <f>ABS(L104-RAVLT_Learning!$C$34)</f>
        <v>7.1402148463865487</v>
      </c>
      <c r="P104">
        <f t="shared" si="2"/>
        <v>9.8000000000000007</v>
      </c>
    </row>
    <row r="105" spans="12:16">
      <c r="L105">
        <f>RAVLT_Learning!M105</f>
        <v>-1.28727056310794</v>
      </c>
      <c r="M105">
        <f>RAVLT_Learning!N105</f>
        <v>9.9</v>
      </c>
      <c r="O105">
        <f>ABS(L105-RAVLT_Learning!$C$34)</f>
        <v>7.1459762594228486</v>
      </c>
      <c r="P105">
        <f t="shared" ref="P105:P168" si="3">M105</f>
        <v>9.9</v>
      </c>
    </row>
    <row r="106" spans="12:16">
      <c r="L106">
        <f>RAVLT_Learning!M106</f>
        <v>-1.2815515655445999</v>
      </c>
      <c r="M106">
        <f>RAVLT_Learning!N106</f>
        <v>10</v>
      </c>
      <c r="O106">
        <f>ABS(L106-RAVLT_Learning!$C$34)</f>
        <v>7.1516952569861889</v>
      </c>
      <c r="P106">
        <f t="shared" si="3"/>
        <v>10</v>
      </c>
    </row>
    <row r="107" spans="12:16">
      <c r="L107">
        <f>RAVLT_Learning!M107</f>
        <v>-1.2758741791491299</v>
      </c>
      <c r="M107">
        <f>RAVLT_Learning!N107</f>
        <v>10.1</v>
      </c>
      <c r="O107">
        <f>ABS(L107-RAVLT_Learning!$C$34)</f>
        <v>7.1573726433816587</v>
      </c>
      <c r="P107">
        <f t="shared" si="3"/>
        <v>10.1</v>
      </c>
    </row>
    <row r="108" spans="12:16">
      <c r="L108">
        <f>RAVLT_Learning!M108</f>
        <v>-1.27023762239315</v>
      </c>
      <c r="M108">
        <f>RAVLT_Learning!N108</f>
        <v>10.199999999999999</v>
      </c>
      <c r="O108">
        <f>ABS(L108-RAVLT_Learning!$C$34)</f>
        <v>7.1630092001376386</v>
      </c>
      <c r="P108">
        <f t="shared" si="3"/>
        <v>10.199999999999999</v>
      </c>
    </row>
    <row r="109" spans="12:16">
      <c r="L109">
        <f>RAVLT_Learning!M109</f>
        <v>-1.2646411356610801</v>
      </c>
      <c r="M109">
        <f>RAVLT_Learning!N109</f>
        <v>10.3</v>
      </c>
      <c r="O109">
        <f>ABS(L109-RAVLT_Learning!$C$34)</f>
        <v>7.168605686869709</v>
      </c>
      <c r="P109">
        <f t="shared" si="3"/>
        <v>10.3</v>
      </c>
    </row>
    <row r="110" spans="12:16">
      <c r="L110">
        <f>RAVLT_Learning!M110</f>
        <v>-1.2590839804270699</v>
      </c>
      <c r="M110">
        <f>RAVLT_Learning!N110</f>
        <v>10.4</v>
      </c>
      <c r="O110">
        <f>ABS(L110-RAVLT_Learning!$C$34)</f>
        <v>7.1741628421037191</v>
      </c>
      <c r="P110">
        <f t="shared" si="3"/>
        <v>10.4</v>
      </c>
    </row>
    <row r="111" spans="12:16">
      <c r="L111">
        <f>RAVLT_Learning!M111</f>
        <v>-1.25356543847045</v>
      </c>
      <c r="M111">
        <f>RAVLT_Learning!N111</f>
        <v>10.5</v>
      </c>
      <c r="O111">
        <f>ABS(L111-RAVLT_Learning!$C$34)</f>
        <v>7.1796813840603386</v>
      </c>
      <c r="P111">
        <f t="shared" si="3"/>
        <v>10.5</v>
      </c>
    </row>
    <row r="112" spans="12:16">
      <c r="L112">
        <f>RAVLT_Learning!M112</f>
        <v>-1.24808481112755</v>
      </c>
      <c r="M112">
        <f>RAVLT_Learning!N112</f>
        <v>10.6</v>
      </c>
      <c r="O112">
        <f>ABS(L112-RAVLT_Learning!$C$34)</f>
        <v>7.1851620114032393</v>
      </c>
      <c r="P112">
        <f t="shared" si="3"/>
        <v>10.6</v>
      </c>
    </row>
    <row r="113" spans="12:16">
      <c r="L113">
        <f>RAVLT_Learning!M113</f>
        <v>-1.24264141857788</v>
      </c>
      <c r="M113">
        <f>RAVLT_Learning!N113</f>
        <v>10.7</v>
      </c>
      <c r="O113">
        <f>ABS(L113-RAVLT_Learning!$C$34)</f>
        <v>7.190605403952909</v>
      </c>
      <c r="P113">
        <f t="shared" si="3"/>
        <v>10.7</v>
      </c>
    </row>
    <row r="114" spans="12:16">
      <c r="L114">
        <f>RAVLT_Learning!M114</f>
        <v>-1.23723459916283</v>
      </c>
      <c r="M114">
        <f>RAVLT_Learning!N114</f>
        <v>10.8</v>
      </c>
      <c r="O114">
        <f>ABS(L114-RAVLT_Learning!$C$34)</f>
        <v>7.1960122233679584</v>
      </c>
      <c r="P114">
        <f t="shared" si="3"/>
        <v>10.8</v>
      </c>
    </row>
    <row r="115" spans="12:16">
      <c r="L115">
        <f>RAVLT_Learning!M115</f>
        <v>-1.23186370873498</v>
      </c>
      <c r="M115">
        <f>RAVLT_Learning!N115</f>
        <v>10.9</v>
      </c>
      <c r="O115">
        <f>ABS(L115-RAVLT_Learning!$C$34)</f>
        <v>7.2013831137958091</v>
      </c>
      <c r="P115">
        <f t="shared" si="3"/>
        <v>10.9</v>
      </c>
    </row>
    <row r="116" spans="12:16">
      <c r="L116">
        <f>RAVLT_Learning!M116</f>
        <v>-1.22652812003661</v>
      </c>
      <c r="M116">
        <f>RAVLT_Learning!N116</f>
        <v>11</v>
      </c>
      <c r="O116">
        <f>ABS(L116-RAVLT_Learning!$C$34)</f>
        <v>7.2067187024941788</v>
      </c>
      <c r="P116">
        <f t="shared" si="3"/>
        <v>11</v>
      </c>
    </row>
    <row r="117" spans="12:16">
      <c r="L117">
        <f>RAVLT_Learning!M117</f>
        <v>-1.22122722210557</v>
      </c>
      <c r="M117">
        <f>RAVLT_Learning!N117</f>
        <v>11.1</v>
      </c>
      <c r="O117">
        <f>ABS(L117-RAVLT_Learning!$C$34)</f>
        <v>7.2120196004252186</v>
      </c>
      <c r="P117">
        <f t="shared" si="3"/>
        <v>11.1</v>
      </c>
    </row>
    <row r="118" spans="12:16">
      <c r="L118">
        <f>RAVLT_Learning!M118</f>
        <v>-1.2159604197073199</v>
      </c>
      <c r="M118">
        <f>RAVLT_Learning!N118</f>
        <v>11.2</v>
      </c>
      <c r="O118">
        <f>ABS(L118-RAVLT_Learning!$C$34)</f>
        <v>7.2172864028234684</v>
      </c>
      <c r="P118">
        <f t="shared" si="3"/>
        <v>11.2</v>
      </c>
    </row>
    <row r="119" spans="12:16">
      <c r="L119">
        <f>RAVLT_Learning!M119</f>
        <v>-1.2107271327916</v>
      </c>
      <c r="M119">
        <f>RAVLT_Learning!N119</f>
        <v>11.3</v>
      </c>
      <c r="O119">
        <f>ABS(L119-RAVLT_Learning!$C$34)</f>
        <v>7.2225196897391886</v>
      </c>
      <c r="P119">
        <f t="shared" si="3"/>
        <v>11.3</v>
      </c>
    </row>
    <row r="120" spans="12:16">
      <c r="L120">
        <f>RAVLT_Learning!M120</f>
        <v>-1.20552679597252</v>
      </c>
      <c r="M120">
        <f>RAVLT_Learning!N120</f>
        <v>11.4</v>
      </c>
      <c r="O120">
        <f>ABS(L120-RAVLT_Learning!$C$34)</f>
        <v>7.2277200265582691</v>
      </c>
      <c r="P120">
        <f t="shared" si="3"/>
        <v>11.4</v>
      </c>
    </row>
    <row r="121" spans="12:16">
      <c r="L121">
        <f>RAVLT_Learning!M121</f>
        <v>-1.20035885803086</v>
      </c>
      <c r="M121">
        <f>RAVLT_Learning!N121</f>
        <v>11.5</v>
      </c>
      <c r="O121">
        <f>ABS(L121-RAVLT_Learning!$C$34)</f>
        <v>7.2328879644999287</v>
      </c>
      <c r="P121">
        <f t="shared" si="3"/>
        <v>11.5</v>
      </c>
    </row>
    <row r="122" spans="12:16">
      <c r="L122">
        <f>RAVLT_Learning!M122</f>
        <v>-1.1952227814374301</v>
      </c>
      <c r="M122">
        <f>RAVLT_Learning!N122</f>
        <v>11.6</v>
      </c>
      <c r="O122">
        <f>ABS(L122-RAVLT_Learning!$C$34)</f>
        <v>7.2380240410933592</v>
      </c>
      <c r="P122">
        <f t="shared" si="3"/>
        <v>11.6</v>
      </c>
    </row>
    <row r="123" spans="12:16">
      <c r="L123">
        <f>RAVLT_Learning!M123</f>
        <v>-1.1901180418964199</v>
      </c>
      <c r="M123">
        <f>RAVLT_Learning!N123</f>
        <v>11.7</v>
      </c>
      <c r="O123">
        <f>ABS(L123-RAVLT_Learning!$C$34)</f>
        <v>7.2431287806343692</v>
      </c>
      <c r="P123">
        <f t="shared" si="3"/>
        <v>11.7</v>
      </c>
    </row>
    <row r="124" spans="12:16">
      <c r="L124">
        <f>RAVLT_Learning!M124</f>
        <v>-1.1850441279078101</v>
      </c>
      <c r="M124">
        <f>RAVLT_Learning!N124</f>
        <v>11.8</v>
      </c>
      <c r="O124">
        <f>ABS(L124-RAVLT_Learning!$C$34)</f>
        <v>7.2482026946229787</v>
      </c>
      <c r="P124">
        <f t="shared" si="3"/>
        <v>11.8</v>
      </c>
    </row>
    <row r="125" spans="12:16">
      <c r="L125">
        <f>RAVLT_Learning!M125</f>
        <v>-1.1800005403477301</v>
      </c>
      <c r="M125">
        <f>RAVLT_Learning!N125</f>
        <v>11.9</v>
      </c>
      <c r="O125">
        <f>ABS(L125-RAVLT_Learning!$C$34)</f>
        <v>7.253246282183059</v>
      </c>
      <c r="P125">
        <f t="shared" si="3"/>
        <v>11.9</v>
      </c>
    </row>
    <row r="126" spans="12:16">
      <c r="L126">
        <f>RAVLT_Learning!M126</f>
        <v>-1.1749867920660899</v>
      </c>
      <c r="M126">
        <f>RAVLT_Learning!N126</f>
        <v>12</v>
      </c>
      <c r="O126">
        <f>ABS(L126-RAVLT_Learning!$C$34)</f>
        <v>7.2582600304646991</v>
      </c>
      <c r="P126">
        <f t="shared" si="3"/>
        <v>12</v>
      </c>
    </row>
    <row r="127" spans="12:16">
      <c r="L127">
        <f>RAVLT_Learning!M127</f>
        <v>-1.17000240750048</v>
      </c>
      <c r="M127">
        <f>RAVLT_Learning!N127</f>
        <v>12.1</v>
      </c>
      <c r="O127">
        <f>ABS(L127-RAVLT_Learning!$C$34)</f>
        <v>7.263244415030309</v>
      </c>
      <c r="P127">
        <f t="shared" si="3"/>
        <v>12.1</v>
      </c>
    </row>
    <row r="128" spans="12:16">
      <c r="L128">
        <f>RAVLT_Learning!M128</f>
        <v>-1.1650469223055999</v>
      </c>
      <c r="M128">
        <f>RAVLT_Learning!N128</f>
        <v>12.2</v>
      </c>
      <c r="O128">
        <f>ABS(L128-RAVLT_Learning!$C$34)</f>
        <v>7.2681999002251887</v>
      </c>
      <c r="P128">
        <f t="shared" si="3"/>
        <v>12.2</v>
      </c>
    </row>
    <row r="129" spans="12:16">
      <c r="L129">
        <f>RAVLT_Learning!M129</f>
        <v>-1.1601198829975199</v>
      </c>
      <c r="M129">
        <f>RAVLT_Learning!N129</f>
        <v>12.3</v>
      </c>
      <c r="O129">
        <f>ABS(L129-RAVLT_Learning!$C$34)</f>
        <v>7.2731269395332685</v>
      </c>
      <c r="P129">
        <f t="shared" si="3"/>
        <v>12.3</v>
      </c>
    </row>
    <row r="130" spans="12:16">
      <c r="L130">
        <f>RAVLT_Learning!M130</f>
        <v>-1.15522084661195</v>
      </c>
      <c r="M130">
        <f>RAVLT_Learning!N130</f>
        <v>12.4</v>
      </c>
      <c r="O130">
        <f>ABS(L130-RAVLT_Learning!$C$34)</f>
        <v>7.2780259759188386</v>
      </c>
      <c r="P130">
        <f t="shared" si="3"/>
        <v>12.4</v>
      </c>
    </row>
    <row r="131" spans="12:16">
      <c r="L131">
        <f>RAVLT_Learning!M131</f>
        <v>-1.1503493803760101</v>
      </c>
      <c r="M131">
        <f>RAVLT_Learning!N131</f>
        <v>12.5</v>
      </c>
      <c r="O131">
        <f>ABS(L131-RAVLT_Learning!$C$34)</f>
        <v>7.2828974421547787</v>
      </c>
      <c r="P131">
        <f t="shared" si="3"/>
        <v>12.5</v>
      </c>
    </row>
    <row r="132" spans="12:16">
      <c r="L132">
        <f>RAVLT_Learning!M132</f>
        <v>-1.1455050613927</v>
      </c>
      <c r="M132">
        <f>RAVLT_Learning!N132</f>
        <v>12.6</v>
      </c>
      <c r="O132">
        <f>ABS(L132-RAVLT_Learning!$C$34)</f>
        <v>7.287741761138089</v>
      </c>
      <c r="P132">
        <f t="shared" si="3"/>
        <v>12.6</v>
      </c>
    </row>
    <row r="133" spans="12:16">
      <c r="L133">
        <f>RAVLT_Learning!M133</f>
        <v>-1.14068747633762</v>
      </c>
      <c r="M133">
        <f>RAVLT_Learning!N133</f>
        <v>12.7</v>
      </c>
      <c r="O133">
        <f>ABS(L133-RAVLT_Learning!$C$34)</f>
        <v>7.292559346193169</v>
      </c>
      <c r="P133">
        <f t="shared" si="3"/>
        <v>12.7</v>
      </c>
    </row>
    <row r="134" spans="12:16">
      <c r="L134">
        <f>RAVLT_Learning!M134</f>
        <v>-1.13589622116731</v>
      </c>
      <c r="M134">
        <f>RAVLT_Learning!N134</f>
        <v>12.8</v>
      </c>
      <c r="O134">
        <f>ABS(L134-RAVLT_Learning!$C$34)</f>
        <v>7.2973506013634788</v>
      </c>
      <c r="P134">
        <f t="shared" si="3"/>
        <v>12.8</v>
      </c>
    </row>
    <row r="135" spans="12:16">
      <c r="L135">
        <f>RAVLT_Learning!M135</f>
        <v>-1.1311309008386301</v>
      </c>
      <c r="M135">
        <f>RAVLT_Learning!N135</f>
        <v>12.9</v>
      </c>
      <c r="O135">
        <f>ABS(L135-RAVLT_Learning!$C$34)</f>
        <v>7.3021159216921587</v>
      </c>
      <c r="P135">
        <f t="shared" si="3"/>
        <v>12.9</v>
      </c>
    </row>
    <row r="136" spans="12:16">
      <c r="L136">
        <f>RAVLT_Learning!M136</f>
        <v>-1.1263911290388</v>
      </c>
      <c r="M136">
        <f>RAVLT_Learning!N136</f>
        <v>13</v>
      </c>
      <c r="O136">
        <f>ABS(L136-RAVLT_Learning!$C$34)</f>
        <v>7.3068556934919888</v>
      </c>
      <c r="P136">
        <f t="shared" si="3"/>
        <v>13</v>
      </c>
    </row>
    <row r="137" spans="12:16">
      <c r="L137">
        <f>RAVLT_Learning!M137</f>
        <v>-1.1216765279254901</v>
      </c>
      <c r="M137">
        <f>RAVLT_Learning!N137</f>
        <v>13.1</v>
      </c>
      <c r="O137">
        <f>ABS(L137-RAVLT_Learning!$C$34)</f>
        <v>7.3115702946052989</v>
      </c>
      <c r="P137">
        <f t="shared" si="3"/>
        <v>13.1</v>
      </c>
    </row>
    <row r="138" spans="12:16">
      <c r="L138">
        <f>RAVLT_Learning!M138</f>
        <v>-1.1169867278766099</v>
      </c>
      <c r="M138">
        <f>RAVLT_Learning!N138</f>
        <v>13.2</v>
      </c>
      <c r="O138">
        <f>ABS(L138-RAVLT_Learning!$C$34)</f>
        <v>7.3162600946541794</v>
      </c>
      <c r="P138">
        <f t="shared" si="3"/>
        <v>13.2</v>
      </c>
    </row>
    <row r="139" spans="12:16">
      <c r="L139">
        <f>RAVLT_Learning!M139</f>
        <v>-1.11232136724931</v>
      </c>
      <c r="M139">
        <f>RAVLT_Learning!N139</f>
        <v>13.3</v>
      </c>
      <c r="O139">
        <f>ABS(L139-RAVLT_Learning!$C$34)</f>
        <v>7.3209254552814791</v>
      </c>
      <c r="P139">
        <f t="shared" si="3"/>
        <v>13.3</v>
      </c>
    </row>
    <row r="140" spans="12:16">
      <c r="L140">
        <f>RAVLT_Learning!M140</f>
        <v>-1.1076800921478001</v>
      </c>
      <c r="M140">
        <f>RAVLT_Learning!N140</f>
        <v>13.4</v>
      </c>
      <c r="O140">
        <f>ABS(L140-RAVLT_Learning!$C$34)</f>
        <v>7.325566730382989</v>
      </c>
      <c r="P140">
        <f t="shared" si="3"/>
        <v>13.4</v>
      </c>
    </row>
    <row r="141" spans="12:16">
      <c r="L141">
        <f>RAVLT_Learning!M141</f>
        <v>-1.1030625561995999</v>
      </c>
      <c r="M141">
        <f>RAVLT_Learning!N141</f>
        <v>13.5</v>
      </c>
      <c r="O141">
        <f>ABS(L141-RAVLT_Learning!$C$34)</f>
        <v>7.3301842663311891</v>
      </c>
      <c r="P141">
        <f t="shared" si="3"/>
        <v>13.5</v>
      </c>
    </row>
    <row r="142" spans="12:16">
      <c r="L142">
        <f>RAVLT_Learning!M142</f>
        <v>-1.09846842033986</v>
      </c>
      <c r="M142">
        <f>RAVLT_Learning!N142</f>
        <v>13.6</v>
      </c>
      <c r="O142">
        <f>ABS(L142-RAVLT_Learning!$C$34)</f>
        <v>7.3347784021909286</v>
      </c>
      <c r="P142">
        <f t="shared" si="3"/>
        <v>13.6</v>
      </c>
    </row>
    <row r="143" spans="12:16">
      <c r="L143">
        <f>RAVLT_Learning!M143</f>
        <v>-1.0938973526034399</v>
      </c>
      <c r="M143">
        <f>RAVLT_Learning!N143</f>
        <v>13.7</v>
      </c>
      <c r="O143">
        <f>ABS(L143-RAVLT_Learning!$C$34)</f>
        <v>7.3393494699273489</v>
      </c>
      <c r="P143">
        <f t="shared" si="3"/>
        <v>13.7</v>
      </c>
    </row>
    <row r="144" spans="12:16">
      <c r="L144">
        <f>RAVLT_Learning!M144</f>
        <v>-1.0893490279242799</v>
      </c>
      <c r="M144">
        <f>RAVLT_Learning!N144</f>
        <v>13.8</v>
      </c>
      <c r="O144">
        <f>ABS(L144-RAVLT_Learning!$C$34)</f>
        <v>7.3438977946065087</v>
      </c>
      <c r="P144">
        <f t="shared" si="3"/>
        <v>13.8</v>
      </c>
    </row>
    <row r="145" spans="12:16">
      <c r="L145">
        <f>RAVLT_Learning!M145</f>
        <v>-1.08482312794196</v>
      </c>
      <c r="M145">
        <f>RAVLT_Learning!N145</f>
        <v>13.9</v>
      </c>
      <c r="O145">
        <f>ABS(L145-RAVLT_Learning!$C$34)</f>
        <v>7.3484236945888286</v>
      </c>
      <c r="P145">
        <f t="shared" si="3"/>
        <v>13.9</v>
      </c>
    </row>
    <row r="146" spans="12:16">
      <c r="L146">
        <f>RAVLT_Learning!M146</f>
        <v>-1.0803193408149601</v>
      </c>
      <c r="M146">
        <f>RAVLT_Learning!N146</f>
        <v>14</v>
      </c>
      <c r="O146">
        <f>ABS(L146-RAVLT_Learning!$C$34)</f>
        <v>7.3529274817158292</v>
      </c>
      <c r="P146">
        <f t="shared" si="3"/>
        <v>14</v>
      </c>
    </row>
    <row r="147" spans="12:16">
      <c r="L147">
        <f>RAVLT_Learning!M147</f>
        <v>-1.0758373610404299</v>
      </c>
      <c r="M147">
        <f>RAVLT_Learning!N147</f>
        <v>14.1</v>
      </c>
      <c r="O147">
        <f>ABS(L147-RAVLT_Learning!$C$34)</f>
        <v>7.3574094614903593</v>
      </c>
      <c r="P147">
        <f t="shared" si="3"/>
        <v>14.1</v>
      </c>
    </row>
    <row r="148" spans="12:16">
      <c r="L148">
        <f>RAVLT_Learning!M148</f>
        <v>-1.07137688928021</v>
      </c>
      <c r="M148">
        <f>RAVLT_Learning!N148</f>
        <v>14.2</v>
      </c>
      <c r="O148">
        <f>ABS(L148-RAVLT_Learning!$C$34)</f>
        <v>7.3618699332505786</v>
      </c>
      <c r="P148">
        <f t="shared" si="3"/>
        <v>14.2</v>
      </c>
    </row>
    <row r="149" spans="12:16">
      <c r="L149">
        <f>RAVLT_Learning!M149</f>
        <v>-1.0669376321927699</v>
      </c>
      <c r="M149">
        <f>RAVLT_Learning!N149</f>
        <v>14.3</v>
      </c>
      <c r="O149">
        <f>ABS(L149-RAVLT_Learning!$C$34)</f>
        <v>7.3663091903380185</v>
      </c>
      <c r="P149">
        <f t="shared" si="3"/>
        <v>14.3</v>
      </c>
    </row>
    <row r="150" spans="12:16">
      <c r="L150">
        <f>RAVLT_Learning!M150</f>
        <v>-1.0625193022708701</v>
      </c>
      <c r="M150">
        <f>RAVLT_Learning!N150</f>
        <v>14.4</v>
      </c>
      <c r="O150">
        <f>ABS(L150-RAVLT_Learning!$C$34)</f>
        <v>7.3707275202599192</v>
      </c>
      <c r="P150">
        <f t="shared" si="3"/>
        <v>14.4</v>
      </c>
    </row>
    <row r="151" spans="12:16">
      <c r="L151">
        <f>RAVLT_Learning!M151</f>
        <v>-1.0581216176847801</v>
      </c>
      <c r="M151">
        <f>RAVLT_Learning!N151</f>
        <v>14.5</v>
      </c>
      <c r="O151">
        <f>ABS(L151-RAVLT_Learning!$C$34)</f>
        <v>7.3751252048460092</v>
      </c>
      <c r="P151">
        <f t="shared" si="3"/>
        <v>14.5</v>
      </c>
    </row>
    <row r="152" spans="12:16">
      <c r="L152">
        <f>RAVLT_Learning!M152</f>
        <v>-1.0537443021306701</v>
      </c>
      <c r="M152">
        <f>RAVLT_Learning!N152</f>
        <v>14.6</v>
      </c>
      <c r="O152">
        <f>ABS(L152-RAVLT_Learning!$C$34)</f>
        <v>7.379502520400119</v>
      </c>
      <c r="P152">
        <f t="shared" si="3"/>
        <v>14.6</v>
      </c>
    </row>
    <row r="153" spans="12:16">
      <c r="L153">
        <f>RAVLT_Learning!M153</f>
        <v>-1.0493870846841</v>
      </c>
      <c r="M153">
        <f>RAVLT_Learning!N153</f>
        <v>14.7</v>
      </c>
      <c r="O153">
        <f>ABS(L153-RAVLT_Learning!$C$34)</f>
        <v>7.3838597378466888</v>
      </c>
      <c r="P153">
        <f t="shared" si="3"/>
        <v>14.7</v>
      </c>
    </row>
    <row r="154" spans="12:16">
      <c r="L154">
        <f>RAVLT_Learning!M154</f>
        <v>-1.04504969965839</v>
      </c>
      <c r="M154">
        <f>RAVLT_Learning!N154</f>
        <v>14.8</v>
      </c>
      <c r="O154">
        <f>ABS(L154-RAVLT_Learning!$C$34)</f>
        <v>7.3881971228723984</v>
      </c>
      <c r="P154">
        <f t="shared" si="3"/>
        <v>14.8</v>
      </c>
    </row>
    <row r="155" spans="12:16">
      <c r="L155">
        <f>RAVLT_Learning!M155</f>
        <v>-1.0407318864675399</v>
      </c>
      <c r="M155">
        <f>RAVLT_Learning!N155</f>
        <v>14.9</v>
      </c>
      <c r="O155">
        <f>ABS(L155-RAVLT_Learning!$C$34)</f>
        <v>7.3925149360632485</v>
      </c>
      <c r="P155">
        <f t="shared" si="3"/>
        <v>14.9</v>
      </c>
    </row>
    <row r="156" spans="12:16">
      <c r="L156">
        <f>RAVLT_Learning!M156</f>
        <v>-1.03643338949379</v>
      </c>
      <c r="M156">
        <f>RAVLT_Learning!N156</f>
        <v>15</v>
      </c>
      <c r="O156">
        <f>ABS(L156-RAVLT_Learning!$C$34)</f>
        <v>7.396813433036999</v>
      </c>
      <c r="P156">
        <f t="shared" si="3"/>
        <v>15</v>
      </c>
    </row>
    <row r="157" spans="12:16">
      <c r="L157">
        <f>RAVLT_Learning!M157</f>
        <v>-1.03215395795931</v>
      </c>
      <c r="M157">
        <f>RAVLT_Learning!N157</f>
        <v>15.1</v>
      </c>
      <c r="O157">
        <f>ABS(L157-RAVLT_Learning!$C$34)</f>
        <v>7.4010928645714786</v>
      </c>
      <c r="P157">
        <f t="shared" si="3"/>
        <v>15.1</v>
      </c>
    </row>
    <row r="158" spans="12:16">
      <c r="L158">
        <f>RAVLT_Learning!M158</f>
        <v>-1.02789334580214</v>
      </c>
      <c r="M158">
        <f>RAVLT_Learning!N158</f>
        <v>15.2</v>
      </c>
      <c r="O158">
        <f>ABS(L158-RAVLT_Learning!$C$34)</f>
        <v>7.4053534767286493</v>
      </c>
      <c r="P158">
        <f t="shared" si="3"/>
        <v>15.2</v>
      </c>
    </row>
    <row r="159" spans="12:16">
      <c r="L159">
        <f>RAVLT_Learning!M159</f>
        <v>-1.0236513115560899</v>
      </c>
      <c r="M159">
        <f>RAVLT_Learning!N159</f>
        <v>15.3</v>
      </c>
      <c r="O159">
        <f>ABS(L159-RAVLT_Learning!$C$34)</f>
        <v>7.4095955109746985</v>
      </c>
      <c r="P159">
        <f t="shared" si="3"/>
        <v>15.3</v>
      </c>
    </row>
    <row r="160" spans="12:16">
      <c r="L160">
        <f>RAVLT_Learning!M160</f>
        <v>-1.01942761823437</v>
      </c>
      <c r="M160">
        <f>RAVLT_Learning!N160</f>
        <v>15.4</v>
      </c>
      <c r="O160">
        <f>ABS(L160-RAVLT_Learning!$C$34)</f>
        <v>7.4138192042964191</v>
      </c>
      <c r="P160">
        <f t="shared" si="3"/>
        <v>15.4</v>
      </c>
    </row>
    <row r="161" spans="12:16">
      <c r="L161">
        <f>RAVLT_Learning!M161</f>
        <v>-1.0152220332170301</v>
      </c>
      <c r="M161">
        <f>RAVLT_Learning!N161</f>
        <v>15.5</v>
      </c>
      <c r="O161">
        <f>ABS(L161-RAVLT_Learning!$C$34)</f>
        <v>7.4180247893137583</v>
      </c>
      <c r="P161">
        <f t="shared" si="3"/>
        <v>15.5</v>
      </c>
    </row>
    <row r="162" spans="12:16">
      <c r="L162">
        <f>RAVLT_Learning!M162</f>
        <v>-1.0110343281418199</v>
      </c>
      <c r="M162">
        <f>RAVLT_Learning!N162</f>
        <v>15.6</v>
      </c>
      <c r="O162">
        <f>ABS(L162-RAVLT_Learning!$C$34)</f>
        <v>7.4222124943889689</v>
      </c>
      <c r="P162">
        <f t="shared" si="3"/>
        <v>15.6</v>
      </c>
    </row>
    <row r="163" spans="12:16">
      <c r="L163">
        <f>RAVLT_Learning!M163</f>
        <v>-1.00686427879852</v>
      </c>
      <c r="M163">
        <f>RAVLT_Learning!N163</f>
        <v>15.7</v>
      </c>
      <c r="O163">
        <f>ABS(L163-RAVLT_Learning!$C$34)</f>
        <v>7.4263825437322684</v>
      </c>
      <c r="P163">
        <f t="shared" si="3"/>
        <v>15.7</v>
      </c>
    </row>
    <row r="164" spans="12:16">
      <c r="L164">
        <f>RAVLT_Learning!M164</f>
        <v>-1.00271166502655</v>
      </c>
      <c r="M164">
        <f>RAVLT_Learning!N164</f>
        <v>15.8</v>
      </c>
      <c r="O164">
        <f>ABS(L164-RAVLT_Learning!$C$34)</f>
        <v>7.4305351575042389</v>
      </c>
      <c r="P164">
        <f t="shared" si="3"/>
        <v>15.8</v>
      </c>
    </row>
    <row r="165" spans="12:16">
      <c r="L165">
        <f>RAVLT_Learning!M165</f>
        <v>-0.99857627061566001</v>
      </c>
      <c r="M165">
        <f>RAVLT_Learning!N165</f>
        <v>15.9</v>
      </c>
      <c r="O165">
        <f>ABS(L165-RAVLT_Learning!$C$34)</f>
        <v>7.4346705519151293</v>
      </c>
      <c r="P165">
        <f t="shared" si="3"/>
        <v>15.9</v>
      </c>
    </row>
    <row r="166" spans="12:16">
      <c r="L166">
        <f>RAVLT_Learning!M166</f>
        <v>-0.99445788320975304</v>
      </c>
      <c r="M166">
        <f>RAVLT_Learning!N166</f>
        <v>16</v>
      </c>
      <c r="O166">
        <f>ABS(L166-RAVLT_Learning!$C$34)</f>
        <v>7.4387889393210358</v>
      </c>
      <c r="P166">
        <f t="shared" si="3"/>
        <v>16</v>
      </c>
    </row>
    <row r="167" spans="12:16">
      <c r="L167">
        <f>RAVLT_Learning!M167</f>
        <v>-0.99035629421357496</v>
      </c>
      <c r="M167">
        <f>RAVLT_Learning!N167</f>
        <v>16.100000000000001</v>
      </c>
      <c r="O167">
        <f>ABS(L167-RAVLT_Learning!$C$34)</f>
        <v>7.4428905283172142</v>
      </c>
      <c r="P167">
        <f t="shared" si="3"/>
        <v>16.100000000000001</v>
      </c>
    </row>
    <row r="168" spans="12:16">
      <c r="L168">
        <f>RAVLT_Learning!M168</f>
        <v>-0.98627129870223795</v>
      </c>
      <c r="M168">
        <f>RAVLT_Learning!N168</f>
        <v>16.2</v>
      </c>
      <c r="O168">
        <f>ABS(L168-RAVLT_Learning!$C$34)</f>
        <v>7.4469755238285504</v>
      </c>
      <c r="P168">
        <f t="shared" si="3"/>
        <v>16.2</v>
      </c>
    </row>
    <row r="169" spans="12:16">
      <c r="L169">
        <f>RAVLT_Learning!M169</f>
        <v>-0.98220269533347004</v>
      </c>
      <c r="M169">
        <f>RAVLT_Learning!N169</f>
        <v>16.3</v>
      </c>
      <c r="O169">
        <f>ABS(L169-RAVLT_Learning!$C$34)</f>
        <v>7.4510441271973189</v>
      </c>
      <c r="P169">
        <f t="shared" ref="P169:P232" si="4">M169</f>
        <v>16.3</v>
      </c>
    </row>
    <row r="170" spans="12:16">
      <c r="L170">
        <f>RAVLT_Learning!M170</f>
        <v>-0.97815028626247102</v>
      </c>
      <c r="M170">
        <f>RAVLT_Learning!N170</f>
        <v>16.399999999999999</v>
      </c>
      <c r="O170">
        <f>ABS(L170-RAVLT_Learning!$C$34)</f>
        <v>7.4550965362683179</v>
      </c>
      <c r="P170">
        <f t="shared" si="4"/>
        <v>16.399999999999999</v>
      </c>
    </row>
    <row r="171" spans="12:16">
      <c r="L171">
        <f>RAVLT_Learning!M171</f>
        <v>-0.97411387705930896</v>
      </c>
      <c r="M171">
        <f>RAVLT_Learning!N171</f>
        <v>16.5</v>
      </c>
      <c r="O171">
        <f>ABS(L171-RAVLT_Learning!$C$34)</f>
        <v>7.4591329454714801</v>
      </c>
      <c r="P171">
        <f t="shared" si="4"/>
        <v>16.5</v>
      </c>
    </row>
    <row r="172" spans="12:16">
      <c r="L172">
        <f>RAVLT_Learning!M172</f>
        <v>-0.97009327662873701</v>
      </c>
      <c r="M172">
        <f>RAVLT_Learning!N172</f>
        <v>16.600000000000001</v>
      </c>
      <c r="O172">
        <f>ABS(L172-RAVLT_Learning!$C$34)</f>
        <v>7.4631535459020517</v>
      </c>
      <c r="P172">
        <f t="shared" si="4"/>
        <v>16.600000000000001</v>
      </c>
    </row>
    <row r="173" spans="12:16">
      <c r="L173">
        <f>RAVLT_Learning!M173</f>
        <v>-0.96608829713237299</v>
      </c>
      <c r="M173">
        <f>RAVLT_Learning!N173</f>
        <v>16.7</v>
      </c>
      <c r="O173">
        <f>ABS(L173-RAVLT_Learning!$C$34)</f>
        <v>7.4671585253984158</v>
      </c>
      <c r="P173">
        <f t="shared" si="4"/>
        <v>16.7</v>
      </c>
    </row>
    <row r="174" spans="12:16">
      <c r="L174">
        <f>RAVLT_Learning!M174</f>
        <v>-0.96209875391314204</v>
      </c>
      <c r="M174">
        <f>RAVLT_Learning!N174</f>
        <v>16.8</v>
      </c>
      <c r="O174">
        <f>ABS(L174-RAVLT_Learning!$C$34)</f>
        <v>7.471148068617647</v>
      </c>
      <c r="P174">
        <f t="shared" si="4"/>
        <v>16.8</v>
      </c>
    </row>
    <row r="175" spans="12:16">
      <c r="L175">
        <f>RAVLT_Learning!M175</f>
        <v>-0.95812446542190299</v>
      </c>
      <c r="M175">
        <f>RAVLT_Learning!N175</f>
        <v>16.899999999999999</v>
      </c>
      <c r="O175">
        <f>ABS(L175-RAVLT_Learning!$C$34)</f>
        <v>7.4751223571088854</v>
      </c>
      <c r="P175">
        <f t="shared" si="4"/>
        <v>16.899999999999999</v>
      </c>
    </row>
    <row r="176" spans="12:16">
      <c r="L176">
        <f>RAVLT_Learning!M176</f>
        <v>-0.95416525314619405</v>
      </c>
      <c r="M176">
        <f>RAVLT_Learning!N176</f>
        <v>17</v>
      </c>
      <c r="O176">
        <f>ABS(L176-RAVLT_Learning!$C$34)</f>
        <v>7.4790815693845945</v>
      </c>
      <c r="P176">
        <f t="shared" si="4"/>
        <v>17</v>
      </c>
    </row>
    <row r="177" spans="12:16">
      <c r="L177">
        <f>RAVLT_Learning!M177</f>
        <v>-0.950220941541015</v>
      </c>
      <c r="M177">
        <f>RAVLT_Learning!N177</f>
        <v>17.100000000000001</v>
      </c>
      <c r="O177">
        <f>ABS(L177-RAVLT_Learning!$C$34)</f>
        <v>7.4830258809897741</v>
      </c>
      <c r="P177">
        <f t="shared" si="4"/>
        <v>17.100000000000001</v>
      </c>
    </row>
    <row r="178" spans="12:16">
      <c r="L178">
        <f>RAVLT_Learning!M178</f>
        <v>-0.94629135796157604</v>
      </c>
      <c r="M178">
        <f>RAVLT_Learning!N178</f>
        <v>17.2</v>
      </c>
      <c r="O178">
        <f>ABS(L178-RAVLT_Learning!$C$34)</f>
        <v>7.4869554645692125</v>
      </c>
      <c r="P178">
        <f t="shared" si="4"/>
        <v>17.2</v>
      </c>
    </row>
    <row r="179" spans="12:16">
      <c r="L179">
        <f>RAVLT_Learning!M179</f>
        <v>-0.94237633259794995</v>
      </c>
      <c r="M179">
        <f>RAVLT_Learning!N179</f>
        <v>17.3</v>
      </c>
      <c r="O179">
        <f>ABS(L179-RAVLT_Learning!$C$34)</f>
        <v>7.4908704899328384</v>
      </c>
      <c r="P179">
        <f t="shared" si="4"/>
        <v>17.3</v>
      </c>
    </row>
    <row r="180" spans="12:16">
      <c r="L180">
        <f>RAVLT_Learning!M180</f>
        <v>-0.93847569841156797</v>
      </c>
      <c r="M180">
        <f>RAVLT_Learning!N180</f>
        <v>17.399999999999999</v>
      </c>
      <c r="O180">
        <f>ABS(L180-RAVLT_Learning!$C$34)</f>
        <v>7.4947711241192208</v>
      </c>
      <c r="P180">
        <f t="shared" si="4"/>
        <v>17.399999999999999</v>
      </c>
    </row>
    <row r="181" spans="12:16">
      <c r="L181">
        <f>RAVLT_Learning!M181</f>
        <v>-0.93458929107347999</v>
      </c>
      <c r="M181">
        <f>RAVLT_Learning!N181</f>
        <v>17.5</v>
      </c>
      <c r="O181">
        <f>ABS(L181-RAVLT_Learning!$C$34)</f>
        <v>7.498657531457309</v>
      </c>
      <c r="P181">
        <f t="shared" si="4"/>
        <v>17.5</v>
      </c>
    </row>
    <row r="182" spans="12:16">
      <c r="L182">
        <f>RAVLT_Learning!M182</f>
        <v>-0.93071694890433898</v>
      </c>
      <c r="M182">
        <f>RAVLT_Learning!N182</f>
        <v>17.600000000000001</v>
      </c>
      <c r="O182">
        <f>ABS(L182-RAVLT_Learning!$C$34)</f>
        <v>7.5025298736264503</v>
      </c>
      <c r="P182">
        <f t="shared" si="4"/>
        <v>17.600000000000001</v>
      </c>
    </row>
    <row r="183" spans="12:16">
      <c r="L183">
        <f>RAVLT_Learning!M183</f>
        <v>-0.92685851281604403</v>
      </c>
      <c r="M183">
        <f>RAVLT_Learning!N183</f>
        <v>17.7</v>
      </c>
      <c r="O183">
        <f>ABS(L183-RAVLT_Learning!$C$34)</f>
        <v>7.5063883097147448</v>
      </c>
      <c r="P183">
        <f t="shared" si="4"/>
        <v>17.7</v>
      </c>
    </row>
    <row r="184" spans="12:16">
      <c r="L184">
        <f>RAVLT_Learning!M184</f>
        <v>-0.92301382625497996</v>
      </c>
      <c r="M184">
        <f>RAVLT_Learning!N184</f>
        <v>17.8</v>
      </c>
      <c r="O184">
        <f>ABS(L184-RAVLT_Learning!$C$34)</f>
        <v>7.5102329962758088</v>
      </c>
      <c r="P184">
        <f t="shared" si="4"/>
        <v>17.8</v>
      </c>
    </row>
    <row r="185" spans="12:16">
      <c r="L185">
        <f>RAVLT_Learning!M185</f>
        <v>-0.91918273514682003</v>
      </c>
      <c r="M185">
        <f>RAVLT_Learning!N185</f>
        <v>17.899999999999999</v>
      </c>
      <c r="O185">
        <f>ABS(L185-RAVLT_Learning!$C$34)</f>
        <v>7.5140640873839688</v>
      </c>
      <c r="P185">
        <f t="shared" si="4"/>
        <v>17.899999999999999</v>
      </c>
    </row>
    <row r="186" spans="12:16">
      <c r="L186">
        <f>RAVLT_Learning!M186</f>
        <v>-0.91536508784281401</v>
      </c>
      <c r="M186">
        <f>RAVLT_Learning!N186</f>
        <v>18</v>
      </c>
      <c r="O186">
        <f>ABS(L186-RAVLT_Learning!$C$34)</f>
        <v>7.5178817346879745</v>
      </c>
      <c r="P186">
        <f t="shared" si="4"/>
        <v>18</v>
      </c>
    </row>
    <row r="187" spans="12:16">
      <c r="L187">
        <f>RAVLT_Learning!M187</f>
        <v>-0.91156073506754098</v>
      </c>
      <c r="M187">
        <f>RAVLT_Learning!N187</f>
        <v>18.100000000000001</v>
      </c>
      <c r="O187">
        <f>ABS(L187-RAVLT_Learning!$C$34)</f>
        <v>7.5216860874632481</v>
      </c>
      <c r="P187">
        <f t="shared" si="4"/>
        <v>18.100000000000001</v>
      </c>
    </row>
    <row r="188" spans="12:16">
      <c r="L188">
        <f>RAVLT_Learning!M188</f>
        <v>-0.90776952986805504</v>
      </c>
      <c r="M188">
        <f>RAVLT_Learning!N188</f>
        <v>18.2</v>
      </c>
      <c r="O188">
        <f>ABS(L188-RAVLT_Learning!$C$34)</f>
        <v>7.5254772926627336</v>
      </c>
      <c r="P188">
        <f t="shared" si="4"/>
        <v>18.2</v>
      </c>
    </row>
    <row r="189" spans="12:16">
      <c r="L189">
        <f>RAVLT_Learning!M189</f>
        <v>-0.90399132756440204</v>
      </c>
      <c r="M189">
        <f>RAVLT_Learning!N189</f>
        <v>18.3</v>
      </c>
      <c r="O189">
        <f>ABS(L189-RAVLT_Learning!$C$34)</f>
        <v>7.529255494966387</v>
      </c>
      <c r="P189">
        <f t="shared" si="4"/>
        <v>18.3</v>
      </c>
    </row>
    <row r="190" spans="12:16">
      <c r="L190">
        <f>RAVLT_Learning!M190</f>
        <v>-0.90022598570143297</v>
      </c>
      <c r="M190">
        <f>RAVLT_Learning!N190</f>
        <v>18.399999999999999</v>
      </c>
      <c r="O190">
        <f>ABS(L190-RAVLT_Learning!$C$34)</f>
        <v>7.5330208368293556</v>
      </c>
      <c r="P190">
        <f t="shared" si="4"/>
        <v>18.399999999999999</v>
      </c>
    </row>
    <row r="191" spans="12:16">
      <c r="L191">
        <f>RAVLT_Learning!M191</f>
        <v>-0.89647336400191602</v>
      </c>
      <c r="M191">
        <f>RAVLT_Learning!N191</f>
        <v>18.5</v>
      </c>
      <c r="O191">
        <f>ABS(L191-RAVLT_Learning!$C$34)</f>
        <v>7.5367734585288728</v>
      </c>
      <c r="P191">
        <f t="shared" si="4"/>
        <v>18.5</v>
      </c>
    </row>
    <row r="192" spans="12:16">
      <c r="L192">
        <f>RAVLT_Learning!M192</f>
        <v>-0.89273332432085595</v>
      </c>
      <c r="M192">
        <f>RAVLT_Learning!N192</f>
        <v>18.600000000000001</v>
      </c>
      <c r="O192">
        <f>ABS(L192-RAVLT_Learning!$C$34)</f>
        <v>7.5405134982099327</v>
      </c>
      <c r="P192">
        <f t="shared" si="4"/>
        <v>18.600000000000001</v>
      </c>
    </row>
    <row r="193" spans="12:16">
      <c r="L193">
        <f>RAVLT_Learning!M193</f>
        <v>-0.88900573060102495</v>
      </c>
      <c r="M193">
        <f>RAVLT_Learning!N193</f>
        <v>18.7</v>
      </c>
      <c r="O193">
        <f>ABS(L193-RAVLT_Learning!$C$34)</f>
        <v>7.5442410919297638</v>
      </c>
      <c r="P193">
        <f t="shared" si="4"/>
        <v>18.7</v>
      </c>
    </row>
    <row r="194" spans="12:16">
      <c r="L194">
        <f>RAVLT_Learning!M194</f>
        <v>-0.88529044882964103</v>
      </c>
      <c r="M194">
        <f>RAVLT_Learning!N194</f>
        <v>18.8</v>
      </c>
      <c r="O194">
        <f>ABS(L194-RAVLT_Learning!$C$34)</f>
        <v>7.5479563737011475</v>
      </c>
      <c r="P194">
        <f t="shared" si="4"/>
        <v>18.8</v>
      </c>
    </row>
    <row r="195" spans="12:16">
      <c r="L195">
        <f>RAVLT_Learning!M195</f>
        <v>-0.88158734699617503</v>
      </c>
      <c r="M195">
        <f>RAVLT_Learning!N195</f>
        <v>18.899999999999999</v>
      </c>
      <c r="O195">
        <f>ABS(L195-RAVLT_Learning!$C$34)</f>
        <v>7.5516594755346134</v>
      </c>
      <c r="P195">
        <f t="shared" si="4"/>
        <v>18.899999999999999</v>
      </c>
    </row>
    <row r="196" spans="12:16">
      <c r="L196">
        <f>RAVLT_Learning!M196</f>
        <v>-0.87789629505122802</v>
      </c>
      <c r="M196">
        <f>RAVLT_Learning!N196</f>
        <v>19</v>
      </c>
      <c r="O196">
        <f>ABS(L196-RAVLT_Learning!$C$34)</f>
        <v>7.5553505274795612</v>
      </c>
      <c r="P196">
        <f t="shared" si="4"/>
        <v>19</v>
      </c>
    </row>
    <row r="197" spans="12:16">
      <c r="L197">
        <f>RAVLT_Learning!M197</f>
        <v>-0.87421716486648304</v>
      </c>
      <c r="M197">
        <f>RAVLT_Learning!N197</f>
        <v>19.100000000000001</v>
      </c>
      <c r="O197">
        <f>ABS(L197-RAVLT_Learning!$C$34)</f>
        <v>7.5590296576643059</v>
      </c>
      <c r="P197">
        <f t="shared" si="4"/>
        <v>19.100000000000001</v>
      </c>
    </row>
    <row r="198" spans="12:16">
      <c r="L198">
        <f>RAVLT_Learning!M198</f>
        <v>-0.87054983019565402</v>
      </c>
      <c r="M198">
        <f>RAVLT_Learning!N198</f>
        <v>19.2</v>
      </c>
      <c r="O198">
        <f>ABS(L198-RAVLT_Learning!$C$34)</f>
        <v>7.5626969923351348</v>
      </c>
      <c r="P198">
        <f t="shared" si="4"/>
        <v>19.2</v>
      </c>
    </row>
    <row r="199" spans="12:16">
      <c r="L199">
        <f>RAVLT_Learning!M199</f>
        <v>-0.86689416663643803</v>
      </c>
      <c r="M199">
        <f>RAVLT_Learning!N199</f>
        <v>19.3</v>
      </c>
      <c r="O199">
        <f>ABS(L199-RAVLT_Learning!$C$34)</f>
        <v>7.5663526558943506</v>
      </c>
      <c r="P199">
        <f t="shared" si="4"/>
        <v>19.3</v>
      </c>
    </row>
    <row r="200" spans="12:16">
      <c r="L200">
        <f>RAVLT_Learning!M200</f>
        <v>-0.86325005159342105</v>
      </c>
      <c r="M200">
        <f>RAVLT_Learning!N200</f>
        <v>19.399999999999999</v>
      </c>
      <c r="O200">
        <f>ABS(L200-RAVLT_Learning!$C$34)</f>
        <v>7.5699967709373679</v>
      </c>
      <c r="P200">
        <f t="shared" si="4"/>
        <v>19.399999999999999</v>
      </c>
    </row>
    <row r="201" spans="12:16">
      <c r="L201">
        <f>RAVLT_Learning!M201</f>
        <v>-0.85961736424191104</v>
      </c>
      <c r="M201">
        <f>RAVLT_Learning!N201</f>
        <v>19.5</v>
      </c>
      <c r="O201">
        <f>ABS(L201-RAVLT_Learning!$C$34)</f>
        <v>7.5736294582888775</v>
      </c>
      <c r="P201">
        <f t="shared" si="4"/>
        <v>19.5</v>
      </c>
    </row>
    <row r="202" spans="12:16">
      <c r="L202">
        <f>RAVLT_Learning!M202</f>
        <v>-0.85599598549268197</v>
      </c>
      <c r="M202">
        <f>RAVLT_Learning!N202</f>
        <v>19.600000000000001</v>
      </c>
      <c r="O202">
        <f>ABS(L202-RAVLT_Learning!$C$34)</f>
        <v>7.5772508370381066</v>
      </c>
      <c r="P202">
        <f t="shared" si="4"/>
        <v>19.600000000000001</v>
      </c>
    </row>
    <row r="203" spans="12:16">
      <c r="L203">
        <f>RAVLT_Learning!M203</f>
        <v>-0.85238579795757496</v>
      </c>
      <c r="M203">
        <f>RAVLT_Learning!N203</f>
        <v>19.7</v>
      </c>
      <c r="O203">
        <f>ABS(L203-RAVLT_Learning!$C$34)</f>
        <v>7.5808610245732142</v>
      </c>
      <c r="P203">
        <f t="shared" si="4"/>
        <v>19.7</v>
      </c>
    </row>
    <row r="204" spans="12:16">
      <c r="L204">
        <f>RAVLT_Learning!M204</f>
        <v>-0.84878668591596695</v>
      </c>
      <c r="M204">
        <f>RAVLT_Learning!N204</f>
        <v>19.8</v>
      </c>
      <c r="O204">
        <f>ABS(L204-RAVLT_Learning!$C$34)</f>
        <v>7.5844601366148217</v>
      </c>
      <c r="P204">
        <f t="shared" si="4"/>
        <v>19.8</v>
      </c>
    </row>
    <row r="205" spans="12:16">
      <c r="L205">
        <f>RAVLT_Learning!M205</f>
        <v>-0.84519853528205002</v>
      </c>
      <c r="M205">
        <f>RAVLT_Learning!N205</f>
        <v>19.899999999999999</v>
      </c>
      <c r="O205">
        <f>ABS(L205-RAVLT_Learning!$C$34)</f>
        <v>7.5880482872487391</v>
      </c>
      <c r="P205">
        <f t="shared" si="4"/>
        <v>19.899999999999999</v>
      </c>
    </row>
    <row r="206" spans="12:16">
      <c r="L206">
        <f>RAVLT_Learning!M206</f>
        <v>-0.84162123357291396</v>
      </c>
      <c r="M206">
        <f>RAVLT_Learning!N206</f>
        <v>20</v>
      </c>
      <c r="O206">
        <f>ABS(L206-RAVLT_Learning!$C$34)</f>
        <v>7.591625588957875</v>
      </c>
      <c r="P206">
        <f t="shared" si="4"/>
        <v>20</v>
      </c>
    </row>
    <row r="207" spans="12:16">
      <c r="L207">
        <f>RAVLT_Learning!M207</f>
        <v>-0.83805466987740695</v>
      </c>
      <c r="M207">
        <f>RAVLT_Learning!N207</f>
        <v>20.100000000000001</v>
      </c>
      <c r="O207">
        <f>ABS(L207-RAVLT_Learning!$C$34)</f>
        <v>7.5951921526533823</v>
      </c>
      <c r="P207">
        <f t="shared" si="4"/>
        <v>20.100000000000001</v>
      </c>
    </row>
    <row r="208" spans="12:16">
      <c r="L208">
        <f>RAVLT_Learning!M208</f>
        <v>-0.83449873482574</v>
      </c>
      <c r="M208">
        <f>RAVLT_Learning!N208</f>
        <v>20.2</v>
      </c>
      <c r="O208">
        <f>ABS(L208-RAVLT_Learning!$C$34)</f>
        <v>7.5987480877050491</v>
      </c>
      <c r="P208">
        <f t="shared" si="4"/>
        <v>20.2</v>
      </c>
    </row>
    <row r="209" spans="12:16">
      <c r="L209">
        <f>RAVLT_Learning!M209</f>
        <v>-0.83095332055983795</v>
      </c>
      <c r="M209">
        <f>RAVLT_Learning!N209</f>
        <v>20.3</v>
      </c>
      <c r="O209">
        <f>ABS(L209-RAVLT_Learning!$C$34)</f>
        <v>7.6022935019709506</v>
      </c>
      <c r="P209">
        <f t="shared" si="4"/>
        <v>20.3</v>
      </c>
    </row>
    <row r="210" spans="12:16">
      <c r="L210">
        <f>RAVLT_Learning!M210</f>
        <v>-0.82741832070438204</v>
      </c>
      <c r="M210">
        <f>RAVLT_Learning!N210</f>
        <v>20.399999999999999</v>
      </c>
      <c r="O210">
        <f>ABS(L210-RAVLT_Learning!$C$34)</f>
        <v>7.6058285018264069</v>
      </c>
      <c r="P210">
        <f t="shared" si="4"/>
        <v>20.399999999999999</v>
      </c>
    </row>
    <row r="211" spans="12:16">
      <c r="L211">
        <f>RAVLT_Learning!M211</f>
        <v>-0.823893630338557</v>
      </c>
      <c r="M211">
        <f>RAVLT_Learning!N211</f>
        <v>20.5</v>
      </c>
      <c r="O211">
        <f>ABS(L211-RAVLT_Learning!$C$34)</f>
        <v>7.6093531921922315</v>
      </c>
      <c r="P211">
        <f t="shared" si="4"/>
        <v>20.5</v>
      </c>
    </row>
    <row r="212" spans="12:16">
      <c r="L212">
        <f>RAVLT_Learning!M212</f>
        <v>-0.82037914596846095</v>
      </c>
      <c r="M212">
        <f>RAVLT_Learning!N212</f>
        <v>20.6</v>
      </c>
      <c r="O212">
        <f>ABS(L212-RAVLT_Learning!$C$34)</f>
        <v>7.6128676765623275</v>
      </c>
      <c r="P212">
        <f t="shared" si="4"/>
        <v>20.6</v>
      </c>
    </row>
    <row r="213" spans="12:16">
      <c r="L213">
        <f>RAVLT_Learning!M213</f>
        <v>-0.81687476550016302</v>
      </c>
      <c r="M213">
        <f>RAVLT_Learning!N213</f>
        <v>20.7</v>
      </c>
      <c r="O213">
        <f>ABS(L213-RAVLT_Learning!$C$34)</f>
        <v>7.6163720570306257</v>
      </c>
      <c r="P213">
        <f t="shared" si="4"/>
        <v>20.7</v>
      </c>
    </row>
    <row r="214" spans="12:16">
      <c r="L214">
        <f>RAVLT_Learning!M214</f>
        <v>-0.81338038821340397</v>
      </c>
      <c r="M214">
        <f>RAVLT_Learning!N214</f>
        <v>20.8</v>
      </c>
      <c r="O214">
        <f>ABS(L214-RAVLT_Learning!$C$34)</f>
        <v>7.6198664343173848</v>
      </c>
      <c r="P214">
        <f t="shared" si="4"/>
        <v>20.8</v>
      </c>
    </row>
    <row r="215" spans="12:16">
      <c r="L215">
        <f>RAVLT_Learning!M215</f>
        <v>-0.80989591473589795</v>
      </c>
      <c r="M215">
        <f>RAVLT_Learning!N215</f>
        <v>20.9</v>
      </c>
      <c r="O215">
        <f>ABS(L215-RAVLT_Learning!$C$34)</f>
        <v>7.6233509077948911</v>
      </c>
      <c r="P215">
        <f t="shared" si="4"/>
        <v>20.9</v>
      </c>
    </row>
    <row r="216" spans="12:16">
      <c r="L216">
        <f>RAVLT_Learning!M216</f>
        <v>-0.80642124701824003</v>
      </c>
      <c r="M216">
        <f>RAVLT_Learning!N216</f>
        <v>21</v>
      </c>
      <c r="O216">
        <f>ABS(L216-RAVLT_Learning!$C$34)</f>
        <v>7.6268255755125489</v>
      </c>
      <c r="P216">
        <f t="shared" si="4"/>
        <v>21</v>
      </c>
    </row>
    <row r="217" spans="12:16">
      <c r="L217">
        <f>RAVLT_Learning!M217</f>
        <v>-0.80295628830939403</v>
      </c>
      <c r="M217">
        <f>RAVLT_Learning!N217</f>
        <v>21.1</v>
      </c>
      <c r="O217">
        <f>ABS(L217-RAVLT_Learning!$C$34)</f>
        <v>7.6302905342213947</v>
      </c>
      <c r="P217">
        <f t="shared" si="4"/>
        <v>21.1</v>
      </c>
    </row>
    <row r="218" spans="12:16">
      <c r="L218">
        <f>RAVLT_Learning!M218</f>
        <v>-0.79950094313273701</v>
      </c>
      <c r="M218">
        <f>RAVLT_Learning!N218</f>
        <v>21.2</v>
      </c>
      <c r="O218">
        <f>ABS(L218-RAVLT_Learning!$C$34)</f>
        <v>7.6337458793980515</v>
      </c>
      <c r="P218">
        <f t="shared" si="4"/>
        <v>21.2</v>
      </c>
    </row>
    <row r="219" spans="12:16">
      <c r="L219">
        <f>RAVLT_Learning!M219</f>
        <v>-0.79605511726266298</v>
      </c>
      <c r="M219">
        <f>RAVLT_Learning!N219</f>
        <v>21.3</v>
      </c>
      <c r="O219">
        <f>ABS(L219-RAVLT_Learning!$C$34)</f>
        <v>7.6371917052681262</v>
      </c>
      <c r="P219">
        <f t="shared" si="4"/>
        <v>21.3</v>
      </c>
    </row>
    <row r="220" spans="12:16">
      <c r="L220">
        <f>RAVLT_Learning!M220</f>
        <v>-0.79261871770171199</v>
      </c>
      <c r="M220">
        <f>RAVLT_Learning!N220</f>
        <v>21.4</v>
      </c>
      <c r="O220">
        <f>ABS(L220-RAVLT_Learning!$C$34)</f>
        <v>7.6406281048290765</v>
      </c>
      <c r="P220">
        <f t="shared" si="4"/>
        <v>21.4</v>
      </c>
    </row>
    <row r="221" spans="12:16">
      <c r="L221">
        <f>RAVLT_Learning!M221</f>
        <v>-0.789191652658222</v>
      </c>
      <c r="M221">
        <f>RAVLT_Learning!N221</f>
        <v>21.5</v>
      </c>
      <c r="O221">
        <f>ABS(L221-RAVLT_Learning!$C$34)</f>
        <v>7.6440551698725665</v>
      </c>
      <c r="P221">
        <f t="shared" si="4"/>
        <v>21.5</v>
      </c>
    </row>
    <row r="222" spans="12:16">
      <c r="L222">
        <f>RAVLT_Learning!M222</f>
        <v>-0.78577383152448399</v>
      </c>
      <c r="M222">
        <f>RAVLT_Learning!N222</f>
        <v>21.6</v>
      </c>
      <c r="O222">
        <f>ABS(L222-RAVLT_Learning!$C$34)</f>
        <v>7.6474729910063051</v>
      </c>
      <c r="P222">
        <f t="shared" si="4"/>
        <v>21.6</v>
      </c>
    </row>
    <row r="223" spans="12:16">
      <c r="L223">
        <f>RAVLT_Learning!M223</f>
        <v>-0.78236516485538699</v>
      </c>
      <c r="M223">
        <f>RAVLT_Learning!N223</f>
        <v>21.7</v>
      </c>
      <c r="O223">
        <f>ABS(L223-RAVLT_Learning!$C$34)</f>
        <v>7.6508816576754022</v>
      </c>
      <c r="P223">
        <f t="shared" si="4"/>
        <v>21.7</v>
      </c>
    </row>
    <row r="224" spans="12:16">
      <c r="L224">
        <f>RAVLT_Learning!M224</f>
        <v>-0.77896556434754505</v>
      </c>
      <c r="M224">
        <f>RAVLT_Learning!N224</f>
        <v>21.8</v>
      </c>
      <c r="O224">
        <f>ABS(L224-RAVLT_Learning!$C$34)</f>
        <v>7.6542812581832438</v>
      </c>
      <c r="P224">
        <f t="shared" si="4"/>
        <v>21.8</v>
      </c>
    </row>
    <row r="225" spans="12:16">
      <c r="L225">
        <f>RAVLT_Learning!M225</f>
        <v>-0.77557494281888395</v>
      </c>
      <c r="M225">
        <f>RAVLT_Learning!N225</f>
        <v>21.9</v>
      </c>
      <c r="O225">
        <f>ABS(L225-RAVLT_Learning!$C$34)</f>
        <v>7.6576718797119048</v>
      </c>
      <c r="P225">
        <f t="shared" si="4"/>
        <v>21.9</v>
      </c>
    </row>
    <row r="226" spans="12:16">
      <c r="L226">
        <f>RAVLT_Learning!M226</f>
        <v>-0.77219321418868503</v>
      </c>
      <c r="M226">
        <f>RAVLT_Learning!N226</f>
        <v>22</v>
      </c>
      <c r="O226">
        <f>ABS(L226-RAVLT_Learning!$C$34)</f>
        <v>7.6610536083421037</v>
      </c>
      <c r="P226">
        <f t="shared" si="4"/>
        <v>22</v>
      </c>
    </row>
    <row r="227" spans="12:16">
      <c r="L227">
        <f>RAVLT_Learning!M227</f>
        <v>-0.76882029345806202</v>
      </c>
      <c r="M227">
        <f>RAVLT_Learning!N227</f>
        <v>22.1</v>
      </c>
      <c r="O227">
        <f>ABS(L227-RAVLT_Learning!$C$34)</f>
        <v>7.6644265290727267</v>
      </c>
      <c r="P227">
        <f t="shared" si="4"/>
        <v>22.1</v>
      </c>
    </row>
    <row r="228" spans="12:16">
      <c r="L228">
        <f>RAVLT_Learning!M228</f>
        <v>-0.765456096690878</v>
      </c>
      <c r="M228">
        <f>RAVLT_Learning!N228</f>
        <v>22.2</v>
      </c>
      <c r="O228">
        <f>ABS(L228-RAVLT_Learning!$C$34)</f>
        <v>7.6677907258399109</v>
      </c>
      <c r="P228">
        <f t="shared" si="4"/>
        <v>22.2</v>
      </c>
    </row>
    <row r="229" spans="12:16">
      <c r="L229">
        <f>RAVLT_Learning!M229</f>
        <v>-0.76210054099506697</v>
      </c>
      <c r="M229">
        <f>RAVLT_Learning!N229</f>
        <v>22.3</v>
      </c>
      <c r="O229">
        <f>ABS(L229-RAVLT_Learning!$C$34)</f>
        <v>7.6711462815357221</v>
      </c>
      <c r="P229">
        <f t="shared" si="4"/>
        <v>22.3</v>
      </c>
    </row>
    <row r="230" spans="12:16">
      <c r="L230">
        <f>RAVLT_Learning!M230</f>
        <v>-0.75875354450437105</v>
      </c>
      <c r="M230">
        <f>RAVLT_Learning!N230</f>
        <v>22.4</v>
      </c>
      <c r="O230">
        <f>ABS(L230-RAVLT_Learning!$C$34)</f>
        <v>7.6744932780264179</v>
      </c>
      <c r="P230">
        <f t="shared" si="4"/>
        <v>22.4</v>
      </c>
    </row>
    <row r="231" spans="12:16">
      <c r="L231">
        <f>RAVLT_Learning!M231</f>
        <v>-0.75541502636046898</v>
      </c>
      <c r="M231">
        <f>RAVLT_Learning!N231</f>
        <v>22.5</v>
      </c>
      <c r="O231">
        <f>ABS(L231-RAVLT_Learning!$C$34)</f>
        <v>7.6778317961703202</v>
      </c>
      <c r="P231">
        <f t="shared" si="4"/>
        <v>22.5</v>
      </c>
    </row>
    <row r="232" spans="12:16">
      <c r="L232">
        <f>RAVLT_Learning!M232</f>
        <v>-0.752084906695491</v>
      </c>
      <c r="M232">
        <f>RAVLT_Learning!N232</f>
        <v>22.6</v>
      </c>
      <c r="O232">
        <f>ABS(L232-RAVLT_Learning!$C$34)</f>
        <v>7.6811619158352977</v>
      </c>
      <c r="P232">
        <f t="shared" si="4"/>
        <v>22.6</v>
      </c>
    </row>
    <row r="233" spans="12:16">
      <c r="L233">
        <f>RAVLT_Learning!M233</f>
        <v>-0.74876310661490897</v>
      </c>
      <c r="M233">
        <f>RAVLT_Learning!N233</f>
        <v>22.7</v>
      </c>
      <c r="O233">
        <f>ABS(L233-RAVLT_Learning!$C$34)</f>
        <v>7.6844837159158796</v>
      </c>
      <c r="P233">
        <f t="shared" ref="P233:P296" si="5">M233</f>
        <v>22.7</v>
      </c>
    </row>
    <row r="234" spans="12:16">
      <c r="L234">
        <f>RAVLT_Learning!M234</f>
        <v>-0.74544954818078901</v>
      </c>
      <c r="M234">
        <f>RAVLT_Learning!N234</f>
        <v>22.8</v>
      </c>
      <c r="O234">
        <f>ABS(L234-RAVLT_Learning!$C$34)</f>
        <v>7.6877972743500003</v>
      </c>
      <c r="P234">
        <f t="shared" si="5"/>
        <v>22.8</v>
      </c>
    </row>
    <row r="235" spans="12:16">
      <c r="L235">
        <f>RAVLT_Learning!M235</f>
        <v>-0.74214415439540904</v>
      </c>
      <c r="M235">
        <f>RAVLT_Learning!N235</f>
        <v>22.9</v>
      </c>
      <c r="O235">
        <f>ABS(L235-RAVLT_Learning!$C$34)</f>
        <v>7.6911026681353798</v>
      </c>
      <c r="P235">
        <f t="shared" si="5"/>
        <v>22.9</v>
      </c>
    </row>
    <row r="236" spans="12:16">
      <c r="L236">
        <f>RAVLT_Learning!M236</f>
        <v>-0.73884684918521404</v>
      </c>
      <c r="M236">
        <f>RAVLT_Learning!N236</f>
        <v>23</v>
      </c>
      <c r="O236">
        <f>ABS(L236-RAVLT_Learning!$C$34)</f>
        <v>7.6943999733455746</v>
      </c>
      <c r="P236">
        <f t="shared" si="5"/>
        <v>23</v>
      </c>
    </row>
    <row r="237" spans="12:16">
      <c r="L237">
        <f>RAVLT_Learning!M237</f>
        <v>-0.73555755738511097</v>
      </c>
      <c r="M237">
        <f>RAVLT_Learning!N237</f>
        <v>23.1</v>
      </c>
      <c r="O237">
        <f>ABS(L237-RAVLT_Learning!$C$34)</f>
        <v>7.6976892651456783</v>
      </c>
      <c r="P237">
        <f t="shared" si="5"/>
        <v>23.1</v>
      </c>
    </row>
    <row r="238" spans="12:16">
      <c r="L238">
        <f>RAVLT_Learning!M238</f>
        <v>-0.73227620472309995</v>
      </c>
      <c r="M238">
        <f>RAVLT_Learning!N238</f>
        <v>23.2</v>
      </c>
      <c r="O238">
        <f>ABS(L238-RAVLT_Learning!$C$34)</f>
        <v>7.7009706178076893</v>
      </c>
      <c r="P238">
        <f t="shared" si="5"/>
        <v>23.2</v>
      </c>
    </row>
    <row r="239" spans="12:16">
      <c r="L239">
        <f>RAVLT_Learning!M239</f>
        <v>-0.72900271780521897</v>
      </c>
      <c r="M239">
        <f>RAVLT_Learning!N239</f>
        <v>23.3</v>
      </c>
      <c r="O239">
        <f>ABS(L239-RAVLT_Learning!$C$34)</f>
        <v>7.7042441047255696</v>
      </c>
      <c r="P239">
        <f t="shared" si="5"/>
        <v>23.3</v>
      </c>
    </row>
    <row r="240" spans="12:16">
      <c r="L240">
        <f>RAVLT_Learning!M240</f>
        <v>-0.72573702410080498</v>
      </c>
      <c r="M240">
        <f>RAVLT_Learning!N240</f>
        <v>23.4</v>
      </c>
      <c r="O240">
        <f>ABS(L240-RAVLT_Learning!$C$34)</f>
        <v>7.7075097984299834</v>
      </c>
      <c r="P240">
        <f t="shared" si="5"/>
        <v>23.4</v>
      </c>
    </row>
    <row r="241" spans="12:16">
      <c r="L241">
        <f>RAVLT_Learning!M241</f>
        <v>-0.72247905192806305</v>
      </c>
      <c r="M241">
        <f>RAVLT_Learning!N241</f>
        <v>23.5</v>
      </c>
      <c r="O241">
        <f>ABS(L241-RAVLT_Learning!$C$34)</f>
        <v>7.7107677706027253</v>
      </c>
      <c r="P241">
        <f t="shared" si="5"/>
        <v>23.5</v>
      </c>
    </row>
    <row r="242" spans="12:16">
      <c r="L242">
        <f>RAVLT_Learning!M242</f>
        <v>-0.71922873043992397</v>
      </c>
      <c r="M242">
        <f>RAVLT_Learning!N242</f>
        <v>23.6</v>
      </c>
      <c r="O242">
        <f>ABS(L242-RAVLT_Learning!$C$34)</f>
        <v>7.714018092090865</v>
      </c>
      <c r="P242">
        <f t="shared" si="5"/>
        <v>23.6</v>
      </c>
    </row>
    <row r="243" spans="12:16">
      <c r="L243">
        <f>RAVLT_Learning!M243</f>
        <v>-0.71598598961020499</v>
      </c>
      <c r="M243">
        <f>RAVLT_Learning!N243</f>
        <v>23.7</v>
      </c>
      <c r="O243">
        <f>ABS(L243-RAVLT_Learning!$C$34)</f>
        <v>7.7172608329205836</v>
      </c>
      <c r="P243">
        <f t="shared" si="5"/>
        <v>23.7</v>
      </c>
    </row>
    <row r="244" spans="12:16">
      <c r="L244">
        <f>RAVLT_Learning!M244</f>
        <v>-0.71275076022004302</v>
      </c>
      <c r="M244">
        <f>RAVLT_Learning!N244</f>
        <v>23.8</v>
      </c>
      <c r="O244">
        <f>ABS(L244-RAVLT_Learning!$C$34)</f>
        <v>7.7204960623107457</v>
      </c>
      <c r="P244">
        <f t="shared" si="5"/>
        <v>23.8</v>
      </c>
    </row>
    <row r="245" spans="12:16">
      <c r="L245">
        <f>RAVLT_Learning!M245</f>
        <v>-0.70952297384460805</v>
      </c>
      <c r="M245">
        <f>RAVLT_Learning!N245</f>
        <v>23.9</v>
      </c>
      <c r="O245">
        <f>ABS(L245-RAVLT_Learning!$C$34)</f>
        <v>7.7237238486861806</v>
      </c>
      <c r="P245">
        <f t="shared" si="5"/>
        <v>23.9</v>
      </c>
    </row>
    <row r="246" spans="12:16">
      <c r="L246">
        <f>RAVLT_Learning!M246</f>
        <v>-0.70630256284008797</v>
      </c>
      <c r="M246">
        <f>RAVLT_Learning!N246</f>
        <v>24</v>
      </c>
      <c r="O246">
        <f>ABS(L246-RAVLT_Learning!$C$34)</f>
        <v>7.7269442596907005</v>
      </c>
      <c r="P246">
        <f t="shared" si="5"/>
        <v>24</v>
      </c>
    </row>
    <row r="247" spans="12:16">
      <c r="L247">
        <f>RAVLT_Learning!M247</f>
        <v>-0.70308946033092901</v>
      </c>
      <c r="M247">
        <f>RAVLT_Learning!N247</f>
        <v>24.1</v>
      </c>
      <c r="O247">
        <f>ABS(L247-RAVLT_Learning!$C$34)</f>
        <v>7.7301573621998596</v>
      </c>
      <c r="P247">
        <f t="shared" si="5"/>
        <v>24.1</v>
      </c>
    </row>
    <row r="248" spans="12:16">
      <c r="L248">
        <f>RAVLT_Learning!M248</f>
        <v>-0.69988360019734097</v>
      </c>
      <c r="M248">
        <f>RAVLT_Learning!N248</f>
        <v>24.2</v>
      </c>
      <c r="O248">
        <f>ABS(L248-RAVLT_Learning!$C$34)</f>
        <v>7.7333632223334483</v>
      </c>
      <c r="P248">
        <f t="shared" si="5"/>
        <v>24.2</v>
      </c>
    </row>
    <row r="249" spans="12:16">
      <c r="L249">
        <f>RAVLT_Learning!M249</f>
        <v>-0.69668491706305102</v>
      </c>
      <c r="M249">
        <f>RAVLT_Learning!N249</f>
        <v>24.3</v>
      </c>
      <c r="O249">
        <f>ABS(L249-RAVLT_Learning!$C$34)</f>
        <v>7.7365619054677381</v>
      </c>
      <c r="P249">
        <f t="shared" si="5"/>
        <v>24.3</v>
      </c>
    </row>
    <row r="250" spans="12:16">
      <c r="L250">
        <f>RAVLT_Learning!M250</f>
        <v>-0.69349334628328896</v>
      </c>
      <c r="M250">
        <f>RAVLT_Learning!N250</f>
        <v>24.4</v>
      </c>
      <c r="O250">
        <f>ABS(L250-RAVLT_Learning!$C$34)</f>
        <v>7.7397534762474995</v>
      </c>
      <c r="P250">
        <f t="shared" si="5"/>
        <v>24.4</v>
      </c>
    </row>
    <row r="251" spans="12:16">
      <c r="L251">
        <f>RAVLT_Learning!M251</f>
        <v>-0.69030882393303405</v>
      </c>
      <c r="M251">
        <f>RAVLT_Learning!N251</f>
        <v>24.5</v>
      </c>
      <c r="O251">
        <f>ABS(L251-RAVLT_Learning!$C$34)</f>
        <v>7.7429379985977551</v>
      </c>
      <c r="P251">
        <f t="shared" si="5"/>
        <v>24.5</v>
      </c>
    </row>
    <row r="252" spans="12:16">
      <c r="L252">
        <f>RAVLT_Learning!M252</f>
        <v>-0.68713128679546898</v>
      </c>
      <c r="M252">
        <f>RAVLT_Learning!N252</f>
        <v>24.6</v>
      </c>
      <c r="O252">
        <f>ABS(L252-RAVLT_Learning!$C$34)</f>
        <v>7.7461155357353197</v>
      </c>
      <c r="P252">
        <f t="shared" si="5"/>
        <v>24.6</v>
      </c>
    </row>
    <row r="253" spans="12:16">
      <c r="L253">
        <f>RAVLT_Learning!M253</f>
        <v>-0.68396067235068203</v>
      </c>
      <c r="M253">
        <f>RAVLT_Learning!N253</f>
        <v>24.7</v>
      </c>
      <c r="O253">
        <f>ABS(L253-RAVLT_Learning!$C$34)</f>
        <v>7.7492861501801071</v>
      </c>
      <c r="P253">
        <f t="shared" si="5"/>
        <v>24.7</v>
      </c>
    </row>
    <row r="254" spans="12:16">
      <c r="L254">
        <f>RAVLT_Learning!M254</f>
        <v>-0.68079691876457504</v>
      </c>
      <c r="M254">
        <f>RAVLT_Learning!N254</f>
        <v>24.8</v>
      </c>
      <c r="O254">
        <f>ABS(L254-RAVLT_Learning!$C$34)</f>
        <v>7.7524499037662142</v>
      </c>
      <c r="P254">
        <f t="shared" si="5"/>
        <v>24.8</v>
      </c>
    </row>
    <row r="255" spans="12:16">
      <c r="L255">
        <f>RAVLT_Learning!M255</f>
        <v>-0.67763996487799605</v>
      </c>
      <c r="M255">
        <f>RAVLT_Learning!N255</f>
        <v>24.9</v>
      </c>
      <c r="O255">
        <f>ABS(L255-RAVLT_Learning!$C$34)</f>
        <v>7.7556068576527926</v>
      </c>
      <c r="P255">
        <f t="shared" si="5"/>
        <v>24.9</v>
      </c>
    </row>
    <row r="256" spans="12:16">
      <c r="L256">
        <f>RAVLT_Learning!M256</f>
        <v>-0.67448975019608204</v>
      </c>
      <c r="M256">
        <f>RAVLT_Learning!N256</f>
        <v>25</v>
      </c>
      <c r="O256">
        <f>ABS(L256-RAVLT_Learning!$C$34)</f>
        <v>7.7587570723347064</v>
      </c>
      <c r="P256">
        <f t="shared" si="5"/>
        <v>25</v>
      </c>
    </row>
    <row r="257" spans="12:16">
      <c r="L257">
        <f>RAVLT_Learning!M257</f>
        <v>-0.67134621487780499</v>
      </c>
      <c r="M257">
        <f>RAVLT_Learning!N257</f>
        <v>25.1</v>
      </c>
      <c r="O257">
        <f>ABS(L257-RAVLT_Learning!$C$34)</f>
        <v>7.7619006076529837</v>
      </c>
      <c r="P257">
        <f t="shared" si="5"/>
        <v>25.1</v>
      </c>
    </row>
    <row r="258" spans="12:16">
      <c r="L258">
        <f>RAVLT_Learning!M258</f>
        <v>-0.66820929972572296</v>
      </c>
      <c r="M258">
        <f>RAVLT_Learning!N258</f>
        <v>25.2</v>
      </c>
      <c r="O258">
        <f>ABS(L258-RAVLT_Learning!$C$34)</f>
        <v>7.7650375228050663</v>
      </c>
      <c r="P258">
        <f t="shared" si="5"/>
        <v>25.2</v>
      </c>
    </row>
    <row r="259" spans="12:16">
      <c r="L259">
        <f>RAVLT_Learning!M259</f>
        <v>-0.665078946175923</v>
      </c>
      <c r="M259">
        <f>RAVLT_Learning!N259</f>
        <v>25.3</v>
      </c>
      <c r="O259">
        <f>ABS(L259-RAVLT_Learning!$C$34)</f>
        <v>7.7681678763548661</v>
      </c>
      <c r="P259">
        <f t="shared" si="5"/>
        <v>25.3</v>
      </c>
    </row>
    <row r="260" spans="12:16">
      <c r="L260">
        <f>RAVLT_Learning!M260</f>
        <v>-0.66195509628816196</v>
      </c>
      <c r="M260">
        <f>RAVLT_Learning!N260</f>
        <v>25.4</v>
      </c>
      <c r="O260">
        <f>ABS(L260-RAVLT_Learning!$C$34)</f>
        <v>7.7712917262426267</v>
      </c>
      <c r="P260">
        <f t="shared" si="5"/>
        <v>25.4</v>
      </c>
    </row>
    <row r="261" spans="12:16">
      <c r="L261">
        <f>RAVLT_Learning!M261</f>
        <v>-0.65883769273618797</v>
      </c>
      <c r="M261">
        <f>RAVLT_Learning!N261</f>
        <v>25.5</v>
      </c>
      <c r="O261">
        <f>ABS(L261-RAVLT_Learning!$C$34)</f>
        <v>7.7744091297946012</v>
      </c>
      <c r="P261">
        <f t="shared" si="5"/>
        <v>25.5</v>
      </c>
    </row>
    <row r="262" spans="12:16">
      <c r="L262">
        <f>RAVLT_Learning!M262</f>
        <v>-0.65572667879825297</v>
      </c>
      <c r="M262">
        <f>RAVLT_Learning!N262</f>
        <v>25.6</v>
      </c>
      <c r="O262">
        <f>ABS(L262-RAVLT_Learning!$C$34)</f>
        <v>7.7775201437325361</v>
      </c>
      <c r="P262">
        <f t="shared" si="5"/>
        <v>25.6</v>
      </c>
    </row>
    <row r="263" spans="12:16">
      <c r="L263">
        <f>RAVLT_Learning!M263</f>
        <v>-0.65262199834780099</v>
      </c>
      <c r="M263">
        <f>RAVLT_Learning!N263</f>
        <v>25.7</v>
      </c>
      <c r="O263">
        <f>ABS(L263-RAVLT_Learning!$C$34)</f>
        <v>7.7806248241829881</v>
      </c>
      <c r="P263">
        <f t="shared" si="5"/>
        <v>25.7</v>
      </c>
    </row>
    <row r="264" spans="12:16">
      <c r="L264">
        <f>RAVLT_Learning!M264</f>
        <v>-0.64952359584432495</v>
      </c>
      <c r="M264">
        <f>RAVLT_Learning!N264</f>
        <v>25.8</v>
      </c>
      <c r="O264">
        <f>ABS(L264-RAVLT_Learning!$C$34)</f>
        <v>7.7837232266864635</v>
      </c>
      <c r="P264">
        <f t="shared" si="5"/>
        <v>25.8</v>
      </c>
    </row>
    <row r="265" spans="12:16">
      <c r="L265">
        <f>RAVLT_Learning!M265</f>
        <v>-0.64643141632440704</v>
      </c>
      <c r="M265">
        <f>RAVLT_Learning!N265</f>
        <v>25.9</v>
      </c>
      <c r="O265">
        <f>ABS(L265-RAVLT_Learning!$C$34)</f>
        <v>7.7868154062063821</v>
      </c>
      <c r="P265">
        <f t="shared" si="5"/>
        <v>25.9</v>
      </c>
    </row>
    <row r="266" spans="12:16">
      <c r="L266">
        <f>RAVLT_Learning!M266</f>
        <v>-0.64334540539291696</v>
      </c>
      <c r="M266">
        <f>RAVLT_Learning!N266</f>
        <v>26</v>
      </c>
      <c r="O266">
        <f>ABS(L266-RAVLT_Learning!$C$34)</f>
        <v>7.7899014171378722</v>
      </c>
      <c r="P266">
        <f t="shared" si="5"/>
        <v>26</v>
      </c>
    </row>
    <row r="267" spans="12:16">
      <c r="L267">
        <f>RAVLT_Learning!M267</f>
        <v>-0.64026550921437397</v>
      </c>
      <c r="M267">
        <f>RAVLT_Learning!N267</f>
        <v>26.1</v>
      </c>
      <c r="O267">
        <f>ABS(L267-RAVLT_Learning!$C$34)</f>
        <v>7.7929813133164147</v>
      </c>
      <c r="P267">
        <f t="shared" si="5"/>
        <v>26.1</v>
      </c>
    </row>
    <row r="268" spans="12:16">
      <c r="L268">
        <f>RAVLT_Learning!M268</f>
        <v>-0.637191674504475</v>
      </c>
      <c r="M268">
        <f>RAVLT_Learning!N268</f>
        <v>26.2</v>
      </c>
      <c r="O268">
        <f>ABS(L268-RAVLT_Learning!$C$34)</f>
        <v>7.7960551480263138</v>
      </c>
      <c r="P268">
        <f t="shared" si="5"/>
        <v>26.2</v>
      </c>
    </row>
    <row r="269" spans="12:16">
      <c r="L269">
        <f>RAVLT_Learning!M269</f>
        <v>-0.63412384852176995</v>
      </c>
      <c r="M269">
        <f>RAVLT_Learning!N269</f>
        <v>26.3</v>
      </c>
      <c r="O269">
        <f>ABS(L269-RAVLT_Learning!$C$34)</f>
        <v>7.7991229740090189</v>
      </c>
      <c r="P269">
        <f t="shared" si="5"/>
        <v>26.3</v>
      </c>
    </row>
    <row r="270" spans="12:16">
      <c r="L270">
        <f>RAVLT_Learning!M270</f>
        <v>-0.63106197905949901</v>
      </c>
      <c r="M270">
        <f>RAVLT_Learning!N270</f>
        <v>26.4</v>
      </c>
      <c r="O270">
        <f>ABS(L270-RAVLT_Learning!$C$34)</f>
        <v>7.8021848434712897</v>
      </c>
      <c r="P270">
        <f t="shared" si="5"/>
        <v>26.4</v>
      </c>
    </row>
    <row r="271" spans="12:16">
      <c r="L271">
        <f>RAVLT_Learning!M271</f>
        <v>-0.62800601443756998</v>
      </c>
      <c r="M271">
        <f>RAVLT_Learning!N271</f>
        <v>26.5</v>
      </c>
      <c r="O271">
        <f>ABS(L271-RAVLT_Learning!$C$34)</f>
        <v>7.8052408080932185</v>
      </c>
      <c r="P271">
        <f t="shared" si="5"/>
        <v>26.5</v>
      </c>
    </row>
    <row r="272" spans="12:16">
      <c r="L272">
        <f>RAVLT_Learning!M272</f>
        <v>-0.62495590349468699</v>
      </c>
      <c r="M272">
        <f>RAVLT_Learning!N272</f>
        <v>26.6</v>
      </c>
      <c r="O272">
        <f>ABS(L272-RAVLT_Learning!$C$34)</f>
        <v>7.8082909190361018</v>
      </c>
      <c r="P272">
        <f t="shared" si="5"/>
        <v>26.6</v>
      </c>
    </row>
    <row r="273" spans="12:16">
      <c r="L273">
        <f>RAVLT_Learning!M273</f>
        <v>-0.62191159558062403</v>
      </c>
      <c r="M273">
        <f>RAVLT_Learning!N273</f>
        <v>26.7</v>
      </c>
      <c r="O273">
        <f>ABS(L273-RAVLT_Learning!$C$34)</f>
        <v>7.811335226950165</v>
      </c>
      <c r="P273">
        <f t="shared" si="5"/>
        <v>26.7</v>
      </c>
    </row>
    <row r="274" spans="12:16">
      <c r="L274">
        <f>RAVLT_Learning!M274</f>
        <v>-0.61887304054862902</v>
      </c>
      <c r="M274">
        <f>RAVLT_Learning!N274</f>
        <v>26.8</v>
      </c>
      <c r="O274">
        <f>ABS(L274-RAVLT_Learning!$C$34)</f>
        <v>7.8143737819821597</v>
      </c>
      <c r="P274">
        <f t="shared" si="5"/>
        <v>26.8</v>
      </c>
    </row>
    <row r="275" spans="12:16">
      <c r="L275">
        <f>RAVLT_Learning!M275</f>
        <v>-0.61584018874797197</v>
      </c>
      <c r="M275">
        <f>RAVLT_Learning!N275</f>
        <v>26.9</v>
      </c>
      <c r="O275">
        <f>ABS(L275-RAVLT_Learning!$C$34)</f>
        <v>7.8174066337828165</v>
      </c>
      <c r="P275">
        <f t="shared" si="5"/>
        <v>26.9</v>
      </c>
    </row>
    <row r="276" spans="12:16">
      <c r="L276">
        <f>RAVLT_Learning!M276</f>
        <v>-0.61281299101662701</v>
      </c>
      <c r="M276">
        <f>RAVLT_Learning!N276</f>
        <v>27</v>
      </c>
      <c r="O276">
        <f>ABS(L276-RAVLT_Learning!$C$34)</f>
        <v>7.8204338315141619</v>
      </c>
      <c r="P276">
        <f t="shared" si="5"/>
        <v>27</v>
      </c>
    </row>
    <row r="277" spans="12:16">
      <c r="L277">
        <f>RAVLT_Learning!M277</f>
        <v>-0.60979139867408005</v>
      </c>
      <c r="M277">
        <f>RAVLT_Learning!N277</f>
        <v>27.1</v>
      </c>
      <c r="O277">
        <f>ABS(L277-RAVLT_Learning!$C$34)</f>
        <v>7.8234554238567089</v>
      </c>
      <c r="P277">
        <f t="shared" si="5"/>
        <v>27.1</v>
      </c>
    </row>
    <row r="278" spans="12:16">
      <c r="L278">
        <f>RAVLT_Learning!M278</f>
        <v>-0.60677536351426498</v>
      </c>
      <c r="M278">
        <f>RAVLT_Learning!N278</f>
        <v>27.2</v>
      </c>
      <c r="O278">
        <f>ABS(L278-RAVLT_Learning!$C$34)</f>
        <v>7.8264714590165241</v>
      </c>
      <c r="P278">
        <f t="shared" si="5"/>
        <v>27.2</v>
      </c>
    </row>
    <row r="279" spans="12:16">
      <c r="L279">
        <f>RAVLT_Learning!M279</f>
        <v>-0.60376483779862999</v>
      </c>
      <c r="M279">
        <f>RAVLT_Learning!N279</f>
        <v>27.3</v>
      </c>
      <c r="O279">
        <f>ABS(L279-RAVLT_Learning!$C$34)</f>
        <v>7.8294819847321584</v>
      </c>
      <c r="P279">
        <f t="shared" si="5"/>
        <v>27.3</v>
      </c>
    </row>
    <row r="280" spans="12:16">
      <c r="L280">
        <f>RAVLT_Learning!M280</f>
        <v>-0.60075977424931903</v>
      </c>
      <c r="M280">
        <f>RAVLT_Learning!N280</f>
        <v>27.4</v>
      </c>
      <c r="O280">
        <f>ABS(L280-RAVLT_Learning!$C$34)</f>
        <v>7.8324870482814699</v>
      </c>
      <c r="P280">
        <f t="shared" si="5"/>
        <v>27.4</v>
      </c>
    </row>
    <row r="281" spans="12:16">
      <c r="L281">
        <f>RAVLT_Learning!M281</f>
        <v>-0.59776012604247797</v>
      </c>
      <c r="M281">
        <f>RAVLT_Learning!N281</f>
        <v>27.5</v>
      </c>
      <c r="O281">
        <f>ABS(L281-RAVLT_Learning!$C$34)</f>
        <v>7.835486696488311</v>
      </c>
      <c r="P281">
        <f t="shared" si="5"/>
        <v>27.5</v>
      </c>
    </row>
    <row r="282" spans="12:16">
      <c r="L282">
        <f>RAVLT_Learning!M282</f>
        <v>-0.59476584680167799</v>
      </c>
      <c r="M282">
        <f>RAVLT_Learning!N282</f>
        <v>27.6</v>
      </c>
      <c r="O282">
        <f>ABS(L282-RAVLT_Learning!$C$34)</f>
        <v>7.8384809757291105</v>
      </c>
      <c r="P282">
        <f t="shared" si="5"/>
        <v>27.6</v>
      </c>
    </row>
    <row r="283" spans="12:16">
      <c r="L283">
        <f>RAVLT_Learning!M283</f>
        <v>-0.591776890591446</v>
      </c>
      <c r="M283">
        <f>RAVLT_Learning!N283</f>
        <v>27.7</v>
      </c>
      <c r="O283">
        <f>ABS(L283-RAVLT_Learning!$C$34)</f>
        <v>7.8414699319393426</v>
      </c>
      <c r="P283">
        <f t="shared" si="5"/>
        <v>27.7</v>
      </c>
    </row>
    <row r="284" spans="12:16">
      <c r="L284">
        <f>RAVLT_Learning!M284</f>
        <v>-0.58879321191092004</v>
      </c>
      <c r="M284">
        <f>RAVLT_Learning!N284</f>
        <v>27.8</v>
      </c>
      <c r="O284">
        <f>ABS(L284-RAVLT_Learning!$C$34)</f>
        <v>7.844453610619869</v>
      </c>
      <c r="P284">
        <f t="shared" si="5"/>
        <v>27.8</v>
      </c>
    </row>
    <row r="285" spans="12:16">
      <c r="L285">
        <f>RAVLT_Learning!M285</f>
        <v>-0.58581476568759905</v>
      </c>
      <c r="M285">
        <f>RAVLT_Learning!N285</f>
        <v>27.9</v>
      </c>
      <c r="O285">
        <f>ABS(L285-RAVLT_Learning!$C$34)</f>
        <v>7.8474320568431901</v>
      </c>
      <c r="P285">
        <f t="shared" si="5"/>
        <v>27.9</v>
      </c>
    </row>
    <row r="286" spans="12:16">
      <c r="L286">
        <f>RAVLT_Learning!M286</f>
        <v>-0.58284150727121598</v>
      </c>
      <c r="M286">
        <f>RAVLT_Learning!N286</f>
        <v>28</v>
      </c>
      <c r="O286">
        <f>ABS(L286-RAVLT_Learning!$C$34)</f>
        <v>7.8504053152595725</v>
      </c>
      <c r="P286">
        <f t="shared" si="5"/>
        <v>28</v>
      </c>
    </row>
    <row r="287" spans="12:16">
      <c r="L287">
        <f>RAVLT_Learning!M287</f>
        <v>-0.57987339242770397</v>
      </c>
      <c r="M287">
        <f>RAVLT_Learning!N287</f>
        <v>28.1</v>
      </c>
      <c r="O287">
        <f>ABS(L287-RAVLT_Learning!$C$34)</f>
        <v>7.8533734301030851</v>
      </c>
      <c r="P287">
        <f t="shared" si="5"/>
        <v>28.1</v>
      </c>
    </row>
    <row r="288" spans="12:16">
      <c r="L288">
        <f>RAVLT_Learning!M288</f>
        <v>-0.576910377333271</v>
      </c>
      <c r="M288">
        <f>RAVLT_Learning!N288</f>
        <v>28.2</v>
      </c>
      <c r="O288">
        <f>ABS(L288-RAVLT_Learning!$C$34)</f>
        <v>7.8563364451975177</v>
      </c>
      <c r="P288">
        <f t="shared" si="5"/>
        <v>28.2</v>
      </c>
    </row>
    <row r="289" spans="12:16">
      <c r="L289">
        <f>RAVLT_Learning!M289</f>
        <v>-0.57395241856857304</v>
      </c>
      <c r="M289">
        <f>RAVLT_Learning!N289</f>
        <v>28.3</v>
      </c>
      <c r="O289">
        <f>ABS(L289-RAVLT_Learning!$C$34)</f>
        <v>7.8592944039622159</v>
      </c>
      <c r="P289">
        <f t="shared" si="5"/>
        <v>28.3</v>
      </c>
    </row>
    <row r="290" spans="12:16">
      <c r="L290">
        <f>RAVLT_Learning!M290</f>
        <v>-0.57099947311298704</v>
      </c>
      <c r="M290">
        <f>RAVLT_Learning!N290</f>
        <v>28.4</v>
      </c>
      <c r="O290">
        <f>ABS(L290-RAVLT_Learning!$C$34)</f>
        <v>7.8622473494178013</v>
      </c>
      <c r="P290">
        <f t="shared" si="5"/>
        <v>28.4</v>
      </c>
    </row>
    <row r="291" spans="12:16">
      <c r="L291">
        <f>RAVLT_Learning!M291</f>
        <v>-0.56805149833898305</v>
      </c>
      <c r="M291">
        <f>RAVLT_Learning!N291</f>
        <v>28.5</v>
      </c>
      <c r="O291">
        <f>ABS(L291-RAVLT_Learning!$C$34)</f>
        <v>7.8651953241918058</v>
      </c>
      <c r="P291">
        <f t="shared" si="5"/>
        <v>28.5</v>
      </c>
    </row>
    <row r="292" spans="12:16">
      <c r="L292">
        <f>RAVLT_Learning!M292</f>
        <v>-0.56510845200658399</v>
      </c>
      <c r="M292">
        <f>RAVLT_Learning!N292</f>
        <v>28.6</v>
      </c>
      <c r="O292">
        <f>ABS(L292-RAVLT_Learning!$C$34)</f>
        <v>7.8681383705242052</v>
      </c>
      <c r="P292">
        <f t="shared" si="5"/>
        <v>28.6</v>
      </c>
    </row>
    <row r="293" spans="12:16">
      <c r="L293">
        <f>RAVLT_Learning!M293</f>
        <v>-0.56217029225792603</v>
      </c>
      <c r="M293">
        <f>RAVLT_Learning!N293</f>
        <v>28.7</v>
      </c>
      <c r="O293">
        <f>ABS(L293-RAVLT_Learning!$C$34)</f>
        <v>7.8710765302728625</v>
      </c>
      <c r="P293">
        <f t="shared" si="5"/>
        <v>28.7</v>
      </c>
    </row>
    <row r="294" spans="12:16">
      <c r="L294">
        <f>RAVLT_Learning!M294</f>
        <v>-0.55923697761190705</v>
      </c>
      <c r="M294">
        <f>RAVLT_Learning!N294</f>
        <v>28.8</v>
      </c>
      <c r="O294">
        <f>ABS(L294-RAVLT_Learning!$C$34)</f>
        <v>7.8740098449188816</v>
      </c>
      <c r="P294">
        <f t="shared" si="5"/>
        <v>28.8</v>
      </c>
    </row>
    <row r="295" spans="12:16">
      <c r="L295">
        <f>RAVLT_Learning!M295</f>
        <v>-0.556308466958918</v>
      </c>
      <c r="M295">
        <f>RAVLT_Learning!N295</f>
        <v>28.9</v>
      </c>
      <c r="O295">
        <f>ABS(L295-RAVLT_Learning!$C$34)</f>
        <v>7.8769383555718706</v>
      </c>
      <c r="P295">
        <f t="shared" si="5"/>
        <v>28.9</v>
      </c>
    </row>
    <row r="296" spans="12:16">
      <c r="L296">
        <f>RAVLT_Learning!M296</f>
        <v>-0.55338471955567303</v>
      </c>
      <c r="M296">
        <f>RAVLT_Learning!N296</f>
        <v>29</v>
      </c>
      <c r="O296">
        <f>ABS(L296-RAVLT_Learning!$C$34)</f>
        <v>7.8798621029751157</v>
      </c>
      <c r="P296">
        <f t="shared" si="5"/>
        <v>29</v>
      </c>
    </row>
    <row r="297" spans="12:16">
      <c r="L297">
        <f>RAVLT_Learning!M297</f>
        <v>-0.550465695020113</v>
      </c>
      <c r="M297">
        <f>RAVLT_Learning!N297</f>
        <v>29.1</v>
      </c>
      <c r="O297">
        <f>ABS(L297-RAVLT_Learning!$C$34)</f>
        <v>7.8827811275106754</v>
      </c>
      <c r="P297">
        <f t="shared" ref="P297:P360" si="6">M297</f>
        <v>29.1</v>
      </c>
    </row>
    <row r="298" spans="12:16">
      <c r="L298">
        <f>RAVLT_Learning!M298</f>
        <v>-0.54755135332640104</v>
      </c>
      <c r="M298">
        <f>RAVLT_Learning!N298</f>
        <v>29.2</v>
      </c>
      <c r="O298">
        <f>ABS(L298-RAVLT_Learning!$C$34)</f>
        <v>7.8856954692043875</v>
      </c>
      <c r="P298">
        <f t="shared" si="6"/>
        <v>29.2</v>
      </c>
    </row>
    <row r="299" spans="12:16">
      <c r="L299">
        <f>RAVLT_Learning!M299</f>
        <v>-0.54464165479999904</v>
      </c>
      <c r="M299">
        <f>RAVLT_Learning!N299</f>
        <v>29.3</v>
      </c>
      <c r="O299">
        <f>ABS(L299-RAVLT_Learning!$C$34)</f>
        <v>7.8886051677307893</v>
      </c>
      <c r="P299">
        <f t="shared" si="6"/>
        <v>29.3</v>
      </c>
    </row>
    <row r="300" spans="12:16">
      <c r="L300">
        <f>RAVLT_Learning!M300</f>
        <v>-0.54173656011281701</v>
      </c>
      <c r="M300">
        <f>RAVLT_Learning!N300</f>
        <v>29.4</v>
      </c>
      <c r="O300">
        <f>ABS(L300-RAVLT_Learning!$C$34)</f>
        <v>7.891510262417972</v>
      </c>
      <c r="P300">
        <f t="shared" si="6"/>
        <v>29.4</v>
      </c>
    </row>
    <row r="301" spans="12:16">
      <c r="L301">
        <f>RAVLT_Learning!M301</f>
        <v>-0.53883603027844995</v>
      </c>
      <c r="M301">
        <f>RAVLT_Learning!N301</f>
        <v>29.5</v>
      </c>
      <c r="O301">
        <f>ABS(L301-RAVLT_Learning!$C$34)</f>
        <v>7.894410792252339</v>
      </c>
      <c r="P301">
        <f t="shared" si="6"/>
        <v>29.5</v>
      </c>
    </row>
    <row r="302" spans="12:16">
      <c r="L302">
        <f>RAVLT_Learning!M302</f>
        <v>-0.53594002664748996</v>
      </c>
      <c r="M302">
        <f>RAVLT_Learning!N302</f>
        <v>29.6</v>
      </c>
      <c r="O302">
        <f>ABS(L302-RAVLT_Learning!$C$34)</f>
        <v>7.8973067958832992</v>
      </c>
      <c r="P302">
        <f t="shared" si="6"/>
        <v>29.6</v>
      </c>
    </row>
    <row r="303" spans="12:16">
      <c r="L303">
        <f>RAVLT_Learning!M303</f>
        <v>-0.53304851090290895</v>
      </c>
      <c r="M303">
        <f>RAVLT_Learning!N303</f>
        <v>29.7</v>
      </c>
      <c r="O303">
        <f>ABS(L303-RAVLT_Learning!$C$34)</f>
        <v>7.9001983116278796</v>
      </c>
      <c r="P303">
        <f t="shared" si="6"/>
        <v>29.7</v>
      </c>
    </row>
    <row r="304" spans="12:16">
      <c r="L304">
        <f>RAVLT_Learning!M304</f>
        <v>-0.53016144505551899</v>
      </c>
      <c r="M304">
        <f>RAVLT_Learning!N304</f>
        <v>29.8</v>
      </c>
      <c r="O304">
        <f>ABS(L304-RAVLT_Learning!$C$34)</f>
        <v>7.9030853774752696</v>
      </c>
      <c r="P304">
        <f t="shared" si="6"/>
        <v>29.8</v>
      </c>
    </row>
    <row r="305" spans="12:16">
      <c r="L305">
        <f>RAVLT_Learning!M305</f>
        <v>-0.52727879143950795</v>
      </c>
      <c r="M305">
        <f>RAVLT_Learning!N305</f>
        <v>29.9</v>
      </c>
      <c r="O305">
        <f>ABS(L305-RAVLT_Learning!$C$34)</f>
        <v>7.9059680310912812</v>
      </c>
      <c r="P305">
        <f t="shared" si="6"/>
        <v>29.9</v>
      </c>
    </row>
    <row r="306" spans="12:16">
      <c r="L306">
        <f>RAVLT_Learning!M306</f>
        <v>-0.524400512708041</v>
      </c>
      <c r="M306">
        <f>RAVLT_Learning!N306</f>
        <v>30</v>
      </c>
      <c r="O306">
        <f>ABS(L306-RAVLT_Learning!$C$34)</f>
        <v>7.9088463098227475</v>
      </c>
      <c r="P306">
        <f t="shared" si="6"/>
        <v>30</v>
      </c>
    </row>
    <row r="307" spans="12:16">
      <c r="L307">
        <f>RAVLT_Learning!M307</f>
        <v>-0.52152657182893203</v>
      </c>
      <c r="M307">
        <f>RAVLT_Learning!N307</f>
        <v>30.1</v>
      </c>
      <c r="O307">
        <f>ABS(L307-RAVLT_Learning!$C$34)</f>
        <v>7.9117202507018565</v>
      </c>
      <c r="P307">
        <f t="shared" si="6"/>
        <v>30.1</v>
      </c>
    </row>
    <row r="308" spans="12:16">
      <c r="L308">
        <f>RAVLT_Learning!M308</f>
        <v>-0.51865693208039099</v>
      </c>
      <c r="M308">
        <f>RAVLT_Learning!N308</f>
        <v>30.2</v>
      </c>
      <c r="O308">
        <f>ABS(L308-RAVLT_Learning!$C$34)</f>
        <v>7.9145898904503982</v>
      </c>
      <c r="P308">
        <f t="shared" si="6"/>
        <v>30.2</v>
      </c>
    </row>
    <row r="309" spans="12:16">
      <c r="L309">
        <f>RAVLT_Learning!M309</f>
        <v>-0.515791557046827</v>
      </c>
      <c r="M309">
        <f>RAVLT_Learning!N309</f>
        <v>30.3</v>
      </c>
      <c r="O309">
        <f>ABS(L309-RAVLT_Learning!$C$34)</f>
        <v>7.9174552654839623</v>
      </c>
      <c r="P309">
        <f t="shared" si="6"/>
        <v>30.3</v>
      </c>
    </row>
    <row r="310" spans="12:16">
      <c r="L310">
        <f>RAVLT_Learning!M310</f>
        <v>-0.51293041061472799</v>
      </c>
      <c r="M310">
        <f>RAVLT_Learning!N310</f>
        <v>30.4</v>
      </c>
      <c r="O310">
        <f>ABS(L310-RAVLT_Learning!$C$34)</f>
        <v>7.920316411916061</v>
      </c>
      <c r="P310">
        <f t="shared" si="6"/>
        <v>30.4</v>
      </c>
    </row>
    <row r="311" spans="12:16">
      <c r="L311">
        <f>RAVLT_Learning!M311</f>
        <v>-0.51007345696859496</v>
      </c>
      <c r="M311">
        <f>RAVLT_Learning!N311</f>
        <v>30.5</v>
      </c>
      <c r="O311">
        <f>ABS(L311-RAVLT_Learning!$C$34)</f>
        <v>7.9231733655621941</v>
      </c>
      <c r="P311">
        <f t="shared" si="6"/>
        <v>30.5</v>
      </c>
    </row>
    <row r="312" spans="12:16">
      <c r="L312">
        <f>RAVLT_Learning!M312</f>
        <v>-0.50722066058694604</v>
      </c>
      <c r="M312">
        <f>RAVLT_Learning!N312</f>
        <v>30.6</v>
      </c>
      <c r="O312">
        <f>ABS(L312-RAVLT_Learning!$C$34)</f>
        <v>7.9260261619438426</v>
      </c>
      <c r="P312">
        <f t="shared" si="6"/>
        <v>30.6</v>
      </c>
    </row>
    <row r="313" spans="12:16">
      <c r="L313">
        <f>RAVLT_Learning!M313</f>
        <v>-0.50437198623838098</v>
      </c>
      <c r="M313">
        <f>RAVLT_Learning!N313</f>
        <v>30.7</v>
      </c>
      <c r="O313">
        <f>ABS(L313-RAVLT_Learning!$C$34)</f>
        <v>7.9288748362924082</v>
      </c>
      <c r="P313">
        <f t="shared" si="6"/>
        <v>30.7</v>
      </c>
    </row>
    <row r="314" spans="12:16">
      <c r="L314">
        <f>RAVLT_Learning!M314</f>
        <v>-0.50152739897770804</v>
      </c>
      <c r="M314">
        <f>RAVLT_Learning!N314</f>
        <v>30.8</v>
      </c>
      <c r="O314">
        <f>ABS(L314-RAVLT_Learning!$C$34)</f>
        <v>7.9317194235530808</v>
      </c>
      <c r="P314">
        <f t="shared" si="6"/>
        <v>30.8</v>
      </c>
    </row>
    <row r="315" spans="12:16">
      <c r="L315">
        <f>RAVLT_Learning!M315</f>
        <v>-0.49868686414212199</v>
      </c>
      <c r="M315">
        <f>RAVLT_Learning!N315</f>
        <v>30.9</v>
      </c>
      <c r="O315">
        <f>ABS(L315-RAVLT_Learning!$C$34)</f>
        <v>7.9345599583886672</v>
      </c>
      <c r="P315">
        <f t="shared" si="6"/>
        <v>30.9</v>
      </c>
    </row>
    <row r="316" spans="12:16">
      <c r="L316">
        <f>RAVLT_Learning!M316</f>
        <v>-0.49585034734745298</v>
      </c>
      <c r="M316">
        <f>RAVLT_Learning!N316</f>
        <v>31</v>
      </c>
      <c r="O316">
        <f>ABS(L316-RAVLT_Learning!$C$34)</f>
        <v>7.9373964751833359</v>
      </c>
      <c r="P316">
        <f t="shared" si="6"/>
        <v>31</v>
      </c>
    </row>
    <row r="317" spans="12:16">
      <c r="L317">
        <f>RAVLT_Learning!M317</f>
        <v>-0.49301781448446502</v>
      </c>
      <c r="M317">
        <f>RAVLT_Learning!N317</f>
        <v>31.1</v>
      </c>
      <c r="O317">
        <f>ABS(L317-RAVLT_Learning!$C$34)</f>
        <v>7.940229008046324</v>
      </c>
      <c r="P317">
        <f t="shared" si="6"/>
        <v>31.1</v>
      </c>
    </row>
    <row r="318" spans="12:16">
      <c r="L318">
        <f>RAVLT_Learning!M318</f>
        <v>-0.49018923171520901</v>
      </c>
      <c r="M318">
        <f>RAVLT_Learning!N318</f>
        <v>31.2</v>
      </c>
      <c r="O318">
        <f>ABS(L318-RAVLT_Learning!$C$34)</f>
        <v>7.94305759081558</v>
      </c>
      <c r="P318">
        <f t="shared" si="6"/>
        <v>31.2</v>
      </c>
    </row>
    <row r="319" spans="12:16">
      <c r="L319">
        <f>RAVLT_Learning!M319</f>
        <v>-0.48736456546944101</v>
      </c>
      <c r="M319">
        <f>RAVLT_Learning!N319</f>
        <v>31.3</v>
      </c>
      <c r="O319">
        <f>ABS(L319-RAVLT_Learning!$C$34)</f>
        <v>7.9458822570613474</v>
      </c>
      <c r="P319">
        <f t="shared" si="6"/>
        <v>31.3</v>
      </c>
    </row>
    <row r="320" spans="12:16">
      <c r="L320">
        <f>RAVLT_Learning!M320</f>
        <v>-0.48454378244107899</v>
      </c>
      <c r="M320">
        <f>RAVLT_Learning!N320</f>
        <v>31.4</v>
      </c>
      <c r="O320">
        <f>ABS(L320-RAVLT_Learning!$C$34)</f>
        <v>7.9487030400897094</v>
      </c>
      <c r="P320">
        <f t="shared" si="6"/>
        <v>31.4</v>
      </c>
    </row>
    <row r="321" spans="12:16">
      <c r="L321">
        <f>RAVLT_Learning!M321</f>
        <v>-0.48172684958473</v>
      </c>
      <c r="M321">
        <f>RAVLT_Learning!N321</f>
        <v>31.5</v>
      </c>
      <c r="O321">
        <f>ABS(L321-RAVLT_Learning!$C$34)</f>
        <v>7.9515199729460591</v>
      </c>
      <c r="P321">
        <f t="shared" si="6"/>
        <v>31.5</v>
      </c>
    </row>
    <row r="322" spans="12:16">
      <c r="L322">
        <f>RAVLT_Learning!M322</f>
        <v>-0.47891373411225602</v>
      </c>
      <c r="M322">
        <f>RAVLT_Learning!N322</f>
        <v>31.6</v>
      </c>
      <c r="O322">
        <f>ABS(L322-RAVLT_Learning!$C$34)</f>
        <v>7.954333088418533</v>
      </c>
      <c r="P322">
        <f t="shared" si="6"/>
        <v>31.6</v>
      </c>
    </row>
    <row r="323" spans="12:16">
      <c r="L323">
        <f>RAVLT_Learning!M323</f>
        <v>-0.47610440348939498</v>
      </c>
      <c r="M323">
        <f>RAVLT_Learning!N323</f>
        <v>31.7</v>
      </c>
      <c r="O323">
        <f>ABS(L323-RAVLT_Learning!$C$34)</f>
        <v>7.9571424190413937</v>
      </c>
      <c r="P323">
        <f t="shared" si="6"/>
        <v>31.7</v>
      </c>
    </row>
    <row r="324" spans="12:16">
      <c r="L324">
        <f>RAVLT_Learning!M324</f>
        <v>-0.47329882543243701</v>
      </c>
      <c r="M324">
        <f>RAVLT_Learning!N324</f>
        <v>31.8</v>
      </c>
      <c r="O324">
        <f>ABS(L324-RAVLT_Learning!$C$34)</f>
        <v>7.959947997098352</v>
      </c>
      <c r="P324">
        <f t="shared" si="6"/>
        <v>31.8</v>
      </c>
    </row>
    <row r="325" spans="12:16">
      <c r="L325">
        <f>RAVLT_Learning!M325</f>
        <v>-0.470496967904941</v>
      </c>
      <c r="M325">
        <f>RAVLT_Learning!N325</f>
        <v>31.9</v>
      </c>
      <c r="O325">
        <f>ABS(L325-RAVLT_Learning!$C$34)</f>
        <v>7.9627498546258479</v>
      </c>
      <c r="P325">
        <f t="shared" si="6"/>
        <v>31.9</v>
      </c>
    </row>
    <row r="326" spans="12:16">
      <c r="L326">
        <f>RAVLT_Learning!M326</f>
        <v>-0.46769879911450801</v>
      </c>
      <c r="M326">
        <f>RAVLT_Learning!N326</f>
        <v>32</v>
      </c>
      <c r="O326">
        <f>ABS(L326-RAVLT_Learning!$C$34)</f>
        <v>7.9655480234162805</v>
      </c>
      <c r="P326">
        <f t="shared" si="6"/>
        <v>32</v>
      </c>
    </row>
    <row r="327" spans="12:16">
      <c r="L327">
        <f>RAVLT_Learning!M327</f>
        <v>-0.46490428750959401</v>
      </c>
      <c r="M327">
        <f>RAVLT_Learning!N327</f>
        <v>32.1</v>
      </c>
      <c r="O327">
        <f>ABS(L327-RAVLT_Learning!$C$34)</f>
        <v>7.9683425350211952</v>
      </c>
      <c r="P327">
        <f t="shared" si="6"/>
        <v>32.1</v>
      </c>
    </row>
    <row r="328" spans="12:16">
      <c r="L328">
        <f>RAVLT_Learning!M328</f>
        <v>-0.462113401776377</v>
      </c>
      <c r="M328">
        <f>RAVLT_Learning!N328</f>
        <v>32.200000000000003</v>
      </c>
      <c r="O328">
        <f>ABS(L328-RAVLT_Learning!$C$34)</f>
        <v>7.9711334207544118</v>
      </c>
      <c r="P328">
        <f t="shared" si="6"/>
        <v>32.200000000000003</v>
      </c>
    </row>
    <row r="329" spans="12:16">
      <c r="L329">
        <f>RAVLT_Learning!M329</f>
        <v>-0.45932611083566299</v>
      </c>
      <c r="M329">
        <f>RAVLT_Learning!N329</f>
        <v>32.299999999999997</v>
      </c>
      <c r="O329">
        <f>ABS(L329-RAVLT_Learning!$C$34)</f>
        <v>7.9739207116951256</v>
      </c>
      <c r="P329">
        <f t="shared" si="6"/>
        <v>32.299999999999997</v>
      </c>
    </row>
    <row r="330" spans="12:16">
      <c r="L330">
        <f>RAVLT_Learning!M330</f>
        <v>-0.45654238383984003</v>
      </c>
      <c r="M330">
        <f>RAVLT_Learning!N330</f>
        <v>32.4</v>
      </c>
      <c r="O330">
        <f>ABS(L330-RAVLT_Learning!$C$34)</f>
        <v>7.9767044386909491</v>
      </c>
      <c r="P330">
        <f t="shared" si="6"/>
        <v>32.4</v>
      </c>
    </row>
    <row r="331" spans="12:16">
      <c r="L331">
        <f>RAVLT_Learning!M331</f>
        <v>-0.45376219016987901</v>
      </c>
      <c r="M331">
        <f>RAVLT_Learning!N331</f>
        <v>32.5</v>
      </c>
      <c r="O331">
        <f>ABS(L331-RAVLT_Learning!$C$34)</f>
        <v>7.9794846323609097</v>
      </c>
      <c r="P331">
        <f t="shared" si="6"/>
        <v>32.5</v>
      </c>
    </row>
    <row r="332" spans="12:16">
      <c r="L332">
        <f>RAVLT_Learning!M332</f>
        <v>-0.45098549943237098</v>
      </c>
      <c r="M332">
        <f>RAVLT_Learning!N332</f>
        <v>32.6</v>
      </c>
      <c r="O332">
        <f>ABS(L332-RAVLT_Learning!$C$34)</f>
        <v>7.9822613230984176</v>
      </c>
      <c r="P332">
        <f t="shared" si="6"/>
        <v>32.6</v>
      </c>
    </row>
    <row r="333" spans="12:16">
      <c r="L333">
        <f>RAVLT_Learning!M333</f>
        <v>-0.44821228145660902</v>
      </c>
      <c r="M333">
        <f>RAVLT_Learning!N333</f>
        <v>32.700000000000003</v>
      </c>
      <c r="O333">
        <f>ABS(L333-RAVLT_Learning!$C$34)</f>
        <v>7.9850345410741799</v>
      </c>
      <c r="P333">
        <f t="shared" si="6"/>
        <v>32.700000000000003</v>
      </c>
    </row>
    <row r="334" spans="12:16">
      <c r="L334">
        <f>RAVLT_Learning!M334</f>
        <v>-0.44544250629172</v>
      </c>
      <c r="M334">
        <f>RAVLT_Learning!N334</f>
        <v>32.799999999999997</v>
      </c>
      <c r="O334">
        <f>ABS(L334-RAVLT_Learning!$C$34)</f>
        <v>7.9878043162390693</v>
      </c>
      <c r="P334">
        <f t="shared" si="6"/>
        <v>32.799999999999997</v>
      </c>
    </row>
    <row r="335" spans="12:16">
      <c r="L335">
        <f>RAVLT_Learning!M335</f>
        <v>-0.44267614420382101</v>
      </c>
      <c r="M335">
        <f>RAVLT_Learning!N335</f>
        <v>32.9</v>
      </c>
      <c r="O335">
        <f>ABS(L335-RAVLT_Learning!$C$34)</f>
        <v>7.9905706783269679</v>
      </c>
      <c r="P335">
        <f t="shared" si="6"/>
        <v>32.9</v>
      </c>
    </row>
    <row r="336" spans="12:16">
      <c r="L336">
        <f>RAVLT_Learning!M336</f>
        <v>-0.43991316567323402</v>
      </c>
      <c r="M336">
        <f>RAVLT_Learning!N336</f>
        <v>33</v>
      </c>
      <c r="O336">
        <f>ABS(L336-RAVLT_Learning!$C$34)</f>
        <v>7.9933336568575548</v>
      </c>
      <c r="P336">
        <f t="shared" si="6"/>
        <v>33</v>
      </c>
    </row>
    <row r="337" spans="12:16">
      <c r="L337">
        <f>RAVLT_Learning!M337</f>
        <v>-0.43715354139172202</v>
      </c>
      <c r="M337">
        <f>RAVLT_Learning!N337</f>
        <v>33.1</v>
      </c>
      <c r="O337">
        <f>ABS(L337-RAVLT_Learning!$C$34)</f>
        <v>7.9960932811390668</v>
      </c>
      <c r="P337">
        <f t="shared" si="6"/>
        <v>33.1</v>
      </c>
    </row>
    <row r="338" spans="12:16">
      <c r="L338">
        <f>RAVLT_Learning!M338</f>
        <v>-0.43439724225978099</v>
      </c>
      <c r="M338">
        <f>RAVLT_Learning!N338</f>
        <v>33.200000000000003</v>
      </c>
      <c r="O338">
        <f>ABS(L338-RAVLT_Learning!$C$34)</f>
        <v>7.998849580271008</v>
      </c>
      <c r="P338">
        <f t="shared" si="6"/>
        <v>33.200000000000003</v>
      </c>
    </row>
    <row r="339" spans="12:16">
      <c r="L339">
        <f>RAVLT_Learning!M339</f>
        <v>-0.43164423938395602</v>
      </c>
      <c r="M339">
        <f>RAVLT_Learning!N339</f>
        <v>33.299999999999997</v>
      </c>
      <c r="O339">
        <f>ABS(L339-RAVLT_Learning!$C$34)</f>
        <v>8.0016025831468323</v>
      </c>
      <c r="P339">
        <f t="shared" si="6"/>
        <v>33.299999999999997</v>
      </c>
    </row>
    <row r="340" spans="12:16">
      <c r="L340">
        <f>RAVLT_Learning!M340</f>
        <v>-0.42889450407420099</v>
      </c>
      <c r="M340">
        <f>RAVLT_Learning!N340</f>
        <v>33.4</v>
      </c>
      <c r="O340">
        <f>ABS(L340-RAVLT_Learning!$C$34)</f>
        <v>8.0043523184565881</v>
      </c>
      <c r="P340">
        <f t="shared" si="6"/>
        <v>33.4</v>
      </c>
    </row>
    <row r="341" spans="12:16">
      <c r="L341">
        <f>RAVLT_Learning!M341</f>
        <v>-0.42614800784127799</v>
      </c>
      <c r="M341">
        <f>RAVLT_Learning!N341</f>
        <v>33.5</v>
      </c>
      <c r="O341">
        <f>ABS(L341-RAVLT_Learning!$C$34)</f>
        <v>8.0070988146895115</v>
      </c>
      <c r="P341">
        <f t="shared" si="6"/>
        <v>33.5</v>
      </c>
    </row>
    <row r="342" spans="12:16">
      <c r="L342">
        <f>RAVLT_Learning!M342</f>
        <v>-0.42340472239418298</v>
      </c>
      <c r="M342">
        <f>RAVLT_Learning!N342</f>
        <v>33.6</v>
      </c>
      <c r="O342">
        <f>ABS(L342-RAVLT_Learning!$C$34)</f>
        <v>8.0098421001366056</v>
      </c>
      <c r="P342">
        <f t="shared" si="6"/>
        <v>33.6</v>
      </c>
    </row>
    <row r="343" spans="12:16">
      <c r="L343">
        <f>RAVLT_Learning!M343</f>
        <v>-0.42066461963761498</v>
      </c>
      <c r="M343">
        <f>RAVLT_Learning!N343</f>
        <v>33.700000000000003</v>
      </c>
      <c r="O343">
        <f>ABS(L343-RAVLT_Learning!$C$34)</f>
        <v>8.0125822028931744</v>
      </c>
      <c r="P343">
        <f t="shared" si="6"/>
        <v>33.700000000000003</v>
      </c>
    </row>
    <row r="344" spans="12:16">
      <c r="L344">
        <f>RAVLT_Learning!M344</f>
        <v>-0.41792767166948203</v>
      </c>
      <c r="M344">
        <f>RAVLT_Learning!N344</f>
        <v>33.799999999999997</v>
      </c>
      <c r="O344">
        <f>ABS(L344-RAVLT_Learning!$C$34)</f>
        <v>8.0153191508613073</v>
      </c>
      <c r="P344">
        <f t="shared" si="6"/>
        <v>33.799999999999997</v>
      </c>
    </row>
    <row r="345" spans="12:16">
      <c r="L345">
        <f>RAVLT_Learning!M345</f>
        <v>-0.41519385077842702</v>
      </c>
      <c r="M345">
        <f>RAVLT_Learning!N345</f>
        <v>33.9</v>
      </c>
      <c r="O345">
        <f>ABS(L345-RAVLT_Learning!$C$34)</f>
        <v>8.0180529717523612</v>
      </c>
      <c r="P345">
        <f t="shared" si="6"/>
        <v>33.9</v>
      </c>
    </row>
    <row r="346" spans="12:16">
      <c r="L346">
        <f>RAVLT_Learning!M346</f>
        <v>-0.41246312944140501</v>
      </c>
      <c r="M346">
        <f>RAVLT_Learning!N346</f>
        <v>34</v>
      </c>
      <c r="O346">
        <f>ABS(L346-RAVLT_Learning!$C$34)</f>
        <v>8.020783693089383</v>
      </c>
      <c r="P346">
        <f t="shared" si="6"/>
        <v>34</v>
      </c>
    </row>
    <row r="347" spans="12:16">
      <c r="L347">
        <f>RAVLT_Learning!M347</f>
        <v>-0.40973548032128099</v>
      </c>
      <c r="M347">
        <f>RAVLT_Learning!N347</f>
        <v>34.1</v>
      </c>
      <c r="O347">
        <f>ABS(L347-RAVLT_Learning!$C$34)</f>
        <v>8.0235113422095079</v>
      </c>
      <c r="P347">
        <f t="shared" si="6"/>
        <v>34.1</v>
      </c>
    </row>
    <row r="348" spans="12:16">
      <c r="L348">
        <f>RAVLT_Learning!M348</f>
        <v>-0.40701087626446603</v>
      </c>
      <c r="M348">
        <f>RAVLT_Learning!N348</f>
        <v>34.200000000000003</v>
      </c>
      <c r="O348">
        <f>ABS(L348-RAVLT_Learning!$C$34)</f>
        <v>8.026235946266322</v>
      </c>
      <c r="P348">
        <f t="shared" si="6"/>
        <v>34.200000000000003</v>
      </c>
    </row>
    <row r="349" spans="12:16">
      <c r="L349">
        <f>RAVLT_Learning!M349</f>
        <v>-0.40428929029857902</v>
      </c>
      <c r="M349">
        <f>RAVLT_Learning!N349</f>
        <v>34.299999999999997</v>
      </c>
      <c r="O349">
        <f>ABS(L349-RAVLT_Learning!$C$34)</f>
        <v>8.0289575322322104</v>
      </c>
      <c r="P349">
        <f t="shared" si="6"/>
        <v>34.299999999999997</v>
      </c>
    </row>
    <row r="350" spans="12:16">
      <c r="L350">
        <f>RAVLT_Learning!M350</f>
        <v>-0.40157069563014802</v>
      </c>
      <c r="M350">
        <f>RAVLT_Learning!N350</f>
        <v>34.4</v>
      </c>
      <c r="O350">
        <f>ABS(L350-RAVLT_Learning!$C$34)</f>
        <v>8.0316761269006403</v>
      </c>
      <c r="P350">
        <f t="shared" si="6"/>
        <v>34.4</v>
      </c>
    </row>
    <row r="351" spans="12:16">
      <c r="L351">
        <f>RAVLT_Learning!M351</f>
        <v>-0.39885506564233703</v>
      </c>
      <c r="M351">
        <f>RAVLT_Learning!N351</f>
        <v>34.5</v>
      </c>
      <c r="O351">
        <f>ABS(L351-RAVLT_Learning!$C$34)</f>
        <v>8.0343917568884518</v>
      </c>
      <c r="P351">
        <f t="shared" si="6"/>
        <v>34.5</v>
      </c>
    </row>
    <row r="352" spans="12:16">
      <c r="L352">
        <f>RAVLT_Learning!M352</f>
        <v>-0.39614237389269802</v>
      </c>
      <c r="M352">
        <f>RAVLT_Learning!N352</f>
        <v>34.6</v>
      </c>
      <c r="O352">
        <f>ABS(L352-RAVLT_Learning!$C$34)</f>
        <v>8.0371044486380914</v>
      </c>
      <c r="P352">
        <f t="shared" si="6"/>
        <v>34.6</v>
      </c>
    </row>
    <row r="353" spans="12:16">
      <c r="L353">
        <f>RAVLT_Learning!M353</f>
        <v>-0.39343259411096598</v>
      </c>
      <c r="M353">
        <f>RAVLT_Learning!N353</f>
        <v>34.700000000000003</v>
      </c>
      <c r="O353">
        <f>ABS(L353-RAVLT_Learning!$C$34)</f>
        <v>8.0398142284198233</v>
      </c>
      <c r="P353">
        <f t="shared" si="6"/>
        <v>34.700000000000003</v>
      </c>
    </row>
    <row r="354" spans="12:16">
      <c r="L354">
        <f>RAVLT_Learning!M354</f>
        <v>-0.39072570019686997</v>
      </c>
      <c r="M354">
        <f>RAVLT_Learning!N354</f>
        <v>34.799999999999997</v>
      </c>
      <c r="O354">
        <f>ABS(L354-RAVLT_Learning!$C$34)</f>
        <v>8.0425211223339197</v>
      </c>
      <c r="P354">
        <f t="shared" si="6"/>
        <v>34.799999999999997</v>
      </c>
    </row>
    <row r="355" spans="12:16">
      <c r="L355">
        <f>RAVLT_Learning!M355</f>
        <v>-0.38802166621797701</v>
      </c>
      <c r="M355">
        <f>RAVLT_Learning!N355</f>
        <v>34.9</v>
      </c>
      <c r="O355">
        <f>ABS(L355-RAVLT_Learning!$C$34)</f>
        <v>8.0452251563128119</v>
      </c>
      <c r="P355">
        <f t="shared" si="6"/>
        <v>34.9</v>
      </c>
    </row>
    <row r="356" spans="12:16">
      <c r="L356">
        <f>RAVLT_Learning!M356</f>
        <v>-0.38532046640756801</v>
      </c>
      <c r="M356">
        <f>RAVLT_Learning!N356</f>
        <v>35</v>
      </c>
      <c r="O356">
        <f>ABS(L356-RAVLT_Learning!$C$34)</f>
        <v>8.0479263561232202</v>
      </c>
      <c r="P356">
        <f t="shared" si="6"/>
        <v>35</v>
      </c>
    </row>
    <row r="357" spans="12:16">
      <c r="L357">
        <f>RAVLT_Learning!M357</f>
        <v>-0.38262207516253399</v>
      </c>
      <c r="M357">
        <f>RAVLT_Learning!N357</f>
        <v>35.1</v>
      </c>
      <c r="O357">
        <f>ABS(L357-RAVLT_Learning!$C$34)</f>
        <v>8.0506247473682553</v>
      </c>
      <c r="P357">
        <f t="shared" si="6"/>
        <v>35.1</v>
      </c>
    </row>
    <row r="358" spans="12:16">
      <c r="L358">
        <f>RAVLT_Learning!M358</f>
        <v>-0.379926467041307</v>
      </c>
      <c r="M358">
        <f>RAVLT_Learning!N358</f>
        <v>35.200000000000003</v>
      </c>
      <c r="O358">
        <f>ABS(L358-RAVLT_Learning!$C$34)</f>
        <v>8.0533203554894826</v>
      </c>
      <c r="P358">
        <f t="shared" si="6"/>
        <v>35.200000000000003</v>
      </c>
    </row>
    <row r="359" spans="12:16">
      <c r="L359">
        <f>RAVLT_Learning!M359</f>
        <v>-0.377233616761812</v>
      </c>
      <c r="M359">
        <f>RAVLT_Learning!N359</f>
        <v>35.299999999999997</v>
      </c>
      <c r="O359">
        <f>ABS(L359-RAVLT_Learning!$C$34)</f>
        <v>8.0560132057689771</v>
      </c>
      <c r="P359">
        <f t="shared" si="6"/>
        <v>35.299999999999997</v>
      </c>
    </row>
    <row r="360" spans="12:16">
      <c r="L360">
        <f>RAVLT_Learning!M360</f>
        <v>-0.37454349919944302</v>
      </c>
      <c r="M360">
        <f>RAVLT_Learning!N360</f>
        <v>35.4</v>
      </c>
      <c r="O360">
        <f>ABS(L360-RAVLT_Learning!$C$34)</f>
        <v>8.0587033233313452</v>
      </c>
      <c r="P360">
        <f t="shared" si="6"/>
        <v>35.4</v>
      </c>
    </row>
    <row r="361" spans="12:16">
      <c r="L361">
        <f>RAVLT_Learning!M361</f>
        <v>-0.37185608938507497</v>
      </c>
      <c r="M361">
        <f>RAVLT_Learning!N361</f>
        <v>35.5</v>
      </c>
      <c r="O361">
        <f>ABS(L361-RAVLT_Learning!$C$34)</f>
        <v>8.0613907331457142</v>
      </c>
      <c r="P361">
        <f t="shared" ref="P361:P424" si="7">M361</f>
        <v>35.5</v>
      </c>
    </row>
    <row r="362" spans="12:16">
      <c r="L362">
        <f>RAVLT_Learning!M362</f>
        <v>-0.36917136250309002</v>
      </c>
      <c r="M362">
        <f>RAVLT_Learning!N362</f>
        <v>35.6</v>
      </c>
      <c r="O362">
        <f>ABS(L362-RAVLT_Learning!$C$34)</f>
        <v>8.0640754600276985</v>
      </c>
      <c r="P362">
        <f t="shared" si="7"/>
        <v>35.6</v>
      </c>
    </row>
    <row r="363" spans="12:16">
      <c r="L363">
        <f>RAVLT_Learning!M363</f>
        <v>-0.36648929388943402</v>
      </c>
      <c r="M363">
        <f>RAVLT_Learning!N363</f>
        <v>35.700000000000003</v>
      </c>
      <c r="O363">
        <f>ABS(L363-RAVLT_Learning!$C$34)</f>
        <v>8.0667575286413555</v>
      </c>
      <c r="P363">
        <f t="shared" si="7"/>
        <v>35.700000000000003</v>
      </c>
    </row>
    <row r="364" spans="12:16">
      <c r="L364">
        <f>RAVLT_Learning!M364</f>
        <v>-0.36380985902969598</v>
      </c>
      <c r="M364">
        <f>RAVLT_Learning!N364</f>
        <v>35.799999999999997</v>
      </c>
      <c r="O364">
        <f>ABS(L364-RAVLT_Learning!$C$34)</f>
        <v>8.0694369635010936</v>
      </c>
      <c r="P364">
        <f t="shared" si="7"/>
        <v>35.799999999999997</v>
      </c>
    </row>
    <row r="365" spans="12:16">
      <c r="L365">
        <f>RAVLT_Learning!M365</f>
        <v>-0.36113303355721199</v>
      </c>
      <c r="M365">
        <f>RAVLT_Learning!N365</f>
        <v>35.9</v>
      </c>
      <c r="O365">
        <f>ABS(L365-RAVLT_Learning!$C$34)</f>
        <v>8.0721137889735761</v>
      </c>
      <c r="P365">
        <f t="shared" si="7"/>
        <v>35.9</v>
      </c>
    </row>
    <row r="366" spans="12:16">
      <c r="L366">
        <f>RAVLT_Learning!M366</f>
        <v>-0.35845879325119401</v>
      </c>
      <c r="M366">
        <f>RAVLT_Learning!N366</f>
        <v>36</v>
      </c>
      <c r="O366">
        <f>ABS(L366-RAVLT_Learning!$C$34)</f>
        <v>8.0747880292795955</v>
      </c>
      <c r="P366">
        <f t="shared" si="7"/>
        <v>36</v>
      </c>
    </row>
    <row r="367" spans="12:16">
      <c r="L367">
        <f>RAVLT_Learning!M367</f>
        <v>-0.35578711403487501</v>
      </c>
      <c r="M367">
        <f>RAVLT_Learning!N367</f>
        <v>36.1</v>
      </c>
      <c r="O367">
        <f>ABS(L367-RAVLT_Learning!$C$34)</f>
        <v>8.0774597084959137</v>
      </c>
      <c r="P367">
        <f t="shared" si="7"/>
        <v>36.1</v>
      </c>
    </row>
    <row r="368" spans="12:16">
      <c r="L368">
        <f>RAVLT_Learning!M368</f>
        <v>-0.35311797197368899</v>
      </c>
      <c r="M368">
        <f>RAVLT_Learning!N368</f>
        <v>36.200000000000003</v>
      </c>
      <c r="O368">
        <f>ABS(L368-RAVLT_Learning!$C$34)</f>
        <v>8.0801288505571005</v>
      </c>
      <c r="P368">
        <f t="shared" si="7"/>
        <v>36.200000000000003</v>
      </c>
    </row>
    <row r="369" spans="12:16">
      <c r="L369">
        <f>RAVLT_Learning!M369</f>
        <v>-0.350451343273461</v>
      </c>
      <c r="M369">
        <f>RAVLT_Learning!N369</f>
        <v>36.299999999999997</v>
      </c>
      <c r="O369">
        <f>ABS(L369-RAVLT_Learning!$C$34)</f>
        <v>8.082795479257328</v>
      </c>
      <c r="P369">
        <f t="shared" si="7"/>
        <v>36.299999999999997</v>
      </c>
    </row>
    <row r="370" spans="12:16">
      <c r="L370">
        <f>RAVLT_Learning!M370</f>
        <v>-0.34778720427862703</v>
      </c>
      <c r="M370">
        <f>RAVLT_Learning!N370</f>
        <v>36.4</v>
      </c>
      <c r="O370">
        <f>ABS(L370-RAVLT_Learning!$C$34)</f>
        <v>8.0854596182521625</v>
      </c>
      <c r="P370">
        <f t="shared" si="7"/>
        <v>36.4</v>
      </c>
    </row>
    <row r="371" spans="12:16">
      <c r="L371">
        <f>RAVLT_Learning!M371</f>
        <v>-0.34512553147047198</v>
      </c>
      <c r="M371">
        <f>RAVLT_Learning!N371</f>
        <v>36.5</v>
      </c>
      <c r="O371">
        <f>ABS(L371-RAVLT_Learning!$C$34)</f>
        <v>8.0881212910603164</v>
      </c>
      <c r="P371">
        <f t="shared" si="7"/>
        <v>36.5</v>
      </c>
    </row>
    <row r="372" spans="12:16">
      <c r="L372">
        <f>RAVLT_Learning!M372</f>
        <v>-0.34246630146539098</v>
      </c>
      <c r="M372">
        <f>RAVLT_Learning!N372</f>
        <v>36.6</v>
      </c>
      <c r="O372">
        <f>ABS(L372-RAVLT_Learning!$C$34)</f>
        <v>8.0907805210653976</v>
      </c>
      <c r="P372">
        <f t="shared" si="7"/>
        <v>36.6</v>
      </c>
    </row>
    <row r="373" spans="12:16">
      <c r="L373">
        <f>RAVLT_Learning!M373</f>
        <v>-0.33980949101316699</v>
      </c>
      <c r="M373">
        <f>RAVLT_Learning!N373</f>
        <v>36.700000000000003</v>
      </c>
      <c r="O373">
        <f>ABS(L373-RAVLT_Learning!$C$34)</f>
        <v>8.093437331517622</v>
      </c>
      <c r="P373">
        <f t="shared" si="7"/>
        <v>36.700000000000003</v>
      </c>
    </row>
    <row r="374" spans="12:16">
      <c r="L374">
        <f>RAVLT_Learning!M374</f>
        <v>-0.33715507699527703</v>
      </c>
      <c r="M374">
        <f>RAVLT_Learning!N374</f>
        <v>36.799999999999997</v>
      </c>
      <c r="O374">
        <f>ABS(L374-RAVLT_Learning!$C$34)</f>
        <v>8.0960917455355119</v>
      </c>
      <c r="P374">
        <f t="shared" si="7"/>
        <v>36.799999999999997</v>
      </c>
    </row>
    <row r="375" spans="12:16">
      <c r="L375">
        <f>RAVLT_Learning!M375</f>
        <v>-0.334503036423212</v>
      </c>
      <c r="M375">
        <f>RAVLT_Learning!N375</f>
        <v>36.9</v>
      </c>
      <c r="O375">
        <f>ABS(L375-RAVLT_Learning!$C$34)</f>
        <v>8.0987437861075762</v>
      </c>
      <c r="P375">
        <f t="shared" si="7"/>
        <v>36.9</v>
      </c>
    </row>
    <row r="376" spans="12:16">
      <c r="L376">
        <f>RAVLT_Learning!M376</f>
        <v>-0.33185334643681702</v>
      </c>
      <c r="M376">
        <f>RAVLT_Learning!N376</f>
        <v>37</v>
      </c>
      <c r="O376">
        <f>ABS(L376-RAVLT_Learning!$C$34)</f>
        <v>8.1013934760939712</v>
      </c>
      <c r="P376">
        <f t="shared" si="7"/>
        <v>37</v>
      </c>
    </row>
    <row r="377" spans="12:16">
      <c r="L377">
        <f>RAVLT_Learning!M377</f>
        <v>-0.32920598430265102</v>
      </c>
      <c r="M377">
        <f>RAVLT_Learning!N377</f>
        <v>37.1</v>
      </c>
      <c r="O377">
        <f>ABS(L377-RAVLT_Learning!$C$34)</f>
        <v>8.104040838228137</v>
      </c>
      <c r="P377">
        <f t="shared" si="7"/>
        <v>37.1</v>
      </c>
    </row>
    <row r="378" spans="12:16">
      <c r="L378">
        <f>RAVLT_Learning!M378</f>
        <v>-0.32656092741237303</v>
      </c>
      <c r="M378">
        <f>RAVLT_Learning!N378</f>
        <v>37.200000000000003</v>
      </c>
      <c r="O378">
        <f>ABS(L378-RAVLT_Learning!$C$34)</f>
        <v>8.1066858951184155</v>
      </c>
      <c r="P378">
        <f t="shared" si="7"/>
        <v>37.200000000000003</v>
      </c>
    </row>
    <row r="379" spans="12:16">
      <c r="L379">
        <f>RAVLT_Learning!M379</f>
        <v>-0.32391815328113299</v>
      </c>
      <c r="M379">
        <f>RAVLT_Learning!N379</f>
        <v>37.299999999999997</v>
      </c>
      <c r="O379">
        <f>ABS(L379-RAVLT_Learning!$C$34)</f>
        <v>8.1093286692496562</v>
      </c>
      <c r="P379">
        <f t="shared" si="7"/>
        <v>37.299999999999997</v>
      </c>
    </row>
    <row r="380" spans="12:16">
      <c r="L380">
        <f>RAVLT_Learning!M380</f>
        <v>-0.32127763954599597</v>
      </c>
      <c r="M380">
        <f>RAVLT_Learning!N380</f>
        <v>37.4</v>
      </c>
      <c r="O380">
        <f>ABS(L380-RAVLT_Learning!$C$34)</f>
        <v>8.1119691829847937</v>
      </c>
      <c r="P380">
        <f t="shared" si="7"/>
        <v>37.4</v>
      </c>
    </row>
    <row r="381" spans="12:16">
      <c r="L381">
        <f>RAVLT_Learning!M381</f>
        <v>-0.31863936396437498</v>
      </c>
      <c r="M381">
        <f>RAVLT_Learning!N381</f>
        <v>37.5</v>
      </c>
      <c r="O381">
        <f>ABS(L381-RAVLT_Learning!$C$34)</f>
        <v>8.1146074585664145</v>
      </c>
      <c r="P381">
        <f t="shared" si="7"/>
        <v>37.5</v>
      </c>
    </row>
    <row r="382" spans="12:16">
      <c r="L382">
        <f>RAVLT_Learning!M382</f>
        <v>-0.31600330441248298</v>
      </c>
      <c r="M382">
        <f>RAVLT_Learning!N382</f>
        <v>37.6</v>
      </c>
      <c r="O382">
        <f>ABS(L382-RAVLT_Learning!$C$34)</f>
        <v>8.1172435181183058</v>
      </c>
      <c r="P382">
        <f t="shared" si="7"/>
        <v>37.6</v>
      </c>
    </row>
    <row r="383" spans="12:16">
      <c r="L383">
        <f>RAVLT_Learning!M383</f>
        <v>-0.31336943888380597</v>
      </c>
      <c r="M383">
        <f>RAVLT_Learning!N383</f>
        <v>37.700000000000003</v>
      </c>
      <c r="O383">
        <f>ABS(L383-RAVLT_Learning!$C$34)</f>
        <v>8.1198773836469833</v>
      </c>
      <c r="P383">
        <f t="shared" si="7"/>
        <v>37.700000000000003</v>
      </c>
    </row>
    <row r="384" spans="12:16">
      <c r="L384">
        <f>RAVLT_Learning!M384</f>
        <v>-0.31073774548759198</v>
      </c>
      <c r="M384">
        <f>RAVLT_Learning!N384</f>
        <v>37.799999999999997</v>
      </c>
      <c r="O384">
        <f>ABS(L384-RAVLT_Learning!$C$34)</f>
        <v>8.1225090770431976</v>
      </c>
      <c r="P384">
        <f t="shared" si="7"/>
        <v>37.799999999999997</v>
      </c>
    </row>
    <row r="385" spans="12:16">
      <c r="L385">
        <f>RAVLT_Learning!M385</f>
        <v>-0.30810820244735498</v>
      </c>
      <c r="M385">
        <f>RAVLT_Learning!N385</f>
        <v>37.9</v>
      </c>
      <c r="O385">
        <f>ABS(L385-RAVLT_Learning!$C$34)</f>
        <v>8.1251386200834332</v>
      </c>
      <c r="P385">
        <f t="shared" si="7"/>
        <v>37.9</v>
      </c>
    </row>
    <row r="386" spans="12:16">
      <c r="L386">
        <f>RAVLT_Learning!M386</f>
        <v>-0.30548078809939699</v>
      </c>
      <c r="M386">
        <f>RAVLT_Learning!N386</f>
        <v>38</v>
      </c>
      <c r="O386">
        <f>ABS(L386-RAVLT_Learning!$C$34)</f>
        <v>8.1277660344313922</v>
      </c>
      <c r="P386">
        <f t="shared" si="7"/>
        <v>38</v>
      </c>
    </row>
    <row r="387" spans="12:16">
      <c r="L387">
        <f>RAVLT_Learning!M387</f>
        <v>-0.302855480891349</v>
      </c>
      <c r="M387">
        <f>RAVLT_Learning!N387</f>
        <v>38.1</v>
      </c>
      <c r="O387">
        <f>ABS(L387-RAVLT_Learning!$C$34)</f>
        <v>8.1303913416394398</v>
      </c>
      <c r="P387">
        <f t="shared" si="7"/>
        <v>38.1</v>
      </c>
    </row>
    <row r="388" spans="12:16">
      <c r="L388">
        <f>RAVLT_Learning!M388</f>
        <v>-0.30023225938072201</v>
      </c>
      <c r="M388">
        <f>RAVLT_Learning!N388</f>
        <v>38.200000000000003</v>
      </c>
      <c r="O388">
        <f>ABS(L388-RAVLT_Learning!$C$34)</f>
        <v>8.1330145631500663</v>
      </c>
      <c r="P388">
        <f t="shared" si="7"/>
        <v>38.200000000000003</v>
      </c>
    </row>
    <row r="389" spans="12:16">
      <c r="L389">
        <f>RAVLT_Learning!M389</f>
        <v>-0.29761110223347997</v>
      </c>
      <c r="M389">
        <f>RAVLT_Learning!N389</f>
        <v>38.299999999999997</v>
      </c>
      <c r="O389">
        <f>ABS(L389-RAVLT_Learning!$C$34)</f>
        <v>8.1356357202973086</v>
      </c>
      <c r="P389">
        <f t="shared" si="7"/>
        <v>38.299999999999997</v>
      </c>
    </row>
    <row r="390" spans="12:16">
      <c r="L390">
        <f>RAVLT_Learning!M390</f>
        <v>-0.29499198822262601</v>
      </c>
      <c r="M390">
        <f>RAVLT_Learning!N390</f>
        <v>38.4</v>
      </c>
      <c r="O390">
        <f>ABS(L390-RAVLT_Learning!$C$34)</f>
        <v>8.138254834308162</v>
      </c>
      <c r="P390">
        <f t="shared" si="7"/>
        <v>38.4</v>
      </c>
    </row>
    <row r="391" spans="12:16">
      <c r="L391">
        <f>RAVLT_Learning!M391</f>
        <v>-0.29237489622680402</v>
      </c>
      <c r="M391">
        <f>RAVLT_Learning!N391</f>
        <v>38.5</v>
      </c>
      <c r="O391">
        <f>ABS(L391-RAVLT_Learning!$C$34)</f>
        <v>8.1408719263039853</v>
      </c>
      <c r="P391">
        <f t="shared" si="7"/>
        <v>38.5</v>
      </c>
    </row>
    <row r="392" spans="12:16">
      <c r="L392">
        <f>RAVLT_Learning!M392</f>
        <v>-0.28975980522891398</v>
      </c>
      <c r="M392">
        <f>RAVLT_Learning!N392</f>
        <v>38.6</v>
      </c>
      <c r="O392">
        <f>ABS(L392-RAVLT_Learning!$C$34)</f>
        <v>8.1434870173018741</v>
      </c>
      <c r="P392">
        <f t="shared" si="7"/>
        <v>38.6</v>
      </c>
    </row>
    <row r="393" spans="12:16">
      <c r="L393">
        <f>RAVLT_Learning!M393</f>
        <v>-0.28714669431474499</v>
      </c>
      <c r="M393">
        <f>RAVLT_Learning!N393</f>
        <v>38.700000000000003</v>
      </c>
      <c r="O393">
        <f>ABS(L393-RAVLT_Learning!$C$34)</f>
        <v>8.1461001282160446</v>
      </c>
      <c r="P393">
        <f t="shared" si="7"/>
        <v>38.700000000000003</v>
      </c>
    </row>
    <row r="394" spans="12:16">
      <c r="L394">
        <f>RAVLT_Learning!M394</f>
        <v>-0.28453554267162201</v>
      </c>
      <c r="M394">
        <f>RAVLT_Learning!N394</f>
        <v>38.799999999999997</v>
      </c>
      <c r="O394">
        <f>ABS(L394-RAVLT_Learning!$C$34)</f>
        <v>8.1487112798591674</v>
      </c>
      <c r="P394">
        <f t="shared" si="7"/>
        <v>38.799999999999997</v>
      </c>
    </row>
    <row r="395" spans="12:16">
      <c r="L395">
        <f>RAVLT_Learning!M395</f>
        <v>-0.28192632958706099</v>
      </c>
      <c r="M395">
        <f>RAVLT_Learning!N395</f>
        <v>38.9</v>
      </c>
      <c r="O395">
        <f>ABS(L395-RAVLT_Learning!$C$34)</f>
        <v>8.1513204929437286</v>
      </c>
      <c r="P395">
        <f t="shared" si="7"/>
        <v>38.9</v>
      </c>
    </row>
    <row r="396" spans="12:16">
      <c r="L396">
        <f>RAVLT_Learning!M396</f>
        <v>-0.27931903444745398</v>
      </c>
      <c r="M396">
        <f>RAVLT_Learning!N396</f>
        <v>39</v>
      </c>
      <c r="O396">
        <f>ABS(L396-RAVLT_Learning!$C$34)</f>
        <v>8.153927788083335</v>
      </c>
      <c r="P396">
        <f t="shared" si="7"/>
        <v>39</v>
      </c>
    </row>
    <row r="397" spans="12:16">
      <c r="L397">
        <f>RAVLT_Learning!M397</f>
        <v>-0.27671363673674698</v>
      </c>
      <c r="M397">
        <f>RAVLT_Learning!N397</f>
        <v>39.1</v>
      </c>
      <c r="O397">
        <f>ABS(L397-RAVLT_Learning!$C$34)</f>
        <v>8.1565331857940411</v>
      </c>
      <c r="P397">
        <f t="shared" si="7"/>
        <v>39.1</v>
      </c>
    </row>
    <row r="398" spans="12:16">
      <c r="L398">
        <f>RAVLT_Learning!M398</f>
        <v>-0.27411011603514701</v>
      </c>
      <c r="M398">
        <f>RAVLT_Learning!N398</f>
        <v>39.200000000000003</v>
      </c>
      <c r="O398">
        <f>ABS(L398-RAVLT_Learning!$C$34)</f>
        <v>8.1591367064956426</v>
      </c>
      <c r="P398">
        <f t="shared" si="7"/>
        <v>39.200000000000003</v>
      </c>
    </row>
    <row r="399" spans="12:16">
      <c r="L399">
        <f>RAVLT_Learning!M399</f>
        <v>-0.27150845201783902</v>
      </c>
      <c r="M399">
        <f>RAVLT_Learning!N399</f>
        <v>39.299999999999997</v>
      </c>
      <c r="O399">
        <f>ABS(L399-RAVLT_Learning!$C$34)</f>
        <v>8.1617383705129498</v>
      </c>
      <c r="P399">
        <f t="shared" si="7"/>
        <v>39.299999999999997</v>
      </c>
    </row>
    <row r="400" spans="12:16">
      <c r="L400">
        <f>RAVLT_Learning!M400</f>
        <v>-0.26890862445371</v>
      </c>
      <c r="M400">
        <f>RAVLT_Learning!N400</f>
        <v>39.4</v>
      </c>
      <c r="O400">
        <f>ABS(L400-RAVLT_Learning!$C$34)</f>
        <v>8.1643381980770791</v>
      </c>
      <c r="P400">
        <f t="shared" si="7"/>
        <v>39.4</v>
      </c>
    </row>
    <row r="401" spans="12:16">
      <c r="L401">
        <f>RAVLT_Learning!M401</f>
        <v>-0.26631061320409499</v>
      </c>
      <c r="M401">
        <f>RAVLT_Learning!N401</f>
        <v>39.5</v>
      </c>
      <c r="O401">
        <f>ABS(L401-RAVLT_Learning!$C$34)</f>
        <v>8.1669362093266944</v>
      </c>
      <c r="P401">
        <f t="shared" si="7"/>
        <v>39.5</v>
      </c>
    </row>
    <row r="402" spans="12:16">
      <c r="L402">
        <f>RAVLT_Learning!M402</f>
        <v>-0.26371439822152998</v>
      </c>
      <c r="M402">
        <f>RAVLT_Learning!N402</f>
        <v>39.6</v>
      </c>
      <c r="O402">
        <f>ABS(L402-RAVLT_Learning!$C$34)</f>
        <v>8.1695324243092582</v>
      </c>
      <c r="P402">
        <f t="shared" si="7"/>
        <v>39.6</v>
      </c>
    </row>
    <row r="403" spans="12:16">
      <c r="L403">
        <f>RAVLT_Learning!M403</f>
        <v>-0.26111995954851802</v>
      </c>
      <c r="M403">
        <f>RAVLT_Learning!N403</f>
        <v>39.700000000000003</v>
      </c>
      <c r="O403">
        <f>ABS(L403-RAVLT_Learning!$C$34)</f>
        <v>8.172126862982271</v>
      </c>
      <c r="P403">
        <f t="shared" si="7"/>
        <v>39.700000000000003</v>
      </c>
    </row>
    <row r="404" spans="12:16">
      <c r="L404">
        <f>RAVLT_Learning!M404</f>
        <v>-0.25852727731630998</v>
      </c>
      <c r="M404">
        <f>RAVLT_Learning!N404</f>
        <v>39.799999999999997</v>
      </c>
      <c r="O404">
        <f>ABS(L404-RAVLT_Learning!$C$34)</f>
        <v>8.1747195452144794</v>
      </c>
      <c r="P404">
        <f t="shared" si="7"/>
        <v>39.799999999999997</v>
      </c>
    </row>
    <row r="405" spans="12:16">
      <c r="L405">
        <f>RAVLT_Learning!M405</f>
        <v>-0.25593633174369301</v>
      </c>
      <c r="M405">
        <f>RAVLT_Learning!N405</f>
        <v>39.9</v>
      </c>
      <c r="O405">
        <f>ABS(L405-RAVLT_Learning!$C$34)</f>
        <v>8.1773104907870966</v>
      </c>
      <c r="P405">
        <f t="shared" si="7"/>
        <v>39.9</v>
      </c>
    </row>
    <row r="406" spans="12:16">
      <c r="L406">
        <f>RAVLT_Learning!M406</f>
        <v>-0.2533471031358</v>
      </c>
      <c r="M406">
        <f>RAVLT_Learning!N406</f>
        <v>40</v>
      </c>
      <c r="O406">
        <f>ABS(L406-RAVLT_Learning!$C$34)</f>
        <v>8.1798997193949887</v>
      </c>
      <c r="P406">
        <f t="shared" si="7"/>
        <v>40</v>
      </c>
    </row>
    <row r="407" spans="12:16">
      <c r="L407">
        <f>RAVLT_Learning!M407</f>
        <v>-0.25075957188291598</v>
      </c>
      <c r="M407">
        <f>RAVLT_Learning!N407</f>
        <v>40.1</v>
      </c>
      <c r="O407">
        <f>ABS(L407-RAVLT_Learning!$C$34)</f>
        <v>8.1824872506478723</v>
      </c>
      <c r="P407">
        <f t="shared" si="7"/>
        <v>40.1</v>
      </c>
    </row>
    <row r="408" spans="12:16">
      <c r="L408">
        <f>RAVLT_Learning!M408</f>
        <v>-0.24817371845931299</v>
      </c>
      <c r="M408">
        <f>RAVLT_Learning!N408</f>
        <v>40.200000000000003</v>
      </c>
      <c r="O408">
        <f>ABS(L408-RAVLT_Learning!$C$34)</f>
        <v>8.1850731040714759</v>
      </c>
      <c r="P408">
        <f t="shared" si="7"/>
        <v>40.200000000000003</v>
      </c>
    </row>
    <row r="409" spans="12:16">
      <c r="L409">
        <f>RAVLT_Learning!M409</f>
        <v>-0.24558952342208101</v>
      </c>
      <c r="M409">
        <f>RAVLT_Learning!N409</f>
        <v>40.299999999999997</v>
      </c>
      <c r="O409">
        <f>ABS(L409-RAVLT_Learning!$C$34)</f>
        <v>8.1876572991087073</v>
      </c>
      <c r="P409">
        <f t="shared" si="7"/>
        <v>40.299999999999997</v>
      </c>
    </row>
    <row r="410" spans="12:16">
      <c r="L410">
        <f>RAVLT_Learning!M410</f>
        <v>-0.24300696740998201</v>
      </c>
      <c r="M410">
        <f>RAVLT_Learning!N410</f>
        <v>40.4</v>
      </c>
      <c r="O410">
        <f>ABS(L410-RAVLT_Learning!$C$34)</f>
        <v>8.1902398551208062</v>
      </c>
      <c r="P410">
        <f t="shared" si="7"/>
        <v>40.4</v>
      </c>
    </row>
    <row r="411" spans="12:16">
      <c r="L411">
        <f>RAVLT_Learning!M411</f>
        <v>-0.24042603114230801</v>
      </c>
      <c r="M411">
        <f>RAVLT_Learning!N411</f>
        <v>40.5</v>
      </c>
      <c r="O411">
        <f>ABS(L411-RAVLT_Learning!$C$34)</f>
        <v>8.1928207913884812</v>
      </c>
      <c r="P411">
        <f t="shared" si="7"/>
        <v>40.5</v>
      </c>
    </row>
    <row r="412" spans="12:16">
      <c r="L412">
        <f>RAVLT_Learning!M412</f>
        <v>-0.237846695417749</v>
      </c>
      <c r="M412">
        <f>RAVLT_Learning!N412</f>
        <v>40.6</v>
      </c>
      <c r="O412">
        <f>ABS(L412-RAVLT_Learning!$C$34)</f>
        <v>8.1954001271130394</v>
      </c>
      <c r="P412">
        <f t="shared" si="7"/>
        <v>40.6</v>
      </c>
    </row>
    <row r="413" spans="12:16">
      <c r="L413">
        <f>RAVLT_Learning!M413</f>
        <v>-0.23526894111328001</v>
      </c>
      <c r="M413">
        <f>RAVLT_Learning!N413</f>
        <v>40.700000000000003</v>
      </c>
      <c r="O413">
        <f>ABS(L413-RAVLT_Learning!$C$34)</f>
        <v>8.1979778814175095</v>
      </c>
      <c r="P413">
        <f t="shared" si="7"/>
        <v>40.700000000000003</v>
      </c>
    </row>
    <row r="414" spans="12:16">
      <c r="L414">
        <f>RAVLT_Learning!M414</f>
        <v>-0.232692749183045</v>
      </c>
      <c r="M414">
        <f>RAVLT_Learning!N414</f>
        <v>40.799999999999997</v>
      </c>
      <c r="O414">
        <f>ABS(L414-RAVLT_Learning!$C$34)</f>
        <v>8.2005540733477442</v>
      </c>
      <c r="P414">
        <f t="shared" si="7"/>
        <v>40.799999999999997</v>
      </c>
    </row>
    <row r="415" spans="12:16">
      <c r="L415">
        <f>RAVLT_Learning!M415</f>
        <v>-0.23011810065726601</v>
      </c>
      <c r="M415">
        <f>RAVLT_Learning!N415</f>
        <v>40.9</v>
      </c>
      <c r="O415">
        <f>ABS(L415-RAVLT_Learning!$C$34)</f>
        <v>8.2031287218735223</v>
      </c>
      <c r="P415">
        <f t="shared" si="7"/>
        <v>40.9</v>
      </c>
    </row>
    <row r="416" spans="12:16">
      <c r="L416">
        <f>RAVLT_Learning!M416</f>
        <v>-0.227544976641149</v>
      </c>
      <c r="M416">
        <f>RAVLT_Learning!N416</f>
        <v>41</v>
      </c>
      <c r="O416">
        <f>ABS(L416-RAVLT_Learning!$C$34)</f>
        <v>8.2057018458896405</v>
      </c>
      <c r="P416">
        <f t="shared" si="7"/>
        <v>41</v>
      </c>
    </row>
    <row r="417" spans="12:16">
      <c r="L417">
        <f>RAVLT_Learning!M417</f>
        <v>-0.22497335831381099</v>
      </c>
      <c r="M417">
        <f>RAVLT_Learning!N417</f>
        <v>41.1</v>
      </c>
      <c r="O417">
        <f>ABS(L417-RAVLT_Learning!$C$34)</f>
        <v>8.2082734642169779</v>
      </c>
      <c r="P417">
        <f t="shared" si="7"/>
        <v>41.1</v>
      </c>
    </row>
    <row r="418" spans="12:16">
      <c r="L418">
        <f>RAVLT_Learning!M418</f>
        <v>-0.22240322692720599</v>
      </c>
      <c r="M418">
        <f>RAVLT_Learning!N418</f>
        <v>41.2</v>
      </c>
      <c r="O418">
        <f>ABS(L418-RAVLT_Learning!$C$34)</f>
        <v>8.210843595603583</v>
      </c>
      <c r="P418">
        <f t="shared" si="7"/>
        <v>41.2</v>
      </c>
    </row>
    <row r="419" spans="12:16">
      <c r="L419">
        <f>RAVLT_Learning!M419</f>
        <v>-0.21983456380506899</v>
      </c>
      <c r="M419">
        <f>RAVLT_Learning!N419</f>
        <v>41.3</v>
      </c>
      <c r="O419">
        <f>ABS(L419-RAVLT_Learning!$C$34)</f>
        <v>8.2134122587257199</v>
      </c>
      <c r="P419">
        <f t="shared" si="7"/>
        <v>41.3</v>
      </c>
    </row>
    <row r="420" spans="12:16">
      <c r="L420">
        <f>RAVLT_Learning!M420</f>
        <v>-0.21726735034186301</v>
      </c>
      <c r="M420">
        <f>RAVLT_Learning!N420</f>
        <v>41.4</v>
      </c>
      <c r="O420">
        <f>ABS(L420-RAVLT_Learning!$C$34)</f>
        <v>8.2159794721889252</v>
      </c>
      <c r="P420">
        <f t="shared" si="7"/>
        <v>41.4</v>
      </c>
    </row>
    <row r="421" spans="12:16">
      <c r="L421">
        <f>RAVLT_Learning!M421</f>
        <v>-0.214701568001744</v>
      </c>
      <c r="M421">
        <f>RAVLT_Learning!N421</f>
        <v>41.5</v>
      </c>
      <c r="O421">
        <f>ABS(L421-RAVLT_Learning!$C$34)</f>
        <v>8.2185452545290456</v>
      </c>
      <c r="P421">
        <f t="shared" si="7"/>
        <v>41.5</v>
      </c>
    </row>
    <row r="422" spans="12:16">
      <c r="L422">
        <f>RAVLT_Learning!M422</f>
        <v>-0.21213719831752401</v>
      </c>
      <c r="M422">
        <f>RAVLT_Learning!N422</f>
        <v>41.6</v>
      </c>
      <c r="O422">
        <f>ABS(L422-RAVLT_Learning!$C$34)</f>
        <v>8.2211096242132644</v>
      </c>
      <c r="P422">
        <f t="shared" si="7"/>
        <v>41.6</v>
      </c>
    </row>
    <row r="423" spans="12:16">
      <c r="L423">
        <f>RAVLT_Learning!M423</f>
        <v>-0.209574222889649</v>
      </c>
      <c r="M423">
        <f>RAVLT_Learning!N423</f>
        <v>41.7</v>
      </c>
      <c r="O423">
        <f>ABS(L423-RAVLT_Learning!$C$34)</f>
        <v>8.2236725996411391</v>
      </c>
      <c r="P423">
        <f t="shared" si="7"/>
        <v>41.7</v>
      </c>
    </row>
    <row r="424" spans="12:16">
      <c r="L424">
        <f>RAVLT_Learning!M424</f>
        <v>-0.207012623385187</v>
      </c>
      <c r="M424">
        <f>RAVLT_Learning!N424</f>
        <v>41.8</v>
      </c>
      <c r="O424">
        <f>ABS(L424-RAVLT_Learning!$C$34)</f>
        <v>8.2262341991456012</v>
      </c>
      <c r="P424">
        <f t="shared" si="7"/>
        <v>41.8</v>
      </c>
    </row>
    <row r="425" spans="12:16">
      <c r="L425">
        <f>RAVLT_Learning!M425</f>
        <v>-0.20445238153682099</v>
      </c>
      <c r="M425">
        <f>RAVLT_Learning!N425</f>
        <v>41.9</v>
      </c>
      <c r="O425">
        <f>ABS(L425-RAVLT_Learning!$C$34)</f>
        <v>8.2287944409939673</v>
      </c>
      <c r="P425">
        <f t="shared" ref="P425:P488" si="8">M425</f>
        <v>41.9</v>
      </c>
    </row>
    <row r="426" spans="12:16">
      <c r="L426">
        <f>RAVLT_Learning!M426</f>
        <v>-0.20189347914185099</v>
      </c>
      <c r="M426">
        <f>RAVLT_Learning!N426</f>
        <v>42</v>
      </c>
      <c r="O426">
        <f>ABS(L426-RAVLT_Learning!$C$34)</f>
        <v>8.2313533433889372</v>
      </c>
      <c r="P426">
        <f t="shared" si="8"/>
        <v>42</v>
      </c>
    </row>
    <row r="427" spans="12:16">
      <c r="L427">
        <f>RAVLT_Learning!M427</f>
        <v>-0.199335898061207</v>
      </c>
      <c r="M427">
        <f>RAVLT_Learning!N427</f>
        <v>42.1</v>
      </c>
      <c r="O427">
        <f>ABS(L427-RAVLT_Learning!$C$34)</f>
        <v>8.2339109244695816</v>
      </c>
      <c r="P427">
        <f t="shared" si="8"/>
        <v>42.1</v>
      </c>
    </row>
    <row r="428" spans="12:16">
      <c r="L428">
        <f>RAVLT_Learning!M428</f>
        <v>-0.19677962021846701</v>
      </c>
      <c r="M428">
        <f>RAVLT_Learning!N428</f>
        <v>42.2</v>
      </c>
      <c r="O428">
        <f>ABS(L428-RAVLT_Learning!$C$34)</f>
        <v>8.2364672023123227</v>
      </c>
      <c r="P428">
        <f t="shared" si="8"/>
        <v>42.2</v>
      </c>
    </row>
    <row r="429" spans="12:16">
      <c r="L429">
        <f>RAVLT_Learning!M429</f>
        <v>-0.19422462759888301</v>
      </c>
      <c r="M429">
        <f>RAVLT_Learning!N429</f>
        <v>42.3</v>
      </c>
      <c r="O429">
        <f>ABS(L429-RAVLT_Learning!$C$34)</f>
        <v>8.2390221949319056</v>
      </c>
      <c r="P429">
        <f t="shared" si="8"/>
        <v>42.3</v>
      </c>
    </row>
    <row r="430" spans="12:16">
      <c r="L430">
        <f>RAVLT_Learning!M430</f>
        <v>-0.19167090224842001</v>
      </c>
      <c r="M430">
        <f>RAVLT_Learning!N430</f>
        <v>42.4</v>
      </c>
      <c r="O430">
        <f>ABS(L430-RAVLT_Learning!$C$34)</f>
        <v>8.2415759202823686</v>
      </c>
      <c r="P430">
        <f t="shared" si="8"/>
        <v>42.4</v>
      </c>
    </row>
    <row r="431" spans="12:16">
      <c r="L431">
        <f>RAVLT_Learning!M431</f>
        <v>-0.18911842627279199</v>
      </c>
      <c r="M431">
        <f>RAVLT_Learning!N431</f>
        <v>42.5</v>
      </c>
      <c r="O431">
        <f>ABS(L431-RAVLT_Learning!$C$34)</f>
        <v>8.244128396257997</v>
      </c>
      <c r="P431">
        <f t="shared" si="8"/>
        <v>42.5</v>
      </c>
    </row>
    <row r="432" spans="12:16">
      <c r="L432">
        <f>RAVLT_Learning!M432</f>
        <v>-0.18656718183651899</v>
      </c>
      <c r="M432">
        <f>RAVLT_Learning!N432</f>
        <v>42.6</v>
      </c>
      <c r="O432">
        <f>ABS(L432-RAVLT_Learning!$C$34)</f>
        <v>8.2466796406942695</v>
      </c>
      <c r="P432">
        <f t="shared" si="8"/>
        <v>42.6</v>
      </c>
    </row>
    <row r="433" spans="12:16">
      <c r="L433">
        <f>RAVLT_Learning!M433</f>
        <v>-0.18401715116198</v>
      </c>
      <c r="M433">
        <f>RAVLT_Learning!N433</f>
        <v>42.7</v>
      </c>
      <c r="O433">
        <f>ABS(L433-RAVLT_Learning!$C$34)</f>
        <v>8.2492296713688091</v>
      </c>
      <c r="P433">
        <f t="shared" si="8"/>
        <v>42.7</v>
      </c>
    </row>
    <row r="434" spans="12:16">
      <c r="L434">
        <f>RAVLT_Learning!M434</f>
        <v>-0.181468316528477</v>
      </c>
      <c r="M434">
        <f>RAVLT_Learning!N434</f>
        <v>42.8</v>
      </c>
      <c r="O434">
        <f>ABS(L434-RAVLT_Learning!$C$34)</f>
        <v>8.2517785060023119</v>
      </c>
      <c r="P434">
        <f t="shared" si="8"/>
        <v>42.8</v>
      </c>
    </row>
    <row r="435" spans="12:16">
      <c r="L435">
        <f>RAVLT_Learning!M435</f>
        <v>-0.17892066027131201</v>
      </c>
      <c r="M435">
        <f>RAVLT_Learning!N435</f>
        <v>42.9</v>
      </c>
      <c r="O435">
        <f>ABS(L435-RAVLT_Learning!$C$34)</f>
        <v>8.2543261622594777</v>
      </c>
      <c r="P435">
        <f t="shared" si="8"/>
        <v>42.9</v>
      </c>
    </row>
    <row r="436" spans="12:16">
      <c r="L436">
        <f>RAVLT_Learning!M436</f>
        <v>-0.17637416478086099</v>
      </c>
      <c r="M436">
        <f>RAVLT_Learning!N436</f>
        <v>43</v>
      </c>
      <c r="O436">
        <f>ABS(L436-RAVLT_Learning!$C$34)</f>
        <v>8.256872657749927</v>
      </c>
      <c r="P436">
        <f t="shared" si="8"/>
        <v>43</v>
      </c>
    </row>
    <row r="437" spans="12:16">
      <c r="L437">
        <f>RAVLT_Learning!M437</f>
        <v>-0.17382881250166199</v>
      </c>
      <c r="M437">
        <f>RAVLT_Learning!N437</f>
        <v>43.1</v>
      </c>
      <c r="O437">
        <f>ABS(L437-RAVLT_Learning!$C$34)</f>
        <v>8.2594180100291261</v>
      </c>
      <c r="P437">
        <f t="shared" si="8"/>
        <v>43.1</v>
      </c>
    </row>
    <row r="438" spans="12:16">
      <c r="L438">
        <f>RAVLT_Learning!M438</f>
        <v>-0.171284585931507</v>
      </c>
      <c r="M438">
        <f>RAVLT_Learning!N438</f>
        <v>43.2</v>
      </c>
      <c r="O438">
        <f>ABS(L438-RAVLT_Learning!$C$34)</f>
        <v>8.2619622365992811</v>
      </c>
      <c r="P438">
        <f t="shared" si="8"/>
        <v>43.2</v>
      </c>
    </row>
    <row r="439" spans="12:16">
      <c r="L439">
        <f>RAVLT_Learning!M439</f>
        <v>-0.16874146762053799</v>
      </c>
      <c r="M439">
        <f>RAVLT_Learning!N439</f>
        <v>43.3</v>
      </c>
      <c r="O439">
        <f>ABS(L439-RAVLT_Learning!$C$34)</f>
        <v>8.2645053549102503</v>
      </c>
      <c r="P439">
        <f t="shared" si="8"/>
        <v>43.3</v>
      </c>
    </row>
    <row r="440" spans="12:16">
      <c r="L440">
        <f>RAVLT_Learning!M440</f>
        <v>-0.16619944017035901</v>
      </c>
      <c r="M440">
        <f>RAVLT_Learning!N440</f>
        <v>43.4</v>
      </c>
      <c r="O440">
        <f>ABS(L440-RAVLT_Learning!$C$34)</f>
        <v>8.2670473823604294</v>
      </c>
      <c r="P440">
        <f t="shared" si="8"/>
        <v>43.4</v>
      </c>
    </row>
    <row r="441" spans="12:16">
      <c r="L441">
        <f>RAVLT_Learning!M441</f>
        <v>-0.163658486233141</v>
      </c>
      <c r="M441">
        <f>RAVLT_Learning!N441</f>
        <v>43.5</v>
      </c>
      <c r="O441">
        <f>ABS(L441-RAVLT_Learning!$C$34)</f>
        <v>8.2695883362976481</v>
      </c>
      <c r="P441">
        <f t="shared" si="8"/>
        <v>43.5</v>
      </c>
    </row>
    <row r="442" spans="12:16">
      <c r="L442">
        <f>RAVLT_Learning!M442</f>
        <v>-0.16111858851074501</v>
      </c>
      <c r="M442">
        <f>RAVLT_Learning!N442</f>
        <v>43.6</v>
      </c>
      <c r="O442">
        <f>ABS(L442-RAVLT_Learning!$C$34)</f>
        <v>8.2721282340200446</v>
      </c>
      <c r="P442">
        <f t="shared" si="8"/>
        <v>43.6</v>
      </c>
    </row>
    <row r="443" spans="12:16">
      <c r="L443">
        <f>RAVLT_Learning!M443</f>
        <v>-0.15857972975384299</v>
      </c>
      <c r="M443">
        <f>RAVLT_Learning!N443</f>
        <v>43.7</v>
      </c>
      <c r="O443">
        <f>ABS(L443-RAVLT_Learning!$C$34)</f>
        <v>8.2746670927769461</v>
      </c>
      <c r="P443">
        <f t="shared" si="8"/>
        <v>43.7</v>
      </c>
    </row>
    <row r="444" spans="12:16">
      <c r="L444">
        <f>RAVLT_Learning!M444</f>
        <v>-0.15604189276104999</v>
      </c>
      <c r="M444">
        <f>RAVLT_Learning!N444</f>
        <v>43.8</v>
      </c>
      <c r="O444">
        <f>ABS(L444-RAVLT_Learning!$C$34)</f>
        <v>8.2772049297697396</v>
      </c>
      <c r="P444">
        <f t="shared" si="8"/>
        <v>43.8</v>
      </c>
    </row>
    <row r="445" spans="12:16">
      <c r="L445">
        <f>RAVLT_Learning!M445</f>
        <v>-0.153505060378057</v>
      </c>
      <c r="M445">
        <f>RAVLT_Learning!N445</f>
        <v>43.9</v>
      </c>
      <c r="O445">
        <f>ABS(L445-RAVLT_Learning!$C$34)</f>
        <v>8.2797417621527316</v>
      </c>
      <c r="P445">
        <f t="shared" si="8"/>
        <v>43.9</v>
      </c>
    </row>
    <row r="446" spans="12:16">
      <c r="L446">
        <f>RAVLT_Learning!M446</f>
        <v>-0.150969215496777</v>
      </c>
      <c r="M446">
        <f>RAVLT_Learning!N446</f>
        <v>44</v>
      </c>
      <c r="O446">
        <f>ABS(L446-RAVLT_Learning!$C$34)</f>
        <v>8.2822776070340112</v>
      </c>
      <c r="P446">
        <f t="shared" si="8"/>
        <v>44</v>
      </c>
    </row>
    <row r="447" spans="12:16">
      <c r="L447">
        <f>RAVLT_Learning!M447</f>
        <v>-0.14843434105448999</v>
      </c>
      <c r="M447">
        <f>RAVLT_Learning!N447</f>
        <v>44.1</v>
      </c>
      <c r="O447">
        <f>ABS(L447-RAVLT_Learning!$C$34)</f>
        <v>8.2848124814762993</v>
      </c>
      <c r="P447">
        <f t="shared" si="8"/>
        <v>44.1</v>
      </c>
    </row>
    <row r="448" spans="12:16">
      <c r="L448">
        <f>RAVLT_Learning!M448</f>
        <v>-0.145900420032994</v>
      </c>
      <c r="M448">
        <f>RAVLT_Learning!N448</f>
        <v>44.2</v>
      </c>
      <c r="O448">
        <f>ABS(L448-RAVLT_Learning!$C$34)</f>
        <v>8.2873464024977945</v>
      </c>
      <c r="P448">
        <f t="shared" si="8"/>
        <v>44.2</v>
      </c>
    </row>
    <row r="449" spans="12:16">
      <c r="L449">
        <f>RAVLT_Learning!M449</f>
        <v>-0.14336743545776701</v>
      </c>
      <c r="M449">
        <f>RAVLT_Learning!N449</f>
        <v>44.3</v>
      </c>
      <c r="O449">
        <f>ABS(L449-RAVLT_Learning!$C$34)</f>
        <v>8.2898793870730216</v>
      </c>
      <c r="P449">
        <f t="shared" si="8"/>
        <v>44.3</v>
      </c>
    </row>
    <row r="450" spans="12:16">
      <c r="L450">
        <f>RAVLT_Learning!M450</f>
        <v>-0.14083537039712701</v>
      </c>
      <c r="M450">
        <f>RAVLT_Learning!N450</f>
        <v>44.4</v>
      </c>
      <c r="O450">
        <f>ABS(L450-RAVLT_Learning!$C$34)</f>
        <v>8.2924114521336616</v>
      </c>
      <c r="P450">
        <f t="shared" si="8"/>
        <v>44.4</v>
      </c>
    </row>
    <row r="451" spans="12:16">
      <c r="L451">
        <f>RAVLT_Learning!M451</f>
        <v>-0.138304207961404</v>
      </c>
      <c r="M451">
        <f>RAVLT_Learning!N451</f>
        <v>44.5</v>
      </c>
      <c r="O451">
        <f>ABS(L451-RAVLT_Learning!$C$34)</f>
        <v>8.2949426145693845</v>
      </c>
      <c r="P451">
        <f t="shared" si="8"/>
        <v>44.5</v>
      </c>
    </row>
    <row r="452" spans="12:16">
      <c r="L452">
        <f>RAVLT_Learning!M452</f>
        <v>-0.13577393130211199</v>
      </c>
      <c r="M452">
        <f>RAVLT_Learning!N452</f>
        <v>44.6</v>
      </c>
      <c r="O452">
        <f>ABS(L452-RAVLT_Learning!$C$34)</f>
        <v>8.2974728912286775</v>
      </c>
      <c r="P452">
        <f t="shared" si="8"/>
        <v>44.6</v>
      </c>
    </row>
    <row r="453" spans="12:16">
      <c r="L453">
        <f>RAVLT_Learning!M453</f>
        <v>-0.13324452361112399</v>
      </c>
      <c r="M453">
        <f>RAVLT_Learning!N453</f>
        <v>44.7</v>
      </c>
      <c r="O453">
        <f>ABS(L453-RAVLT_Learning!$C$34)</f>
        <v>8.3000022989196651</v>
      </c>
      <c r="P453">
        <f t="shared" si="8"/>
        <v>44.7</v>
      </c>
    </row>
    <row r="454" spans="12:16">
      <c r="L454">
        <f>RAVLT_Learning!M454</f>
        <v>-0.130715968119863</v>
      </c>
      <c r="M454">
        <f>RAVLT_Learning!N454</f>
        <v>44.8</v>
      </c>
      <c r="O454">
        <f>ABS(L454-RAVLT_Learning!$C$34)</f>
        <v>8.3025308544109251</v>
      </c>
      <c r="P454">
        <f t="shared" si="8"/>
        <v>44.8</v>
      </c>
    </row>
    <row r="455" spans="12:16">
      <c r="L455">
        <f>RAVLT_Learning!M455</f>
        <v>-0.128188248098485</v>
      </c>
      <c r="M455">
        <f>RAVLT_Learning!N455</f>
        <v>44.9</v>
      </c>
      <c r="O455">
        <f>ABS(L455-RAVLT_Learning!$C$34)</f>
        <v>8.3050585744323033</v>
      </c>
      <c r="P455">
        <f t="shared" si="8"/>
        <v>44.9</v>
      </c>
    </row>
    <row r="456" spans="12:16">
      <c r="L456">
        <f>RAVLT_Learning!M456</f>
        <v>-0.12566134685507399</v>
      </c>
      <c r="M456">
        <f>RAVLT_Learning!N456</f>
        <v>45</v>
      </c>
      <c r="O456">
        <f>ABS(L456-RAVLT_Learning!$C$34)</f>
        <v>8.3075854756757153</v>
      </c>
      <c r="P456">
        <f t="shared" si="8"/>
        <v>45</v>
      </c>
    </row>
    <row r="457" spans="12:16">
      <c r="L457">
        <f>RAVLT_Learning!M457</f>
        <v>-0.123135247734837</v>
      </c>
      <c r="M457">
        <f>RAVLT_Learning!N457</f>
        <v>45.1</v>
      </c>
      <c r="O457">
        <f>ABS(L457-RAVLT_Learning!$C$34)</f>
        <v>8.3101115747959522</v>
      </c>
      <c r="P457">
        <f t="shared" si="8"/>
        <v>45.1</v>
      </c>
    </row>
    <row r="458" spans="12:16">
      <c r="L458">
        <f>RAVLT_Learning!M458</f>
        <v>-0.120609934119307</v>
      </c>
      <c r="M458">
        <f>RAVLT_Learning!N458</f>
        <v>45.2</v>
      </c>
      <c r="O458">
        <f>ABS(L458-RAVLT_Learning!$C$34)</f>
        <v>8.3126368884114825</v>
      </c>
      <c r="P458">
        <f t="shared" si="8"/>
        <v>45.2</v>
      </c>
    </row>
    <row r="459" spans="12:16">
      <c r="L459">
        <f>RAVLT_Learning!M459</f>
        <v>-0.11808538942555299</v>
      </c>
      <c r="M459">
        <f>RAVLT_Learning!N459</f>
        <v>45.3</v>
      </c>
      <c r="O459">
        <f>ABS(L459-RAVLT_Learning!$C$34)</f>
        <v>8.315161433105235</v>
      </c>
      <c r="P459">
        <f t="shared" si="8"/>
        <v>45.3</v>
      </c>
    </row>
    <row r="460" spans="12:16">
      <c r="L460">
        <f>RAVLT_Learning!M460</f>
        <v>-0.115561597105383</v>
      </c>
      <c r="M460">
        <f>RAVLT_Learning!N460</f>
        <v>45.4</v>
      </c>
      <c r="O460">
        <f>ABS(L460-RAVLT_Learning!$C$34)</f>
        <v>8.3176852254254054</v>
      </c>
      <c r="P460">
        <f t="shared" si="8"/>
        <v>45.4</v>
      </c>
    </row>
    <row r="461" spans="12:16">
      <c r="L461">
        <f>RAVLT_Learning!M461</f>
        <v>-0.11303854064456501</v>
      </c>
      <c r="M461">
        <f>RAVLT_Learning!N461</f>
        <v>45.5</v>
      </c>
      <c r="O461">
        <f>ABS(L461-RAVLT_Learning!$C$34)</f>
        <v>8.3202082818862237</v>
      </c>
      <c r="P461">
        <f t="shared" si="8"/>
        <v>45.5</v>
      </c>
    </row>
    <row r="462" spans="12:16">
      <c r="L462">
        <f>RAVLT_Learning!M462</f>
        <v>-0.110516203562042</v>
      </c>
      <c r="M462">
        <f>RAVLT_Learning!N462</f>
        <v>45.6</v>
      </c>
      <c r="O462">
        <f>ABS(L462-RAVLT_Learning!$C$34)</f>
        <v>8.3227306189687464</v>
      </c>
      <c r="P462">
        <f t="shared" si="8"/>
        <v>45.6</v>
      </c>
    </row>
    <row r="463" spans="12:16">
      <c r="L463">
        <f>RAVLT_Learning!M463</f>
        <v>-0.107994569409154</v>
      </c>
      <c r="M463">
        <f>RAVLT_Learning!N463</f>
        <v>45.7</v>
      </c>
      <c r="O463">
        <f>ABS(L463-RAVLT_Learning!$C$34)</f>
        <v>8.3252522531216346</v>
      </c>
      <c r="P463">
        <f t="shared" si="8"/>
        <v>45.7</v>
      </c>
    </row>
    <row r="464" spans="12:16">
      <c r="L464">
        <f>RAVLT_Learning!M464</f>
        <v>-0.105473621768868</v>
      </c>
      <c r="M464">
        <f>RAVLT_Learning!N464</f>
        <v>45.8</v>
      </c>
      <c r="O464">
        <f>ABS(L464-RAVLT_Learning!$C$34)</f>
        <v>8.3277732007619214</v>
      </c>
      <c r="P464">
        <f t="shared" si="8"/>
        <v>45.8</v>
      </c>
    </row>
    <row r="465" spans="12:16">
      <c r="L465">
        <f>RAVLT_Learning!M465</f>
        <v>-0.10295334425500401</v>
      </c>
      <c r="M465">
        <f>RAVLT_Learning!N465</f>
        <v>45.9</v>
      </c>
      <c r="O465">
        <f>ABS(L465-RAVLT_Learning!$C$34)</f>
        <v>8.3302934782757845</v>
      </c>
      <c r="P465">
        <f t="shared" si="8"/>
        <v>45.9</v>
      </c>
    </row>
    <row r="466" spans="12:16">
      <c r="L466">
        <f>RAVLT_Learning!M466</f>
        <v>-0.10043372051147</v>
      </c>
      <c r="M466">
        <f>RAVLT_Learning!N466</f>
        <v>46</v>
      </c>
      <c r="O466">
        <f>ABS(L466-RAVLT_Learning!$C$34)</f>
        <v>8.332813102019319</v>
      </c>
      <c r="P466">
        <f t="shared" si="8"/>
        <v>46</v>
      </c>
    </row>
    <row r="467" spans="12:16">
      <c r="L467">
        <f>RAVLT_Learning!M467</f>
        <v>-9.7914734211499294E-2</v>
      </c>
      <c r="M467">
        <f>RAVLT_Learning!N467</f>
        <v>46.1</v>
      </c>
      <c r="O467">
        <f>ABS(L467-RAVLT_Learning!$C$34)</f>
        <v>8.335332088319289</v>
      </c>
      <c r="P467">
        <f t="shared" si="8"/>
        <v>46.1</v>
      </c>
    </row>
    <row r="468" spans="12:16">
      <c r="L468">
        <f>RAVLT_Learning!M468</f>
        <v>-9.5396369056891903E-2</v>
      </c>
      <c r="M468">
        <f>RAVLT_Learning!N468</f>
        <v>46.2</v>
      </c>
      <c r="O468">
        <f>ABS(L468-RAVLT_Learning!$C$34)</f>
        <v>8.3378504534738962</v>
      </c>
      <c r="P468">
        <f t="shared" si="8"/>
        <v>46.2</v>
      </c>
    </row>
    <row r="469" spans="12:16">
      <c r="L469">
        <f>RAVLT_Learning!M469</f>
        <v>-9.28786087772564E-2</v>
      </c>
      <c r="M469">
        <f>RAVLT_Learning!N469</f>
        <v>46.3</v>
      </c>
      <c r="O469">
        <f>ABS(L469-RAVLT_Learning!$C$34)</f>
        <v>8.340368213753532</v>
      </c>
      <c r="P469">
        <f t="shared" si="8"/>
        <v>46.3</v>
      </c>
    </row>
    <row r="470" spans="12:16">
      <c r="L470">
        <f>RAVLT_Learning!M470</f>
        <v>-9.0361437129258607E-2</v>
      </c>
      <c r="M470">
        <f>RAVLT_Learning!N470</f>
        <v>46.4</v>
      </c>
      <c r="O470">
        <f>ABS(L470-RAVLT_Learning!$C$34)</f>
        <v>8.3428853854015301</v>
      </c>
      <c r="P470">
        <f t="shared" si="8"/>
        <v>46.4</v>
      </c>
    </row>
    <row r="471" spans="12:16">
      <c r="L471">
        <f>RAVLT_Learning!M471</f>
        <v>-8.7844837895871705E-2</v>
      </c>
      <c r="M471">
        <f>RAVLT_Learning!N471</f>
        <v>46.5</v>
      </c>
      <c r="O471">
        <f>ABS(L471-RAVLT_Learning!$C$34)</f>
        <v>8.3454019846349166</v>
      </c>
      <c r="P471">
        <f t="shared" si="8"/>
        <v>46.5</v>
      </c>
    </row>
    <row r="472" spans="12:16">
      <c r="L472">
        <f>RAVLT_Learning!M472</f>
        <v>-8.5328794885629E-2</v>
      </c>
      <c r="M472">
        <f>RAVLT_Learning!N472</f>
        <v>46.6</v>
      </c>
      <c r="O472">
        <f>ABS(L472-RAVLT_Learning!$C$34)</f>
        <v>8.347918027645159</v>
      </c>
      <c r="P472">
        <f t="shared" si="8"/>
        <v>46.6</v>
      </c>
    </row>
    <row r="473" spans="12:16">
      <c r="L473">
        <f>RAVLT_Learning!M473</f>
        <v>-8.2813291931881194E-2</v>
      </c>
      <c r="M473">
        <f>RAVLT_Learning!N473</f>
        <v>46.7</v>
      </c>
      <c r="O473">
        <f>ABS(L473-RAVLT_Learning!$C$34)</f>
        <v>8.3504335305989077</v>
      </c>
      <c r="P473">
        <f t="shared" si="8"/>
        <v>46.7</v>
      </c>
    </row>
    <row r="474" spans="12:16">
      <c r="L474">
        <f>RAVLT_Learning!M474</f>
        <v>-8.0298312892054899E-2</v>
      </c>
      <c r="M474">
        <f>RAVLT_Learning!N474</f>
        <v>46.8</v>
      </c>
      <c r="O474">
        <f>ABS(L474-RAVLT_Learning!$C$34)</f>
        <v>8.3529485096387344</v>
      </c>
      <c r="P474">
        <f t="shared" si="8"/>
        <v>46.8</v>
      </c>
    </row>
    <row r="475" spans="12:16">
      <c r="L475">
        <f>RAVLT_Learning!M475</f>
        <v>-7.7783841646915097E-2</v>
      </c>
      <c r="M475">
        <f>RAVLT_Learning!N475</f>
        <v>46.9</v>
      </c>
      <c r="O475">
        <f>ABS(L475-RAVLT_Learning!$C$34)</f>
        <v>8.355462980883873</v>
      </c>
      <c r="P475">
        <f t="shared" si="8"/>
        <v>46.9</v>
      </c>
    </row>
    <row r="476" spans="12:16">
      <c r="L476">
        <f>RAVLT_Learning!M476</f>
        <v>-7.5269862099829804E-2</v>
      </c>
      <c r="M476">
        <f>RAVLT_Learning!N476</f>
        <v>47</v>
      </c>
      <c r="O476">
        <f>ABS(L476-RAVLT_Learning!$C$34)</f>
        <v>8.3579769604309586</v>
      </c>
      <c r="P476">
        <f t="shared" si="8"/>
        <v>47</v>
      </c>
    </row>
    <row r="477" spans="12:16">
      <c r="L477">
        <f>RAVLT_Learning!M477</f>
        <v>-7.2756358176037303E-2</v>
      </c>
      <c r="M477">
        <f>RAVLT_Learning!N477</f>
        <v>47.1</v>
      </c>
      <c r="O477">
        <f>ABS(L477-RAVLT_Learning!$C$34)</f>
        <v>8.3604904643547524</v>
      </c>
      <c r="P477">
        <f t="shared" si="8"/>
        <v>47.1</v>
      </c>
    </row>
    <row r="478" spans="12:16">
      <c r="L478">
        <f>RAVLT_Learning!M478</f>
        <v>-7.0243313821916606E-2</v>
      </c>
      <c r="M478">
        <f>RAVLT_Learning!N478</f>
        <v>47.2</v>
      </c>
      <c r="O478">
        <f>ABS(L478-RAVLT_Learning!$C$34)</f>
        <v>8.3630035087088714</v>
      </c>
      <c r="P478">
        <f t="shared" si="8"/>
        <v>47.2</v>
      </c>
    </row>
    <row r="479" spans="12:16">
      <c r="L479">
        <f>RAVLT_Learning!M479</f>
        <v>-6.7730713004258994E-2</v>
      </c>
      <c r="M479">
        <f>RAVLT_Learning!N479</f>
        <v>47.3</v>
      </c>
      <c r="O479">
        <f>ABS(L479-RAVLT_Learning!$C$34)</f>
        <v>8.3655161095265296</v>
      </c>
      <c r="P479">
        <f t="shared" si="8"/>
        <v>47.3</v>
      </c>
    </row>
    <row r="480" spans="12:16">
      <c r="L480">
        <f>RAVLT_Learning!M480</f>
        <v>-6.5218539709543596E-2</v>
      </c>
      <c r="M480">
        <f>RAVLT_Learning!N480</f>
        <v>47.4</v>
      </c>
      <c r="O480">
        <f>ABS(L480-RAVLT_Learning!$C$34)</f>
        <v>8.3680282828212444</v>
      </c>
      <c r="P480">
        <f t="shared" si="8"/>
        <v>47.4</v>
      </c>
    </row>
    <row r="481" spans="12:16">
      <c r="L481">
        <f>RAVLT_Learning!M481</f>
        <v>-6.2706777943213707E-2</v>
      </c>
      <c r="M481">
        <f>RAVLT_Learning!N481</f>
        <v>47.5</v>
      </c>
      <c r="O481">
        <f>ABS(L481-RAVLT_Learning!$C$34)</f>
        <v>8.3705400445875746</v>
      </c>
      <c r="P481">
        <f t="shared" si="8"/>
        <v>47.5</v>
      </c>
    </row>
    <row r="482" spans="12:16">
      <c r="L482">
        <f>RAVLT_Learning!M482</f>
        <v>-6.0195411728956497E-2</v>
      </c>
      <c r="M482">
        <f>RAVLT_Learning!N482</f>
        <v>47.6</v>
      </c>
      <c r="O482">
        <f>ABS(L482-RAVLT_Learning!$C$34)</f>
        <v>8.3730514108018319</v>
      </c>
      <c r="P482">
        <f t="shared" si="8"/>
        <v>47.6</v>
      </c>
    </row>
    <row r="483" spans="12:16">
      <c r="L483">
        <f>RAVLT_Learning!M483</f>
        <v>-5.7684425107984001E-2</v>
      </c>
      <c r="M483">
        <f>RAVLT_Learning!N483</f>
        <v>47.7</v>
      </c>
      <c r="O483">
        <f>ABS(L483-RAVLT_Learning!$C$34)</f>
        <v>8.3755623974228044</v>
      </c>
      <c r="P483">
        <f t="shared" si="8"/>
        <v>47.7</v>
      </c>
    </row>
    <row r="484" spans="12:16">
      <c r="L484">
        <f>RAVLT_Learning!M484</f>
        <v>-5.5173802138316699E-2</v>
      </c>
      <c r="M484">
        <f>RAVLT_Learning!N484</f>
        <v>47.8</v>
      </c>
      <c r="O484">
        <f>ABS(L484-RAVLT_Learning!$C$34)</f>
        <v>8.3780730203924723</v>
      </c>
      <c r="P484">
        <f t="shared" si="8"/>
        <v>47.8</v>
      </c>
    </row>
    <row r="485" spans="12:16">
      <c r="L485">
        <f>RAVLT_Learning!M485</f>
        <v>-5.2663526894068301E-2</v>
      </c>
      <c r="M485">
        <f>RAVLT_Learning!N485</f>
        <v>47.9</v>
      </c>
      <c r="O485">
        <f>ABS(L485-RAVLT_Learning!$C$34)</f>
        <v>8.3805832956367201</v>
      </c>
      <c r="P485">
        <f t="shared" si="8"/>
        <v>47.9</v>
      </c>
    </row>
    <row r="486" spans="12:16">
      <c r="L486">
        <f>RAVLT_Learning!M486</f>
        <v>-5.0153583464733698E-2</v>
      </c>
      <c r="M486">
        <f>RAVLT_Learning!N486</f>
        <v>48</v>
      </c>
      <c r="O486">
        <f>ABS(L486-RAVLT_Learning!$C$34)</f>
        <v>8.3830932390660546</v>
      </c>
      <c r="P486">
        <f t="shared" si="8"/>
        <v>48</v>
      </c>
    </row>
    <row r="487" spans="12:16">
      <c r="L487">
        <f>RAVLT_Learning!M487</f>
        <v>-4.7643955954476597E-2</v>
      </c>
      <c r="M487">
        <f>RAVLT_Learning!N487</f>
        <v>48.1</v>
      </c>
      <c r="O487">
        <f>ABS(L487-RAVLT_Learning!$C$34)</f>
        <v>8.3856028665763116</v>
      </c>
      <c r="P487">
        <f t="shared" si="8"/>
        <v>48.1</v>
      </c>
    </row>
    <row r="488" spans="12:16">
      <c r="L488">
        <f>RAVLT_Learning!M488</f>
        <v>-4.5134628481421302E-2</v>
      </c>
      <c r="M488">
        <f>RAVLT_Learning!N488</f>
        <v>48.2</v>
      </c>
      <c r="O488">
        <f>ABS(L488-RAVLT_Learning!$C$34)</f>
        <v>8.3881121940493681</v>
      </c>
      <c r="P488">
        <f t="shared" si="8"/>
        <v>48.2</v>
      </c>
    </row>
    <row r="489" spans="12:16">
      <c r="L489">
        <f>RAVLT_Learning!M489</f>
        <v>-4.2625585176944397E-2</v>
      </c>
      <c r="M489">
        <f>RAVLT_Learning!N489</f>
        <v>48.3</v>
      </c>
      <c r="O489">
        <f>ABS(L489-RAVLT_Learning!$C$34)</f>
        <v>8.3906212373538445</v>
      </c>
      <c r="P489">
        <f t="shared" ref="P489:P552" si="9">M489</f>
        <v>48.3</v>
      </c>
    </row>
    <row r="490" spans="12:16">
      <c r="L490">
        <f>RAVLT_Learning!M490</f>
        <v>-4.0116810184968099E-2</v>
      </c>
      <c r="M490">
        <f>RAVLT_Learning!N490</f>
        <v>48.4</v>
      </c>
      <c r="O490">
        <f>ABS(L490-RAVLT_Learning!$C$34)</f>
        <v>8.3931300123458215</v>
      </c>
      <c r="P490">
        <f t="shared" si="9"/>
        <v>48.4</v>
      </c>
    </row>
    <row r="491" spans="12:16">
      <c r="L491">
        <f>RAVLT_Learning!M491</f>
        <v>-3.7608287661255901E-2</v>
      </c>
      <c r="M491">
        <f>RAVLT_Learning!N491</f>
        <v>48.5</v>
      </c>
      <c r="O491">
        <f>ABS(L491-RAVLT_Learning!$C$34)</f>
        <v>8.3956385348695335</v>
      </c>
      <c r="P491">
        <f t="shared" si="9"/>
        <v>48.5</v>
      </c>
    </row>
    <row r="492" spans="12:16">
      <c r="L492">
        <f>RAVLT_Learning!M492</f>
        <v>-3.5100001772708798E-2</v>
      </c>
      <c r="M492">
        <f>RAVLT_Learning!N492</f>
        <v>48.6</v>
      </c>
      <c r="O492">
        <f>ABS(L492-RAVLT_Learning!$C$34)</f>
        <v>8.3981468207580807</v>
      </c>
      <c r="P492">
        <f t="shared" si="9"/>
        <v>48.6</v>
      </c>
    </row>
    <row r="493" spans="12:16">
      <c r="L493">
        <f>RAVLT_Learning!M493</f>
        <v>-3.2591936696663097E-2</v>
      </c>
      <c r="M493">
        <f>RAVLT_Learning!N493</f>
        <v>48.7</v>
      </c>
      <c r="O493">
        <f>ABS(L493-RAVLT_Learning!$C$34)</f>
        <v>8.4006548858341255</v>
      </c>
      <c r="P493">
        <f t="shared" si="9"/>
        <v>48.7</v>
      </c>
    </row>
    <row r="494" spans="12:16">
      <c r="L494">
        <f>RAVLT_Learning!M494</f>
        <v>-3.0084076620189099E-2</v>
      </c>
      <c r="M494">
        <f>RAVLT_Learning!N494</f>
        <v>48.8</v>
      </c>
      <c r="O494">
        <f>ABS(L494-RAVLT_Learning!$C$34)</f>
        <v>8.4031627459105991</v>
      </c>
      <c r="P494">
        <f t="shared" si="9"/>
        <v>48.8</v>
      </c>
    </row>
    <row r="495" spans="12:16">
      <c r="L495">
        <f>RAVLT_Learning!M495</f>
        <v>-2.7576405739391699E-2</v>
      </c>
      <c r="M495">
        <f>RAVLT_Learning!N495</f>
        <v>48.9</v>
      </c>
      <c r="O495">
        <f>ABS(L495-RAVLT_Learning!$C$34)</f>
        <v>8.4056704167913967</v>
      </c>
      <c r="P495">
        <f t="shared" si="9"/>
        <v>48.9</v>
      </c>
    </row>
    <row r="496" spans="12:16">
      <c r="L496">
        <f>RAVLT_Learning!M496</f>
        <v>-2.5068908258711099E-2</v>
      </c>
      <c r="M496">
        <f>RAVLT_Learning!N496</f>
        <v>49</v>
      </c>
      <c r="O496">
        <f>ABS(L496-RAVLT_Learning!$C$34)</f>
        <v>8.4081779142720769</v>
      </c>
      <c r="P496">
        <f t="shared" si="9"/>
        <v>49</v>
      </c>
    </row>
    <row r="497" spans="12:16">
      <c r="L497">
        <f>RAVLT_Learning!M497</f>
        <v>-2.25615683902247E-2</v>
      </c>
      <c r="M497">
        <f>RAVLT_Learning!N497</f>
        <v>49.1</v>
      </c>
      <c r="O497">
        <f>ABS(L497-RAVLT_Learning!$C$34)</f>
        <v>8.4106852541405637</v>
      </c>
      <c r="P497">
        <f t="shared" si="9"/>
        <v>49.1</v>
      </c>
    </row>
    <row r="498" spans="12:16">
      <c r="L498">
        <f>RAVLT_Learning!M498</f>
        <v>-2.0054370352950601E-2</v>
      </c>
      <c r="M498">
        <f>RAVLT_Learning!N498</f>
        <v>49.2</v>
      </c>
      <c r="O498">
        <f>ABS(L498-RAVLT_Learning!$C$34)</f>
        <v>8.4131924521778387</v>
      </c>
      <c r="P498">
        <f t="shared" si="9"/>
        <v>49.2</v>
      </c>
    </row>
    <row r="499" spans="12:16">
      <c r="L499">
        <f>RAVLT_Learning!M499</f>
        <v>-1.7547298372150799E-2</v>
      </c>
      <c r="M499">
        <f>RAVLT_Learning!N499</f>
        <v>49.3</v>
      </c>
      <c r="O499">
        <f>ABS(L499-RAVLT_Learning!$C$34)</f>
        <v>8.4156995241586383</v>
      </c>
      <c r="P499">
        <f t="shared" si="9"/>
        <v>49.3</v>
      </c>
    </row>
    <row r="500" spans="12:16">
      <c r="L500">
        <f>RAVLT_Learning!M500</f>
        <v>-1.5040336678635699E-2</v>
      </c>
      <c r="M500">
        <f>RAVLT_Learning!N500</f>
        <v>49.4</v>
      </c>
      <c r="O500">
        <f>ABS(L500-RAVLT_Learning!$C$34)</f>
        <v>8.4182064858521528</v>
      </c>
      <c r="P500">
        <f t="shared" si="9"/>
        <v>49.4</v>
      </c>
    </row>
    <row r="501" spans="12:16">
      <c r="L501">
        <f>RAVLT_Learning!M501</f>
        <v>-1.25334695080693E-2</v>
      </c>
      <c r="M501">
        <f>RAVLT_Learning!N501</f>
        <v>49.5</v>
      </c>
      <c r="O501">
        <f>ABS(L501-RAVLT_Learning!$C$34)</f>
        <v>8.4207133530227196</v>
      </c>
      <c r="P501">
        <f t="shared" si="9"/>
        <v>49.5</v>
      </c>
    </row>
    <row r="502" spans="12:16">
      <c r="L502">
        <f>RAVLT_Learning!M502</f>
        <v>-1.00266811002748E-2</v>
      </c>
      <c r="M502">
        <f>RAVLT_Learning!N502</f>
        <v>49.6</v>
      </c>
      <c r="O502">
        <f>ABS(L502-RAVLT_Learning!$C$34)</f>
        <v>8.4232201414305141</v>
      </c>
      <c r="P502">
        <f t="shared" si="9"/>
        <v>49.6</v>
      </c>
    </row>
    <row r="503" spans="12:16">
      <c r="L503">
        <f>RAVLT_Learning!M503</f>
        <v>-7.5199556985405197E-3</v>
      </c>
      <c r="M503">
        <f>RAVLT_Learning!N503</f>
        <v>49.7</v>
      </c>
      <c r="O503">
        <f>ABS(L503-RAVLT_Learning!$C$34)</f>
        <v>8.4257268668322478</v>
      </c>
      <c r="P503">
        <f t="shared" si="9"/>
        <v>49.7</v>
      </c>
    </row>
    <row r="504" spans="12:16">
      <c r="L504">
        <f>RAVLT_Learning!M504</f>
        <v>-5.0132775489266602E-3</v>
      </c>
      <c r="M504">
        <f>RAVLT_Learning!N504</f>
        <v>49.8</v>
      </c>
      <c r="O504">
        <f>ABS(L504-RAVLT_Learning!$C$34)</f>
        <v>8.4282335449818628</v>
      </c>
      <c r="P504">
        <f t="shared" si="9"/>
        <v>49.8</v>
      </c>
    </row>
    <row r="505" spans="12:16">
      <c r="L505">
        <f>RAVLT_Learning!M505</f>
        <v>-2.5066308995717701E-3</v>
      </c>
      <c r="M505">
        <f>RAVLT_Learning!N505</f>
        <v>49.9</v>
      </c>
      <c r="O505">
        <f>ABS(L505-RAVLT_Learning!$C$34)</f>
        <v>8.4307401916312177</v>
      </c>
      <c r="P505">
        <f t="shared" si="9"/>
        <v>49.9</v>
      </c>
    </row>
    <row r="506" spans="12:16">
      <c r="L506">
        <f>RAVLT_Learning!M506</f>
        <v>0</v>
      </c>
      <c r="M506">
        <f>RAVLT_Learning!N506</f>
        <v>50</v>
      </c>
      <c r="O506">
        <f>ABS(L506-RAVLT_Learning!$C$34)</f>
        <v>8.4332468225307888</v>
      </c>
      <c r="P506">
        <f t="shared" si="9"/>
        <v>50</v>
      </c>
    </row>
    <row r="507" spans="12:16">
      <c r="L507">
        <f>RAVLT_Learning!M507</f>
        <v>2.5066308995717701E-3</v>
      </c>
      <c r="M507">
        <f>RAVLT_Learning!N507</f>
        <v>50.1</v>
      </c>
      <c r="O507">
        <f>ABS(L507-RAVLT_Learning!$C$34)</f>
        <v>8.43575345343036</v>
      </c>
      <c r="P507">
        <f t="shared" si="9"/>
        <v>50.1</v>
      </c>
    </row>
    <row r="508" spans="12:16">
      <c r="L508">
        <f>RAVLT_Learning!M508</f>
        <v>5.0132775489266602E-3</v>
      </c>
      <c r="M508">
        <f>RAVLT_Learning!N508</f>
        <v>50.2</v>
      </c>
      <c r="O508">
        <f>ABS(L508-RAVLT_Learning!$C$34)</f>
        <v>8.4382601000797148</v>
      </c>
      <c r="P508">
        <f t="shared" si="9"/>
        <v>50.2</v>
      </c>
    </row>
    <row r="509" spans="12:16">
      <c r="L509">
        <f>RAVLT_Learning!M509</f>
        <v>7.5199556985405197E-3</v>
      </c>
      <c r="M509">
        <f>RAVLT_Learning!N509</f>
        <v>50.3</v>
      </c>
      <c r="O509">
        <f>ABS(L509-RAVLT_Learning!$C$34)</f>
        <v>8.4407667782293299</v>
      </c>
      <c r="P509">
        <f t="shared" si="9"/>
        <v>50.3</v>
      </c>
    </row>
    <row r="510" spans="12:16">
      <c r="L510">
        <f>RAVLT_Learning!M510</f>
        <v>1.00266811002748E-2</v>
      </c>
      <c r="M510">
        <f>RAVLT_Learning!N510</f>
        <v>50.4</v>
      </c>
      <c r="O510">
        <f>ABS(L510-RAVLT_Learning!$C$34)</f>
        <v>8.4432735036310635</v>
      </c>
      <c r="P510">
        <f t="shared" si="9"/>
        <v>50.4</v>
      </c>
    </row>
    <row r="511" spans="12:16">
      <c r="L511">
        <f>RAVLT_Learning!M511</f>
        <v>1.25334695080693E-2</v>
      </c>
      <c r="M511">
        <f>RAVLT_Learning!N511</f>
        <v>50.5</v>
      </c>
      <c r="O511">
        <f>ABS(L511-RAVLT_Learning!$C$34)</f>
        <v>8.4457802920388581</v>
      </c>
      <c r="P511">
        <f t="shared" si="9"/>
        <v>50.5</v>
      </c>
    </row>
    <row r="512" spans="12:16">
      <c r="L512">
        <f>RAVLT_Learning!M512</f>
        <v>1.5040336678635699E-2</v>
      </c>
      <c r="M512">
        <f>RAVLT_Learning!N512</f>
        <v>50.6</v>
      </c>
      <c r="O512">
        <f>ABS(L512-RAVLT_Learning!$C$34)</f>
        <v>8.4482871592094249</v>
      </c>
      <c r="P512">
        <f t="shared" si="9"/>
        <v>50.6</v>
      </c>
    </row>
    <row r="513" spans="12:16">
      <c r="L513">
        <f>RAVLT_Learning!M513</f>
        <v>1.7547298372150799E-2</v>
      </c>
      <c r="M513">
        <f>RAVLT_Learning!N513</f>
        <v>50.7</v>
      </c>
      <c r="O513">
        <f>ABS(L513-RAVLT_Learning!$C$34)</f>
        <v>8.4507941209029394</v>
      </c>
      <c r="P513">
        <f t="shared" si="9"/>
        <v>50.7</v>
      </c>
    </row>
    <row r="514" spans="12:16">
      <c r="L514">
        <f>RAVLT_Learning!M514</f>
        <v>2.0054370352950601E-2</v>
      </c>
      <c r="M514">
        <f>RAVLT_Learning!N514</f>
        <v>50.8</v>
      </c>
      <c r="O514">
        <f>ABS(L514-RAVLT_Learning!$C$34)</f>
        <v>8.4533011928837389</v>
      </c>
      <c r="P514">
        <f t="shared" si="9"/>
        <v>50.8</v>
      </c>
    </row>
    <row r="515" spans="12:16">
      <c r="L515">
        <f>RAVLT_Learning!M515</f>
        <v>2.25615683902247E-2</v>
      </c>
      <c r="M515">
        <f>RAVLT_Learning!N515</f>
        <v>50.9</v>
      </c>
      <c r="O515">
        <f>ABS(L515-RAVLT_Learning!$C$34)</f>
        <v>8.455808390921014</v>
      </c>
      <c r="P515">
        <f t="shared" si="9"/>
        <v>50.9</v>
      </c>
    </row>
    <row r="516" spans="12:16">
      <c r="L516">
        <f>RAVLT_Learning!M516</f>
        <v>2.5068908258711099E-2</v>
      </c>
      <c r="M516">
        <f>RAVLT_Learning!N516</f>
        <v>51</v>
      </c>
      <c r="O516">
        <f>ABS(L516-RAVLT_Learning!$C$34)</f>
        <v>8.4583157307895007</v>
      </c>
      <c r="P516">
        <f t="shared" si="9"/>
        <v>51</v>
      </c>
    </row>
    <row r="517" spans="12:16">
      <c r="L517">
        <f>RAVLT_Learning!M517</f>
        <v>2.7576405739391699E-2</v>
      </c>
      <c r="M517">
        <f>RAVLT_Learning!N517</f>
        <v>51.1</v>
      </c>
      <c r="O517">
        <f>ABS(L517-RAVLT_Learning!$C$34)</f>
        <v>8.460823228270181</v>
      </c>
      <c r="P517">
        <f t="shared" si="9"/>
        <v>51.1</v>
      </c>
    </row>
    <row r="518" spans="12:16">
      <c r="L518">
        <f>RAVLT_Learning!M518</f>
        <v>3.0084076620189099E-2</v>
      </c>
      <c r="M518">
        <f>RAVLT_Learning!N518</f>
        <v>51.2</v>
      </c>
      <c r="O518">
        <f>ABS(L518-RAVLT_Learning!$C$34)</f>
        <v>8.4633308991509786</v>
      </c>
      <c r="P518">
        <f t="shared" si="9"/>
        <v>51.2</v>
      </c>
    </row>
    <row r="519" spans="12:16">
      <c r="L519">
        <f>RAVLT_Learning!M519</f>
        <v>3.2591936696663097E-2</v>
      </c>
      <c r="M519">
        <f>RAVLT_Learning!N519</f>
        <v>51.3</v>
      </c>
      <c r="O519">
        <f>ABS(L519-RAVLT_Learning!$C$34)</f>
        <v>8.4658387592274522</v>
      </c>
      <c r="P519">
        <f t="shared" si="9"/>
        <v>51.3</v>
      </c>
    </row>
    <row r="520" spans="12:16">
      <c r="L520">
        <f>RAVLT_Learning!M520</f>
        <v>3.5100001772708798E-2</v>
      </c>
      <c r="M520">
        <f>RAVLT_Learning!N520</f>
        <v>51.4</v>
      </c>
      <c r="O520">
        <f>ABS(L520-RAVLT_Learning!$C$34)</f>
        <v>8.4683468243034969</v>
      </c>
      <c r="P520">
        <f t="shared" si="9"/>
        <v>51.4</v>
      </c>
    </row>
    <row r="521" spans="12:16">
      <c r="L521">
        <f>RAVLT_Learning!M521</f>
        <v>3.7608287661255901E-2</v>
      </c>
      <c r="M521">
        <f>RAVLT_Learning!N521</f>
        <v>51.5</v>
      </c>
      <c r="O521">
        <f>ABS(L521-RAVLT_Learning!$C$34)</f>
        <v>8.4708551101920442</v>
      </c>
      <c r="P521">
        <f t="shared" si="9"/>
        <v>51.5</v>
      </c>
    </row>
    <row r="522" spans="12:16">
      <c r="L522">
        <f>RAVLT_Learning!M522</f>
        <v>4.0116810184968099E-2</v>
      </c>
      <c r="M522">
        <f>RAVLT_Learning!N522</f>
        <v>51.6</v>
      </c>
      <c r="O522">
        <f>ABS(L522-RAVLT_Learning!$C$34)</f>
        <v>8.4733636327157562</v>
      </c>
      <c r="P522">
        <f t="shared" si="9"/>
        <v>51.6</v>
      </c>
    </row>
    <row r="523" spans="12:16">
      <c r="L523">
        <f>RAVLT_Learning!M523</f>
        <v>4.2625585176944397E-2</v>
      </c>
      <c r="M523">
        <f>RAVLT_Learning!N523</f>
        <v>51.7</v>
      </c>
      <c r="O523">
        <f>ABS(L523-RAVLT_Learning!$C$34)</f>
        <v>8.4758724077077332</v>
      </c>
      <c r="P523">
        <f t="shared" si="9"/>
        <v>51.7</v>
      </c>
    </row>
    <row r="524" spans="12:16">
      <c r="L524">
        <f>RAVLT_Learning!M524</f>
        <v>4.5134628481421302E-2</v>
      </c>
      <c r="M524">
        <f>RAVLT_Learning!N524</f>
        <v>51.8</v>
      </c>
      <c r="O524">
        <f>ABS(L524-RAVLT_Learning!$C$34)</f>
        <v>8.4783814510122095</v>
      </c>
      <c r="P524">
        <f t="shared" si="9"/>
        <v>51.8</v>
      </c>
    </row>
    <row r="525" spans="12:16">
      <c r="L525">
        <f>RAVLT_Learning!M525</f>
        <v>4.7643955954476597E-2</v>
      </c>
      <c r="M525">
        <f>RAVLT_Learning!N525</f>
        <v>51.9</v>
      </c>
      <c r="O525">
        <f>ABS(L525-RAVLT_Learning!$C$34)</f>
        <v>8.4808907784852661</v>
      </c>
      <c r="P525">
        <f t="shared" si="9"/>
        <v>51.9</v>
      </c>
    </row>
    <row r="526" spans="12:16">
      <c r="L526">
        <f>RAVLT_Learning!M526</f>
        <v>5.0153583464733698E-2</v>
      </c>
      <c r="M526">
        <f>RAVLT_Learning!N526</f>
        <v>52</v>
      </c>
      <c r="O526">
        <f>ABS(L526-RAVLT_Learning!$C$34)</f>
        <v>8.483400405995523</v>
      </c>
      <c r="P526">
        <f t="shared" si="9"/>
        <v>52</v>
      </c>
    </row>
    <row r="527" spans="12:16">
      <c r="L527">
        <f>RAVLT_Learning!M527</f>
        <v>5.2663526894068502E-2</v>
      </c>
      <c r="M527">
        <f>RAVLT_Learning!N527</f>
        <v>52.1</v>
      </c>
      <c r="O527">
        <f>ABS(L527-RAVLT_Learning!$C$34)</f>
        <v>8.4859103494248576</v>
      </c>
      <c r="P527">
        <f t="shared" si="9"/>
        <v>52.1</v>
      </c>
    </row>
    <row r="528" spans="12:16">
      <c r="L528">
        <f>RAVLT_Learning!M528</f>
        <v>5.5173802138316803E-2</v>
      </c>
      <c r="M528">
        <f>RAVLT_Learning!N528</f>
        <v>52.2</v>
      </c>
      <c r="O528">
        <f>ABS(L528-RAVLT_Learning!$C$34)</f>
        <v>8.4884206246691054</v>
      </c>
      <c r="P528">
        <f t="shared" si="9"/>
        <v>52.2</v>
      </c>
    </row>
    <row r="529" spans="12:16">
      <c r="L529">
        <f>RAVLT_Learning!M529</f>
        <v>5.7684425107984202E-2</v>
      </c>
      <c r="M529">
        <f>RAVLT_Learning!N529</f>
        <v>52.3</v>
      </c>
      <c r="O529">
        <f>ABS(L529-RAVLT_Learning!$C$34)</f>
        <v>8.4909312476387733</v>
      </c>
      <c r="P529">
        <f t="shared" si="9"/>
        <v>52.3</v>
      </c>
    </row>
    <row r="530" spans="12:16">
      <c r="L530">
        <f>RAVLT_Learning!M530</f>
        <v>6.0195411728956601E-2</v>
      </c>
      <c r="M530">
        <f>RAVLT_Learning!N530</f>
        <v>52.4</v>
      </c>
      <c r="O530">
        <f>ABS(L530-RAVLT_Learning!$C$34)</f>
        <v>8.4934422342597458</v>
      </c>
      <c r="P530">
        <f t="shared" si="9"/>
        <v>52.4</v>
      </c>
    </row>
    <row r="531" spans="12:16">
      <c r="L531">
        <f>RAVLT_Learning!M531</f>
        <v>6.2706777943213804E-2</v>
      </c>
      <c r="M531">
        <f>RAVLT_Learning!N531</f>
        <v>52.5</v>
      </c>
      <c r="O531">
        <f>ABS(L531-RAVLT_Learning!$C$34)</f>
        <v>8.4959536004740031</v>
      </c>
      <c r="P531">
        <f t="shared" si="9"/>
        <v>52.5</v>
      </c>
    </row>
    <row r="532" spans="12:16">
      <c r="L532">
        <f>RAVLT_Learning!M532</f>
        <v>6.5218539709543694E-2</v>
      </c>
      <c r="M532">
        <f>RAVLT_Learning!N532</f>
        <v>52.6</v>
      </c>
      <c r="O532">
        <f>ABS(L532-RAVLT_Learning!$C$34)</f>
        <v>8.4984653622403332</v>
      </c>
      <c r="P532">
        <f t="shared" si="9"/>
        <v>52.6</v>
      </c>
    </row>
    <row r="533" spans="12:16">
      <c r="L533">
        <f>RAVLT_Learning!M533</f>
        <v>6.7730713004259202E-2</v>
      </c>
      <c r="M533">
        <f>RAVLT_Learning!N533</f>
        <v>52.7</v>
      </c>
      <c r="O533">
        <f>ABS(L533-RAVLT_Learning!$C$34)</f>
        <v>8.5009775355350481</v>
      </c>
      <c r="P533">
        <f t="shared" si="9"/>
        <v>52.7</v>
      </c>
    </row>
    <row r="534" spans="12:16">
      <c r="L534">
        <f>RAVLT_Learning!M534</f>
        <v>7.0243313821916703E-2</v>
      </c>
      <c r="M534">
        <f>RAVLT_Learning!N534</f>
        <v>52.8</v>
      </c>
      <c r="O534">
        <f>ABS(L534-RAVLT_Learning!$C$34)</f>
        <v>8.5034901363527062</v>
      </c>
      <c r="P534">
        <f t="shared" si="9"/>
        <v>52.8</v>
      </c>
    </row>
    <row r="535" spans="12:16">
      <c r="L535">
        <f>RAVLT_Learning!M535</f>
        <v>7.2756358176037497E-2</v>
      </c>
      <c r="M535">
        <f>RAVLT_Learning!N535</f>
        <v>52.9</v>
      </c>
      <c r="O535">
        <f>ABS(L535-RAVLT_Learning!$C$34)</f>
        <v>8.506003180706827</v>
      </c>
      <c r="P535">
        <f t="shared" si="9"/>
        <v>52.9</v>
      </c>
    </row>
    <row r="536" spans="12:16">
      <c r="L536">
        <f>RAVLT_Learning!M536</f>
        <v>7.5269862099829901E-2</v>
      </c>
      <c r="M536">
        <f>RAVLT_Learning!N536</f>
        <v>53</v>
      </c>
      <c r="O536">
        <f>ABS(L536-RAVLT_Learning!$C$34)</f>
        <v>8.5085166846306191</v>
      </c>
      <c r="P536">
        <f t="shared" si="9"/>
        <v>53</v>
      </c>
    </row>
    <row r="537" spans="12:16">
      <c r="L537">
        <f>RAVLT_Learning!M537</f>
        <v>7.7783841646915194E-2</v>
      </c>
      <c r="M537">
        <f>RAVLT_Learning!N537</f>
        <v>53.1</v>
      </c>
      <c r="O537">
        <f>ABS(L537-RAVLT_Learning!$C$34)</f>
        <v>8.5110306641777047</v>
      </c>
      <c r="P537">
        <f t="shared" si="9"/>
        <v>53.1</v>
      </c>
    </row>
    <row r="538" spans="12:16">
      <c r="L538">
        <f>RAVLT_Learning!M538</f>
        <v>8.0298312892054996E-2</v>
      </c>
      <c r="M538">
        <f>RAVLT_Learning!N538</f>
        <v>53.2</v>
      </c>
      <c r="O538">
        <f>ABS(L538-RAVLT_Learning!$C$34)</f>
        <v>8.5135451354228433</v>
      </c>
      <c r="P538">
        <f t="shared" si="9"/>
        <v>53.2</v>
      </c>
    </row>
    <row r="539" spans="12:16">
      <c r="L539">
        <f>RAVLT_Learning!M539</f>
        <v>8.2813291931881305E-2</v>
      </c>
      <c r="M539">
        <f>RAVLT_Learning!N539</f>
        <v>53.3</v>
      </c>
      <c r="O539">
        <f>ABS(L539-RAVLT_Learning!$C$34)</f>
        <v>8.51606011446267</v>
      </c>
      <c r="P539">
        <f t="shared" si="9"/>
        <v>53.3</v>
      </c>
    </row>
    <row r="540" spans="12:16">
      <c r="L540">
        <f>RAVLT_Learning!M540</f>
        <v>8.5328794885629194E-2</v>
      </c>
      <c r="M540">
        <f>RAVLT_Learning!N540</f>
        <v>53.4</v>
      </c>
      <c r="O540">
        <f>ABS(L540-RAVLT_Learning!$C$34)</f>
        <v>8.5185756174164187</v>
      </c>
      <c r="P540">
        <f t="shared" si="9"/>
        <v>53.4</v>
      </c>
    </row>
    <row r="541" spans="12:16">
      <c r="L541">
        <f>RAVLT_Learning!M541</f>
        <v>8.7844837895871802E-2</v>
      </c>
      <c r="M541">
        <f>RAVLT_Learning!N541</f>
        <v>53.5</v>
      </c>
      <c r="O541">
        <f>ABS(L541-RAVLT_Learning!$C$34)</f>
        <v>8.5210916604266611</v>
      </c>
      <c r="P541">
        <f t="shared" si="9"/>
        <v>53.5</v>
      </c>
    </row>
    <row r="542" spans="12:16">
      <c r="L542">
        <f>RAVLT_Learning!M542</f>
        <v>9.0361437129258801E-2</v>
      </c>
      <c r="M542">
        <f>RAVLT_Learning!N542</f>
        <v>53.6</v>
      </c>
      <c r="O542">
        <f>ABS(L542-RAVLT_Learning!$C$34)</f>
        <v>8.5236082596600475</v>
      </c>
      <c r="P542">
        <f t="shared" si="9"/>
        <v>53.6</v>
      </c>
    </row>
    <row r="543" spans="12:16">
      <c r="L543">
        <f>RAVLT_Learning!M543</f>
        <v>9.2878608777256497E-2</v>
      </c>
      <c r="M543">
        <f>RAVLT_Learning!N543</f>
        <v>53.7</v>
      </c>
      <c r="O543">
        <f>ABS(L543-RAVLT_Learning!$C$34)</f>
        <v>8.5261254313080457</v>
      </c>
      <c r="P543">
        <f t="shared" si="9"/>
        <v>53.7</v>
      </c>
    </row>
    <row r="544" spans="12:16">
      <c r="L544">
        <f>RAVLT_Learning!M544</f>
        <v>9.5396369056892E-2</v>
      </c>
      <c r="M544">
        <f>RAVLT_Learning!N544</f>
        <v>53.8</v>
      </c>
      <c r="O544">
        <f>ABS(L544-RAVLT_Learning!$C$34)</f>
        <v>8.5286431915876815</v>
      </c>
      <c r="P544">
        <f t="shared" si="9"/>
        <v>53.8</v>
      </c>
    </row>
    <row r="545" spans="12:16">
      <c r="L545">
        <f>RAVLT_Learning!M545</f>
        <v>9.7914734211499502E-2</v>
      </c>
      <c r="M545">
        <f>RAVLT_Learning!N545</f>
        <v>53.9</v>
      </c>
      <c r="O545">
        <f>ABS(L545-RAVLT_Learning!$C$34)</f>
        <v>8.5311615567422887</v>
      </c>
      <c r="P545">
        <f t="shared" si="9"/>
        <v>53.9</v>
      </c>
    </row>
    <row r="546" spans="12:16">
      <c r="L546">
        <f>RAVLT_Learning!M546</f>
        <v>0.10043372051147</v>
      </c>
      <c r="M546">
        <f>RAVLT_Learning!N546</f>
        <v>54</v>
      </c>
      <c r="O546">
        <f>ABS(L546-RAVLT_Learning!$C$34)</f>
        <v>8.5336805430422586</v>
      </c>
      <c r="P546">
        <f t="shared" si="9"/>
        <v>54</v>
      </c>
    </row>
    <row r="547" spans="12:16">
      <c r="L547">
        <f>RAVLT_Learning!M547</f>
        <v>0.10295334425500401</v>
      </c>
      <c r="M547">
        <f>RAVLT_Learning!N547</f>
        <v>54.1</v>
      </c>
      <c r="O547">
        <f>ABS(L547-RAVLT_Learning!$C$34)</f>
        <v>8.5362001667857932</v>
      </c>
      <c r="P547">
        <f t="shared" si="9"/>
        <v>54.1</v>
      </c>
    </row>
    <row r="548" spans="12:16">
      <c r="L548">
        <f>RAVLT_Learning!M548</f>
        <v>0.105473621768868</v>
      </c>
      <c r="M548">
        <f>RAVLT_Learning!N548</f>
        <v>54.2</v>
      </c>
      <c r="O548">
        <f>ABS(L548-RAVLT_Learning!$C$34)</f>
        <v>8.5387204442996563</v>
      </c>
      <c r="P548">
        <f t="shared" si="9"/>
        <v>54.2</v>
      </c>
    </row>
    <row r="549" spans="12:16">
      <c r="L549">
        <f>RAVLT_Learning!M549</f>
        <v>0.107994569409154</v>
      </c>
      <c r="M549">
        <f>RAVLT_Learning!N549</f>
        <v>54.3</v>
      </c>
      <c r="O549">
        <f>ABS(L549-RAVLT_Learning!$C$34)</f>
        <v>8.541241391939943</v>
      </c>
      <c r="P549">
        <f t="shared" si="9"/>
        <v>54.3</v>
      </c>
    </row>
    <row r="550" spans="12:16">
      <c r="L550">
        <f>RAVLT_Learning!M550</f>
        <v>0.110516203562042</v>
      </c>
      <c r="M550">
        <f>RAVLT_Learning!N550</f>
        <v>54.4</v>
      </c>
      <c r="O550">
        <f>ABS(L550-RAVLT_Learning!$C$34)</f>
        <v>8.5437630260928312</v>
      </c>
      <c r="P550">
        <f t="shared" si="9"/>
        <v>54.4</v>
      </c>
    </row>
    <row r="551" spans="12:16">
      <c r="L551">
        <f>RAVLT_Learning!M551</f>
        <v>0.11303854064456501</v>
      </c>
      <c r="M551">
        <f>RAVLT_Learning!N551</f>
        <v>54.5</v>
      </c>
      <c r="O551">
        <f>ABS(L551-RAVLT_Learning!$C$34)</f>
        <v>8.5462853631753539</v>
      </c>
      <c r="P551">
        <f t="shared" si="9"/>
        <v>54.5</v>
      </c>
    </row>
    <row r="552" spans="12:16">
      <c r="L552">
        <f>RAVLT_Learning!M552</f>
        <v>0.115561597105383</v>
      </c>
      <c r="M552">
        <f>RAVLT_Learning!N552</f>
        <v>54.6</v>
      </c>
      <c r="O552">
        <f>ABS(L552-RAVLT_Learning!$C$34)</f>
        <v>8.5488084196361722</v>
      </c>
      <c r="P552">
        <f t="shared" si="9"/>
        <v>54.6</v>
      </c>
    </row>
    <row r="553" spans="12:16">
      <c r="L553">
        <f>RAVLT_Learning!M553</f>
        <v>0.11808538942555299</v>
      </c>
      <c r="M553">
        <f>RAVLT_Learning!N553</f>
        <v>54.7</v>
      </c>
      <c r="O553">
        <f>ABS(L553-RAVLT_Learning!$C$34)</f>
        <v>8.5513322119563426</v>
      </c>
      <c r="P553">
        <f t="shared" ref="P553:P616" si="10">M553</f>
        <v>54.7</v>
      </c>
    </row>
    <row r="554" spans="12:16">
      <c r="L554">
        <f>RAVLT_Learning!M554</f>
        <v>0.120609934119307</v>
      </c>
      <c r="M554">
        <f>RAVLT_Learning!N554</f>
        <v>54.8</v>
      </c>
      <c r="O554">
        <f>ABS(L554-RAVLT_Learning!$C$34)</f>
        <v>8.5538567566500952</v>
      </c>
      <c r="P554">
        <f t="shared" si="10"/>
        <v>54.8</v>
      </c>
    </row>
    <row r="555" spans="12:16">
      <c r="L555">
        <f>RAVLT_Learning!M555</f>
        <v>0.123135247734837</v>
      </c>
      <c r="M555">
        <f>RAVLT_Learning!N555</f>
        <v>54.9</v>
      </c>
      <c r="O555">
        <f>ABS(L555-RAVLT_Learning!$C$34)</f>
        <v>8.5563820702656255</v>
      </c>
      <c r="P555">
        <f t="shared" si="10"/>
        <v>54.9</v>
      </c>
    </row>
    <row r="556" spans="12:16">
      <c r="L556">
        <f>RAVLT_Learning!M556</f>
        <v>0.12566134685507399</v>
      </c>
      <c r="M556">
        <f>RAVLT_Learning!N556</f>
        <v>55</v>
      </c>
      <c r="O556">
        <f>ABS(L556-RAVLT_Learning!$C$34)</f>
        <v>8.5589081693858624</v>
      </c>
      <c r="P556">
        <f t="shared" si="10"/>
        <v>55</v>
      </c>
    </row>
    <row r="557" spans="12:16">
      <c r="L557">
        <f>RAVLT_Learning!M557</f>
        <v>0.128188248098486</v>
      </c>
      <c r="M557">
        <f>RAVLT_Learning!N557</f>
        <v>55.1</v>
      </c>
      <c r="O557">
        <f>ABS(L557-RAVLT_Learning!$C$34)</f>
        <v>8.5614350706292743</v>
      </c>
      <c r="P557">
        <f t="shared" si="10"/>
        <v>55.1</v>
      </c>
    </row>
    <row r="558" spans="12:16">
      <c r="L558">
        <f>RAVLT_Learning!M558</f>
        <v>0.130715968119863</v>
      </c>
      <c r="M558">
        <f>RAVLT_Learning!N558</f>
        <v>55.2</v>
      </c>
      <c r="O558">
        <f>ABS(L558-RAVLT_Learning!$C$34)</f>
        <v>8.5639627906506526</v>
      </c>
      <c r="P558">
        <f t="shared" si="10"/>
        <v>55.2</v>
      </c>
    </row>
    <row r="559" spans="12:16">
      <c r="L559">
        <f>RAVLT_Learning!M559</f>
        <v>0.13324452361112399</v>
      </c>
      <c r="M559">
        <f>RAVLT_Learning!N559</f>
        <v>55.3</v>
      </c>
      <c r="O559">
        <f>ABS(L559-RAVLT_Learning!$C$34)</f>
        <v>8.5664913461419125</v>
      </c>
      <c r="P559">
        <f t="shared" si="10"/>
        <v>55.3</v>
      </c>
    </row>
    <row r="560" spans="12:16">
      <c r="L560">
        <f>RAVLT_Learning!M560</f>
        <v>0.13577393130211199</v>
      </c>
      <c r="M560">
        <f>RAVLT_Learning!N560</f>
        <v>55.4</v>
      </c>
      <c r="O560">
        <f>ABS(L560-RAVLT_Learning!$C$34)</f>
        <v>8.5690207538329002</v>
      </c>
      <c r="P560">
        <f t="shared" si="10"/>
        <v>55.4</v>
      </c>
    </row>
    <row r="561" spans="12:16">
      <c r="L561">
        <f>RAVLT_Learning!M561</f>
        <v>0.138304207961405</v>
      </c>
      <c r="M561">
        <f>RAVLT_Learning!N561</f>
        <v>55.5</v>
      </c>
      <c r="O561">
        <f>ABS(L561-RAVLT_Learning!$C$34)</f>
        <v>8.5715510304921931</v>
      </c>
      <c r="P561">
        <f t="shared" si="10"/>
        <v>55.5</v>
      </c>
    </row>
    <row r="562" spans="12:16">
      <c r="L562">
        <f>RAVLT_Learning!M562</f>
        <v>0.14083537039712701</v>
      </c>
      <c r="M562">
        <f>RAVLT_Learning!N562</f>
        <v>55.6</v>
      </c>
      <c r="O562">
        <f>ABS(L562-RAVLT_Learning!$C$34)</f>
        <v>8.5740821929279161</v>
      </c>
      <c r="P562">
        <f t="shared" si="10"/>
        <v>55.6</v>
      </c>
    </row>
    <row r="563" spans="12:16">
      <c r="L563">
        <f>RAVLT_Learning!M563</f>
        <v>0.14336743545776701</v>
      </c>
      <c r="M563">
        <f>RAVLT_Learning!N563</f>
        <v>55.7</v>
      </c>
      <c r="O563">
        <f>ABS(L563-RAVLT_Learning!$C$34)</f>
        <v>8.576614257988556</v>
      </c>
      <c r="P563">
        <f t="shared" si="10"/>
        <v>55.7</v>
      </c>
    </row>
    <row r="564" spans="12:16">
      <c r="L564">
        <f>RAVLT_Learning!M564</f>
        <v>0.145900420032994</v>
      </c>
      <c r="M564">
        <f>RAVLT_Learning!N564</f>
        <v>55.8</v>
      </c>
      <c r="O564">
        <f>ABS(L564-RAVLT_Learning!$C$34)</f>
        <v>8.5791472425637831</v>
      </c>
      <c r="P564">
        <f t="shared" si="10"/>
        <v>55.8</v>
      </c>
    </row>
    <row r="565" spans="12:16">
      <c r="L565">
        <f>RAVLT_Learning!M565</f>
        <v>0.14843434105448999</v>
      </c>
      <c r="M565">
        <f>RAVLT_Learning!N565</f>
        <v>55.9</v>
      </c>
      <c r="O565">
        <f>ABS(L565-RAVLT_Learning!$C$34)</f>
        <v>8.5816811635852783</v>
      </c>
      <c r="P565">
        <f t="shared" si="10"/>
        <v>55.9</v>
      </c>
    </row>
    <row r="566" spans="12:16">
      <c r="L566">
        <f>RAVLT_Learning!M566</f>
        <v>0.150969215496777</v>
      </c>
      <c r="M566">
        <f>RAVLT_Learning!N566</f>
        <v>56</v>
      </c>
      <c r="O566">
        <f>ABS(L566-RAVLT_Learning!$C$34)</f>
        <v>8.5842160380275665</v>
      </c>
      <c r="P566">
        <f t="shared" si="10"/>
        <v>56</v>
      </c>
    </row>
    <row r="567" spans="12:16">
      <c r="L567">
        <f>RAVLT_Learning!M567</f>
        <v>0.153505060378057</v>
      </c>
      <c r="M567">
        <f>RAVLT_Learning!N567</f>
        <v>56.1</v>
      </c>
      <c r="O567">
        <f>ABS(L567-RAVLT_Learning!$C$34)</f>
        <v>8.5867518829088461</v>
      </c>
      <c r="P567">
        <f t="shared" si="10"/>
        <v>56.1</v>
      </c>
    </row>
    <row r="568" spans="12:16">
      <c r="L568">
        <f>RAVLT_Learning!M568</f>
        <v>0.15604189276104999</v>
      </c>
      <c r="M568">
        <f>RAVLT_Learning!N568</f>
        <v>56.2</v>
      </c>
      <c r="O568">
        <f>ABS(L568-RAVLT_Learning!$C$34)</f>
        <v>8.589288715291838</v>
      </c>
      <c r="P568">
        <f t="shared" si="10"/>
        <v>56.2</v>
      </c>
    </row>
    <row r="569" spans="12:16">
      <c r="L569">
        <f>RAVLT_Learning!M569</f>
        <v>0.15857972975384399</v>
      </c>
      <c r="M569">
        <f>RAVLT_Learning!N569</f>
        <v>56.3</v>
      </c>
      <c r="O569">
        <f>ABS(L569-RAVLT_Learning!$C$34)</f>
        <v>8.5918265522846333</v>
      </c>
      <c r="P569">
        <f t="shared" si="10"/>
        <v>56.3</v>
      </c>
    </row>
    <row r="570" spans="12:16">
      <c r="L570">
        <f>RAVLT_Learning!M570</f>
        <v>0.16111858851074601</v>
      </c>
      <c r="M570">
        <f>RAVLT_Learning!N570</f>
        <v>56.4</v>
      </c>
      <c r="O570">
        <f>ABS(L570-RAVLT_Learning!$C$34)</f>
        <v>8.5943654110415348</v>
      </c>
      <c r="P570">
        <f t="shared" si="10"/>
        <v>56.4</v>
      </c>
    </row>
    <row r="571" spans="12:16">
      <c r="L571">
        <f>RAVLT_Learning!M571</f>
        <v>0.163658486233141</v>
      </c>
      <c r="M571">
        <f>RAVLT_Learning!N571</f>
        <v>56.5</v>
      </c>
      <c r="O571">
        <f>ABS(L571-RAVLT_Learning!$C$34)</f>
        <v>8.5969053087639296</v>
      </c>
      <c r="P571">
        <f t="shared" si="10"/>
        <v>56.5</v>
      </c>
    </row>
    <row r="572" spans="12:16">
      <c r="L572">
        <f>RAVLT_Learning!M572</f>
        <v>0.16619944017035901</v>
      </c>
      <c r="M572">
        <f>RAVLT_Learning!N572</f>
        <v>56.6</v>
      </c>
      <c r="O572">
        <f>ABS(L572-RAVLT_Learning!$C$34)</f>
        <v>8.5994462627011483</v>
      </c>
      <c r="P572">
        <f t="shared" si="10"/>
        <v>56.6</v>
      </c>
    </row>
    <row r="573" spans="12:16">
      <c r="L573">
        <f>RAVLT_Learning!M573</f>
        <v>0.16874146762053799</v>
      </c>
      <c r="M573">
        <f>RAVLT_Learning!N573</f>
        <v>56.7</v>
      </c>
      <c r="O573">
        <f>ABS(L573-RAVLT_Learning!$C$34)</f>
        <v>8.6019882901513274</v>
      </c>
      <c r="P573">
        <f t="shared" si="10"/>
        <v>56.7</v>
      </c>
    </row>
    <row r="574" spans="12:16">
      <c r="L574">
        <f>RAVLT_Learning!M574</f>
        <v>0.171284585931507</v>
      </c>
      <c r="M574">
        <f>RAVLT_Learning!N574</f>
        <v>56.8</v>
      </c>
      <c r="O574">
        <f>ABS(L574-RAVLT_Learning!$C$34)</f>
        <v>8.6045314084622966</v>
      </c>
      <c r="P574">
        <f t="shared" si="10"/>
        <v>56.8</v>
      </c>
    </row>
    <row r="575" spans="12:16">
      <c r="L575">
        <f>RAVLT_Learning!M575</f>
        <v>0.17382881250166299</v>
      </c>
      <c r="M575">
        <f>RAVLT_Learning!N575</f>
        <v>56.9</v>
      </c>
      <c r="O575">
        <f>ABS(L575-RAVLT_Learning!$C$34)</f>
        <v>8.6070756350324515</v>
      </c>
      <c r="P575">
        <f t="shared" si="10"/>
        <v>56.9</v>
      </c>
    </row>
    <row r="576" spans="12:16">
      <c r="L576">
        <f>RAVLT_Learning!M576</f>
        <v>0.17637416478086099</v>
      </c>
      <c r="M576">
        <f>RAVLT_Learning!N576</f>
        <v>57</v>
      </c>
      <c r="O576">
        <f>ABS(L576-RAVLT_Learning!$C$34)</f>
        <v>8.6096209873116507</v>
      </c>
      <c r="P576">
        <f t="shared" si="10"/>
        <v>57</v>
      </c>
    </row>
    <row r="577" spans="12:16">
      <c r="L577">
        <f>RAVLT_Learning!M577</f>
        <v>0.17892066027131201</v>
      </c>
      <c r="M577">
        <f>RAVLT_Learning!N577</f>
        <v>57.1</v>
      </c>
      <c r="O577">
        <f>ABS(L577-RAVLT_Learning!$C$34)</f>
        <v>8.6121674828021</v>
      </c>
      <c r="P577">
        <f t="shared" si="10"/>
        <v>57.1</v>
      </c>
    </row>
    <row r="578" spans="12:16">
      <c r="L578">
        <f>RAVLT_Learning!M578</f>
        <v>0.181468316528477</v>
      </c>
      <c r="M578">
        <f>RAVLT_Learning!N578</f>
        <v>57.2</v>
      </c>
      <c r="O578">
        <f>ABS(L578-RAVLT_Learning!$C$34)</f>
        <v>8.6147151390592658</v>
      </c>
      <c r="P578">
        <f t="shared" si="10"/>
        <v>57.2</v>
      </c>
    </row>
    <row r="579" spans="12:16">
      <c r="L579">
        <f>RAVLT_Learning!M579</f>
        <v>0.18401715116198</v>
      </c>
      <c r="M579">
        <f>RAVLT_Learning!N579</f>
        <v>57.3</v>
      </c>
      <c r="O579">
        <f>ABS(L579-RAVLT_Learning!$C$34)</f>
        <v>8.6172639736927685</v>
      </c>
      <c r="P579">
        <f t="shared" si="10"/>
        <v>57.3</v>
      </c>
    </row>
    <row r="580" spans="12:16">
      <c r="L580">
        <f>RAVLT_Learning!M580</f>
        <v>0.18656718183651999</v>
      </c>
      <c r="M580">
        <f>RAVLT_Learning!N580</f>
        <v>57.4</v>
      </c>
      <c r="O580">
        <f>ABS(L580-RAVLT_Learning!$C$34)</f>
        <v>8.6198140043673082</v>
      </c>
      <c r="P580">
        <f t="shared" si="10"/>
        <v>57.4</v>
      </c>
    </row>
    <row r="581" spans="12:16">
      <c r="L581">
        <f>RAVLT_Learning!M581</f>
        <v>0.18911842627279299</v>
      </c>
      <c r="M581">
        <f>RAVLT_Learning!N581</f>
        <v>57.5</v>
      </c>
      <c r="O581">
        <f>ABS(L581-RAVLT_Learning!$C$34)</f>
        <v>8.6223652488035825</v>
      </c>
      <c r="P581">
        <f t="shared" si="10"/>
        <v>57.5</v>
      </c>
    </row>
    <row r="582" spans="12:16">
      <c r="L582">
        <f>RAVLT_Learning!M582</f>
        <v>0.19167090224842001</v>
      </c>
      <c r="M582">
        <f>RAVLT_Learning!N582</f>
        <v>57.6</v>
      </c>
      <c r="O582">
        <f>ABS(L582-RAVLT_Learning!$C$34)</f>
        <v>8.624917724779209</v>
      </c>
      <c r="P582">
        <f t="shared" si="10"/>
        <v>57.6</v>
      </c>
    </row>
    <row r="583" spans="12:16">
      <c r="L583">
        <f>RAVLT_Learning!M583</f>
        <v>0.19422462759888301</v>
      </c>
      <c r="M583">
        <f>RAVLT_Learning!N583</f>
        <v>57.7</v>
      </c>
      <c r="O583">
        <f>ABS(L583-RAVLT_Learning!$C$34)</f>
        <v>8.6274714501296721</v>
      </c>
      <c r="P583">
        <f t="shared" si="10"/>
        <v>57.7</v>
      </c>
    </row>
    <row r="584" spans="12:16">
      <c r="L584">
        <f>RAVLT_Learning!M584</f>
        <v>0.19677962021846701</v>
      </c>
      <c r="M584">
        <f>RAVLT_Learning!N584</f>
        <v>57.8</v>
      </c>
      <c r="O584">
        <f>ABS(L584-RAVLT_Learning!$C$34)</f>
        <v>8.630026442749255</v>
      </c>
      <c r="P584">
        <f t="shared" si="10"/>
        <v>57.8</v>
      </c>
    </row>
    <row r="585" spans="12:16">
      <c r="L585">
        <f>RAVLT_Learning!M585</f>
        <v>0.199335898061207</v>
      </c>
      <c r="M585">
        <f>RAVLT_Learning!N585</f>
        <v>57.9</v>
      </c>
      <c r="O585">
        <f>ABS(L585-RAVLT_Learning!$C$34)</f>
        <v>8.6325827205919961</v>
      </c>
      <c r="P585">
        <f t="shared" si="10"/>
        <v>57.9</v>
      </c>
    </row>
    <row r="586" spans="12:16">
      <c r="L586">
        <f>RAVLT_Learning!M586</f>
        <v>0.20189347914185099</v>
      </c>
      <c r="M586">
        <f>RAVLT_Learning!N586</f>
        <v>58</v>
      </c>
      <c r="O586">
        <f>ABS(L586-RAVLT_Learning!$C$34)</f>
        <v>8.6351403016726405</v>
      </c>
      <c r="P586">
        <f t="shared" si="10"/>
        <v>58</v>
      </c>
    </row>
    <row r="587" spans="12:16">
      <c r="L587">
        <f>RAVLT_Learning!M587</f>
        <v>0.20445238153682099</v>
      </c>
      <c r="M587">
        <f>RAVLT_Learning!N587</f>
        <v>58.1</v>
      </c>
      <c r="O587">
        <f>ABS(L587-RAVLT_Learning!$C$34)</f>
        <v>8.6376992040676104</v>
      </c>
      <c r="P587">
        <f t="shared" si="10"/>
        <v>58.1</v>
      </c>
    </row>
    <row r="588" spans="12:16">
      <c r="L588">
        <f>RAVLT_Learning!M588</f>
        <v>0.207012623385187</v>
      </c>
      <c r="M588">
        <f>RAVLT_Learning!N588</f>
        <v>58.2</v>
      </c>
      <c r="O588">
        <f>ABS(L588-RAVLT_Learning!$C$34)</f>
        <v>8.6402594459159765</v>
      </c>
      <c r="P588">
        <f t="shared" si="10"/>
        <v>58.2</v>
      </c>
    </row>
    <row r="589" spans="12:16">
      <c r="L589">
        <f>RAVLT_Learning!M589</f>
        <v>0.209574222889649</v>
      </c>
      <c r="M589">
        <f>RAVLT_Learning!N589</f>
        <v>58.3</v>
      </c>
      <c r="O589">
        <f>ABS(L589-RAVLT_Learning!$C$34)</f>
        <v>8.6428210454204386</v>
      </c>
      <c r="P589">
        <f t="shared" si="10"/>
        <v>58.3</v>
      </c>
    </row>
    <row r="590" spans="12:16">
      <c r="L590">
        <f>RAVLT_Learning!M590</f>
        <v>0.21213719831752401</v>
      </c>
      <c r="M590">
        <f>RAVLT_Learning!N590</f>
        <v>58.4</v>
      </c>
      <c r="O590">
        <f>ABS(L590-RAVLT_Learning!$C$34)</f>
        <v>8.6453840208483133</v>
      </c>
      <c r="P590">
        <f t="shared" si="10"/>
        <v>58.4</v>
      </c>
    </row>
    <row r="591" spans="12:16">
      <c r="L591">
        <f>RAVLT_Learning!M591</f>
        <v>0.214701568001744</v>
      </c>
      <c r="M591">
        <f>RAVLT_Learning!N591</f>
        <v>58.5</v>
      </c>
      <c r="O591">
        <f>ABS(L591-RAVLT_Learning!$C$34)</f>
        <v>8.6479483905325321</v>
      </c>
      <c r="P591">
        <f t="shared" si="10"/>
        <v>58.5</v>
      </c>
    </row>
    <row r="592" spans="12:16">
      <c r="L592">
        <f>RAVLT_Learning!M592</f>
        <v>0.21726735034186301</v>
      </c>
      <c r="M592">
        <f>RAVLT_Learning!N592</f>
        <v>58.6</v>
      </c>
      <c r="O592">
        <f>ABS(L592-RAVLT_Learning!$C$34)</f>
        <v>8.6505141728726525</v>
      </c>
      <c r="P592">
        <f t="shared" si="10"/>
        <v>58.6</v>
      </c>
    </row>
    <row r="593" spans="12:16">
      <c r="L593">
        <f>RAVLT_Learning!M593</f>
        <v>0.21983456380506899</v>
      </c>
      <c r="M593">
        <f>RAVLT_Learning!N593</f>
        <v>58.7</v>
      </c>
      <c r="O593">
        <f>ABS(L593-RAVLT_Learning!$C$34)</f>
        <v>8.6530813863358578</v>
      </c>
      <c r="P593">
        <f t="shared" si="10"/>
        <v>58.7</v>
      </c>
    </row>
    <row r="594" spans="12:16">
      <c r="L594">
        <f>RAVLT_Learning!M594</f>
        <v>0.22240322692720599</v>
      </c>
      <c r="M594">
        <f>RAVLT_Learning!N594</f>
        <v>58.8</v>
      </c>
      <c r="O594">
        <f>ABS(L594-RAVLT_Learning!$C$34)</f>
        <v>8.6556500494579947</v>
      </c>
      <c r="P594">
        <f t="shared" si="10"/>
        <v>58.8</v>
      </c>
    </row>
    <row r="595" spans="12:16">
      <c r="L595">
        <f>RAVLT_Learning!M595</f>
        <v>0.22497335831381099</v>
      </c>
      <c r="M595">
        <f>RAVLT_Learning!N595</f>
        <v>58.9</v>
      </c>
      <c r="O595">
        <f>ABS(L595-RAVLT_Learning!$C$34)</f>
        <v>8.6582201808445998</v>
      </c>
      <c r="P595">
        <f t="shared" si="10"/>
        <v>58.9</v>
      </c>
    </row>
    <row r="596" spans="12:16">
      <c r="L596">
        <f>RAVLT_Learning!M596</f>
        <v>0.227544976641149</v>
      </c>
      <c r="M596">
        <f>RAVLT_Learning!N596</f>
        <v>59</v>
      </c>
      <c r="O596">
        <f>ABS(L596-RAVLT_Learning!$C$34)</f>
        <v>8.6607917991719372</v>
      </c>
      <c r="P596">
        <f t="shared" si="10"/>
        <v>59</v>
      </c>
    </row>
    <row r="597" spans="12:16">
      <c r="L597">
        <f>RAVLT_Learning!M597</f>
        <v>0.23011810065726601</v>
      </c>
      <c r="M597">
        <f>RAVLT_Learning!N597</f>
        <v>59.1</v>
      </c>
      <c r="O597">
        <f>ABS(L597-RAVLT_Learning!$C$34)</f>
        <v>8.6633649231880554</v>
      </c>
      <c r="P597">
        <f t="shared" si="10"/>
        <v>59.1</v>
      </c>
    </row>
    <row r="598" spans="12:16">
      <c r="L598">
        <f>RAVLT_Learning!M598</f>
        <v>0.232692749183045</v>
      </c>
      <c r="M598">
        <f>RAVLT_Learning!N598</f>
        <v>59.2</v>
      </c>
      <c r="O598">
        <f>ABS(L598-RAVLT_Learning!$C$34)</f>
        <v>8.6659395717138334</v>
      </c>
      <c r="P598">
        <f t="shared" si="10"/>
        <v>59.2</v>
      </c>
    </row>
    <row r="599" spans="12:16">
      <c r="L599">
        <f>RAVLT_Learning!M599</f>
        <v>0.23526894111328001</v>
      </c>
      <c r="M599">
        <f>RAVLT_Learning!N599</f>
        <v>59.3</v>
      </c>
      <c r="O599">
        <f>ABS(L599-RAVLT_Learning!$C$34)</f>
        <v>8.6685157636440682</v>
      </c>
      <c r="P599">
        <f t="shared" si="10"/>
        <v>59.3</v>
      </c>
    </row>
    <row r="600" spans="12:16">
      <c r="L600">
        <f>RAVLT_Learning!M600</f>
        <v>0.237846695417749</v>
      </c>
      <c r="M600">
        <f>RAVLT_Learning!N600</f>
        <v>59.4</v>
      </c>
      <c r="O600">
        <f>ABS(L600-RAVLT_Learning!$C$34)</f>
        <v>8.6710935179485382</v>
      </c>
      <c r="P600">
        <f t="shared" si="10"/>
        <v>59.4</v>
      </c>
    </row>
    <row r="601" spans="12:16">
      <c r="L601">
        <f>RAVLT_Learning!M601</f>
        <v>0.24042603114230801</v>
      </c>
      <c r="M601">
        <f>RAVLT_Learning!N601</f>
        <v>59.5</v>
      </c>
      <c r="O601">
        <f>ABS(L601-RAVLT_Learning!$C$34)</f>
        <v>8.6736728536730965</v>
      </c>
      <c r="P601">
        <f t="shared" si="10"/>
        <v>59.5</v>
      </c>
    </row>
    <row r="602" spans="12:16">
      <c r="L602">
        <f>RAVLT_Learning!M602</f>
        <v>0.24300696740998201</v>
      </c>
      <c r="M602">
        <f>RAVLT_Learning!N602</f>
        <v>59.6</v>
      </c>
      <c r="O602">
        <f>ABS(L602-RAVLT_Learning!$C$34)</f>
        <v>8.6762537899407715</v>
      </c>
      <c r="P602">
        <f t="shared" si="10"/>
        <v>59.6</v>
      </c>
    </row>
    <row r="603" spans="12:16">
      <c r="L603">
        <f>RAVLT_Learning!M603</f>
        <v>0.24558952342208101</v>
      </c>
      <c r="M603">
        <f>RAVLT_Learning!N603</f>
        <v>59.7</v>
      </c>
      <c r="O603">
        <f>ABS(L603-RAVLT_Learning!$C$34)</f>
        <v>8.6788363459528703</v>
      </c>
      <c r="P603">
        <f t="shared" si="10"/>
        <v>59.7</v>
      </c>
    </row>
    <row r="604" spans="12:16">
      <c r="L604">
        <f>RAVLT_Learning!M604</f>
        <v>0.24817371845931299</v>
      </c>
      <c r="M604">
        <f>RAVLT_Learning!N604</f>
        <v>59.8</v>
      </c>
      <c r="O604">
        <f>ABS(L604-RAVLT_Learning!$C$34)</f>
        <v>8.6814205409901017</v>
      </c>
      <c r="P604">
        <f t="shared" si="10"/>
        <v>59.8</v>
      </c>
    </row>
    <row r="605" spans="12:16">
      <c r="L605">
        <f>RAVLT_Learning!M605</f>
        <v>0.25075957188291598</v>
      </c>
      <c r="M605">
        <f>RAVLT_Learning!N605</f>
        <v>59.9</v>
      </c>
      <c r="O605">
        <f>ABS(L605-RAVLT_Learning!$C$34)</f>
        <v>8.6840063944137054</v>
      </c>
      <c r="P605">
        <f t="shared" si="10"/>
        <v>59.9</v>
      </c>
    </row>
    <row r="606" spans="12:16">
      <c r="L606">
        <f>RAVLT_Learning!M606</f>
        <v>0.2533471031358</v>
      </c>
      <c r="M606">
        <f>RAVLT_Learning!N606</f>
        <v>60</v>
      </c>
      <c r="O606">
        <f>ABS(L606-RAVLT_Learning!$C$34)</f>
        <v>8.6865939256665889</v>
      </c>
      <c r="P606">
        <f t="shared" si="10"/>
        <v>60</v>
      </c>
    </row>
    <row r="607" spans="12:16">
      <c r="L607">
        <f>RAVLT_Learning!M607</f>
        <v>0.25593633174369301</v>
      </c>
      <c r="M607">
        <f>RAVLT_Learning!N607</f>
        <v>60.1</v>
      </c>
      <c r="O607">
        <f>ABS(L607-RAVLT_Learning!$C$34)</f>
        <v>8.6891831542744811</v>
      </c>
      <c r="P607">
        <f t="shared" si="10"/>
        <v>60.1</v>
      </c>
    </row>
    <row r="608" spans="12:16">
      <c r="L608">
        <f>RAVLT_Learning!M608</f>
        <v>0.25852727731630998</v>
      </c>
      <c r="M608">
        <f>RAVLT_Learning!N608</f>
        <v>60.2</v>
      </c>
      <c r="O608">
        <f>ABS(L608-RAVLT_Learning!$C$34)</f>
        <v>8.6917740998470983</v>
      </c>
      <c r="P608">
        <f t="shared" si="10"/>
        <v>60.2</v>
      </c>
    </row>
    <row r="609" spans="12:16">
      <c r="L609">
        <f>RAVLT_Learning!M609</f>
        <v>0.26111995954851802</v>
      </c>
      <c r="M609">
        <f>RAVLT_Learning!N609</f>
        <v>60.3</v>
      </c>
      <c r="O609">
        <f>ABS(L609-RAVLT_Learning!$C$34)</f>
        <v>8.6943667820793067</v>
      </c>
      <c r="P609">
        <f t="shared" si="10"/>
        <v>60.3</v>
      </c>
    </row>
    <row r="610" spans="12:16">
      <c r="L610">
        <f>RAVLT_Learning!M610</f>
        <v>0.26371439822152998</v>
      </c>
      <c r="M610">
        <f>RAVLT_Learning!N610</f>
        <v>60.4</v>
      </c>
      <c r="O610">
        <f>ABS(L610-RAVLT_Learning!$C$34)</f>
        <v>8.6969612207523195</v>
      </c>
      <c r="P610">
        <f t="shared" si="10"/>
        <v>60.4</v>
      </c>
    </row>
    <row r="611" spans="12:16">
      <c r="L611">
        <f>RAVLT_Learning!M611</f>
        <v>0.26631061320409499</v>
      </c>
      <c r="M611">
        <f>RAVLT_Learning!N611</f>
        <v>60.5</v>
      </c>
      <c r="O611">
        <f>ABS(L611-RAVLT_Learning!$C$34)</f>
        <v>8.6995574357348833</v>
      </c>
      <c r="P611">
        <f t="shared" si="10"/>
        <v>60.5</v>
      </c>
    </row>
    <row r="612" spans="12:16">
      <c r="L612">
        <f>RAVLT_Learning!M612</f>
        <v>0.26890862445371</v>
      </c>
      <c r="M612">
        <f>RAVLT_Learning!N612</f>
        <v>60.6</v>
      </c>
      <c r="O612">
        <f>ABS(L612-RAVLT_Learning!$C$34)</f>
        <v>8.7021554469844986</v>
      </c>
      <c r="P612">
        <f t="shared" si="10"/>
        <v>60.6</v>
      </c>
    </row>
    <row r="613" spans="12:16">
      <c r="L613">
        <f>RAVLT_Learning!M613</f>
        <v>0.27150845201783902</v>
      </c>
      <c r="M613">
        <f>RAVLT_Learning!N613</f>
        <v>60.7</v>
      </c>
      <c r="O613">
        <f>ABS(L613-RAVLT_Learning!$C$34)</f>
        <v>8.7047552745486279</v>
      </c>
      <c r="P613">
        <f t="shared" si="10"/>
        <v>60.7</v>
      </c>
    </row>
    <row r="614" spans="12:16">
      <c r="L614">
        <f>RAVLT_Learning!M614</f>
        <v>0.27411011603514701</v>
      </c>
      <c r="M614">
        <f>RAVLT_Learning!N614</f>
        <v>60.8</v>
      </c>
      <c r="O614">
        <f>ABS(L614-RAVLT_Learning!$C$34)</f>
        <v>8.7073569385659351</v>
      </c>
      <c r="P614">
        <f t="shared" si="10"/>
        <v>60.8</v>
      </c>
    </row>
    <row r="615" spans="12:16">
      <c r="L615">
        <f>RAVLT_Learning!M615</f>
        <v>0.27671363673674698</v>
      </c>
      <c r="M615">
        <f>RAVLT_Learning!N615</f>
        <v>60.9</v>
      </c>
      <c r="O615">
        <f>ABS(L615-RAVLT_Learning!$C$34)</f>
        <v>8.7099604592675366</v>
      </c>
      <c r="P615">
        <f t="shared" si="10"/>
        <v>60.9</v>
      </c>
    </row>
    <row r="616" spans="12:16">
      <c r="L616">
        <f>RAVLT_Learning!M616</f>
        <v>0.27931903444745398</v>
      </c>
      <c r="M616">
        <f>RAVLT_Learning!N616</f>
        <v>61</v>
      </c>
      <c r="O616">
        <f>ABS(L616-RAVLT_Learning!$C$34)</f>
        <v>8.7125658569782427</v>
      </c>
      <c r="P616">
        <f t="shared" si="10"/>
        <v>61</v>
      </c>
    </row>
    <row r="617" spans="12:16">
      <c r="L617">
        <f>RAVLT_Learning!M617</f>
        <v>0.28192632958706099</v>
      </c>
      <c r="M617">
        <f>RAVLT_Learning!N617</f>
        <v>61.1</v>
      </c>
      <c r="O617">
        <f>ABS(L617-RAVLT_Learning!$C$34)</f>
        <v>8.715173152117849</v>
      </c>
      <c r="P617">
        <f t="shared" ref="P617:P680" si="11">M617</f>
        <v>61.1</v>
      </c>
    </row>
    <row r="618" spans="12:16">
      <c r="L618">
        <f>RAVLT_Learning!M618</f>
        <v>0.28453554267162201</v>
      </c>
      <c r="M618">
        <f>RAVLT_Learning!N618</f>
        <v>61.2</v>
      </c>
      <c r="O618">
        <f>ABS(L618-RAVLT_Learning!$C$34)</f>
        <v>8.7177823652024102</v>
      </c>
      <c r="P618">
        <f t="shared" si="11"/>
        <v>61.2</v>
      </c>
    </row>
    <row r="619" spans="12:16">
      <c r="L619">
        <f>RAVLT_Learning!M619</f>
        <v>0.28714669431474499</v>
      </c>
      <c r="M619">
        <f>RAVLT_Learning!N619</f>
        <v>61.3</v>
      </c>
      <c r="O619">
        <f>ABS(L619-RAVLT_Learning!$C$34)</f>
        <v>8.7203935168455331</v>
      </c>
      <c r="P619">
        <f t="shared" si="11"/>
        <v>61.3</v>
      </c>
    </row>
    <row r="620" spans="12:16">
      <c r="L620">
        <f>RAVLT_Learning!M620</f>
        <v>0.28975980522891398</v>
      </c>
      <c r="M620">
        <f>RAVLT_Learning!N620</f>
        <v>61.4</v>
      </c>
      <c r="O620">
        <f>ABS(L620-RAVLT_Learning!$C$34)</f>
        <v>8.7230066277597036</v>
      </c>
      <c r="P620">
        <f t="shared" si="11"/>
        <v>61.4</v>
      </c>
    </row>
    <row r="621" spans="12:16">
      <c r="L621">
        <f>RAVLT_Learning!M621</f>
        <v>0.29237489622680402</v>
      </c>
      <c r="M621">
        <f>RAVLT_Learning!N621</f>
        <v>61.5</v>
      </c>
      <c r="O621">
        <f>ABS(L621-RAVLT_Learning!$C$34)</f>
        <v>8.7256217187575924</v>
      </c>
      <c r="P621">
        <f t="shared" si="11"/>
        <v>61.5</v>
      </c>
    </row>
    <row r="622" spans="12:16">
      <c r="L622">
        <f>RAVLT_Learning!M622</f>
        <v>0.29499198822262601</v>
      </c>
      <c r="M622">
        <f>RAVLT_Learning!N622</f>
        <v>61.6</v>
      </c>
      <c r="O622">
        <f>ABS(L622-RAVLT_Learning!$C$34)</f>
        <v>8.7282388107534157</v>
      </c>
      <c r="P622">
        <f t="shared" si="11"/>
        <v>61.6</v>
      </c>
    </row>
    <row r="623" spans="12:16">
      <c r="L623">
        <f>RAVLT_Learning!M623</f>
        <v>0.29761110223347997</v>
      </c>
      <c r="M623">
        <f>RAVLT_Learning!N623</f>
        <v>61.7</v>
      </c>
      <c r="O623">
        <f>ABS(L623-RAVLT_Learning!$C$34)</f>
        <v>8.730857924764269</v>
      </c>
      <c r="P623">
        <f t="shared" si="11"/>
        <v>61.7</v>
      </c>
    </row>
    <row r="624" spans="12:16">
      <c r="L624">
        <f>RAVLT_Learning!M624</f>
        <v>0.30023225938072201</v>
      </c>
      <c r="M624">
        <f>RAVLT_Learning!N624</f>
        <v>61.8</v>
      </c>
      <c r="O624">
        <f>ABS(L624-RAVLT_Learning!$C$34)</f>
        <v>8.7334790819115113</v>
      </c>
      <c r="P624">
        <f t="shared" si="11"/>
        <v>61.8</v>
      </c>
    </row>
    <row r="625" spans="12:16">
      <c r="L625">
        <f>RAVLT_Learning!M625</f>
        <v>0.302855480891349</v>
      </c>
      <c r="M625">
        <f>RAVLT_Learning!N625</f>
        <v>61.9</v>
      </c>
      <c r="O625">
        <f>ABS(L625-RAVLT_Learning!$C$34)</f>
        <v>8.7361023034221379</v>
      </c>
      <c r="P625">
        <f t="shared" si="11"/>
        <v>61.9</v>
      </c>
    </row>
    <row r="626" spans="12:16">
      <c r="L626">
        <f>RAVLT_Learning!M626</f>
        <v>0.30548078809939699</v>
      </c>
      <c r="M626">
        <f>RAVLT_Learning!N626</f>
        <v>62</v>
      </c>
      <c r="O626">
        <f>ABS(L626-RAVLT_Learning!$C$34)</f>
        <v>8.7387276106301854</v>
      </c>
      <c r="P626">
        <f t="shared" si="11"/>
        <v>62</v>
      </c>
    </row>
    <row r="627" spans="12:16">
      <c r="L627">
        <f>RAVLT_Learning!M627</f>
        <v>0.30810820244735498</v>
      </c>
      <c r="M627">
        <f>RAVLT_Learning!N627</f>
        <v>62.1</v>
      </c>
      <c r="O627">
        <f>ABS(L627-RAVLT_Learning!$C$34)</f>
        <v>8.7413550249781444</v>
      </c>
      <c r="P627">
        <f t="shared" si="11"/>
        <v>62.1</v>
      </c>
    </row>
    <row r="628" spans="12:16">
      <c r="L628">
        <f>RAVLT_Learning!M628</f>
        <v>0.31073774548759198</v>
      </c>
      <c r="M628">
        <f>RAVLT_Learning!N628</f>
        <v>62.2</v>
      </c>
      <c r="O628">
        <f>ABS(L628-RAVLT_Learning!$C$34)</f>
        <v>8.7439845680183801</v>
      </c>
      <c r="P628">
        <f t="shared" si="11"/>
        <v>62.2</v>
      </c>
    </row>
    <row r="629" spans="12:16">
      <c r="L629">
        <f>RAVLT_Learning!M629</f>
        <v>0.31336943888380597</v>
      </c>
      <c r="M629">
        <f>RAVLT_Learning!N629</f>
        <v>62.3</v>
      </c>
      <c r="O629">
        <f>ABS(L629-RAVLT_Learning!$C$34)</f>
        <v>8.7466162614145944</v>
      </c>
      <c r="P629">
        <f t="shared" si="11"/>
        <v>62.3</v>
      </c>
    </row>
    <row r="630" spans="12:16">
      <c r="L630">
        <f>RAVLT_Learning!M630</f>
        <v>0.31600330441248298</v>
      </c>
      <c r="M630">
        <f>RAVLT_Learning!N630</f>
        <v>62.4</v>
      </c>
      <c r="O630">
        <f>ABS(L630-RAVLT_Learning!$C$34)</f>
        <v>8.7492501269432719</v>
      </c>
      <c r="P630">
        <f t="shared" si="11"/>
        <v>62.4</v>
      </c>
    </row>
    <row r="631" spans="12:16">
      <c r="L631">
        <f>RAVLT_Learning!M631</f>
        <v>0.31863936396437498</v>
      </c>
      <c r="M631">
        <f>RAVLT_Learning!N631</f>
        <v>62.5</v>
      </c>
      <c r="O631">
        <f>ABS(L631-RAVLT_Learning!$C$34)</f>
        <v>8.7518861864951631</v>
      </c>
      <c r="P631">
        <f t="shared" si="11"/>
        <v>62.5</v>
      </c>
    </row>
    <row r="632" spans="12:16">
      <c r="L632">
        <f>RAVLT_Learning!M632</f>
        <v>0.32127763954599597</v>
      </c>
      <c r="M632">
        <f>RAVLT_Learning!N632</f>
        <v>62.6</v>
      </c>
      <c r="O632">
        <f>ABS(L632-RAVLT_Learning!$C$34)</f>
        <v>8.7545244620767839</v>
      </c>
      <c r="P632">
        <f t="shared" si="11"/>
        <v>62.6</v>
      </c>
    </row>
    <row r="633" spans="12:16">
      <c r="L633">
        <f>RAVLT_Learning!M633</f>
        <v>0.32391815328113299</v>
      </c>
      <c r="M633">
        <f>RAVLT_Learning!N633</f>
        <v>62.7</v>
      </c>
      <c r="O633">
        <f>ABS(L633-RAVLT_Learning!$C$34)</f>
        <v>8.7571649758119214</v>
      </c>
      <c r="P633">
        <f t="shared" si="11"/>
        <v>62.7</v>
      </c>
    </row>
    <row r="634" spans="12:16">
      <c r="L634">
        <f>RAVLT_Learning!M634</f>
        <v>0.32656092741237303</v>
      </c>
      <c r="M634">
        <f>RAVLT_Learning!N634</f>
        <v>62.8</v>
      </c>
      <c r="O634">
        <f>ABS(L634-RAVLT_Learning!$C$34)</f>
        <v>8.7598077499431621</v>
      </c>
      <c r="P634">
        <f t="shared" si="11"/>
        <v>62.8</v>
      </c>
    </row>
    <row r="635" spans="12:16">
      <c r="L635">
        <f>RAVLT_Learning!M635</f>
        <v>0.32920598430265102</v>
      </c>
      <c r="M635">
        <f>RAVLT_Learning!N635</f>
        <v>62.9</v>
      </c>
      <c r="O635">
        <f>ABS(L635-RAVLT_Learning!$C$34)</f>
        <v>8.7624528068334406</v>
      </c>
      <c r="P635">
        <f t="shared" si="11"/>
        <v>62.9</v>
      </c>
    </row>
    <row r="636" spans="12:16">
      <c r="L636">
        <f>RAVLT_Learning!M636</f>
        <v>0.33185334643681702</v>
      </c>
      <c r="M636">
        <f>RAVLT_Learning!N636</f>
        <v>63</v>
      </c>
      <c r="O636">
        <f>ABS(L636-RAVLT_Learning!$C$34)</f>
        <v>8.7651001689676065</v>
      </c>
      <c r="P636">
        <f t="shared" si="11"/>
        <v>63</v>
      </c>
    </row>
    <row r="637" spans="12:16">
      <c r="L637">
        <f>RAVLT_Learning!M637</f>
        <v>0.334503036423212</v>
      </c>
      <c r="M637">
        <f>RAVLT_Learning!N637</f>
        <v>63.1</v>
      </c>
      <c r="O637">
        <f>ABS(L637-RAVLT_Learning!$C$34)</f>
        <v>8.7677498589540015</v>
      </c>
      <c r="P637">
        <f t="shared" si="11"/>
        <v>63.1</v>
      </c>
    </row>
    <row r="638" spans="12:16">
      <c r="L638">
        <f>RAVLT_Learning!M638</f>
        <v>0.33715507699527703</v>
      </c>
      <c r="M638">
        <f>RAVLT_Learning!N638</f>
        <v>63.2</v>
      </c>
      <c r="O638">
        <f>ABS(L638-RAVLT_Learning!$C$34)</f>
        <v>8.7704018995260657</v>
      </c>
      <c r="P638">
        <f t="shared" si="11"/>
        <v>63.2</v>
      </c>
    </row>
    <row r="639" spans="12:16">
      <c r="L639">
        <f>RAVLT_Learning!M639</f>
        <v>0.33980949101316699</v>
      </c>
      <c r="M639">
        <f>RAVLT_Learning!N639</f>
        <v>63.3</v>
      </c>
      <c r="O639">
        <f>ABS(L639-RAVLT_Learning!$C$34)</f>
        <v>8.7730563135439557</v>
      </c>
      <c r="P639">
        <f t="shared" si="11"/>
        <v>63.3</v>
      </c>
    </row>
    <row r="640" spans="12:16">
      <c r="L640">
        <f>RAVLT_Learning!M640</f>
        <v>0.34246630146539098</v>
      </c>
      <c r="M640">
        <f>RAVLT_Learning!N640</f>
        <v>63.4</v>
      </c>
      <c r="O640">
        <f>ABS(L640-RAVLT_Learning!$C$34)</f>
        <v>8.7757131239961801</v>
      </c>
      <c r="P640">
        <f t="shared" si="11"/>
        <v>63.4</v>
      </c>
    </row>
    <row r="641" spans="12:16">
      <c r="L641">
        <f>RAVLT_Learning!M641</f>
        <v>0.34512553147047198</v>
      </c>
      <c r="M641">
        <f>RAVLT_Learning!N641</f>
        <v>63.5</v>
      </c>
      <c r="O641">
        <f>ABS(L641-RAVLT_Learning!$C$34)</f>
        <v>8.7783723540012613</v>
      </c>
      <c r="P641">
        <f t="shared" si="11"/>
        <v>63.5</v>
      </c>
    </row>
    <row r="642" spans="12:16">
      <c r="L642">
        <f>RAVLT_Learning!M642</f>
        <v>0.34778720427862703</v>
      </c>
      <c r="M642">
        <f>RAVLT_Learning!N642</f>
        <v>63.6</v>
      </c>
      <c r="O642">
        <f>ABS(L642-RAVLT_Learning!$C$34)</f>
        <v>8.7810340268094151</v>
      </c>
      <c r="P642">
        <f t="shared" si="11"/>
        <v>63.6</v>
      </c>
    </row>
    <row r="643" spans="12:16">
      <c r="L643">
        <f>RAVLT_Learning!M643</f>
        <v>0.350451343273461</v>
      </c>
      <c r="M643">
        <f>RAVLT_Learning!N643</f>
        <v>63.7</v>
      </c>
      <c r="O643">
        <f>ABS(L643-RAVLT_Learning!$C$34)</f>
        <v>8.7836981658042497</v>
      </c>
      <c r="P643">
        <f t="shared" si="11"/>
        <v>63.7</v>
      </c>
    </row>
    <row r="644" spans="12:16">
      <c r="L644">
        <f>RAVLT_Learning!M644</f>
        <v>0.35311797197368899</v>
      </c>
      <c r="M644">
        <f>RAVLT_Learning!N644</f>
        <v>63.8</v>
      </c>
      <c r="O644">
        <f>ABS(L644-RAVLT_Learning!$C$34)</f>
        <v>8.7863647945044772</v>
      </c>
      <c r="P644">
        <f t="shared" si="11"/>
        <v>63.8</v>
      </c>
    </row>
    <row r="645" spans="12:16">
      <c r="L645">
        <f>RAVLT_Learning!M645</f>
        <v>0.35578711403487501</v>
      </c>
      <c r="M645">
        <f>RAVLT_Learning!N645</f>
        <v>63.9</v>
      </c>
      <c r="O645">
        <f>ABS(L645-RAVLT_Learning!$C$34)</f>
        <v>8.789033936565664</v>
      </c>
      <c r="P645">
        <f t="shared" si="11"/>
        <v>63.9</v>
      </c>
    </row>
    <row r="646" spans="12:16">
      <c r="L646">
        <f>RAVLT_Learning!M646</f>
        <v>0.35845879325119401</v>
      </c>
      <c r="M646">
        <f>RAVLT_Learning!N646</f>
        <v>64</v>
      </c>
      <c r="O646">
        <f>ABS(L646-RAVLT_Learning!$C$34)</f>
        <v>8.7917056157819822</v>
      </c>
      <c r="P646">
        <f t="shared" si="11"/>
        <v>64</v>
      </c>
    </row>
    <row r="647" spans="12:16">
      <c r="L647">
        <f>RAVLT_Learning!M647</f>
        <v>0.36113303355721199</v>
      </c>
      <c r="M647">
        <f>RAVLT_Learning!N647</f>
        <v>64.099999999999994</v>
      </c>
      <c r="O647">
        <f>ABS(L647-RAVLT_Learning!$C$34)</f>
        <v>8.7943798560880015</v>
      </c>
      <c r="P647">
        <f t="shared" si="11"/>
        <v>64.099999999999994</v>
      </c>
    </row>
    <row r="648" spans="12:16">
      <c r="L648">
        <f>RAVLT_Learning!M648</f>
        <v>0.36380985902969598</v>
      </c>
      <c r="M648">
        <f>RAVLT_Learning!N648</f>
        <v>64.2</v>
      </c>
      <c r="O648">
        <f>ABS(L648-RAVLT_Learning!$C$34)</f>
        <v>8.797056681560484</v>
      </c>
      <c r="P648">
        <f t="shared" si="11"/>
        <v>64.2</v>
      </c>
    </row>
    <row r="649" spans="12:16">
      <c r="L649">
        <f>RAVLT_Learning!M649</f>
        <v>0.36648929388943402</v>
      </c>
      <c r="M649">
        <f>RAVLT_Learning!N649</f>
        <v>64.3</v>
      </c>
      <c r="O649">
        <f>ABS(L649-RAVLT_Learning!$C$34)</f>
        <v>8.7997361164202221</v>
      </c>
      <c r="P649">
        <f t="shared" si="11"/>
        <v>64.3</v>
      </c>
    </row>
    <row r="650" spans="12:16">
      <c r="L650">
        <f>RAVLT_Learning!M650</f>
        <v>0.36917136250309002</v>
      </c>
      <c r="M650">
        <f>RAVLT_Learning!N650</f>
        <v>64.400000000000006</v>
      </c>
      <c r="O650">
        <f>ABS(L650-RAVLT_Learning!$C$34)</f>
        <v>8.8024181850338792</v>
      </c>
      <c r="P650">
        <f t="shared" si="11"/>
        <v>64.400000000000006</v>
      </c>
    </row>
    <row r="651" spans="12:16">
      <c r="L651">
        <f>RAVLT_Learning!M651</f>
        <v>0.37185608938507497</v>
      </c>
      <c r="M651">
        <f>RAVLT_Learning!N651</f>
        <v>64.5</v>
      </c>
      <c r="O651">
        <f>ABS(L651-RAVLT_Learning!$C$34)</f>
        <v>8.8051029119158635</v>
      </c>
      <c r="P651">
        <f t="shared" si="11"/>
        <v>64.5</v>
      </c>
    </row>
    <row r="652" spans="12:16">
      <c r="L652">
        <f>RAVLT_Learning!M652</f>
        <v>0.37454349919944302</v>
      </c>
      <c r="M652">
        <f>RAVLT_Learning!N652</f>
        <v>64.599999999999994</v>
      </c>
      <c r="O652">
        <f>ABS(L652-RAVLT_Learning!$C$34)</f>
        <v>8.8077903217302325</v>
      </c>
      <c r="P652">
        <f t="shared" si="11"/>
        <v>64.599999999999994</v>
      </c>
    </row>
    <row r="653" spans="12:16">
      <c r="L653">
        <f>RAVLT_Learning!M653</f>
        <v>0.377233616761812</v>
      </c>
      <c r="M653">
        <f>RAVLT_Learning!N653</f>
        <v>64.7</v>
      </c>
      <c r="O653">
        <f>ABS(L653-RAVLT_Learning!$C$34)</f>
        <v>8.8104804392926006</v>
      </c>
      <c r="P653">
        <f t="shared" si="11"/>
        <v>64.7</v>
      </c>
    </row>
    <row r="654" spans="12:16">
      <c r="L654">
        <f>RAVLT_Learning!M654</f>
        <v>0.379926467041307</v>
      </c>
      <c r="M654">
        <f>RAVLT_Learning!N654</f>
        <v>64.8</v>
      </c>
      <c r="O654">
        <f>ABS(L654-RAVLT_Learning!$C$34)</f>
        <v>8.8131732895720951</v>
      </c>
      <c r="P654">
        <f t="shared" si="11"/>
        <v>64.8</v>
      </c>
    </row>
    <row r="655" spans="12:16">
      <c r="L655">
        <f>RAVLT_Learning!M655</f>
        <v>0.38262207516253399</v>
      </c>
      <c r="M655">
        <f>RAVLT_Learning!N655</f>
        <v>64.900000000000006</v>
      </c>
      <c r="O655">
        <f>ABS(L655-RAVLT_Learning!$C$34)</f>
        <v>8.8158688976933224</v>
      </c>
      <c r="P655">
        <f t="shared" si="11"/>
        <v>64.900000000000006</v>
      </c>
    </row>
    <row r="656" spans="12:16">
      <c r="L656">
        <f>RAVLT_Learning!M656</f>
        <v>0.38532046640756801</v>
      </c>
      <c r="M656">
        <f>RAVLT_Learning!N656</f>
        <v>65</v>
      </c>
      <c r="O656">
        <f>ABS(L656-RAVLT_Learning!$C$34)</f>
        <v>8.8185672889383575</v>
      </c>
      <c r="P656">
        <f t="shared" si="11"/>
        <v>65</v>
      </c>
    </row>
    <row r="657" spans="12:16">
      <c r="L657">
        <f>RAVLT_Learning!M657</f>
        <v>0.38802166621797701</v>
      </c>
      <c r="M657">
        <f>RAVLT_Learning!N657</f>
        <v>65.099999999999994</v>
      </c>
      <c r="O657">
        <f>ABS(L657-RAVLT_Learning!$C$34)</f>
        <v>8.8212684887487658</v>
      </c>
      <c r="P657">
        <f t="shared" si="11"/>
        <v>65.099999999999994</v>
      </c>
    </row>
    <row r="658" spans="12:16">
      <c r="L658">
        <f>RAVLT_Learning!M658</f>
        <v>0.39072570019686997</v>
      </c>
      <c r="M658">
        <f>RAVLT_Learning!N658</f>
        <v>65.2</v>
      </c>
      <c r="O658">
        <f>ABS(L658-RAVLT_Learning!$C$34)</f>
        <v>8.823972522727658</v>
      </c>
      <c r="P658">
        <f t="shared" si="11"/>
        <v>65.2</v>
      </c>
    </row>
    <row r="659" spans="12:16">
      <c r="L659">
        <f>RAVLT_Learning!M659</f>
        <v>0.39343259411096698</v>
      </c>
      <c r="M659">
        <f>RAVLT_Learning!N659</f>
        <v>65.3</v>
      </c>
      <c r="O659">
        <f>ABS(L659-RAVLT_Learning!$C$34)</f>
        <v>8.8266794166417561</v>
      </c>
      <c r="P659">
        <f t="shared" si="11"/>
        <v>65.3</v>
      </c>
    </row>
    <row r="660" spans="12:16">
      <c r="L660">
        <f>RAVLT_Learning!M660</f>
        <v>0.39614237389269802</v>
      </c>
      <c r="M660">
        <f>RAVLT_Learning!N660</f>
        <v>65.400000000000006</v>
      </c>
      <c r="O660">
        <f>ABS(L660-RAVLT_Learning!$C$34)</f>
        <v>8.8293891964234863</v>
      </c>
      <c r="P660">
        <f t="shared" si="11"/>
        <v>65.400000000000006</v>
      </c>
    </row>
    <row r="661" spans="12:16">
      <c r="L661">
        <f>RAVLT_Learning!M661</f>
        <v>0.39885506564233703</v>
      </c>
      <c r="M661">
        <f>RAVLT_Learning!N661</f>
        <v>65.5</v>
      </c>
      <c r="O661">
        <f>ABS(L661-RAVLT_Learning!$C$34)</f>
        <v>8.8321018881731259</v>
      </c>
      <c r="P661">
        <f t="shared" si="11"/>
        <v>65.5</v>
      </c>
    </row>
    <row r="662" spans="12:16">
      <c r="L662">
        <f>RAVLT_Learning!M662</f>
        <v>0.40157069563014902</v>
      </c>
      <c r="M662">
        <f>RAVLT_Learning!N662</f>
        <v>65.599999999999994</v>
      </c>
      <c r="O662">
        <f>ABS(L662-RAVLT_Learning!$C$34)</f>
        <v>8.8348175181609374</v>
      </c>
      <c r="P662">
        <f t="shared" si="11"/>
        <v>65.599999999999994</v>
      </c>
    </row>
    <row r="663" spans="12:16">
      <c r="L663">
        <f>RAVLT_Learning!M663</f>
        <v>0.40428929029857902</v>
      </c>
      <c r="M663">
        <f>RAVLT_Learning!N663</f>
        <v>65.7</v>
      </c>
      <c r="O663">
        <f>ABS(L663-RAVLT_Learning!$C$34)</f>
        <v>8.8375361128293672</v>
      </c>
      <c r="P663">
        <f t="shared" si="11"/>
        <v>65.7</v>
      </c>
    </row>
    <row r="664" spans="12:16">
      <c r="L664">
        <f>RAVLT_Learning!M664</f>
        <v>0.40701087626446603</v>
      </c>
      <c r="M664">
        <f>RAVLT_Learning!N664</f>
        <v>65.8</v>
      </c>
      <c r="O664">
        <f>ABS(L664-RAVLT_Learning!$C$34)</f>
        <v>8.8402576987952557</v>
      </c>
      <c r="P664">
        <f t="shared" si="11"/>
        <v>65.8</v>
      </c>
    </row>
    <row r="665" spans="12:16">
      <c r="L665">
        <f>RAVLT_Learning!M665</f>
        <v>0.40973548032128099</v>
      </c>
      <c r="M665">
        <f>RAVLT_Learning!N665</f>
        <v>65.900000000000006</v>
      </c>
      <c r="O665">
        <f>ABS(L665-RAVLT_Learning!$C$34)</f>
        <v>8.8429823028520698</v>
      </c>
      <c r="P665">
        <f t="shared" si="11"/>
        <v>65.900000000000006</v>
      </c>
    </row>
    <row r="666" spans="12:16">
      <c r="L666">
        <f>RAVLT_Learning!M666</f>
        <v>0.41246312944140501</v>
      </c>
      <c r="M666">
        <f>RAVLT_Learning!N666</f>
        <v>66</v>
      </c>
      <c r="O666">
        <f>ABS(L666-RAVLT_Learning!$C$34)</f>
        <v>8.8457099519721947</v>
      </c>
      <c r="P666">
        <f t="shared" si="11"/>
        <v>66</v>
      </c>
    </row>
    <row r="667" spans="12:16">
      <c r="L667">
        <f>RAVLT_Learning!M667</f>
        <v>0.41519385077842702</v>
      </c>
      <c r="M667">
        <f>RAVLT_Learning!N667</f>
        <v>66.099999999999994</v>
      </c>
      <c r="O667">
        <f>ABS(L667-RAVLT_Learning!$C$34)</f>
        <v>8.8484406733092165</v>
      </c>
      <c r="P667">
        <f t="shared" si="11"/>
        <v>66.099999999999994</v>
      </c>
    </row>
    <row r="668" spans="12:16">
      <c r="L668">
        <f>RAVLT_Learning!M668</f>
        <v>0.41792767166948203</v>
      </c>
      <c r="M668">
        <f>RAVLT_Learning!N668</f>
        <v>66.2</v>
      </c>
      <c r="O668">
        <f>ABS(L668-RAVLT_Learning!$C$34)</f>
        <v>8.8511744942002704</v>
      </c>
      <c r="P668">
        <f t="shared" si="11"/>
        <v>66.2</v>
      </c>
    </row>
    <row r="669" spans="12:16">
      <c r="L669">
        <f>RAVLT_Learning!M669</f>
        <v>0.42066461963761598</v>
      </c>
      <c r="M669">
        <f>RAVLT_Learning!N669</f>
        <v>66.3</v>
      </c>
      <c r="O669">
        <f>ABS(L669-RAVLT_Learning!$C$34)</f>
        <v>8.8539114421684051</v>
      </c>
      <c r="P669">
        <f t="shared" si="11"/>
        <v>66.3</v>
      </c>
    </row>
    <row r="670" spans="12:16">
      <c r="L670">
        <f>RAVLT_Learning!M670</f>
        <v>0.42340472239418298</v>
      </c>
      <c r="M670">
        <f>RAVLT_Learning!N670</f>
        <v>66.400000000000006</v>
      </c>
      <c r="O670">
        <f>ABS(L670-RAVLT_Learning!$C$34)</f>
        <v>8.8566515449249721</v>
      </c>
      <c r="P670">
        <f t="shared" si="11"/>
        <v>66.400000000000006</v>
      </c>
    </row>
    <row r="671" spans="12:16">
      <c r="L671">
        <f>RAVLT_Learning!M671</f>
        <v>0.42614800784127799</v>
      </c>
      <c r="M671">
        <f>RAVLT_Learning!N671</f>
        <v>66.5</v>
      </c>
      <c r="O671">
        <f>ABS(L671-RAVLT_Learning!$C$34)</f>
        <v>8.8593948303720662</v>
      </c>
      <c r="P671">
        <f t="shared" si="11"/>
        <v>66.5</v>
      </c>
    </row>
    <row r="672" spans="12:16">
      <c r="L672">
        <f>RAVLT_Learning!M672</f>
        <v>0.42889450407420199</v>
      </c>
      <c r="M672">
        <f>RAVLT_Learning!N672</f>
        <v>66.599999999999994</v>
      </c>
      <c r="O672">
        <f>ABS(L672-RAVLT_Learning!$C$34)</f>
        <v>8.8621413266049913</v>
      </c>
      <c r="P672">
        <f t="shared" si="11"/>
        <v>66.599999999999994</v>
      </c>
    </row>
    <row r="673" spans="12:16">
      <c r="L673">
        <f>RAVLT_Learning!M673</f>
        <v>0.43164423938395602</v>
      </c>
      <c r="M673">
        <f>RAVLT_Learning!N673</f>
        <v>66.7</v>
      </c>
      <c r="O673">
        <f>ABS(L673-RAVLT_Learning!$C$34)</f>
        <v>8.8648910619147454</v>
      </c>
      <c r="P673">
        <f t="shared" si="11"/>
        <v>66.7</v>
      </c>
    </row>
    <row r="674" spans="12:16">
      <c r="L674">
        <f>RAVLT_Learning!M674</f>
        <v>0.43439724225978099</v>
      </c>
      <c r="M674">
        <f>RAVLT_Learning!N674</f>
        <v>66.8</v>
      </c>
      <c r="O674">
        <f>ABS(L674-RAVLT_Learning!$C$34)</f>
        <v>8.8676440647905697</v>
      </c>
      <c r="P674">
        <f t="shared" si="11"/>
        <v>66.8</v>
      </c>
    </row>
    <row r="675" spans="12:16">
      <c r="L675">
        <f>RAVLT_Learning!M675</f>
        <v>0.43715354139172202</v>
      </c>
      <c r="M675">
        <f>RAVLT_Learning!N675</f>
        <v>66.900000000000006</v>
      </c>
      <c r="O675">
        <f>ABS(L675-RAVLT_Learning!$C$34)</f>
        <v>8.87040036392251</v>
      </c>
      <c r="P675">
        <f t="shared" si="11"/>
        <v>66.900000000000006</v>
      </c>
    </row>
    <row r="676" spans="12:16">
      <c r="L676">
        <f>RAVLT_Learning!M676</f>
        <v>0.43991316567323402</v>
      </c>
      <c r="M676">
        <f>RAVLT_Learning!N676</f>
        <v>67</v>
      </c>
      <c r="O676">
        <f>ABS(L676-RAVLT_Learning!$C$34)</f>
        <v>8.8731599882040229</v>
      </c>
      <c r="P676">
        <f t="shared" si="11"/>
        <v>67</v>
      </c>
    </row>
    <row r="677" spans="12:16">
      <c r="L677">
        <f>RAVLT_Learning!M677</f>
        <v>0.44267614420382201</v>
      </c>
      <c r="M677">
        <f>RAVLT_Learning!N677</f>
        <v>67.099999999999994</v>
      </c>
      <c r="O677">
        <f>ABS(L677-RAVLT_Learning!$C$34)</f>
        <v>8.8759229667346116</v>
      </c>
      <c r="P677">
        <f t="shared" si="11"/>
        <v>67.099999999999994</v>
      </c>
    </row>
    <row r="678" spans="12:16">
      <c r="L678">
        <f>RAVLT_Learning!M678</f>
        <v>0.44544250629172</v>
      </c>
      <c r="M678">
        <f>RAVLT_Learning!N678</f>
        <v>67.2</v>
      </c>
      <c r="O678">
        <f>ABS(L678-RAVLT_Learning!$C$34)</f>
        <v>8.8786893288225084</v>
      </c>
      <c r="P678">
        <f t="shared" si="11"/>
        <v>67.2</v>
      </c>
    </row>
    <row r="679" spans="12:16">
      <c r="L679">
        <f>RAVLT_Learning!M679</f>
        <v>0.44821228145660902</v>
      </c>
      <c r="M679">
        <f>RAVLT_Learning!N679</f>
        <v>67.3</v>
      </c>
      <c r="O679">
        <f>ABS(L679-RAVLT_Learning!$C$34)</f>
        <v>8.8814591039873978</v>
      </c>
      <c r="P679">
        <f t="shared" si="11"/>
        <v>67.3</v>
      </c>
    </row>
    <row r="680" spans="12:16">
      <c r="L680">
        <f>RAVLT_Learning!M680</f>
        <v>0.45098549943237098</v>
      </c>
      <c r="M680">
        <f>RAVLT_Learning!N680</f>
        <v>67.400000000000006</v>
      </c>
      <c r="O680">
        <f>ABS(L680-RAVLT_Learning!$C$34)</f>
        <v>8.8842323219631592</v>
      </c>
      <c r="P680">
        <f t="shared" si="11"/>
        <v>67.400000000000006</v>
      </c>
    </row>
    <row r="681" spans="12:16">
      <c r="L681">
        <f>RAVLT_Learning!M681</f>
        <v>0.45376219016988001</v>
      </c>
      <c r="M681">
        <f>RAVLT_Learning!N681</f>
        <v>67.5</v>
      </c>
      <c r="O681">
        <f>ABS(L681-RAVLT_Learning!$C$34)</f>
        <v>8.887009012700668</v>
      </c>
      <c r="P681">
        <f t="shared" ref="P681:P744" si="12">M681</f>
        <v>67.5</v>
      </c>
    </row>
    <row r="682" spans="12:16">
      <c r="L682">
        <f>RAVLT_Learning!M682</f>
        <v>0.45654238383984103</v>
      </c>
      <c r="M682">
        <f>RAVLT_Learning!N682</f>
        <v>67.599999999999994</v>
      </c>
      <c r="O682">
        <f>ABS(L682-RAVLT_Learning!$C$34)</f>
        <v>8.8897892063706294</v>
      </c>
      <c r="P682">
        <f t="shared" si="12"/>
        <v>67.599999999999994</v>
      </c>
    </row>
    <row r="683" spans="12:16">
      <c r="L683">
        <f>RAVLT_Learning!M683</f>
        <v>0.45932611083566299</v>
      </c>
      <c r="M683">
        <f>RAVLT_Learning!N683</f>
        <v>67.7</v>
      </c>
      <c r="O683">
        <f>ABS(L683-RAVLT_Learning!$C$34)</f>
        <v>8.892572933366452</v>
      </c>
      <c r="P683">
        <f t="shared" si="12"/>
        <v>67.7</v>
      </c>
    </row>
    <row r="684" spans="12:16">
      <c r="L684">
        <f>RAVLT_Learning!M684</f>
        <v>0.462113401776377</v>
      </c>
      <c r="M684">
        <f>RAVLT_Learning!N684</f>
        <v>67.8</v>
      </c>
      <c r="O684">
        <f>ABS(L684-RAVLT_Learning!$C$34)</f>
        <v>8.895360224307165</v>
      </c>
      <c r="P684">
        <f t="shared" si="12"/>
        <v>67.8</v>
      </c>
    </row>
    <row r="685" spans="12:16">
      <c r="L685">
        <f>RAVLT_Learning!M685</f>
        <v>0.464904287509595</v>
      </c>
      <c r="M685">
        <f>RAVLT_Learning!N685</f>
        <v>67.900000000000006</v>
      </c>
      <c r="O685">
        <f>ABS(L685-RAVLT_Learning!$C$34)</f>
        <v>8.8981511100403843</v>
      </c>
      <c r="P685">
        <f t="shared" si="12"/>
        <v>67.900000000000006</v>
      </c>
    </row>
    <row r="686" spans="12:16">
      <c r="L686">
        <f>RAVLT_Learning!M686</f>
        <v>0.46769879911450801</v>
      </c>
      <c r="M686">
        <f>RAVLT_Learning!N686</f>
        <v>68</v>
      </c>
      <c r="O686">
        <f>ABS(L686-RAVLT_Learning!$C$34)</f>
        <v>8.9009456216452971</v>
      </c>
      <c r="P686">
        <f t="shared" si="12"/>
        <v>68</v>
      </c>
    </row>
    <row r="687" spans="12:16">
      <c r="L687">
        <f>RAVLT_Learning!M687</f>
        <v>0.470496967904941</v>
      </c>
      <c r="M687">
        <f>RAVLT_Learning!N687</f>
        <v>68.099999999999994</v>
      </c>
      <c r="O687">
        <f>ABS(L687-RAVLT_Learning!$C$34)</f>
        <v>8.9037437904357297</v>
      </c>
      <c r="P687">
        <f t="shared" si="12"/>
        <v>68.099999999999994</v>
      </c>
    </row>
    <row r="688" spans="12:16">
      <c r="L688">
        <f>RAVLT_Learning!M688</f>
        <v>0.47329882543243701</v>
      </c>
      <c r="M688">
        <f>RAVLT_Learning!N688</f>
        <v>68.2</v>
      </c>
      <c r="O688">
        <f>ABS(L688-RAVLT_Learning!$C$34)</f>
        <v>8.9065456479632257</v>
      </c>
      <c r="P688">
        <f t="shared" si="12"/>
        <v>68.2</v>
      </c>
    </row>
    <row r="689" spans="12:16">
      <c r="L689">
        <f>RAVLT_Learning!M689</f>
        <v>0.47610440348939498</v>
      </c>
      <c r="M689">
        <f>RAVLT_Learning!N689</f>
        <v>68.3</v>
      </c>
      <c r="O689">
        <f>ABS(L689-RAVLT_Learning!$C$34)</f>
        <v>8.909351226020183</v>
      </c>
      <c r="P689">
        <f t="shared" si="12"/>
        <v>68.3</v>
      </c>
    </row>
    <row r="690" spans="12:16">
      <c r="L690">
        <f>RAVLT_Learning!M690</f>
        <v>0.47891373411225602</v>
      </c>
      <c r="M690">
        <f>RAVLT_Learning!N690</f>
        <v>68.400000000000006</v>
      </c>
      <c r="O690">
        <f>ABS(L690-RAVLT_Learning!$C$34)</f>
        <v>8.9121605566430446</v>
      </c>
      <c r="P690">
        <f t="shared" si="12"/>
        <v>68.400000000000006</v>
      </c>
    </row>
    <row r="691" spans="12:16">
      <c r="L691">
        <f>RAVLT_Learning!M691</f>
        <v>0.48172684958473</v>
      </c>
      <c r="M691">
        <f>RAVLT_Learning!N691</f>
        <v>68.5</v>
      </c>
      <c r="O691">
        <f>ABS(L691-RAVLT_Learning!$C$34)</f>
        <v>8.9149736721155186</v>
      </c>
      <c r="P691">
        <f t="shared" si="12"/>
        <v>68.5</v>
      </c>
    </row>
    <row r="692" spans="12:16">
      <c r="L692">
        <f>RAVLT_Learning!M692</f>
        <v>0.48454378244107899</v>
      </c>
      <c r="M692">
        <f>RAVLT_Learning!N692</f>
        <v>68.599999999999994</v>
      </c>
      <c r="O692">
        <f>ABS(L692-RAVLT_Learning!$C$34)</f>
        <v>8.9177906049718683</v>
      </c>
      <c r="P692">
        <f t="shared" si="12"/>
        <v>68.599999999999994</v>
      </c>
    </row>
    <row r="693" spans="12:16">
      <c r="L693">
        <f>RAVLT_Learning!M693</f>
        <v>0.48736456546944101</v>
      </c>
      <c r="M693">
        <f>RAVLT_Learning!N693</f>
        <v>68.7</v>
      </c>
      <c r="O693">
        <f>ABS(L693-RAVLT_Learning!$C$34)</f>
        <v>8.9206113880002302</v>
      </c>
      <c r="P693">
        <f t="shared" si="12"/>
        <v>68.7</v>
      </c>
    </row>
    <row r="694" spans="12:16">
      <c r="L694">
        <f>RAVLT_Learning!M694</f>
        <v>0.49018923171521001</v>
      </c>
      <c r="M694">
        <f>RAVLT_Learning!N694</f>
        <v>68.8</v>
      </c>
      <c r="O694">
        <f>ABS(L694-RAVLT_Learning!$C$34)</f>
        <v>8.9234360542459985</v>
      </c>
      <c r="P694">
        <f t="shared" si="12"/>
        <v>68.8</v>
      </c>
    </row>
    <row r="695" spans="12:16">
      <c r="L695">
        <f>RAVLT_Learning!M695</f>
        <v>0.49301781448446502</v>
      </c>
      <c r="M695">
        <f>RAVLT_Learning!N695</f>
        <v>68.900000000000006</v>
      </c>
      <c r="O695">
        <f>ABS(L695-RAVLT_Learning!$C$34)</f>
        <v>8.9262646370152545</v>
      </c>
      <c r="P695">
        <f t="shared" si="12"/>
        <v>68.900000000000006</v>
      </c>
    </row>
    <row r="696" spans="12:16">
      <c r="L696">
        <f>RAVLT_Learning!M696</f>
        <v>0.49585034734745298</v>
      </c>
      <c r="M696">
        <f>RAVLT_Learning!N696</f>
        <v>69</v>
      </c>
      <c r="O696">
        <f>ABS(L696-RAVLT_Learning!$C$34)</f>
        <v>8.9290971698782418</v>
      </c>
      <c r="P696">
        <f t="shared" si="12"/>
        <v>69</v>
      </c>
    </row>
    <row r="697" spans="12:16">
      <c r="L697">
        <f>RAVLT_Learning!M697</f>
        <v>0.49868686414212199</v>
      </c>
      <c r="M697">
        <f>RAVLT_Learning!N697</f>
        <v>69.099999999999994</v>
      </c>
      <c r="O697">
        <f>ABS(L697-RAVLT_Learning!$C$34)</f>
        <v>8.9319336866729113</v>
      </c>
      <c r="P697">
        <f t="shared" si="12"/>
        <v>69.099999999999994</v>
      </c>
    </row>
    <row r="698" spans="12:16">
      <c r="L698">
        <f>RAVLT_Learning!M698</f>
        <v>0.50152739897770804</v>
      </c>
      <c r="M698">
        <f>RAVLT_Learning!N698</f>
        <v>69.2</v>
      </c>
      <c r="O698">
        <f>ABS(L698-RAVLT_Learning!$C$34)</f>
        <v>8.9347742215084978</v>
      </c>
      <c r="P698">
        <f t="shared" si="12"/>
        <v>69.2</v>
      </c>
    </row>
    <row r="699" spans="12:16">
      <c r="L699">
        <f>RAVLT_Learning!M699</f>
        <v>0.50437198623838198</v>
      </c>
      <c r="M699">
        <f>RAVLT_Learning!N699</f>
        <v>69.3</v>
      </c>
      <c r="O699">
        <f>ABS(L699-RAVLT_Learning!$C$34)</f>
        <v>8.9376188087691713</v>
      </c>
      <c r="P699">
        <f t="shared" si="12"/>
        <v>69.3</v>
      </c>
    </row>
    <row r="700" spans="12:16">
      <c r="L700">
        <f>RAVLT_Learning!M700</f>
        <v>0.50722066058694604</v>
      </c>
      <c r="M700">
        <f>RAVLT_Learning!N700</f>
        <v>69.400000000000006</v>
      </c>
      <c r="O700">
        <f>ABS(L700-RAVLT_Learning!$C$34)</f>
        <v>8.9404674831177342</v>
      </c>
      <c r="P700">
        <f t="shared" si="12"/>
        <v>69.400000000000006</v>
      </c>
    </row>
    <row r="701" spans="12:16">
      <c r="L701">
        <f>RAVLT_Learning!M701</f>
        <v>0.51007345696859496</v>
      </c>
      <c r="M701">
        <f>RAVLT_Learning!N701</f>
        <v>69.5</v>
      </c>
      <c r="O701">
        <f>ABS(L701-RAVLT_Learning!$C$34)</f>
        <v>8.9433202794993836</v>
      </c>
      <c r="P701">
        <f t="shared" si="12"/>
        <v>69.5</v>
      </c>
    </row>
    <row r="702" spans="12:16">
      <c r="L702">
        <f>RAVLT_Learning!M702</f>
        <v>0.51293041061472899</v>
      </c>
      <c r="M702">
        <f>RAVLT_Learning!N702</f>
        <v>69.599999999999994</v>
      </c>
      <c r="O702">
        <f>ABS(L702-RAVLT_Learning!$C$34)</f>
        <v>8.9461772331455176</v>
      </c>
      <c r="P702">
        <f t="shared" si="12"/>
        <v>69.599999999999994</v>
      </c>
    </row>
    <row r="703" spans="12:16">
      <c r="L703">
        <f>RAVLT_Learning!M703</f>
        <v>0.515791557046828</v>
      </c>
      <c r="M703">
        <f>RAVLT_Learning!N703</f>
        <v>69.7</v>
      </c>
      <c r="O703">
        <f>ABS(L703-RAVLT_Learning!$C$34)</f>
        <v>8.9490383795776172</v>
      </c>
      <c r="P703">
        <f t="shared" si="12"/>
        <v>69.7</v>
      </c>
    </row>
    <row r="704" spans="12:16">
      <c r="L704">
        <f>RAVLT_Learning!M704</f>
        <v>0.51865693208039099</v>
      </c>
      <c r="M704">
        <f>RAVLT_Learning!N704</f>
        <v>69.8</v>
      </c>
      <c r="O704">
        <f>ABS(L704-RAVLT_Learning!$C$34)</f>
        <v>8.9519037546111804</v>
      </c>
      <c r="P704">
        <f t="shared" si="12"/>
        <v>69.8</v>
      </c>
    </row>
    <row r="705" spans="12:16">
      <c r="L705">
        <f>RAVLT_Learning!M705</f>
        <v>0.52152657182893203</v>
      </c>
      <c r="M705">
        <f>RAVLT_Learning!N705</f>
        <v>69.900000000000006</v>
      </c>
      <c r="O705">
        <f>ABS(L705-RAVLT_Learning!$C$34)</f>
        <v>8.9547733943597212</v>
      </c>
      <c r="P705">
        <f t="shared" si="12"/>
        <v>69.900000000000006</v>
      </c>
    </row>
    <row r="706" spans="12:16">
      <c r="L706">
        <f>RAVLT_Learning!M706</f>
        <v>0.524400512708041</v>
      </c>
      <c r="M706">
        <f>RAVLT_Learning!N706</f>
        <v>70</v>
      </c>
      <c r="O706">
        <f>ABS(L706-RAVLT_Learning!$C$34)</f>
        <v>8.9576473352388302</v>
      </c>
      <c r="P706">
        <f t="shared" si="12"/>
        <v>70</v>
      </c>
    </row>
    <row r="707" spans="12:16">
      <c r="L707">
        <f>RAVLT_Learning!M707</f>
        <v>0.52727879143950895</v>
      </c>
      <c r="M707">
        <f>RAVLT_Learning!N707</f>
        <v>70.099999999999994</v>
      </c>
      <c r="O707">
        <f>ABS(L707-RAVLT_Learning!$C$34)</f>
        <v>8.9605256139702973</v>
      </c>
      <c r="P707">
        <f t="shared" si="12"/>
        <v>70.099999999999994</v>
      </c>
    </row>
    <row r="708" spans="12:16">
      <c r="L708">
        <f>RAVLT_Learning!M708</f>
        <v>0.53016144505551899</v>
      </c>
      <c r="M708">
        <f>RAVLT_Learning!N708</f>
        <v>70.2</v>
      </c>
      <c r="O708">
        <f>ABS(L708-RAVLT_Learning!$C$34)</f>
        <v>8.963408267586308</v>
      </c>
      <c r="P708">
        <f t="shared" si="12"/>
        <v>70.2</v>
      </c>
    </row>
    <row r="709" spans="12:16">
      <c r="L709">
        <f>RAVLT_Learning!M709</f>
        <v>0.53304851090290895</v>
      </c>
      <c r="M709">
        <f>RAVLT_Learning!N709</f>
        <v>70.3</v>
      </c>
      <c r="O709">
        <f>ABS(L709-RAVLT_Learning!$C$34)</f>
        <v>8.9662953334336972</v>
      </c>
      <c r="P709">
        <f t="shared" si="12"/>
        <v>70.3</v>
      </c>
    </row>
    <row r="710" spans="12:16">
      <c r="L710">
        <f>RAVLT_Learning!M710</f>
        <v>0.53594002664748996</v>
      </c>
      <c r="M710">
        <f>RAVLT_Learning!N710</f>
        <v>70.400000000000006</v>
      </c>
      <c r="O710">
        <f>ABS(L710-RAVLT_Learning!$C$34)</f>
        <v>8.9691868491782785</v>
      </c>
      <c r="P710">
        <f t="shared" si="12"/>
        <v>70.400000000000006</v>
      </c>
    </row>
    <row r="711" spans="12:16">
      <c r="L711">
        <f>RAVLT_Learning!M711</f>
        <v>0.53883603027844995</v>
      </c>
      <c r="M711">
        <f>RAVLT_Learning!N711</f>
        <v>70.5</v>
      </c>
      <c r="O711">
        <f>ABS(L711-RAVLT_Learning!$C$34)</f>
        <v>8.9720828528092387</v>
      </c>
      <c r="P711">
        <f t="shared" si="12"/>
        <v>70.5</v>
      </c>
    </row>
    <row r="712" spans="12:16">
      <c r="L712">
        <f>RAVLT_Learning!M712</f>
        <v>0.54173656011281701</v>
      </c>
      <c r="M712">
        <f>RAVLT_Learning!N712</f>
        <v>70.599999999999994</v>
      </c>
      <c r="O712">
        <f>ABS(L712-RAVLT_Learning!$C$34)</f>
        <v>8.9749833826436056</v>
      </c>
      <c r="P712">
        <f t="shared" si="12"/>
        <v>70.599999999999994</v>
      </c>
    </row>
    <row r="713" spans="12:16">
      <c r="L713">
        <f>RAVLT_Learning!M713</f>
        <v>0.54464165479999904</v>
      </c>
      <c r="M713">
        <f>RAVLT_Learning!N713</f>
        <v>70.7</v>
      </c>
      <c r="O713">
        <f>ABS(L713-RAVLT_Learning!$C$34)</f>
        <v>8.9778884773307883</v>
      </c>
      <c r="P713">
        <f t="shared" si="12"/>
        <v>70.7</v>
      </c>
    </row>
    <row r="714" spans="12:16">
      <c r="L714">
        <f>RAVLT_Learning!M714</f>
        <v>0.54755135332640104</v>
      </c>
      <c r="M714">
        <f>RAVLT_Learning!N714</f>
        <v>70.8</v>
      </c>
      <c r="O714">
        <f>ABS(L714-RAVLT_Learning!$C$34)</f>
        <v>8.9807981758571902</v>
      </c>
      <c r="P714">
        <f t="shared" si="12"/>
        <v>70.8</v>
      </c>
    </row>
    <row r="715" spans="12:16">
      <c r="L715">
        <f>RAVLT_Learning!M715</f>
        <v>0.550465695020112</v>
      </c>
      <c r="M715">
        <f>RAVLT_Learning!N715</f>
        <v>70.900000000000006</v>
      </c>
      <c r="O715">
        <f>ABS(L715-RAVLT_Learning!$C$34)</f>
        <v>8.9837125175509005</v>
      </c>
      <c r="P715">
        <f t="shared" si="12"/>
        <v>70.900000000000006</v>
      </c>
    </row>
    <row r="716" spans="12:16">
      <c r="L716">
        <f>RAVLT_Learning!M716</f>
        <v>0.55338471955567303</v>
      </c>
      <c r="M716">
        <f>RAVLT_Learning!N716</f>
        <v>71</v>
      </c>
      <c r="O716">
        <f>ABS(L716-RAVLT_Learning!$C$34)</f>
        <v>8.986631542086462</v>
      </c>
      <c r="P716">
        <f t="shared" si="12"/>
        <v>71</v>
      </c>
    </row>
    <row r="717" spans="12:16">
      <c r="L717">
        <f>RAVLT_Learning!M717</f>
        <v>0.556308466958918</v>
      </c>
      <c r="M717">
        <f>RAVLT_Learning!N717</f>
        <v>71.099999999999994</v>
      </c>
      <c r="O717">
        <f>ABS(L717-RAVLT_Learning!$C$34)</f>
        <v>8.9895552894897062</v>
      </c>
      <c r="P717">
        <f t="shared" si="12"/>
        <v>71.099999999999994</v>
      </c>
    </row>
    <row r="718" spans="12:16">
      <c r="L718">
        <f>RAVLT_Learning!M718</f>
        <v>0.55923697761190705</v>
      </c>
      <c r="M718">
        <f>RAVLT_Learning!N718</f>
        <v>71.2</v>
      </c>
      <c r="O718">
        <f>ABS(L718-RAVLT_Learning!$C$34)</f>
        <v>8.9924838001426952</v>
      </c>
      <c r="P718">
        <f t="shared" si="12"/>
        <v>71.2</v>
      </c>
    </row>
    <row r="719" spans="12:16">
      <c r="L719">
        <f>RAVLT_Learning!M719</f>
        <v>0.56217029225792603</v>
      </c>
      <c r="M719">
        <f>RAVLT_Learning!N719</f>
        <v>71.3</v>
      </c>
      <c r="O719">
        <f>ABS(L719-RAVLT_Learning!$C$34)</f>
        <v>8.9954171147887152</v>
      </c>
      <c r="P719">
        <f t="shared" si="12"/>
        <v>71.3</v>
      </c>
    </row>
    <row r="720" spans="12:16">
      <c r="L720">
        <f>RAVLT_Learning!M720</f>
        <v>0.56510845200658399</v>
      </c>
      <c r="M720">
        <f>RAVLT_Learning!N720</f>
        <v>71.400000000000006</v>
      </c>
      <c r="O720">
        <f>ABS(L720-RAVLT_Learning!$C$34)</f>
        <v>8.9983552745373725</v>
      </c>
      <c r="P720">
        <f t="shared" si="12"/>
        <v>71.400000000000006</v>
      </c>
    </row>
    <row r="721" spans="12:16">
      <c r="L721">
        <f>RAVLT_Learning!M721</f>
        <v>0.56805149833898305</v>
      </c>
      <c r="M721">
        <f>RAVLT_Learning!N721</f>
        <v>71.5</v>
      </c>
      <c r="O721">
        <f>ABS(L721-RAVLT_Learning!$C$34)</f>
        <v>9.0012983208697719</v>
      </c>
      <c r="P721">
        <f t="shared" si="12"/>
        <v>71.5</v>
      </c>
    </row>
    <row r="722" spans="12:16">
      <c r="L722">
        <f>RAVLT_Learning!M722</f>
        <v>0.57099947311298704</v>
      </c>
      <c r="M722">
        <f>RAVLT_Learning!N722</f>
        <v>71.599999999999994</v>
      </c>
      <c r="O722">
        <f>ABS(L722-RAVLT_Learning!$C$34)</f>
        <v>9.0042462956437763</v>
      </c>
      <c r="P722">
        <f t="shared" si="12"/>
        <v>71.599999999999994</v>
      </c>
    </row>
    <row r="723" spans="12:16">
      <c r="L723">
        <f>RAVLT_Learning!M723</f>
        <v>0.57395241856857304</v>
      </c>
      <c r="M723">
        <f>RAVLT_Learning!N723</f>
        <v>71.7</v>
      </c>
      <c r="O723">
        <f>ABS(L723-RAVLT_Learning!$C$34)</f>
        <v>9.0071992410993627</v>
      </c>
      <c r="P723">
        <f t="shared" si="12"/>
        <v>71.7</v>
      </c>
    </row>
    <row r="724" spans="12:16">
      <c r="L724">
        <f>RAVLT_Learning!M724</f>
        <v>0.576910377333271</v>
      </c>
      <c r="M724">
        <f>RAVLT_Learning!N724</f>
        <v>71.8</v>
      </c>
      <c r="O724">
        <f>ABS(L724-RAVLT_Learning!$C$34)</f>
        <v>9.0101571998640591</v>
      </c>
      <c r="P724">
        <f t="shared" si="12"/>
        <v>71.8</v>
      </c>
    </row>
    <row r="725" spans="12:16">
      <c r="L725">
        <f>RAVLT_Learning!M725</f>
        <v>0.57987339242770397</v>
      </c>
      <c r="M725">
        <f>RAVLT_Learning!N725</f>
        <v>71.900000000000006</v>
      </c>
      <c r="O725">
        <f>ABS(L725-RAVLT_Learning!$C$34)</f>
        <v>9.0131202149584926</v>
      </c>
      <c r="P725">
        <f t="shared" si="12"/>
        <v>71.900000000000006</v>
      </c>
    </row>
    <row r="726" spans="12:16">
      <c r="L726">
        <f>RAVLT_Learning!M726</f>
        <v>0.58284150727121598</v>
      </c>
      <c r="M726">
        <f>RAVLT_Learning!N726</f>
        <v>72</v>
      </c>
      <c r="O726">
        <f>ABS(L726-RAVLT_Learning!$C$34)</f>
        <v>9.0160883298020043</v>
      </c>
      <c r="P726">
        <f t="shared" si="12"/>
        <v>72</v>
      </c>
    </row>
    <row r="727" spans="12:16">
      <c r="L727">
        <f>RAVLT_Learning!M727</f>
        <v>0.58581476568759905</v>
      </c>
      <c r="M727">
        <f>RAVLT_Learning!N727</f>
        <v>72.099999999999994</v>
      </c>
      <c r="O727">
        <f>ABS(L727-RAVLT_Learning!$C$34)</f>
        <v>9.0190615882183884</v>
      </c>
      <c r="P727">
        <f t="shared" si="12"/>
        <v>72.099999999999994</v>
      </c>
    </row>
    <row r="728" spans="12:16">
      <c r="L728">
        <f>RAVLT_Learning!M728</f>
        <v>0.58879321191092004</v>
      </c>
      <c r="M728">
        <f>RAVLT_Learning!N728</f>
        <v>72.2</v>
      </c>
      <c r="O728">
        <f>ABS(L728-RAVLT_Learning!$C$34)</f>
        <v>9.0220400344417087</v>
      </c>
      <c r="P728">
        <f t="shared" si="12"/>
        <v>72.2</v>
      </c>
    </row>
    <row r="729" spans="12:16">
      <c r="L729">
        <f>RAVLT_Learning!M729</f>
        <v>0.591776890591446</v>
      </c>
      <c r="M729">
        <f>RAVLT_Learning!N729</f>
        <v>72.3</v>
      </c>
      <c r="O729">
        <f>ABS(L729-RAVLT_Learning!$C$34)</f>
        <v>9.0250237131222342</v>
      </c>
      <c r="P729">
        <f t="shared" si="12"/>
        <v>72.3</v>
      </c>
    </row>
    <row r="730" spans="12:16">
      <c r="L730">
        <f>RAVLT_Learning!M730</f>
        <v>0.59476584680167799</v>
      </c>
      <c r="M730">
        <f>RAVLT_Learning!N730</f>
        <v>72.400000000000006</v>
      </c>
      <c r="O730">
        <f>ABS(L730-RAVLT_Learning!$C$34)</f>
        <v>9.0280126693324672</v>
      </c>
      <c r="P730">
        <f t="shared" si="12"/>
        <v>72.400000000000006</v>
      </c>
    </row>
    <row r="731" spans="12:16">
      <c r="L731">
        <f>RAVLT_Learning!M731</f>
        <v>0.59776012604247797</v>
      </c>
      <c r="M731">
        <f>RAVLT_Learning!N731</f>
        <v>72.5</v>
      </c>
      <c r="O731">
        <f>ABS(L731-RAVLT_Learning!$C$34)</f>
        <v>9.0310069485732676</v>
      </c>
      <c r="P731">
        <f t="shared" si="12"/>
        <v>72.5</v>
      </c>
    </row>
    <row r="732" spans="12:16">
      <c r="L732">
        <f>RAVLT_Learning!M732</f>
        <v>0.60075977424931903</v>
      </c>
      <c r="M732">
        <f>RAVLT_Learning!N732</f>
        <v>72.599999999999994</v>
      </c>
      <c r="O732">
        <f>ABS(L732-RAVLT_Learning!$C$34)</f>
        <v>9.0340065967801078</v>
      </c>
      <c r="P732">
        <f t="shared" si="12"/>
        <v>72.599999999999994</v>
      </c>
    </row>
    <row r="733" spans="12:16">
      <c r="L733">
        <f>RAVLT_Learning!M733</f>
        <v>0.60376483779862999</v>
      </c>
      <c r="M733">
        <f>RAVLT_Learning!N733</f>
        <v>72.7</v>
      </c>
      <c r="O733">
        <f>ABS(L733-RAVLT_Learning!$C$34)</f>
        <v>9.0370116603294193</v>
      </c>
      <c r="P733">
        <f t="shared" si="12"/>
        <v>72.7</v>
      </c>
    </row>
    <row r="734" spans="12:16">
      <c r="L734">
        <f>RAVLT_Learning!M734</f>
        <v>0.60677536351426498</v>
      </c>
      <c r="M734">
        <f>RAVLT_Learning!N734</f>
        <v>72.8</v>
      </c>
      <c r="O734">
        <f>ABS(L734-RAVLT_Learning!$C$34)</f>
        <v>9.0400221860450536</v>
      </c>
      <c r="P734">
        <f t="shared" si="12"/>
        <v>72.8</v>
      </c>
    </row>
    <row r="735" spans="12:16">
      <c r="L735">
        <f>RAVLT_Learning!M735</f>
        <v>0.60979139867408005</v>
      </c>
      <c r="M735">
        <f>RAVLT_Learning!N735</f>
        <v>72.900000000000006</v>
      </c>
      <c r="O735">
        <f>ABS(L735-RAVLT_Learning!$C$34)</f>
        <v>9.0430382212048688</v>
      </c>
      <c r="P735">
        <f t="shared" si="12"/>
        <v>72.900000000000006</v>
      </c>
    </row>
    <row r="736" spans="12:16">
      <c r="L736">
        <f>RAVLT_Learning!M736</f>
        <v>0.61281299101662701</v>
      </c>
      <c r="M736">
        <f>RAVLT_Learning!N736</f>
        <v>73</v>
      </c>
      <c r="O736">
        <f>ABS(L736-RAVLT_Learning!$C$34)</f>
        <v>9.0460598135474157</v>
      </c>
      <c r="P736">
        <f t="shared" si="12"/>
        <v>73</v>
      </c>
    </row>
    <row r="737" spans="12:16">
      <c r="L737">
        <f>RAVLT_Learning!M737</f>
        <v>0.61584018874797197</v>
      </c>
      <c r="M737">
        <f>RAVLT_Learning!N737</f>
        <v>73.099999999999994</v>
      </c>
      <c r="O737">
        <f>ABS(L737-RAVLT_Learning!$C$34)</f>
        <v>9.0490870112787611</v>
      </c>
      <c r="P737">
        <f t="shared" si="12"/>
        <v>73.099999999999994</v>
      </c>
    </row>
    <row r="738" spans="12:16">
      <c r="L738">
        <f>RAVLT_Learning!M738</f>
        <v>0.61887304054862902</v>
      </c>
      <c r="M738">
        <f>RAVLT_Learning!N738</f>
        <v>73.2</v>
      </c>
      <c r="O738">
        <f>ABS(L738-RAVLT_Learning!$C$34)</f>
        <v>9.0521198630794171</v>
      </c>
      <c r="P738">
        <f t="shared" si="12"/>
        <v>73.2</v>
      </c>
    </row>
    <row r="739" spans="12:16">
      <c r="L739">
        <f>RAVLT_Learning!M739</f>
        <v>0.62191159558062403</v>
      </c>
      <c r="M739">
        <f>RAVLT_Learning!N739</f>
        <v>73.3</v>
      </c>
      <c r="O739">
        <f>ABS(L739-RAVLT_Learning!$C$34)</f>
        <v>9.0551584181114126</v>
      </c>
      <c r="P739">
        <f t="shared" si="12"/>
        <v>73.3</v>
      </c>
    </row>
    <row r="740" spans="12:16">
      <c r="L740">
        <f>RAVLT_Learning!M740</f>
        <v>0.62495590349468699</v>
      </c>
      <c r="M740">
        <f>RAVLT_Learning!N740</f>
        <v>73.400000000000006</v>
      </c>
      <c r="O740">
        <f>ABS(L740-RAVLT_Learning!$C$34)</f>
        <v>9.0582027260254758</v>
      </c>
      <c r="P740">
        <f t="shared" si="12"/>
        <v>73.400000000000006</v>
      </c>
    </row>
    <row r="741" spans="12:16">
      <c r="L741">
        <f>RAVLT_Learning!M741</f>
        <v>0.62800601443756998</v>
      </c>
      <c r="M741">
        <f>RAVLT_Learning!N741</f>
        <v>73.5</v>
      </c>
      <c r="O741">
        <f>ABS(L741-RAVLT_Learning!$C$34)</f>
        <v>9.0612528369683591</v>
      </c>
      <c r="P741">
        <f t="shared" si="12"/>
        <v>73.5</v>
      </c>
    </row>
    <row r="742" spans="12:16">
      <c r="L742">
        <f>RAVLT_Learning!M742</f>
        <v>0.63106197905949901</v>
      </c>
      <c r="M742">
        <f>RAVLT_Learning!N742</f>
        <v>73.599999999999994</v>
      </c>
      <c r="O742">
        <f>ABS(L742-RAVLT_Learning!$C$34)</f>
        <v>9.064308801590288</v>
      </c>
      <c r="P742">
        <f t="shared" si="12"/>
        <v>73.599999999999994</v>
      </c>
    </row>
    <row r="743" spans="12:16">
      <c r="L743">
        <f>RAVLT_Learning!M743</f>
        <v>0.63412384852176995</v>
      </c>
      <c r="M743">
        <f>RAVLT_Learning!N743</f>
        <v>73.7</v>
      </c>
      <c r="O743">
        <f>ABS(L743-RAVLT_Learning!$C$34)</f>
        <v>9.0673706710525579</v>
      </c>
      <c r="P743">
        <f t="shared" si="12"/>
        <v>73.7</v>
      </c>
    </row>
    <row r="744" spans="12:16">
      <c r="L744">
        <f>RAVLT_Learning!M744</f>
        <v>0.637191674504475</v>
      </c>
      <c r="M744">
        <f>RAVLT_Learning!N744</f>
        <v>73.8</v>
      </c>
      <c r="O744">
        <f>ABS(L744-RAVLT_Learning!$C$34)</f>
        <v>9.0704384970352638</v>
      </c>
      <c r="P744">
        <f t="shared" si="12"/>
        <v>73.8</v>
      </c>
    </row>
    <row r="745" spans="12:16">
      <c r="L745">
        <f>RAVLT_Learning!M745</f>
        <v>0.64026550921437397</v>
      </c>
      <c r="M745">
        <f>RAVLT_Learning!N745</f>
        <v>73.900000000000006</v>
      </c>
      <c r="O745">
        <f>ABS(L745-RAVLT_Learning!$C$34)</f>
        <v>9.073512331745162</v>
      </c>
      <c r="P745">
        <f t="shared" ref="P745:P808" si="13">M745</f>
        <v>73.900000000000006</v>
      </c>
    </row>
    <row r="746" spans="12:16">
      <c r="L746">
        <f>RAVLT_Learning!M746</f>
        <v>0.64334540539291696</v>
      </c>
      <c r="M746">
        <f>RAVLT_Learning!N746</f>
        <v>74</v>
      </c>
      <c r="O746">
        <f>ABS(L746-RAVLT_Learning!$C$34)</f>
        <v>9.0765922279237063</v>
      </c>
      <c r="P746">
        <f t="shared" si="13"/>
        <v>74</v>
      </c>
    </row>
    <row r="747" spans="12:16">
      <c r="L747">
        <f>RAVLT_Learning!M747</f>
        <v>0.64643141632440704</v>
      </c>
      <c r="M747">
        <f>RAVLT_Learning!N747</f>
        <v>74.099999999999994</v>
      </c>
      <c r="O747">
        <f>ABS(L747-RAVLT_Learning!$C$34)</f>
        <v>9.0796782388551964</v>
      </c>
      <c r="P747">
        <f t="shared" si="13"/>
        <v>74.099999999999994</v>
      </c>
    </row>
    <row r="748" spans="12:16">
      <c r="L748">
        <f>RAVLT_Learning!M748</f>
        <v>0.64952359584432495</v>
      </c>
      <c r="M748">
        <f>RAVLT_Learning!N748</f>
        <v>74.2</v>
      </c>
      <c r="O748">
        <f>ABS(L748-RAVLT_Learning!$C$34)</f>
        <v>9.0827704183751141</v>
      </c>
      <c r="P748">
        <f t="shared" si="13"/>
        <v>74.2</v>
      </c>
    </row>
    <row r="749" spans="12:16">
      <c r="L749">
        <f>RAVLT_Learning!M749</f>
        <v>0.65262199834780099</v>
      </c>
      <c r="M749">
        <f>RAVLT_Learning!N749</f>
        <v>74.3</v>
      </c>
      <c r="O749">
        <f>ABS(L749-RAVLT_Learning!$C$34)</f>
        <v>9.0858688208785896</v>
      </c>
      <c r="P749">
        <f t="shared" si="13"/>
        <v>74.3</v>
      </c>
    </row>
    <row r="750" spans="12:16">
      <c r="L750">
        <f>RAVLT_Learning!M750</f>
        <v>0.65572667879825297</v>
      </c>
      <c r="M750">
        <f>RAVLT_Learning!N750</f>
        <v>74.400000000000006</v>
      </c>
      <c r="O750">
        <f>ABS(L750-RAVLT_Learning!$C$34)</f>
        <v>9.0889735013290416</v>
      </c>
      <c r="P750">
        <f t="shared" si="13"/>
        <v>74.400000000000006</v>
      </c>
    </row>
    <row r="751" spans="12:16">
      <c r="L751">
        <f>RAVLT_Learning!M751</f>
        <v>0.65883769273618797</v>
      </c>
      <c r="M751">
        <f>RAVLT_Learning!N751</f>
        <v>74.5</v>
      </c>
      <c r="O751">
        <f>ABS(L751-RAVLT_Learning!$C$34)</f>
        <v>9.0920845152669774</v>
      </c>
      <c r="P751">
        <f t="shared" si="13"/>
        <v>74.5</v>
      </c>
    </row>
    <row r="752" spans="12:16">
      <c r="L752">
        <f>RAVLT_Learning!M752</f>
        <v>0.66195509628816196</v>
      </c>
      <c r="M752">
        <f>RAVLT_Learning!N752</f>
        <v>74.599999999999994</v>
      </c>
      <c r="O752">
        <f>ABS(L752-RAVLT_Learning!$C$34)</f>
        <v>9.095201918818951</v>
      </c>
      <c r="P752">
        <f t="shared" si="13"/>
        <v>74.599999999999994</v>
      </c>
    </row>
    <row r="753" spans="12:16">
      <c r="L753">
        <f>RAVLT_Learning!M753</f>
        <v>0.665078946175923</v>
      </c>
      <c r="M753">
        <f>RAVLT_Learning!N753</f>
        <v>74.7</v>
      </c>
      <c r="O753">
        <f>ABS(L753-RAVLT_Learning!$C$34)</f>
        <v>9.0983257687067116</v>
      </c>
      <c r="P753">
        <f t="shared" si="13"/>
        <v>74.7</v>
      </c>
    </row>
    <row r="754" spans="12:16">
      <c r="L754">
        <f>RAVLT_Learning!M754</f>
        <v>0.66820929972572296</v>
      </c>
      <c r="M754">
        <f>RAVLT_Learning!N754</f>
        <v>74.8</v>
      </c>
      <c r="O754">
        <f>ABS(L754-RAVLT_Learning!$C$34)</f>
        <v>9.1014561222565113</v>
      </c>
      <c r="P754">
        <f t="shared" si="13"/>
        <v>74.8</v>
      </c>
    </row>
    <row r="755" spans="12:16">
      <c r="L755">
        <f>RAVLT_Learning!M755</f>
        <v>0.67134621487780499</v>
      </c>
      <c r="M755">
        <f>RAVLT_Learning!N755</f>
        <v>74.900000000000006</v>
      </c>
      <c r="O755">
        <f>ABS(L755-RAVLT_Learning!$C$34)</f>
        <v>9.104593037408593</v>
      </c>
      <c r="P755">
        <f t="shared" si="13"/>
        <v>74.900000000000006</v>
      </c>
    </row>
    <row r="756" spans="12:16">
      <c r="L756">
        <f>RAVLT_Learning!M756</f>
        <v>0.67448975019608204</v>
      </c>
      <c r="M756">
        <f>RAVLT_Learning!N756</f>
        <v>75</v>
      </c>
      <c r="O756">
        <f>ABS(L756-RAVLT_Learning!$C$34)</f>
        <v>9.1077365727268713</v>
      </c>
      <c r="P756">
        <f t="shared" si="13"/>
        <v>75</v>
      </c>
    </row>
    <row r="757" spans="12:16">
      <c r="L757">
        <f>RAVLT_Learning!M757</f>
        <v>0.67763996487799605</v>
      </c>
      <c r="M757">
        <f>RAVLT_Learning!N757</f>
        <v>75.099999999999994</v>
      </c>
      <c r="O757">
        <f>ABS(L757-RAVLT_Learning!$C$34)</f>
        <v>9.1108867874087842</v>
      </c>
      <c r="P757">
        <f t="shared" si="13"/>
        <v>75.099999999999994</v>
      </c>
    </row>
    <row r="758" spans="12:16">
      <c r="L758">
        <f>RAVLT_Learning!M758</f>
        <v>0.68079691876457504</v>
      </c>
      <c r="M758">
        <f>RAVLT_Learning!N758</f>
        <v>75.2</v>
      </c>
      <c r="O758">
        <f>ABS(L758-RAVLT_Learning!$C$34)</f>
        <v>9.1140437412953634</v>
      </c>
      <c r="P758">
        <f t="shared" si="13"/>
        <v>75.2</v>
      </c>
    </row>
    <row r="759" spans="12:16">
      <c r="L759">
        <f>RAVLT_Learning!M759</f>
        <v>0.68396067235068203</v>
      </c>
      <c r="M759">
        <f>RAVLT_Learning!N759</f>
        <v>75.3</v>
      </c>
      <c r="O759">
        <f>ABS(L759-RAVLT_Learning!$C$34)</f>
        <v>9.1172074948814714</v>
      </c>
      <c r="P759">
        <f t="shared" si="13"/>
        <v>75.3</v>
      </c>
    </row>
    <row r="760" spans="12:16">
      <c r="L760">
        <f>RAVLT_Learning!M760</f>
        <v>0.68713128679546898</v>
      </c>
      <c r="M760">
        <f>RAVLT_Learning!N760</f>
        <v>75.400000000000006</v>
      </c>
      <c r="O760">
        <f>ABS(L760-RAVLT_Learning!$C$34)</f>
        <v>9.120378109326257</v>
      </c>
      <c r="P760">
        <f t="shared" si="13"/>
        <v>75.400000000000006</v>
      </c>
    </row>
    <row r="761" spans="12:16">
      <c r="L761">
        <f>RAVLT_Learning!M761</f>
        <v>0.69030882393303405</v>
      </c>
      <c r="M761">
        <f>RAVLT_Learning!N761</f>
        <v>75.5</v>
      </c>
      <c r="O761">
        <f>ABS(L761-RAVLT_Learning!$C$34)</f>
        <v>9.1235556464638226</v>
      </c>
      <c r="P761">
        <f t="shared" si="13"/>
        <v>75.5</v>
      </c>
    </row>
    <row r="762" spans="12:16">
      <c r="L762">
        <f>RAVLT_Learning!M762</f>
        <v>0.69349334628328896</v>
      </c>
      <c r="M762">
        <f>RAVLT_Learning!N762</f>
        <v>75.599999999999994</v>
      </c>
      <c r="O762">
        <f>ABS(L762-RAVLT_Learning!$C$34)</f>
        <v>9.1267401688140772</v>
      </c>
      <c r="P762">
        <f t="shared" si="13"/>
        <v>75.599999999999994</v>
      </c>
    </row>
    <row r="763" spans="12:16">
      <c r="L763">
        <f>RAVLT_Learning!M763</f>
        <v>0.69668491706305102</v>
      </c>
      <c r="M763">
        <f>RAVLT_Learning!N763</f>
        <v>75.7</v>
      </c>
      <c r="O763">
        <f>ABS(L763-RAVLT_Learning!$C$34)</f>
        <v>9.1299317395938395</v>
      </c>
      <c r="P763">
        <f t="shared" si="13"/>
        <v>75.7</v>
      </c>
    </row>
    <row r="764" spans="12:16">
      <c r="L764">
        <f>RAVLT_Learning!M764</f>
        <v>0.69988360019734097</v>
      </c>
      <c r="M764">
        <f>RAVLT_Learning!N764</f>
        <v>75.8</v>
      </c>
      <c r="O764">
        <f>ABS(L764-RAVLT_Learning!$C$34)</f>
        <v>9.1331304227281294</v>
      </c>
      <c r="P764">
        <f t="shared" si="13"/>
        <v>75.8</v>
      </c>
    </row>
    <row r="765" spans="12:16">
      <c r="L765">
        <f>RAVLT_Learning!M765</f>
        <v>0.70308946033092901</v>
      </c>
      <c r="M765">
        <f>RAVLT_Learning!N765</f>
        <v>75.900000000000006</v>
      </c>
      <c r="O765">
        <f>ABS(L765-RAVLT_Learning!$C$34)</f>
        <v>9.1363362828617181</v>
      </c>
      <c r="P765">
        <f t="shared" si="13"/>
        <v>75.900000000000006</v>
      </c>
    </row>
    <row r="766" spans="12:16">
      <c r="L766">
        <f>RAVLT_Learning!M766</f>
        <v>0.70630256284008797</v>
      </c>
      <c r="M766">
        <f>RAVLT_Learning!N766</f>
        <v>76</v>
      </c>
      <c r="O766">
        <f>ABS(L766-RAVLT_Learning!$C$34)</f>
        <v>9.1395493853708771</v>
      </c>
      <c r="P766">
        <f t="shared" si="13"/>
        <v>76</v>
      </c>
    </row>
    <row r="767" spans="12:16">
      <c r="L767">
        <f>RAVLT_Learning!M767</f>
        <v>0.70952297384460805</v>
      </c>
      <c r="M767">
        <f>RAVLT_Learning!N767</f>
        <v>76.099999999999994</v>
      </c>
      <c r="O767">
        <f>ABS(L767-RAVLT_Learning!$C$34)</f>
        <v>9.1427697963753971</v>
      </c>
      <c r="P767">
        <f t="shared" si="13"/>
        <v>76.099999999999994</v>
      </c>
    </row>
    <row r="768" spans="12:16">
      <c r="L768">
        <f>RAVLT_Learning!M768</f>
        <v>0.71275076022004302</v>
      </c>
      <c r="M768">
        <f>RAVLT_Learning!N768</f>
        <v>76.2</v>
      </c>
      <c r="O768">
        <f>ABS(L768-RAVLT_Learning!$C$34)</f>
        <v>9.145997582750832</v>
      </c>
      <c r="P768">
        <f t="shared" si="13"/>
        <v>76.2</v>
      </c>
    </row>
    <row r="769" spans="12:16">
      <c r="L769">
        <f>RAVLT_Learning!M769</f>
        <v>0.71598598961020499</v>
      </c>
      <c r="M769">
        <f>RAVLT_Learning!N769</f>
        <v>76.3</v>
      </c>
      <c r="O769">
        <f>ABS(L769-RAVLT_Learning!$C$34)</f>
        <v>9.149232812140994</v>
      </c>
      <c r="P769">
        <f t="shared" si="13"/>
        <v>76.3</v>
      </c>
    </row>
    <row r="770" spans="12:16">
      <c r="L770">
        <f>RAVLT_Learning!M770</f>
        <v>0.71922873043992397</v>
      </c>
      <c r="M770">
        <f>RAVLT_Learning!N770</f>
        <v>76.400000000000006</v>
      </c>
      <c r="O770">
        <f>ABS(L770-RAVLT_Learning!$C$34)</f>
        <v>9.1524755529707136</v>
      </c>
      <c r="P770">
        <f t="shared" si="13"/>
        <v>76.400000000000006</v>
      </c>
    </row>
    <row r="771" spans="12:16">
      <c r="L771">
        <f>RAVLT_Learning!M771</f>
        <v>0.72247905192806305</v>
      </c>
      <c r="M771">
        <f>RAVLT_Learning!N771</f>
        <v>76.5</v>
      </c>
      <c r="O771">
        <f>ABS(L771-RAVLT_Learning!$C$34)</f>
        <v>9.1557258744588523</v>
      </c>
      <c r="P771">
        <f t="shared" si="13"/>
        <v>76.5</v>
      </c>
    </row>
    <row r="772" spans="12:16">
      <c r="L772">
        <f>RAVLT_Learning!M772</f>
        <v>0.72573702410080498</v>
      </c>
      <c r="M772">
        <f>RAVLT_Learning!N772</f>
        <v>76.599999999999994</v>
      </c>
      <c r="O772">
        <f>ABS(L772-RAVLT_Learning!$C$34)</f>
        <v>9.1589838466315943</v>
      </c>
      <c r="P772">
        <f t="shared" si="13"/>
        <v>76.599999999999994</v>
      </c>
    </row>
    <row r="773" spans="12:16">
      <c r="L773">
        <f>RAVLT_Learning!M773</f>
        <v>0.72900271780521897</v>
      </c>
      <c r="M773">
        <f>RAVLT_Learning!N773</f>
        <v>76.7</v>
      </c>
      <c r="O773">
        <f>ABS(L773-RAVLT_Learning!$C$34)</f>
        <v>9.162249540336008</v>
      </c>
      <c r="P773">
        <f t="shared" si="13"/>
        <v>76.7</v>
      </c>
    </row>
    <row r="774" spans="12:16">
      <c r="L774">
        <f>RAVLT_Learning!M774</f>
        <v>0.73227620472309995</v>
      </c>
      <c r="M774">
        <f>RAVLT_Learning!N774</f>
        <v>76.8</v>
      </c>
      <c r="O774">
        <f>ABS(L774-RAVLT_Learning!$C$34)</f>
        <v>9.1655230272538883</v>
      </c>
      <c r="P774">
        <f t="shared" si="13"/>
        <v>76.8</v>
      </c>
    </row>
    <row r="775" spans="12:16">
      <c r="L775">
        <f>RAVLT_Learning!M775</f>
        <v>0.73555755738511097</v>
      </c>
      <c r="M775">
        <f>RAVLT_Learning!N775</f>
        <v>76.900000000000006</v>
      </c>
      <c r="O775">
        <f>ABS(L775-RAVLT_Learning!$C$34)</f>
        <v>9.1688043799158994</v>
      </c>
      <c r="P775">
        <f t="shared" si="13"/>
        <v>76.900000000000006</v>
      </c>
    </row>
    <row r="776" spans="12:16">
      <c r="L776">
        <f>RAVLT_Learning!M776</f>
        <v>0.73884684918521404</v>
      </c>
      <c r="M776">
        <f>RAVLT_Learning!N776</f>
        <v>77</v>
      </c>
      <c r="O776">
        <f>ABS(L776-RAVLT_Learning!$C$34)</f>
        <v>9.1720936717160022</v>
      </c>
      <c r="P776">
        <f t="shared" si="13"/>
        <v>77</v>
      </c>
    </row>
    <row r="777" spans="12:16">
      <c r="L777">
        <f>RAVLT_Learning!M777</f>
        <v>0.74214415439540904</v>
      </c>
      <c r="M777">
        <f>RAVLT_Learning!N777</f>
        <v>77.099999999999994</v>
      </c>
      <c r="O777">
        <f>ABS(L777-RAVLT_Learning!$C$34)</f>
        <v>9.1753909769261988</v>
      </c>
      <c r="P777">
        <f t="shared" si="13"/>
        <v>77.099999999999994</v>
      </c>
    </row>
    <row r="778" spans="12:16">
      <c r="L778">
        <f>RAVLT_Learning!M778</f>
        <v>0.74544954818078901</v>
      </c>
      <c r="M778">
        <f>RAVLT_Learning!N778</f>
        <v>77.2</v>
      </c>
      <c r="O778">
        <f>ABS(L778-RAVLT_Learning!$C$34)</f>
        <v>9.1786963707115774</v>
      </c>
      <c r="P778">
        <f t="shared" si="13"/>
        <v>77.2</v>
      </c>
    </row>
    <row r="779" spans="12:16">
      <c r="L779">
        <f>RAVLT_Learning!M779</f>
        <v>0.74876310661490897</v>
      </c>
      <c r="M779">
        <f>RAVLT_Learning!N779</f>
        <v>77.3</v>
      </c>
      <c r="O779">
        <f>ABS(L779-RAVLT_Learning!$C$34)</f>
        <v>9.182009929145698</v>
      </c>
      <c r="P779">
        <f t="shared" si="13"/>
        <v>77.3</v>
      </c>
    </row>
    <row r="780" spans="12:16">
      <c r="L780">
        <f>RAVLT_Learning!M780</f>
        <v>0.752084906695491</v>
      </c>
      <c r="M780">
        <f>RAVLT_Learning!N780</f>
        <v>77.400000000000006</v>
      </c>
      <c r="O780">
        <f>ABS(L780-RAVLT_Learning!$C$34)</f>
        <v>9.1853317292262791</v>
      </c>
      <c r="P780">
        <f t="shared" si="13"/>
        <v>77.400000000000006</v>
      </c>
    </row>
    <row r="781" spans="12:16">
      <c r="L781">
        <f>RAVLT_Learning!M781</f>
        <v>0.75541502636046898</v>
      </c>
      <c r="M781">
        <f>RAVLT_Learning!N781</f>
        <v>77.5</v>
      </c>
      <c r="O781">
        <f>ABS(L781-RAVLT_Learning!$C$34)</f>
        <v>9.1886618488912575</v>
      </c>
      <c r="P781">
        <f t="shared" si="13"/>
        <v>77.5</v>
      </c>
    </row>
    <row r="782" spans="12:16">
      <c r="L782">
        <f>RAVLT_Learning!M782</f>
        <v>0.75875354450437105</v>
      </c>
      <c r="M782">
        <f>RAVLT_Learning!N782</f>
        <v>77.599999999999994</v>
      </c>
      <c r="O782">
        <f>ABS(L782-RAVLT_Learning!$C$34)</f>
        <v>9.1920003670351598</v>
      </c>
      <c r="P782">
        <f t="shared" si="13"/>
        <v>77.599999999999994</v>
      </c>
    </row>
    <row r="783" spans="12:16">
      <c r="L783">
        <f>RAVLT_Learning!M783</f>
        <v>0.76210054099506697</v>
      </c>
      <c r="M783">
        <f>RAVLT_Learning!N783</f>
        <v>77.7</v>
      </c>
      <c r="O783">
        <f>ABS(L783-RAVLT_Learning!$C$34)</f>
        <v>9.1953473635258565</v>
      </c>
      <c r="P783">
        <f t="shared" si="13"/>
        <v>77.7</v>
      </c>
    </row>
    <row r="784" spans="12:16">
      <c r="L784">
        <f>RAVLT_Learning!M784</f>
        <v>0.765456096690878</v>
      </c>
      <c r="M784">
        <f>RAVLT_Learning!N784</f>
        <v>77.8</v>
      </c>
      <c r="O784">
        <f>ABS(L784-RAVLT_Learning!$C$34)</f>
        <v>9.1987029192216667</v>
      </c>
      <c r="P784">
        <f t="shared" si="13"/>
        <v>77.8</v>
      </c>
    </row>
    <row r="785" spans="12:16">
      <c r="L785">
        <f>RAVLT_Learning!M785</f>
        <v>0.76882029345806202</v>
      </c>
      <c r="M785">
        <f>RAVLT_Learning!N785</f>
        <v>77.900000000000006</v>
      </c>
      <c r="O785">
        <f>ABS(L785-RAVLT_Learning!$C$34)</f>
        <v>9.2020671159888501</v>
      </c>
      <c r="P785">
        <f t="shared" si="13"/>
        <v>77.900000000000006</v>
      </c>
    </row>
    <row r="786" spans="12:16">
      <c r="L786">
        <f>RAVLT_Learning!M786</f>
        <v>0.77219321418868503</v>
      </c>
      <c r="M786">
        <f>RAVLT_Learning!N786</f>
        <v>78</v>
      </c>
      <c r="O786">
        <f>ABS(L786-RAVLT_Learning!$C$34)</f>
        <v>9.2054400367194731</v>
      </c>
      <c r="P786">
        <f t="shared" si="13"/>
        <v>78</v>
      </c>
    </row>
    <row r="787" spans="12:16">
      <c r="L787">
        <f>RAVLT_Learning!M787</f>
        <v>0.77557494281888395</v>
      </c>
      <c r="M787">
        <f>RAVLT_Learning!N787</f>
        <v>78.099999999999994</v>
      </c>
      <c r="O787">
        <f>ABS(L787-RAVLT_Learning!$C$34)</f>
        <v>9.208821765349672</v>
      </c>
      <c r="P787">
        <f t="shared" si="13"/>
        <v>78.099999999999994</v>
      </c>
    </row>
    <row r="788" spans="12:16">
      <c r="L788">
        <f>RAVLT_Learning!M788</f>
        <v>0.77896556434754505</v>
      </c>
      <c r="M788">
        <f>RAVLT_Learning!N788</f>
        <v>78.2</v>
      </c>
      <c r="O788">
        <f>ABS(L788-RAVLT_Learning!$C$34)</f>
        <v>9.2122123868783348</v>
      </c>
      <c r="P788">
        <f t="shared" si="13"/>
        <v>78.2</v>
      </c>
    </row>
    <row r="789" spans="12:16">
      <c r="L789">
        <f>RAVLT_Learning!M789</f>
        <v>0.78236516485538699</v>
      </c>
      <c r="M789">
        <f>RAVLT_Learning!N789</f>
        <v>78.3</v>
      </c>
      <c r="O789">
        <f>ABS(L789-RAVLT_Learning!$C$34)</f>
        <v>9.2156119873861755</v>
      </c>
      <c r="P789">
        <f t="shared" si="13"/>
        <v>78.3</v>
      </c>
    </row>
    <row r="790" spans="12:16">
      <c r="L790">
        <f>RAVLT_Learning!M790</f>
        <v>0.78577383152448399</v>
      </c>
      <c r="M790">
        <f>RAVLT_Learning!N790</f>
        <v>78.400000000000006</v>
      </c>
      <c r="O790">
        <f>ABS(L790-RAVLT_Learning!$C$34)</f>
        <v>9.2190206540552726</v>
      </c>
      <c r="P790">
        <f t="shared" si="13"/>
        <v>78.400000000000006</v>
      </c>
    </row>
    <row r="791" spans="12:16">
      <c r="L791">
        <f>RAVLT_Learning!M791</f>
        <v>0.789191652658222</v>
      </c>
      <c r="M791">
        <f>RAVLT_Learning!N791</f>
        <v>78.5</v>
      </c>
      <c r="O791">
        <f>ABS(L791-RAVLT_Learning!$C$34)</f>
        <v>9.2224384751890103</v>
      </c>
      <c r="P791">
        <f t="shared" si="13"/>
        <v>78.5</v>
      </c>
    </row>
    <row r="792" spans="12:16">
      <c r="L792">
        <f>RAVLT_Learning!M792</f>
        <v>0.79261871770171199</v>
      </c>
      <c r="M792">
        <f>RAVLT_Learning!N792</f>
        <v>78.599999999999994</v>
      </c>
      <c r="O792">
        <f>ABS(L792-RAVLT_Learning!$C$34)</f>
        <v>9.2258655402325012</v>
      </c>
      <c r="P792">
        <f t="shared" si="13"/>
        <v>78.599999999999994</v>
      </c>
    </row>
    <row r="793" spans="12:16">
      <c r="L793">
        <f>RAVLT_Learning!M793</f>
        <v>0.79605511726266298</v>
      </c>
      <c r="M793">
        <f>RAVLT_Learning!N793</f>
        <v>78.7</v>
      </c>
      <c r="O793">
        <f>ABS(L793-RAVLT_Learning!$C$34)</f>
        <v>9.2293019397934515</v>
      </c>
      <c r="P793">
        <f t="shared" si="13"/>
        <v>78.7</v>
      </c>
    </row>
    <row r="794" spans="12:16">
      <c r="L794">
        <f>RAVLT_Learning!M794</f>
        <v>0.79950094313273701</v>
      </c>
      <c r="M794">
        <f>RAVLT_Learning!N794</f>
        <v>78.8</v>
      </c>
      <c r="O794">
        <f>ABS(L794-RAVLT_Learning!$C$34)</f>
        <v>9.2327477656635253</v>
      </c>
      <c r="P794">
        <f t="shared" si="13"/>
        <v>78.8</v>
      </c>
    </row>
    <row r="795" spans="12:16">
      <c r="L795">
        <f>RAVLT_Learning!M795</f>
        <v>0.80295628830939403</v>
      </c>
      <c r="M795">
        <f>RAVLT_Learning!N795</f>
        <v>78.900000000000006</v>
      </c>
      <c r="O795">
        <f>ABS(L795-RAVLT_Learning!$C$34)</f>
        <v>9.236203110840183</v>
      </c>
      <c r="P795">
        <f t="shared" si="13"/>
        <v>78.900000000000006</v>
      </c>
    </row>
    <row r="796" spans="12:16">
      <c r="L796">
        <f>RAVLT_Learning!M796</f>
        <v>0.80642124701824003</v>
      </c>
      <c r="M796">
        <f>RAVLT_Learning!N796</f>
        <v>79</v>
      </c>
      <c r="O796">
        <f>ABS(L796-RAVLT_Learning!$C$34)</f>
        <v>9.2396680695490296</v>
      </c>
      <c r="P796">
        <f t="shared" si="13"/>
        <v>79</v>
      </c>
    </row>
    <row r="797" spans="12:16">
      <c r="L797">
        <f>RAVLT_Learning!M797</f>
        <v>0.80989591473589795</v>
      </c>
      <c r="M797">
        <f>RAVLT_Learning!N797</f>
        <v>79.099999999999994</v>
      </c>
      <c r="O797">
        <f>ABS(L797-RAVLT_Learning!$C$34)</f>
        <v>9.2431427372666874</v>
      </c>
      <c r="P797">
        <f t="shared" si="13"/>
        <v>79.099999999999994</v>
      </c>
    </row>
    <row r="798" spans="12:16">
      <c r="L798">
        <f>RAVLT_Learning!M798</f>
        <v>0.81338038821340397</v>
      </c>
      <c r="M798">
        <f>RAVLT_Learning!N798</f>
        <v>79.2</v>
      </c>
      <c r="O798">
        <f>ABS(L798-RAVLT_Learning!$C$34)</f>
        <v>9.246627210744192</v>
      </c>
      <c r="P798">
        <f t="shared" si="13"/>
        <v>79.2</v>
      </c>
    </row>
    <row r="799" spans="12:16">
      <c r="L799">
        <f>RAVLT_Learning!M799</f>
        <v>0.81687476550016402</v>
      </c>
      <c r="M799">
        <f>RAVLT_Learning!N799</f>
        <v>79.3</v>
      </c>
      <c r="O799">
        <f>ABS(L799-RAVLT_Learning!$C$34)</f>
        <v>9.2501215880309537</v>
      </c>
      <c r="P799">
        <f t="shared" si="13"/>
        <v>79.3</v>
      </c>
    </row>
    <row r="800" spans="12:16">
      <c r="L800">
        <f>RAVLT_Learning!M800</f>
        <v>0.82037914596846095</v>
      </c>
      <c r="M800">
        <f>RAVLT_Learning!N800</f>
        <v>79.400000000000006</v>
      </c>
      <c r="O800">
        <f>ABS(L800-RAVLT_Learning!$C$34)</f>
        <v>9.2536259684992501</v>
      </c>
      <c r="P800">
        <f t="shared" si="13"/>
        <v>79.400000000000006</v>
      </c>
    </row>
    <row r="801" spans="12:16">
      <c r="L801">
        <f>RAVLT_Learning!M801</f>
        <v>0.823893630338558</v>
      </c>
      <c r="M801">
        <f>RAVLT_Learning!N801</f>
        <v>79.5</v>
      </c>
      <c r="O801">
        <f>ABS(L801-RAVLT_Learning!$C$34)</f>
        <v>9.2571404528693471</v>
      </c>
      <c r="P801">
        <f t="shared" si="13"/>
        <v>79.5</v>
      </c>
    </row>
    <row r="802" spans="12:16">
      <c r="L802">
        <f>RAVLT_Learning!M802</f>
        <v>0.82741832070438204</v>
      </c>
      <c r="M802">
        <f>RAVLT_Learning!N802</f>
        <v>79.599999999999994</v>
      </c>
      <c r="O802">
        <f>ABS(L802-RAVLT_Learning!$C$34)</f>
        <v>9.2606651432351708</v>
      </c>
      <c r="P802">
        <f t="shared" si="13"/>
        <v>79.599999999999994</v>
      </c>
    </row>
    <row r="803" spans="12:16">
      <c r="L803">
        <f>RAVLT_Learning!M803</f>
        <v>0.83095332055983795</v>
      </c>
      <c r="M803">
        <f>RAVLT_Learning!N803</f>
        <v>79.7</v>
      </c>
      <c r="O803">
        <f>ABS(L803-RAVLT_Learning!$C$34)</f>
        <v>9.2642001430906262</v>
      </c>
      <c r="P803">
        <f t="shared" si="13"/>
        <v>79.7</v>
      </c>
    </row>
    <row r="804" spans="12:16">
      <c r="L804">
        <f>RAVLT_Learning!M804</f>
        <v>0.83449873482574</v>
      </c>
      <c r="M804">
        <f>RAVLT_Learning!N804</f>
        <v>79.8</v>
      </c>
      <c r="O804">
        <f>ABS(L804-RAVLT_Learning!$C$34)</f>
        <v>9.2677455573565286</v>
      </c>
      <c r="P804">
        <f t="shared" si="13"/>
        <v>79.8</v>
      </c>
    </row>
    <row r="805" spans="12:16">
      <c r="L805">
        <f>RAVLT_Learning!M805</f>
        <v>0.83805466987740695</v>
      </c>
      <c r="M805">
        <f>RAVLT_Learning!N805</f>
        <v>79.900000000000006</v>
      </c>
      <c r="O805">
        <f>ABS(L805-RAVLT_Learning!$C$34)</f>
        <v>9.2713014924081953</v>
      </c>
      <c r="P805">
        <f t="shared" si="13"/>
        <v>79.900000000000006</v>
      </c>
    </row>
    <row r="806" spans="12:16">
      <c r="L806">
        <f>RAVLT_Learning!M806</f>
        <v>0.84162123357291396</v>
      </c>
      <c r="M806">
        <f>RAVLT_Learning!N806</f>
        <v>80</v>
      </c>
      <c r="O806">
        <f>ABS(L806-RAVLT_Learning!$C$34)</f>
        <v>9.2748680561037027</v>
      </c>
      <c r="P806">
        <f t="shared" si="13"/>
        <v>80</v>
      </c>
    </row>
    <row r="807" spans="12:16">
      <c r="L807">
        <f>RAVLT_Learning!M807</f>
        <v>0.84519853528205002</v>
      </c>
      <c r="M807">
        <f>RAVLT_Learning!N807</f>
        <v>80.099999999999994</v>
      </c>
      <c r="O807">
        <f>ABS(L807-RAVLT_Learning!$C$34)</f>
        <v>9.2784453578128385</v>
      </c>
      <c r="P807">
        <f t="shared" si="13"/>
        <v>80.099999999999994</v>
      </c>
    </row>
    <row r="808" spans="12:16">
      <c r="L808">
        <f>RAVLT_Learning!M808</f>
        <v>0.84878668591596695</v>
      </c>
      <c r="M808">
        <f>RAVLT_Learning!N808</f>
        <v>80.2</v>
      </c>
      <c r="O808">
        <f>ABS(L808-RAVLT_Learning!$C$34)</f>
        <v>9.2820335084467551</v>
      </c>
      <c r="P808">
        <f t="shared" si="13"/>
        <v>80.2</v>
      </c>
    </row>
    <row r="809" spans="12:16">
      <c r="L809">
        <f>RAVLT_Learning!M809</f>
        <v>0.85238579795757496</v>
      </c>
      <c r="M809">
        <f>RAVLT_Learning!N809</f>
        <v>80.3</v>
      </c>
      <c r="O809">
        <f>ABS(L809-RAVLT_Learning!$C$34)</f>
        <v>9.2856326204883644</v>
      </c>
      <c r="P809">
        <f t="shared" ref="P809:P872" si="14">M809</f>
        <v>80.3</v>
      </c>
    </row>
    <row r="810" spans="12:16">
      <c r="L810">
        <f>RAVLT_Learning!M810</f>
        <v>0.85599598549268197</v>
      </c>
      <c r="M810">
        <f>RAVLT_Learning!N810</f>
        <v>80.400000000000006</v>
      </c>
      <c r="O810">
        <f>ABS(L810-RAVLT_Learning!$C$34)</f>
        <v>9.2892428080234701</v>
      </c>
      <c r="P810">
        <f t="shared" si="14"/>
        <v>80.400000000000006</v>
      </c>
    </row>
    <row r="811" spans="12:16">
      <c r="L811">
        <f>RAVLT_Learning!M811</f>
        <v>0.85961736424191204</v>
      </c>
      <c r="M811">
        <f>RAVLT_Learning!N811</f>
        <v>80.5</v>
      </c>
      <c r="O811">
        <f>ABS(L811-RAVLT_Learning!$C$34)</f>
        <v>9.2928641867727002</v>
      </c>
      <c r="P811">
        <f t="shared" si="14"/>
        <v>80.5</v>
      </c>
    </row>
    <row r="812" spans="12:16">
      <c r="L812">
        <f>RAVLT_Learning!M812</f>
        <v>0.86325005159342105</v>
      </c>
      <c r="M812">
        <f>RAVLT_Learning!N812</f>
        <v>80.599999999999994</v>
      </c>
      <c r="O812">
        <f>ABS(L812-RAVLT_Learning!$C$34)</f>
        <v>9.2964968741242107</v>
      </c>
      <c r="P812">
        <f t="shared" si="14"/>
        <v>80.599999999999994</v>
      </c>
    </row>
    <row r="813" spans="12:16">
      <c r="L813">
        <f>RAVLT_Learning!M813</f>
        <v>0.86689416663643803</v>
      </c>
      <c r="M813">
        <f>RAVLT_Learning!N813</f>
        <v>80.7</v>
      </c>
      <c r="O813">
        <f>ABS(L813-RAVLT_Learning!$C$34)</f>
        <v>9.3001409891672271</v>
      </c>
      <c r="P813">
        <f t="shared" si="14"/>
        <v>80.7</v>
      </c>
    </row>
    <row r="814" spans="12:16">
      <c r="L814">
        <f>RAVLT_Learning!M814</f>
        <v>0.87054983019565402</v>
      </c>
      <c r="M814">
        <f>RAVLT_Learning!N814</f>
        <v>80.8</v>
      </c>
      <c r="O814">
        <f>ABS(L814-RAVLT_Learning!$C$34)</f>
        <v>9.3037966527264437</v>
      </c>
      <c r="P814">
        <f t="shared" si="14"/>
        <v>80.8</v>
      </c>
    </row>
    <row r="815" spans="12:16">
      <c r="L815">
        <f>RAVLT_Learning!M815</f>
        <v>0.87421716486648404</v>
      </c>
      <c r="M815">
        <f>RAVLT_Learning!N815</f>
        <v>80.900000000000006</v>
      </c>
      <c r="O815">
        <f>ABS(L815-RAVLT_Learning!$C$34)</f>
        <v>9.3074639873972735</v>
      </c>
      <c r="P815">
        <f t="shared" si="14"/>
        <v>80.900000000000006</v>
      </c>
    </row>
    <row r="816" spans="12:16">
      <c r="L816">
        <f>RAVLT_Learning!M816</f>
        <v>0.87789629505122901</v>
      </c>
      <c r="M816">
        <f>RAVLT_Learning!N816</f>
        <v>81</v>
      </c>
      <c r="O816">
        <f>ABS(L816-RAVLT_Learning!$C$34)</f>
        <v>9.3111431175820183</v>
      </c>
      <c r="P816">
        <f t="shared" si="14"/>
        <v>81</v>
      </c>
    </row>
    <row r="817" spans="12:16">
      <c r="L817">
        <f>RAVLT_Learning!M817</f>
        <v>0.88158734699617503</v>
      </c>
      <c r="M817">
        <f>RAVLT_Learning!N817</f>
        <v>81.099999999999994</v>
      </c>
      <c r="O817">
        <f>ABS(L817-RAVLT_Learning!$C$34)</f>
        <v>9.3148341695269643</v>
      </c>
      <c r="P817">
        <f t="shared" si="14"/>
        <v>81.099999999999994</v>
      </c>
    </row>
    <row r="818" spans="12:16">
      <c r="L818">
        <f>RAVLT_Learning!M818</f>
        <v>0.88529044882964203</v>
      </c>
      <c r="M818">
        <f>RAVLT_Learning!N818</f>
        <v>81.2</v>
      </c>
      <c r="O818">
        <f>ABS(L818-RAVLT_Learning!$C$34)</f>
        <v>9.3185372713604302</v>
      </c>
      <c r="P818">
        <f t="shared" si="14"/>
        <v>81.2</v>
      </c>
    </row>
    <row r="819" spans="12:16">
      <c r="L819">
        <f>RAVLT_Learning!M819</f>
        <v>0.88900573060102495</v>
      </c>
      <c r="M819">
        <f>RAVLT_Learning!N819</f>
        <v>81.3</v>
      </c>
      <c r="O819">
        <f>ABS(L819-RAVLT_Learning!$C$34)</f>
        <v>9.322252553131813</v>
      </c>
      <c r="P819">
        <f t="shared" si="14"/>
        <v>81.3</v>
      </c>
    </row>
    <row r="820" spans="12:16">
      <c r="L820">
        <f>RAVLT_Learning!M820</f>
        <v>0.89273332432085595</v>
      </c>
      <c r="M820">
        <f>RAVLT_Learning!N820</f>
        <v>81.400000000000006</v>
      </c>
      <c r="O820">
        <f>ABS(L820-RAVLT_Learning!$C$34)</f>
        <v>9.325980146851645</v>
      </c>
      <c r="P820">
        <f t="shared" si="14"/>
        <v>81.400000000000006</v>
      </c>
    </row>
    <row r="821" spans="12:16">
      <c r="L821">
        <f>RAVLT_Learning!M821</f>
        <v>0.89647336400191602</v>
      </c>
      <c r="M821">
        <f>RAVLT_Learning!N821</f>
        <v>81.5</v>
      </c>
      <c r="O821">
        <f>ABS(L821-RAVLT_Learning!$C$34)</f>
        <v>9.329720186532704</v>
      </c>
      <c r="P821">
        <f t="shared" si="14"/>
        <v>81.5</v>
      </c>
    </row>
    <row r="822" spans="12:16">
      <c r="L822">
        <f>RAVLT_Learning!M822</f>
        <v>0.90022598570143397</v>
      </c>
      <c r="M822">
        <f>RAVLT_Learning!N822</f>
        <v>81.599999999999994</v>
      </c>
      <c r="O822">
        <f>ABS(L822-RAVLT_Learning!$C$34)</f>
        <v>9.3334728082322229</v>
      </c>
      <c r="P822">
        <f t="shared" si="14"/>
        <v>81.599999999999994</v>
      </c>
    </row>
    <row r="823" spans="12:16">
      <c r="L823">
        <f>RAVLT_Learning!M823</f>
        <v>0.90399132756440204</v>
      </c>
      <c r="M823">
        <f>RAVLT_Learning!N823</f>
        <v>81.7</v>
      </c>
      <c r="O823">
        <f>ABS(L823-RAVLT_Learning!$C$34)</f>
        <v>9.3372381500951906</v>
      </c>
      <c r="P823">
        <f t="shared" si="14"/>
        <v>81.7</v>
      </c>
    </row>
    <row r="824" spans="12:16">
      <c r="L824">
        <f>RAVLT_Learning!M824</f>
        <v>0.90776952986805604</v>
      </c>
      <c r="M824">
        <f>RAVLT_Learning!N824</f>
        <v>81.8</v>
      </c>
      <c r="O824">
        <f>ABS(L824-RAVLT_Learning!$C$34)</f>
        <v>9.3410163523988441</v>
      </c>
      <c r="P824">
        <f t="shared" si="14"/>
        <v>81.8</v>
      </c>
    </row>
    <row r="825" spans="12:16">
      <c r="L825">
        <f>RAVLT_Learning!M825</f>
        <v>0.91156073506754098</v>
      </c>
      <c r="M825">
        <f>RAVLT_Learning!N825</f>
        <v>81.900000000000006</v>
      </c>
      <c r="O825">
        <f>ABS(L825-RAVLT_Learning!$C$34)</f>
        <v>9.3448075575983296</v>
      </c>
      <c r="P825">
        <f t="shared" si="14"/>
        <v>81.900000000000006</v>
      </c>
    </row>
    <row r="826" spans="12:16">
      <c r="L826">
        <f>RAVLT_Learning!M826</f>
        <v>0.91536508784281401</v>
      </c>
      <c r="M826">
        <f>RAVLT_Learning!N826</f>
        <v>82</v>
      </c>
      <c r="O826">
        <f>ABS(L826-RAVLT_Learning!$C$34)</f>
        <v>9.3486119103736023</v>
      </c>
      <c r="P826">
        <f t="shared" si="14"/>
        <v>82</v>
      </c>
    </row>
    <row r="827" spans="12:16">
      <c r="L827">
        <f>RAVLT_Learning!M827</f>
        <v>0.91918273514682003</v>
      </c>
      <c r="M827">
        <f>RAVLT_Learning!N827</f>
        <v>82.1</v>
      </c>
      <c r="O827">
        <f>ABS(L827-RAVLT_Learning!$C$34)</f>
        <v>9.3524295576776098</v>
      </c>
      <c r="P827">
        <f t="shared" si="14"/>
        <v>82.1</v>
      </c>
    </row>
    <row r="828" spans="12:16">
      <c r="L828">
        <f>RAVLT_Learning!M828</f>
        <v>0.92301382625497996</v>
      </c>
      <c r="M828">
        <f>RAVLT_Learning!N828</f>
        <v>82.2</v>
      </c>
      <c r="O828">
        <f>ABS(L828-RAVLT_Learning!$C$34)</f>
        <v>9.3562606487857689</v>
      </c>
      <c r="P828">
        <f t="shared" si="14"/>
        <v>82.2</v>
      </c>
    </row>
    <row r="829" spans="12:16">
      <c r="L829">
        <f>RAVLT_Learning!M829</f>
        <v>0.92685851281604403</v>
      </c>
      <c r="M829">
        <f>RAVLT_Learning!N829</f>
        <v>82.3</v>
      </c>
      <c r="O829">
        <f>ABS(L829-RAVLT_Learning!$C$34)</f>
        <v>9.3601053353468338</v>
      </c>
      <c r="P829">
        <f t="shared" si="14"/>
        <v>82.3</v>
      </c>
    </row>
    <row r="830" spans="12:16">
      <c r="L830">
        <f>RAVLT_Learning!M830</f>
        <v>0.93071694890433998</v>
      </c>
      <c r="M830">
        <f>RAVLT_Learning!N830</f>
        <v>82.4</v>
      </c>
      <c r="O830">
        <f>ABS(L830-RAVLT_Learning!$C$34)</f>
        <v>9.3639637714351291</v>
      </c>
      <c r="P830">
        <f t="shared" si="14"/>
        <v>82.4</v>
      </c>
    </row>
    <row r="831" spans="12:16">
      <c r="L831">
        <f>RAVLT_Learning!M831</f>
        <v>0.93458929107347999</v>
      </c>
      <c r="M831">
        <f>RAVLT_Learning!N831</f>
        <v>82.5</v>
      </c>
      <c r="O831">
        <f>ABS(L831-RAVLT_Learning!$C$34)</f>
        <v>9.3678361136042696</v>
      </c>
      <c r="P831">
        <f t="shared" si="14"/>
        <v>82.5</v>
      </c>
    </row>
    <row r="832" spans="12:16">
      <c r="L832">
        <f>RAVLT_Learning!M832</f>
        <v>0.93847569841156897</v>
      </c>
      <c r="M832">
        <f>RAVLT_Learning!N832</f>
        <v>82.6</v>
      </c>
      <c r="O832">
        <f>ABS(L832-RAVLT_Learning!$C$34)</f>
        <v>9.3717225209423578</v>
      </c>
      <c r="P832">
        <f t="shared" si="14"/>
        <v>82.6</v>
      </c>
    </row>
    <row r="833" spans="12:16">
      <c r="L833">
        <f>RAVLT_Learning!M833</f>
        <v>0.94237633259795095</v>
      </c>
      <c r="M833">
        <f>RAVLT_Learning!N833</f>
        <v>82.7</v>
      </c>
      <c r="O833">
        <f>ABS(L833-RAVLT_Learning!$C$34)</f>
        <v>9.3756231551287392</v>
      </c>
      <c r="P833">
        <f t="shared" si="14"/>
        <v>82.7</v>
      </c>
    </row>
    <row r="834" spans="12:16">
      <c r="L834">
        <f>RAVLT_Learning!M834</f>
        <v>0.94629135796157604</v>
      </c>
      <c r="M834">
        <f>RAVLT_Learning!N834</f>
        <v>82.8</v>
      </c>
      <c r="O834">
        <f>ABS(L834-RAVLT_Learning!$C$34)</f>
        <v>9.3795381804923643</v>
      </c>
      <c r="P834">
        <f t="shared" si="14"/>
        <v>82.8</v>
      </c>
    </row>
    <row r="835" spans="12:16">
      <c r="L835">
        <f>RAVLT_Learning!M835</f>
        <v>0.950220941541016</v>
      </c>
      <c r="M835">
        <f>RAVLT_Learning!N835</f>
        <v>82.9</v>
      </c>
      <c r="O835">
        <f>ABS(L835-RAVLT_Learning!$C$34)</f>
        <v>9.3834677640718045</v>
      </c>
      <c r="P835">
        <f t="shared" si="14"/>
        <v>82.9</v>
      </c>
    </row>
    <row r="836" spans="12:16">
      <c r="L836">
        <f>RAVLT_Learning!M836</f>
        <v>0.95416525314619505</v>
      </c>
      <c r="M836">
        <f>RAVLT_Learning!N836</f>
        <v>83</v>
      </c>
      <c r="O836">
        <f>ABS(L836-RAVLT_Learning!$C$34)</f>
        <v>9.3874120756769841</v>
      </c>
      <c r="P836">
        <f t="shared" si="14"/>
        <v>83</v>
      </c>
    </row>
    <row r="837" spans="12:16">
      <c r="L837">
        <f>RAVLT_Learning!M837</f>
        <v>0.95812446542190299</v>
      </c>
      <c r="M837">
        <f>RAVLT_Learning!N837</f>
        <v>83.1</v>
      </c>
      <c r="O837">
        <f>ABS(L837-RAVLT_Learning!$C$34)</f>
        <v>9.3913712879526923</v>
      </c>
      <c r="P837">
        <f t="shared" si="14"/>
        <v>83.1</v>
      </c>
    </row>
    <row r="838" spans="12:16">
      <c r="L838">
        <f>RAVLT_Learning!M838</f>
        <v>0.96209875391314204</v>
      </c>
      <c r="M838">
        <f>RAVLT_Learning!N838</f>
        <v>83.2</v>
      </c>
      <c r="O838">
        <f>ABS(L838-RAVLT_Learning!$C$34)</f>
        <v>9.3953455764439315</v>
      </c>
      <c r="P838">
        <f t="shared" si="14"/>
        <v>83.2</v>
      </c>
    </row>
    <row r="839" spans="12:16">
      <c r="L839">
        <f>RAVLT_Learning!M839</f>
        <v>0.96608829713237299</v>
      </c>
      <c r="M839">
        <f>RAVLT_Learning!N839</f>
        <v>83.3</v>
      </c>
      <c r="O839">
        <f>ABS(L839-RAVLT_Learning!$C$34)</f>
        <v>9.3993351196631618</v>
      </c>
      <c r="P839">
        <f t="shared" si="14"/>
        <v>83.3</v>
      </c>
    </row>
    <row r="840" spans="12:16">
      <c r="L840">
        <f>RAVLT_Learning!M840</f>
        <v>0.97009327662873701</v>
      </c>
      <c r="M840">
        <f>RAVLT_Learning!N840</f>
        <v>83.4</v>
      </c>
      <c r="O840">
        <f>ABS(L840-RAVLT_Learning!$C$34)</f>
        <v>9.4033400991595251</v>
      </c>
      <c r="P840">
        <f t="shared" si="14"/>
        <v>83.4</v>
      </c>
    </row>
    <row r="841" spans="12:16">
      <c r="L841">
        <f>RAVLT_Learning!M841</f>
        <v>0.97411387705930896</v>
      </c>
      <c r="M841">
        <f>RAVLT_Learning!N841</f>
        <v>83.5</v>
      </c>
      <c r="O841">
        <f>ABS(L841-RAVLT_Learning!$C$34)</f>
        <v>9.4073606995900985</v>
      </c>
      <c r="P841">
        <f t="shared" si="14"/>
        <v>83.5</v>
      </c>
    </row>
    <row r="842" spans="12:16">
      <c r="L842">
        <f>RAVLT_Learning!M842</f>
        <v>0.97815028626247102</v>
      </c>
      <c r="M842">
        <f>RAVLT_Learning!N842</f>
        <v>83.6</v>
      </c>
      <c r="O842">
        <f>ABS(L842-RAVLT_Learning!$C$34)</f>
        <v>9.4113971087932597</v>
      </c>
      <c r="P842">
        <f t="shared" si="14"/>
        <v>83.6</v>
      </c>
    </row>
    <row r="843" spans="12:16">
      <c r="L843">
        <f>RAVLT_Learning!M843</f>
        <v>0.98220269533347004</v>
      </c>
      <c r="M843">
        <f>RAVLT_Learning!N843</f>
        <v>83.7</v>
      </c>
      <c r="O843">
        <f>ABS(L843-RAVLT_Learning!$C$34)</f>
        <v>9.4154495178642588</v>
      </c>
      <c r="P843">
        <f t="shared" si="14"/>
        <v>83.7</v>
      </c>
    </row>
    <row r="844" spans="12:16">
      <c r="L844">
        <f>RAVLT_Learning!M844</f>
        <v>0.98627129870223795</v>
      </c>
      <c r="M844">
        <f>RAVLT_Learning!N844</f>
        <v>83.8</v>
      </c>
      <c r="O844">
        <f>ABS(L844-RAVLT_Learning!$C$34)</f>
        <v>9.4195181212330272</v>
      </c>
      <c r="P844">
        <f t="shared" si="14"/>
        <v>83.8</v>
      </c>
    </row>
    <row r="845" spans="12:16">
      <c r="L845">
        <f>RAVLT_Learning!M845</f>
        <v>0.99035629421357496</v>
      </c>
      <c r="M845">
        <f>RAVLT_Learning!N845</f>
        <v>83.9</v>
      </c>
      <c r="O845">
        <f>ABS(L845-RAVLT_Learning!$C$34)</f>
        <v>9.4236031167443635</v>
      </c>
      <c r="P845">
        <f t="shared" si="14"/>
        <v>83.9</v>
      </c>
    </row>
    <row r="846" spans="12:16">
      <c r="L846">
        <f>RAVLT_Learning!M846</f>
        <v>0.99445788320975304</v>
      </c>
      <c r="M846">
        <f>RAVLT_Learning!N846</f>
        <v>84</v>
      </c>
      <c r="O846">
        <f>ABS(L846-RAVLT_Learning!$C$34)</f>
        <v>9.4277047057405419</v>
      </c>
      <c r="P846">
        <f t="shared" si="14"/>
        <v>84</v>
      </c>
    </row>
    <row r="847" spans="12:16">
      <c r="L847">
        <f>RAVLT_Learning!M847</f>
        <v>0.99857627061566001</v>
      </c>
      <c r="M847">
        <f>RAVLT_Learning!N847</f>
        <v>84.1</v>
      </c>
      <c r="O847">
        <f>ABS(L847-RAVLT_Learning!$C$34)</f>
        <v>9.4318230931464484</v>
      </c>
      <c r="P847">
        <f t="shared" si="14"/>
        <v>84.1</v>
      </c>
    </row>
    <row r="848" spans="12:16">
      <c r="L848">
        <f>RAVLT_Learning!M848</f>
        <v>1.00271166502655</v>
      </c>
      <c r="M848">
        <f>RAVLT_Learning!N848</f>
        <v>84.2</v>
      </c>
      <c r="O848">
        <f>ABS(L848-RAVLT_Learning!$C$34)</f>
        <v>9.4359584875573397</v>
      </c>
      <c r="P848">
        <f t="shared" si="14"/>
        <v>84.2</v>
      </c>
    </row>
    <row r="849" spans="12:16">
      <c r="L849">
        <f>RAVLT_Learning!M849</f>
        <v>1.00686427879852</v>
      </c>
      <c r="M849">
        <f>RAVLT_Learning!N849</f>
        <v>84.3</v>
      </c>
      <c r="O849">
        <f>ABS(L849-RAVLT_Learning!$C$34)</f>
        <v>9.4401111013293093</v>
      </c>
      <c r="P849">
        <f t="shared" si="14"/>
        <v>84.3</v>
      </c>
    </row>
    <row r="850" spans="12:16">
      <c r="L850">
        <f>RAVLT_Learning!M850</f>
        <v>1.0110343281418199</v>
      </c>
      <c r="M850">
        <f>RAVLT_Learning!N850</f>
        <v>84.4</v>
      </c>
      <c r="O850">
        <f>ABS(L850-RAVLT_Learning!$C$34)</f>
        <v>9.4442811506726088</v>
      </c>
      <c r="P850">
        <f t="shared" si="14"/>
        <v>84.4</v>
      </c>
    </row>
    <row r="851" spans="12:16">
      <c r="L851">
        <f>RAVLT_Learning!M851</f>
        <v>1.0152220332170301</v>
      </c>
      <c r="M851">
        <f>RAVLT_Learning!N851</f>
        <v>84.5</v>
      </c>
      <c r="O851">
        <f>ABS(L851-RAVLT_Learning!$C$34)</f>
        <v>9.4484688557478194</v>
      </c>
      <c r="P851">
        <f t="shared" si="14"/>
        <v>84.5</v>
      </c>
    </row>
    <row r="852" spans="12:16">
      <c r="L852">
        <f>RAVLT_Learning!M852</f>
        <v>1.01942761823437</v>
      </c>
      <c r="M852">
        <f>RAVLT_Learning!N852</f>
        <v>84.6</v>
      </c>
      <c r="O852">
        <f>ABS(L852-RAVLT_Learning!$C$34)</f>
        <v>9.4526744407651595</v>
      </c>
      <c r="P852">
        <f t="shared" si="14"/>
        <v>84.6</v>
      </c>
    </row>
    <row r="853" spans="12:16">
      <c r="L853">
        <f>RAVLT_Learning!M853</f>
        <v>1.0236513115560899</v>
      </c>
      <c r="M853">
        <f>RAVLT_Learning!N853</f>
        <v>84.7</v>
      </c>
      <c r="O853">
        <f>ABS(L853-RAVLT_Learning!$C$34)</f>
        <v>9.4568981340868792</v>
      </c>
      <c r="P853">
        <f t="shared" si="14"/>
        <v>84.7</v>
      </c>
    </row>
    <row r="854" spans="12:16">
      <c r="L854">
        <f>RAVLT_Learning!M854</f>
        <v>1.02789334580214</v>
      </c>
      <c r="M854">
        <f>RAVLT_Learning!N854</f>
        <v>84.8</v>
      </c>
      <c r="O854">
        <f>ABS(L854-RAVLT_Learning!$C$34)</f>
        <v>9.4611401683329284</v>
      </c>
      <c r="P854">
        <f t="shared" si="14"/>
        <v>84.8</v>
      </c>
    </row>
    <row r="855" spans="12:16">
      <c r="L855">
        <f>RAVLT_Learning!M855</f>
        <v>1.03215395795931</v>
      </c>
      <c r="M855">
        <f>RAVLT_Learning!N855</f>
        <v>84.9</v>
      </c>
      <c r="O855">
        <f>ABS(L855-RAVLT_Learning!$C$34)</f>
        <v>9.4654007804900981</v>
      </c>
      <c r="P855">
        <f t="shared" si="14"/>
        <v>84.9</v>
      </c>
    </row>
    <row r="856" spans="12:16">
      <c r="L856">
        <f>RAVLT_Learning!M856</f>
        <v>1.03643338949379</v>
      </c>
      <c r="M856">
        <f>RAVLT_Learning!N856</f>
        <v>85</v>
      </c>
      <c r="O856">
        <f>ABS(L856-RAVLT_Learning!$C$34)</f>
        <v>9.4696802120245795</v>
      </c>
      <c r="P856">
        <f t="shared" si="14"/>
        <v>85</v>
      </c>
    </row>
    <row r="857" spans="12:16">
      <c r="L857">
        <f>RAVLT_Learning!M857</f>
        <v>1.0407318864675399</v>
      </c>
      <c r="M857">
        <f>RAVLT_Learning!N857</f>
        <v>85.1</v>
      </c>
      <c r="O857">
        <f>ABS(L857-RAVLT_Learning!$C$34)</f>
        <v>9.4739787089983292</v>
      </c>
      <c r="P857">
        <f t="shared" si="14"/>
        <v>85.1</v>
      </c>
    </row>
    <row r="858" spans="12:16">
      <c r="L858">
        <f>RAVLT_Learning!M858</f>
        <v>1.04504969965839</v>
      </c>
      <c r="M858">
        <f>RAVLT_Learning!N858</f>
        <v>85.2</v>
      </c>
      <c r="O858">
        <f>ABS(L858-RAVLT_Learning!$C$34)</f>
        <v>9.4782965221891793</v>
      </c>
      <c r="P858">
        <f t="shared" si="14"/>
        <v>85.2</v>
      </c>
    </row>
    <row r="859" spans="12:16">
      <c r="L859">
        <f>RAVLT_Learning!M859</f>
        <v>1.0493870846841</v>
      </c>
      <c r="M859">
        <f>RAVLT_Learning!N859</f>
        <v>85.3</v>
      </c>
      <c r="O859">
        <f>ABS(L859-RAVLT_Learning!$C$34)</f>
        <v>9.4826339072148897</v>
      </c>
      <c r="P859">
        <f t="shared" si="14"/>
        <v>85.3</v>
      </c>
    </row>
    <row r="860" spans="12:16">
      <c r="L860">
        <f>RAVLT_Learning!M860</f>
        <v>1.0537443021306701</v>
      </c>
      <c r="M860">
        <f>RAVLT_Learning!N860</f>
        <v>85.4</v>
      </c>
      <c r="O860">
        <f>ABS(L860-RAVLT_Learning!$C$34)</f>
        <v>9.4869911246614596</v>
      </c>
      <c r="P860">
        <f t="shared" si="14"/>
        <v>85.4</v>
      </c>
    </row>
    <row r="861" spans="12:16">
      <c r="L861">
        <f>RAVLT_Learning!M861</f>
        <v>1.0581216176847801</v>
      </c>
      <c r="M861">
        <f>RAVLT_Learning!N861</f>
        <v>85.5</v>
      </c>
      <c r="O861">
        <f>ABS(L861-RAVLT_Learning!$C$34)</f>
        <v>9.4913684402155685</v>
      </c>
      <c r="P861">
        <f t="shared" si="14"/>
        <v>85.5</v>
      </c>
    </row>
    <row r="862" spans="12:16">
      <c r="L862">
        <f>RAVLT_Learning!M862</f>
        <v>1.0625193022708701</v>
      </c>
      <c r="M862">
        <f>RAVLT_Learning!N862</f>
        <v>85.6</v>
      </c>
      <c r="O862">
        <f>ABS(L862-RAVLT_Learning!$C$34)</f>
        <v>9.4957661248016585</v>
      </c>
      <c r="P862">
        <f t="shared" si="14"/>
        <v>85.6</v>
      </c>
    </row>
    <row r="863" spans="12:16">
      <c r="L863">
        <f>RAVLT_Learning!M863</f>
        <v>1.0669376321927699</v>
      </c>
      <c r="M863">
        <f>RAVLT_Learning!N863</f>
        <v>85.7</v>
      </c>
      <c r="O863">
        <f>ABS(L863-RAVLT_Learning!$C$34)</f>
        <v>9.5001844547235592</v>
      </c>
      <c r="P863">
        <f t="shared" si="14"/>
        <v>85.7</v>
      </c>
    </row>
    <row r="864" spans="12:16">
      <c r="L864">
        <f>RAVLT_Learning!M864</f>
        <v>1.07137688928021</v>
      </c>
      <c r="M864">
        <f>RAVLT_Learning!N864</f>
        <v>85.8</v>
      </c>
      <c r="O864">
        <f>ABS(L864-RAVLT_Learning!$C$34)</f>
        <v>9.5046237118109982</v>
      </c>
      <c r="P864">
        <f t="shared" si="14"/>
        <v>85.8</v>
      </c>
    </row>
    <row r="865" spans="12:16">
      <c r="L865">
        <f>RAVLT_Learning!M865</f>
        <v>1.0758373610404299</v>
      </c>
      <c r="M865">
        <f>RAVLT_Learning!N865</f>
        <v>85.9</v>
      </c>
      <c r="O865">
        <f>ABS(L865-RAVLT_Learning!$C$34)</f>
        <v>9.5090841835712183</v>
      </c>
      <c r="P865">
        <f t="shared" si="14"/>
        <v>85.9</v>
      </c>
    </row>
    <row r="866" spans="12:16">
      <c r="L866">
        <f>RAVLT_Learning!M866</f>
        <v>1.0803193408149601</v>
      </c>
      <c r="M866">
        <f>RAVLT_Learning!N866</f>
        <v>86</v>
      </c>
      <c r="O866">
        <f>ABS(L866-RAVLT_Learning!$C$34)</f>
        <v>9.5135661633457484</v>
      </c>
      <c r="P866">
        <f t="shared" si="14"/>
        <v>86</v>
      </c>
    </row>
    <row r="867" spans="12:16">
      <c r="L867">
        <f>RAVLT_Learning!M867</f>
        <v>1.08482312794196</v>
      </c>
      <c r="M867">
        <f>RAVLT_Learning!N867</f>
        <v>86.1</v>
      </c>
      <c r="O867">
        <f>ABS(L867-RAVLT_Learning!$C$34)</f>
        <v>9.5180699504727482</v>
      </c>
      <c r="P867">
        <f t="shared" si="14"/>
        <v>86.1</v>
      </c>
    </row>
    <row r="868" spans="12:16">
      <c r="L868">
        <f>RAVLT_Learning!M868</f>
        <v>1.0893490279242799</v>
      </c>
      <c r="M868">
        <f>RAVLT_Learning!N868</f>
        <v>86.2</v>
      </c>
      <c r="O868">
        <f>ABS(L868-RAVLT_Learning!$C$34)</f>
        <v>9.522595850455069</v>
      </c>
      <c r="P868">
        <f t="shared" si="14"/>
        <v>86.2</v>
      </c>
    </row>
    <row r="869" spans="12:16">
      <c r="L869">
        <f>RAVLT_Learning!M869</f>
        <v>1.0938973526034399</v>
      </c>
      <c r="M869">
        <f>RAVLT_Learning!N869</f>
        <v>86.3</v>
      </c>
      <c r="O869">
        <f>ABS(L869-RAVLT_Learning!$C$34)</f>
        <v>9.5271441751342287</v>
      </c>
      <c r="P869">
        <f t="shared" si="14"/>
        <v>86.3</v>
      </c>
    </row>
    <row r="870" spans="12:16">
      <c r="L870">
        <f>RAVLT_Learning!M870</f>
        <v>1.09846842033986</v>
      </c>
      <c r="M870">
        <f>RAVLT_Learning!N870</f>
        <v>86.4</v>
      </c>
      <c r="O870">
        <f>ABS(L870-RAVLT_Learning!$C$34)</f>
        <v>9.5317152428706482</v>
      </c>
      <c r="P870">
        <f t="shared" si="14"/>
        <v>86.4</v>
      </c>
    </row>
    <row r="871" spans="12:16">
      <c r="L871">
        <f>RAVLT_Learning!M871</f>
        <v>1.1030625561995999</v>
      </c>
      <c r="M871">
        <f>RAVLT_Learning!N871</f>
        <v>86.5</v>
      </c>
      <c r="O871">
        <f>ABS(L871-RAVLT_Learning!$C$34)</f>
        <v>9.5363093787303885</v>
      </c>
      <c r="P871">
        <f t="shared" si="14"/>
        <v>86.5</v>
      </c>
    </row>
    <row r="872" spans="12:16">
      <c r="L872">
        <f>RAVLT_Learning!M872</f>
        <v>1.1076800921478001</v>
      </c>
      <c r="M872">
        <f>RAVLT_Learning!N872</f>
        <v>86.6</v>
      </c>
      <c r="O872">
        <f>ABS(L872-RAVLT_Learning!$C$34)</f>
        <v>9.5409269146785896</v>
      </c>
      <c r="P872">
        <f t="shared" si="14"/>
        <v>86.6</v>
      </c>
    </row>
    <row r="873" spans="12:16">
      <c r="L873">
        <f>RAVLT_Learning!M873</f>
        <v>1.11232136724931</v>
      </c>
      <c r="M873">
        <f>RAVLT_Learning!N873</f>
        <v>86.7</v>
      </c>
      <c r="O873">
        <f>ABS(L873-RAVLT_Learning!$C$34)</f>
        <v>9.5455681897800986</v>
      </c>
      <c r="P873">
        <f t="shared" ref="P873:P936" si="15">M873</f>
        <v>86.7</v>
      </c>
    </row>
    <row r="874" spans="12:16">
      <c r="L874">
        <f>RAVLT_Learning!M874</f>
        <v>1.1169867278766099</v>
      </c>
      <c r="M874">
        <f>RAVLT_Learning!N874</f>
        <v>86.8</v>
      </c>
      <c r="O874">
        <f>ABS(L874-RAVLT_Learning!$C$34)</f>
        <v>9.5502335504073983</v>
      </c>
      <c r="P874">
        <f t="shared" si="15"/>
        <v>86.8</v>
      </c>
    </row>
    <row r="875" spans="12:16">
      <c r="L875">
        <f>RAVLT_Learning!M875</f>
        <v>1.1216765279254901</v>
      </c>
      <c r="M875">
        <f>RAVLT_Learning!N875</f>
        <v>86.9</v>
      </c>
      <c r="O875">
        <f>ABS(L875-RAVLT_Learning!$C$34)</f>
        <v>9.5549233504562796</v>
      </c>
      <c r="P875">
        <f t="shared" si="15"/>
        <v>86.9</v>
      </c>
    </row>
    <row r="876" spans="12:16">
      <c r="L876">
        <f>RAVLT_Learning!M876</f>
        <v>1.1263911290388</v>
      </c>
      <c r="M876">
        <f>RAVLT_Learning!N876</f>
        <v>87</v>
      </c>
      <c r="O876">
        <f>ABS(L876-RAVLT_Learning!$C$34)</f>
        <v>9.559637951569588</v>
      </c>
      <c r="P876">
        <f t="shared" si="15"/>
        <v>87</v>
      </c>
    </row>
    <row r="877" spans="12:16">
      <c r="L877">
        <f>RAVLT_Learning!M877</f>
        <v>1.1311309008386301</v>
      </c>
      <c r="M877">
        <f>RAVLT_Learning!N877</f>
        <v>87.1</v>
      </c>
      <c r="O877">
        <f>ABS(L877-RAVLT_Learning!$C$34)</f>
        <v>9.564377723369418</v>
      </c>
      <c r="P877">
        <f t="shared" si="15"/>
        <v>87.1</v>
      </c>
    </row>
    <row r="878" spans="12:16">
      <c r="L878">
        <f>RAVLT_Learning!M878</f>
        <v>1.13589622116731</v>
      </c>
      <c r="M878">
        <f>RAVLT_Learning!N878</f>
        <v>87.2</v>
      </c>
      <c r="O878">
        <f>ABS(L878-RAVLT_Learning!$C$34)</f>
        <v>9.569143043698098</v>
      </c>
      <c r="P878">
        <f t="shared" si="15"/>
        <v>87.2</v>
      </c>
    </row>
    <row r="879" spans="12:16">
      <c r="L879">
        <f>RAVLT_Learning!M879</f>
        <v>1.14068747633762</v>
      </c>
      <c r="M879">
        <f>RAVLT_Learning!N879</f>
        <v>87.3</v>
      </c>
      <c r="O879">
        <f>ABS(L879-RAVLT_Learning!$C$34)</f>
        <v>9.5739342988684086</v>
      </c>
      <c r="P879">
        <f t="shared" si="15"/>
        <v>87.3</v>
      </c>
    </row>
    <row r="880" spans="12:16">
      <c r="L880">
        <f>RAVLT_Learning!M880</f>
        <v>1.1455050613927</v>
      </c>
      <c r="M880">
        <f>RAVLT_Learning!N880</f>
        <v>87.4</v>
      </c>
      <c r="O880">
        <f>ABS(L880-RAVLT_Learning!$C$34)</f>
        <v>9.5787518839234895</v>
      </c>
      <c r="P880">
        <f t="shared" si="15"/>
        <v>87.4</v>
      </c>
    </row>
    <row r="881" spans="12:16">
      <c r="L881">
        <f>RAVLT_Learning!M881</f>
        <v>1.1503493803760101</v>
      </c>
      <c r="M881">
        <f>RAVLT_Learning!N881</f>
        <v>87.5</v>
      </c>
      <c r="O881">
        <f>ABS(L881-RAVLT_Learning!$C$34)</f>
        <v>9.5835962029067989</v>
      </c>
      <c r="P881">
        <f t="shared" si="15"/>
        <v>87.5</v>
      </c>
    </row>
    <row r="882" spans="12:16">
      <c r="L882">
        <f>RAVLT_Learning!M882</f>
        <v>1.15522084661195</v>
      </c>
      <c r="M882">
        <f>RAVLT_Learning!N882</f>
        <v>87.6</v>
      </c>
      <c r="O882">
        <f>ABS(L882-RAVLT_Learning!$C$34)</f>
        <v>9.5884676691427391</v>
      </c>
      <c r="P882">
        <f t="shared" si="15"/>
        <v>87.6</v>
      </c>
    </row>
    <row r="883" spans="12:16">
      <c r="L883">
        <f>RAVLT_Learning!M883</f>
        <v>1.1601198829975199</v>
      </c>
      <c r="M883">
        <f>RAVLT_Learning!N883</f>
        <v>87.7</v>
      </c>
      <c r="O883">
        <f>ABS(L883-RAVLT_Learning!$C$34)</f>
        <v>9.5933667055283092</v>
      </c>
      <c r="P883">
        <f t="shared" si="15"/>
        <v>87.7</v>
      </c>
    </row>
    <row r="884" spans="12:16">
      <c r="L884">
        <f>RAVLT_Learning!M884</f>
        <v>1.1650469223055999</v>
      </c>
      <c r="M884">
        <f>RAVLT_Learning!N884</f>
        <v>87.8</v>
      </c>
      <c r="O884">
        <f>ABS(L884-RAVLT_Learning!$C$34)</f>
        <v>9.5982937448363881</v>
      </c>
      <c r="P884">
        <f t="shared" si="15"/>
        <v>87.8</v>
      </c>
    </row>
    <row r="885" spans="12:16">
      <c r="L885">
        <f>RAVLT_Learning!M885</f>
        <v>1.17000240750048</v>
      </c>
      <c r="M885">
        <f>RAVLT_Learning!N885</f>
        <v>87.9</v>
      </c>
      <c r="O885">
        <f>ABS(L885-RAVLT_Learning!$C$34)</f>
        <v>9.6032492300312686</v>
      </c>
      <c r="P885">
        <f t="shared" si="15"/>
        <v>87.9</v>
      </c>
    </row>
    <row r="886" spans="12:16">
      <c r="L886">
        <f>RAVLT_Learning!M886</f>
        <v>1.1749867920660899</v>
      </c>
      <c r="M886">
        <f>RAVLT_Learning!N886</f>
        <v>88</v>
      </c>
      <c r="O886">
        <f>ABS(L886-RAVLT_Learning!$C$34)</f>
        <v>9.6082336145968785</v>
      </c>
      <c r="P886">
        <f t="shared" si="15"/>
        <v>88</v>
      </c>
    </row>
    <row r="887" spans="12:16">
      <c r="L887">
        <f>RAVLT_Learning!M887</f>
        <v>1.1800005403477301</v>
      </c>
      <c r="M887">
        <f>RAVLT_Learning!N887</f>
        <v>88.1</v>
      </c>
      <c r="O887">
        <f>ABS(L887-RAVLT_Learning!$C$34)</f>
        <v>9.6132473628785196</v>
      </c>
      <c r="P887">
        <f t="shared" si="15"/>
        <v>88.1</v>
      </c>
    </row>
    <row r="888" spans="12:16">
      <c r="L888">
        <f>RAVLT_Learning!M888</f>
        <v>1.1850441279078101</v>
      </c>
      <c r="M888">
        <f>RAVLT_Learning!N888</f>
        <v>88.2</v>
      </c>
      <c r="O888">
        <f>ABS(L888-RAVLT_Learning!$C$34)</f>
        <v>9.6182909504385989</v>
      </c>
      <c r="P888">
        <f t="shared" si="15"/>
        <v>88.2</v>
      </c>
    </row>
    <row r="889" spans="12:16">
      <c r="L889">
        <f>RAVLT_Learning!M889</f>
        <v>1.1901180418964199</v>
      </c>
      <c r="M889">
        <f>RAVLT_Learning!N889</f>
        <v>88.3</v>
      </c>
      <c r="O889">
        <f>ABS(L889-RAVLT_Learning!$C$34)</f>
        <v>9.6233648644272094</v>
      </c>
      <c r="P889">
        <f t="shared" si="15"/>
        <v>88.3</v>
      </c>
    </row>
    <row r="890" spans="12:16">
      <c r="L890">
        <f>RAVLT_Learning!M890</f>
        <v>1.1952227814374301</v>
      </c>
      <c r="M890">
        <f>RAVLT_Learning!N890</f>
        <v>88.4</v>
      </c>
      <c r="O890">
        <f>ABS(L890-RAVLT_Learning!$C$34)</f>
        <v>9.6284696039682185</v>
      </c>
      <c r="P890">
        <f t="shared" si="15"/>
        <v>88.4</v>
      </c>
    </row>
    <row r="891" spans="12:16">
      <c r="L891">
        <f>RAVLT_Learning!M891</f>
        <v>1.20035885803086</v>
      </c>
      <c r="M891">
        <f>RAVLT_Learning!N891</f>
        <v>88.5</v>
      </c>
      <c r="O891">
        <f>ABS(L891-RAVLT_Learning!$C$34)</f>
        <v>9.633605680561649</v>
      </c>
      <c r="P891">
        <f t="shared" si="15"/>
        <v>88.5</v>
      </c>
    </row>
    <row r="892" spans="12:16">
      <c r="L892">
        <f>RAVLT_Learning!M892</f>
        <v>1.20552679597252</v>
      </c>
      <c r="M892">
        <f>RAVLT_Learning!N892</f>
        <v>88.6</v>
      </c>
      <c r="O892">
        <f>ABS(L892-RAVLT_Learning!$C$34)</f>
        <v>9.6387736185033095</v>
      </c>
      <c r="P892">
        <f t="shared" si="15"/>
        <v>88.6</v>
      </c>
    </row>
    <row r="893" spans="12:16">
      <c r="L893">
        <f>RAVLT_Learning!M893</f>
        <v>1.2107271327916</v>
      </c>
      <c r="M893">
        <f>RAVLT_Learning!N893</f>
        <v>88.7</v>
      </c>
      <c r="O893">
        <f>ABS(L893-RAVLT_Learning!$C$34)</f>
        <v>9.6439739553223891</v>
      </c>
      <c r="P893">
        <f t="shared" si="15"/>
        <v>88.7</v>
      </c>
    </row>
    <row r="894" spans="12:16">
      <c r="L894">
        <f>RAVLT_Learning!M894</f>
        <v>1.2159604197073199</v>
      </c>
      <c r="M894">
        <f>RAVLT_Learning!N894</f>
        <v>88.8</v>
      </c>
      <c r="O894">
        <f>ABS(L894-RAVLT_Learning!$C$34)</f>
        <v>9.6492072422381092</v>
      </c>
      <c r="P894">
        <f t="shared" si="15"/>
        <v>88.8</v>
      </c>
    </row>
    <row r="895" spans="12:16">
      <c r="L895">
        <f>RAVLT_Learning!M895</f>
        <v>1.22122722210557</v>
      </c>
      <c r="M895">
        <f>RAVLT_Learning!N895</f>
        <v>88.9</v>
      </c>
      <c r="O895">
        <f>ABS(L895-RAVLT_Learning!$C$34)</f>
        <v>9.6544740446363591</v>
      </c>
      <c r="P895">
        <f t="shared" si="15"/>
        <v>88.9</v>
      </c>
    </row>
    <row r="896" spans="12:16">
      <c r="L896">
        <f>RAVLT_Learning!M896</f>
        <v>1.22652812003661</v>
      </c>
      <c r="M896">
        <f>RAVLT_Learning!N896</f>
        <v>89</v>
      </c>
      <c r="O896">
        <f>ABS(L896-RAVLT_Learning!$C$34)</f>
        <v>9.6597749425673989</v>
      </c>
      <c r="P896">
        <f t="shared" si="15"/>
        <v>89</v>
      </c>
    </row>
    <row r="897" spans="12:16">
      <c r="L897">
        <f>RAVLT_Learning!M897</f>
        <v>1.23186370873498</v>
      </c>
      <c r="M897">
        <f>RAVLT_Learning!N897</f>
        <v>89.1</v>
      </c>
      <c r="O897">
        <f>ABS(L897-RAVLT_Learning!$C$34)</f>
        <v>9.6651105312657695</v>
      </c>
      <c r="P897">
        <f t="shared" si="15"/>
        <v>89.1</v>
      </c>
    </row>
    <row r="898" spans="12:16">
      <c r="L898">
        <f>RAVLT_Learning!M898</f>
        <v>1.23723459916283</v>
      </c>
      <c r="M898">
        <f>RAVLT_Learning!N898</f>
        <v>89.2</v>
      </c>
      <c r="O898">
        <f>ABS(L898-RAVLT_Learning!$C$34)</f>
        <v>9.6704814216936192</v>
      </c>
      <c r="P898">
        <f t="shared" si="15"/>
        <v>89.2</v>
      </c>
    </row>
    <row r="899" spans="12:16">
      <c r="L899">
        <f>RAVLT_Learning!M899</f>
        <v>1.24264141857788</v>
      </c>
      <c r="M899">
        <f>RAVLT_Learning!N899</f>
        <v>89.3</v>
      </c>
      <c r="O899">
        <f>ABS(L899-RAVLT_Learning!$C$34)</f>
        <v>9.6758882411086695</v>
      </c>
      <c r="P899">
        <f t="shared" si="15"/>
        <v>89.3</v>
      </c>
    </row>
    <row r="900" spans="12:16">
      <c r="L900">
        <f>RAVLT_Learning!M900</f>
        <v>1.24808481112755</v>
      </c>
      <c r="M900">
        <f>RAVLT_Learning!N900</f>
        <v>89.4</v>
      </c>
      <c r="O900">
        <f>ABS(L900-RAVLT_Learning!$C$34)</f>
        <v>9.6813316336583384</v>
      </c>
      <c r="P900">
        <f t="shared" si="15"/>
        <v>89.4</v>
      </c>
    </row>
    <row r="901" spans="12:16">
      <c r="L901">
        <f>RAVLT_Learning!M901</f>
        <v>1.25356543847045</v>
      </c>
      <c r="M901">
        <f>RAVLT_Learning!N901</f>
        <v>89.5</v>
      </c>
      <c r="O901">
        <f>ABS(L901-RAVLT_Learning!$C$34)</f>
        <v>9.6868122610012382</v>
      </c>
      <c r="P901">
        <f t="shared" si="15"/>
        <v>89.5</v>
      </c>
    </row>
    <row r="902" spans="12:16">
      <c r="L902">
        <f>RAVLT_Learning!M902</f>
        <v>1.2590839804270699</v>
      </c>
      <c r="M902">
        <f>RAVLT_Learning!N902</f>
        <v>89.6</v>
      </c>
      <c r="O902">
        <f>ABS(L902-RAVLT_Learning!$C$34)</f>
        <v>9.6923308029578585</v>
      </c>
      <c r="P902">
        <f t="shared" si="15"/>
        <v>89.6</v>
      </c>
    </row>
    <row r="903" spans="12:16">
      <c r="L903">
        <f>RAVLT_Learning!M903</f>
        <v>1.2646411356610801</v>
      </c>
      <c r="M903">
        <f>RAVLT_Learning!N903</f>
        <v>89.7</v>
      </c>
      <c r="O903">
        <f>ABS(L903-RAVLT_Learning!$C$34)</f>
        <v>9.6978879581918687</v>
      </c>
      <c r="P903">
        <f t="shared" si="15"/>
        <v>89.7</v>
      </c>
    </row>
    <row r="904" spans="12:16">
      <c r="L904">
        <f>RAVLT_Learning!M904</f>
        <v>1.27023762239315</v>
      </c>
      <c r="M904">
        <f>RAVLT_Learning!N904</f>
        <v>89.8</v>
      </c>
      <c r="O904">
        <f>ABS(L904-RAVLT_Learning!$C$34)</f>
        <v>9.703484444923939</v>
      </c>
      <c r="P904">
        <f t="shared" si="15"/>
        <v>89.8</v>
      </c>
    </row>
    <row r="905" spans="12:16">
      <c r="L905">
        <f>RAVLT_Learning!M905</f>
        <v>1.2758741791491299</v>
      </c>
      <c r="M905">
        <f>RAVLT_Learning!N905</f>
        <v>89.9</v>
      </c>
      <c r="O905">
        <f>ABS(L905-RAVLT_Learning!$C$34)</f>
        <v>9.7091210016799181</v>
      </c>
      <c r="P905">
        <f t="shared" si="15"/>
        <v>89.9</v>
      </c>
    </row>
    <row r="906" spans="12:16">
      <c r="L906">
        <f>RAVLT_Learning!M906</f>
        <v>1.2815515655445999</v>
      </c>
      <c r="M906">
        <f>RAVLT_Learning!N906</f>
        <v>90</v>
      </c>
      <c r="O906">
        <f>ABS(L906-RAVLT_Learning!$C$34)</f>
        <v>9.7147983880753888</v>
      </c>
      <c r="P906">
        <f t="shared" si="15"/>
        <v>90</v>
      </c>
    </row>
    <row r="907" spans="12:16">
      <c r="L907">
        <f>RAVLT_Learning!M907</f>
        <v>1.28727056310794</v>
      </c>
      <c r="M907">
        <f>RAVLT_Learning!N907</f>
        <v>90.1</v>
      </c>
      <c r="O907">
        <f>ABS(L907-RAVLT_Learning!$C$34)</f>
        <v>9.720517385638729</v>
      </c>
      <c r="P907">
        <f t="shared" si="15"/>
        <v>90.1</v>
      </c>
    </row>
    <row r="908" spans="12:16">
      <c r="L908">
        <f>RAVLT_Learning!M908</f>
        <v>1.2930319761442399</v>
      </c>
      <c r="M908">
        <f>RAVLT_Learning!N908</f>
        <v>90.2</v>
      </c>
      <c r="O908">
        <f>ABS(L908-RAVLT_Learning!$C$34)</f>
        <v>9.726278798675029</v>
      </c>
      <c r="P908">
        <f t="shared" si="15"/>
        <v>90.2</v>
      </c>
    </row>
    <row r="909" spans="12:16">
      <c r="L909">
        <f>RAVLT_Learning!M909</f>
        <v>1.29883663264251</v>
      </c>
      <c r="M909">
        <f>RAVLT_Learning!N909</f>
        <v>90.3</v>
      </c>
      <c r="O909">
        <f>ABS(L909-RAVLT_Learning!$C$34)</f>
        <v>9.7320834551732993</v>
      </c>
      <c r="P909">
        <f t="shared" si="15"/>
        <v>90.3</v>
      </c>
    </row>
    <row r="910" spans="12:16">
      <c r="L910">
        <f>RAVLT_Learning!M910</f>
        <v>1.3046853852287901</v>
      </c>
      <c r="M910">
        <f>RAVLT_Learning!N910</f>
        <v>90.4</v>
      </c>
      <c r="O910">
        <f>ABS(L910-RAVLT_Learning!$C$34)</f>
        <v>9.7379322077595791</v>
      </c>
      <c r="P910">
        <f t="shared" si="15"/>
        <v>90.4</v>
      </c>
    </row>
    <row r="911" spans="12:16">
      <c r="L911">
        <f>RAVLT_Learning!M911</f>
        <v>1.3105791121681301</v>
      </c>
      <c r="M911">
        <f>RAVLT_Learning!N911</f>
        <v>90.5</v>
      </c>
      <c r="O911">
        <f>ABS(L911-RAVLT_Learning!$C$34)</f>
        <v>9.7438259346989184</v>
      </c>
      <c r="P911">
        <f t="shared" si="15"/>
        <v>90.5</v>
      </c>
    </row>
    <row r="912" spans="12:16">
      <c r="L912">
        <f>RAVLT_Learning!M912</f>
        <v>1.3165187184182601</v>
      </c>
      <c r="M912">
        <f>RAVLT_Learning!N912</f>
        <v>90.6</v>
      </c>
      <c r="O912">
        <f>ABS(L912-RAVLT_Learning!$C$34)</f>
        <v>9.7497655409490491</v>
      </c>
      <c r="P912">
        <f t="shared" si="15"/>
        <v>90.6</v>
      </c>
    </row>
    <row r="913" spans="12:16">
      <c r="L913">
        <f>RAVLT_Learning!M913</f>
        <v>1.3225051367384399</v>
      </c>
      <c r="M913">
        <f>RAVLT_Learning!N913</f>
        <v>90.7</v>
      </c>
      <c r="O913">
        <f>ABS(L913-RAVLT_Learning!$C$34)</f>
        <v>9.7557519592692294</v>
      </c>
      <c r="P913">
        <f t="shared" si="15"/>
        <v>90.7</v>
      </c>
    </row>
    <row r="914" spans="12:16">
      <c r="L914">
        <f>RAVLT_Learning!M914</f>
        <v>1.3285393288568099</v>
      </c>
      <c r="M914">
        <f>RAVLT_Learning!N914</f>
        <v>90.8</v>
      </c>
      <c r="O914">
        <f>ABS(L914-RAVLT_Learning!$C$34)</f>
        <v>9.7617861513875983</v>
      </c>
      <c r="P914">
        <f t="shared" si="15"/>
        <v>90.8</v>
      </c>
    </row>
    <row r="915" spans="12:16">
      <c r="L915">
        <f>RAVLT_Learning!M915</f>
        <v>1.33462228670019</v>
      </c>
      <c r="M915">
        <f>RAVLT_Learning!N915</f>
        <v>90.9</v>
      </c>
      <c r="O915">
        <f>ABS(L915-RAVLT_Learning!$C$34)</f>
        <v>9.7678691092309791</v>
      </c>
      <c r="P915">
        <f t="shared" si="15"/>
        <v>90.9</v>
      </c>
    </row>
    <row r="916" spans="12:16">
      <c r="L916">
        <f>RAVLT_Learning!M916</f>
        <v>1.3407550336902201</v>
      </c>
      <c r="M916">
        <f>RAVLT_Learning!N916</f>
        <v>91</v>
      </c>
      <c r="O916">
        <f>ABS(L916-RAVLT_Learning!$C$34)</f>
        <v>9.7740018562210089</v>
      </c>
      <c r="P916">
        <f t="shared" si="15"/>
        <v>91</v>
      </c>
    </row>
    <row r="917" spans="12:16">
      <c r="L917">
        <f>RAVLT_Learning!M917</f>
        <v>1.34693862611028</v>
      </c>
      <c r="M917">
        <f>RAVLT_Learning!N917</f>
        <v>91.1</v>
      </c>
      <c r="O917">
        <f>ABS(L917-RAVLT_Learning!$C$34)</f>
        <v>9.7801854486410686</v>
      </c>
      <c r="P917">
        <f t="shared" si="15"/>
        <v>91.1</v>
      </c>
    </row>
    <row r="918" spans="12:16">
      <c r="L918">
        <f>RAVLT_Learning!M918</f>
        <v>1.3531741545480001</v>
      </c>
      <c r="M918">
        <f>RAVLT_Learning!N918</f>
        <v>91.2</v>
      </c>
      <c r="O918">
        <f>ABS(L918-RAVLT_Learning!$C$34)</f>
        <v>9.7864209770787891</v>
      </c>
      <c r="P918">
        <f t="shared" si="15"/>
        <v>91.2</v>
      </c>
    </row>
    <row r="919" spans="12:16">
      <c r="L919">
        <f>RAVLT_Learning!M919</f>
        <v>1.35946274541826</v>
      </c>
      <c r="M919">
        <f>RAVLT_Learning!N919</f>
        <v>91.3</v>
      </c>
      <c r="O919">
        <f>ABS(L919-RAVLT_Learning!$C$34)</f>
        <v>9.7927095679490481</v>
      </c>
      <c r="P919">
        <f t="shared" si="15"/>
        <v>91.3</v>
      </c>
    </row>
    <row r="920" spans="12:16">
      <c r="L920">
        <f>RAVLT_Learning!M920</f>
        <v>1.36580556257227</v>
      </c>
      <c r="M920">
        <f>RAVLT_Learning!N920</f>
        <v>91.4</v>
      </c>
      <c r="O920">
        <f>ABS(L920-RAVLT_Learning!$C$34)</f>
        <v>9.7990523851030584</v>
      </c>
      <c r="P920">
        <f t="shared" si="15"/>
        <v>91.4</v>
      </c>
    </row>
    <row r="921" spans="12:16">
      <c r="L921">
        <f>RAVLT_Learning!M921</f>
        <v>1.3722038089987301</v>
      </c>
      <c r="M921">
        <f>RAVLT_Learning!N921</f>
        <v>91.5</v>
      </c>
      <c r="O921">
        <f>ABS(L921-RAVLT_Learning!$C$34)</f>
        <v>9.8054506315295189</v>
      </c>
      <c r="P921">
        <f t="shared" si="15"/>
        <v>91.5</v>
      </c>
    </row>
    <row r="922" spans="12:16">
      <c r="L922">
        <f>RAVLT_Learning!M922</f>
        <v>1.3786587286232801</v>
      </c>
      <c r="M922">
        <f>RAVLT_Learning!N922</f>
        <v>91.6</v>
      </c>
      <c r="O922">
        <f>ABS(L922-RAVLT_Learning!$C$34)</f>
        <v>9.8119055511540694</v>
      </c>
      <c r="P922">
        <f t="shared" si="15"/>
        <v>91.6</v>
      </c>
    </row>
    <row r="923" spans="12:16">
      <c r="L923">
        <f>RAVLT_Learning!M923</f>
        <v>1.38517160821344</v>
      </c>
      <c r="M923">
        <f>RAVLT_Learning!N923</f>
        <v>91.7</v>
      </c>
      <c r="O923">
        <f>ABS(L923-RAVLT_Learning!$C$34)</f>
        <v>9.818418430744229</v>
      </c>
      <c r="P923">
        <f t="shared" si="15"/>
        <v>91.7</v>
      </c>
    </row>
    <row r="924" spans="12:16">
      <c r="L924">
        <f>RAVLT_Learning!M924</f>
        <v>1.3917437793963301</v>
      </c>
      <c r="M924">
        <f>RAVLT_Learning!N924</f>
        <v>91.8</v>
      </c>
      <c r="O924">
        <f>ABS(L924-RAVLT_Learning!$C$34)</f>
        <v>9.8249906019271194</v>
      </c>
      <c r="P924">
        <f t="shared" si="15"/>
        <v>91.8</v>
      </c>
    </row>
    <row r="925" spans="12:16">
      <c r="L925">
        <f>RAVLT_Learning!M925</f>
        <v>1.3983766207974999</v>
      </c>
      <c r="M925">
        <f>RAVLT_Learning!N925</f>
        <v>91.9</v>
      </c>
      <c r="O925">
        <f>ABS(L925-RAVLT_Learning!$C$34)</f>
        <v>9.8316234433282883</v>
      </c>
      <c r="P925">
        <f t="shared" si="15"/>
        <v>91.9</v>
      </c>
    </row>
    <row r="926" spans="12:16">
      <c r="L926">
        <f>RAVLT_Learning!M926</f>
        <v>1.40507156030963</v>
      </c>
      <c r="M926">
        <f>RAVLT_Learning!N926</f>
        <v>92</v>
      </c>
      <c r="O926">
        <f>ABS(L926-RAVLT_Learning!$C$34)</f>
        <v>9.8383183828404182</v>
      </c>
      <c r="P926">
        <f t="shared" si="15"/>
        <v>92</v>
      </c>
    </row>
    <row r="927" spans="12:16">
      <c r="L927">
        <f>RAVLT_Learning!M927</f>
        <v>1.4118300775008099</v>
      </c>
      <c r="M927">
        <f>RAVLT_Learning!N927</f>
        <v>92.1</v>
      </c>
      <c r="O927">
        <f>ABS(L927-RAVLT_Learning!$C$34)</f>
        <v>9.8450769000315983</v>
      </c>
      <c r="P927">
        <f t="shared" si="15"/>
        <v>92.1</v>
      </c>
    </row>
    <row r="928" spans="12:16">
      <c r="L928">
        <f>RAVLT_Learning!M928</f>
        <v>1.41865370617274</v>
      </c>
      <c r="M928">
        <f>RAVLT_Learning!N928</f>
        <v>92.2</v>
      </c>
      <c r="O928">
        <f>ABS(L928-RAVLT_Learning!$C$34)</f>
        <v>9.8519005287035295</v>
      </c>
      <c r="P928">
        <f t="shared" si="15"/>
        <v>92.2</v>
      </c>
    </row>
    <row r="929" spans="12:16">
      <c r="L929">
        <f>RAVLT_Learning!M929</f>
        <v>1.42554403708045</v>
      </c>
      <c r="M929">
        <f>RAVLT_Learning!N929</f>
        <v>92.3</v>
      </c>
      <c r="O929">
        <f>ABS(L929-RAVLT_Learning!$C$34)</f>
        <v>9.8587908596112381</v>
      </c>
      <c r="P929">
        <f t="shared" si="15"/>
        <v>92.3</v>
      </c>
    </row>
    <row r="930" spans="12:16">
      <c r="L930">
        <f>RAVLT_Learning!M930</f>
        <v>1.4325027208258101</v>
      </c>
      <c r="M930">
        <f>RAVLT_Learning!N930</f>
        <v>92.4</v>
      </c>
      <c r="O930">
        <f>ABS(L930-RAVLT_Learning!$C$34)</f>
        <v>9.8657495433565998</v>
      </c>
      <c r="P930">
        <f t="shared" si="15"/>
        <v>92.4</v>
      </c>
    </row>
    <row r="931" spans="12:16">
      <c r="L931">
        <f>RAVLT_Learning!M931</f>
        <v>1.4395314709384599</v>
      </c>
      <c r="M931">
        <f>RAVLT_Learning!N931</f>
        <v>92.5</v>
      </c>
      <c r="O931">
        <f>ABS(L931-RAVLT_Learning!$C$34)</f>
        <v>9.8727782934692492</v>
      </c>
      <c r="P931">
        <f t="shared" si="15"/>
        <v>92.5</v>
      </c>
    </row>
    <row r="932" spans="12:16">
      <c r="L932">
        <f>RAVLT_Learning!M932</f>
        <v>1.4466320671589801</v>
      </c>
      <c r="M932">
        <f>RAVLT_Learning!N932</f>
        <v>92.6</v>
      </c>
      <c r="O932">
        <f>ABS(L932-RAVLT_Learning!$C$34)</f>
        <v>9.8798788896897687</v>
      </c>
      <c r="P932">
        <f t="shared" si="15"/>
        <v>92.6</v>
      </c>
    </row>
    <row r="933" spans="12:16">
      <c r="L933">
        <f>RAVLT_Learning!M933</f>
        <v>1.4538063589405701</v>
      </c>
      <c r="M933">
        <f>RAVLT_Learning!N933</f>
        <v>92.7</v>
      </c>
      <c r="O933">
        <f>ABS(L933-RAVLT_Learning!$C$34)</f>
        <v>9.8870531814713587</v>
      </c>
      <c r="P933">
        <f t="shared" si="15"/>
        <v>92.7</v>
      </c>
    </row>
    <row r="934" spans="12:16">
      <c r="L934">
        <f>RAVLT_Learning!M934</f>
        <v>1.46105626918691</v>
      </c>
      <c r="M934">
        <f>RAVLT_Learning!N934</f>
        <v>92.8</v>
      </c>
      <c r="O934">
        <f>ABS(L934-RAVLT_Learning!$C$34)</f>
        <v>9.8943030917176991</v>
      </c>
      <c r="P934">
        <f t="shared" si="15"/>
        <v>92.8</v>
      </c>
    </row>
    <row r="935" spans="12:16">
      <c r="L935">
        <f>RAVLT_Learning!M935</f>
        <v>1.46838379824566</v>
      </c>
      <c r="M935">
        <f>RAVLT_Learning!N935</f>
        <v>92.9</v>
      </c>
      <c r="O935">
        <f>ABS(L935-RAVLT_Learning!$C$34)</f>
        <v>9.901630620776448</v>
      </c>
      <c r="P935">
        <f t="shared" si="15"/>
        <v>92.9</v>
      </c>
    </row>
    <row r="936" spans="12:16">
      <c r="L936">
        <f>RAVLT_Learning!M936</f>
        <v>1.47579102817917</v>
      </c>
      <c r="M936">
        <f>RAVLT_Learning!N936</f>
        <v>93</v>
      </c>
      <c r="O936">
        <f>ABS(L936-RAVLT_Learning!$C$34)</f>
        <v>9.909037850709959</v>
      </c>
      <c r="P936">
        <f t="shared" si="15"/>
        <v>93</v>
      </c>
    </row>
    <row r="937" spans="12:16">
      <c r="L937">
        <f>RAVLT_Learning!M937</f>
        <v>1.48328012733562</v>
      </c>
      <c r="M937">
        <f>RAVLT_Learning!N937</f>
        <v>93.1</v>
      </c>
      <c r="O937">
        <f>ABS(L937-RAVLT_Learning!$C$34)</f>
        <v>9.9165269498664088</v>
      </c>
      <c r="P937">
        <f t="shared" ref="P937:P1000" si="16">M937</f>
        <v>93.1</v>
      </c>
    </row>
    <row r="938" spans="12:16">
      <c r="L938">
        <f>RAVLT_Learning!M938</f>
        <v>1.4908533552466601</v>
      </c>
      <c r="M938">
        <f>RAVLT_Learning!N938</f>
        <v>93.2</v>
      </c>
      <c r="O938">
        <f>ABS(L938-RAVLT_Learning!$C$34)</f>
        <v>9.9241001777774489</v>
      </c>
      <c r="P938">
        <f t="shared" si="16"/>
        <v>93.2</v>
      </c>
    </row>
    <row r="939" spans="12:16">
      <c r="L939">
        <f>RAVLT_Learning!M939</f>
        <v>1.4985130678799801</v>
      </c>
      <c r="M939">
        <f>RAVLT_Learning!N939</f>
        <v>93.3</v>
      </c>
      <c r="O939">
        <f>ABS(L939-RAVLT_Learning!$C$34)</f>
        <v>9.9317598904107687</v>
      </c>
      <c r="P939">
        <f t="shared" si="16"/>
        <v>93.3</v>
      </c>
    </row>
    <row r="940" spans="12:16">
      <c r="L940">
        <f>RAVLT_Learning!M940</f>
        <v>1.50626172327824</v>
      </c>
      <c r="M940">
        <f>RAVLT_Learning!N940</f>
        <v>93.4</v>
      </c>
      <c r="O940">
        <f>ABS(L940-RAVLT_Learning!$C$34)</f>
        <v>9.9395085458090282</v>
      </c>
      <c r="P940">
        <f t="shared" si="16"/>
        <v>93.4</v>
      </c>
    </row>
    <row r="941" spans="12:16">
      <c r="L941">
        <f>RAVLT_Learning!M941</f>
        <v>1.51410188761928</v>
      </c>
      <c r="M941">
        <f>RAVLT_Learning!N941</f>
        <v>93.5</v>
      </c>
      <c r="O941">
        <f>ABS(L941-RAVLT_Learning!$C$34)</f>
        <v>9.9473487101500684</v>
      </c>
      <c r="P941">
        <f t="shared" si="16"/>
        <v>93.5</v>
      </c>
    </row>
    <row r="942" spans="12:16">
      <c r="L942">
        <f>RAVLT_Learning!M942</f>
        <v>1.5220362417358599</v>
      </c>
      <c r="M942">
        <f>RAVLT_Learning!N942</f>
        <v>93.6</v>
      </c>
      <c r="O942">
        <f>ABS(L942-RAVLT_Learning!$C$34)</f>
        <v>9.9552830642666486</v>
      </c>
      <c r="P942">
        <f t="shared" si="16"/>
        <v>93.6</v>
      </c>
    </row>
    <row r="943" spans="12:16">
      <c r="L943">
        <f>RAVLT_Learning!M943</f>
        <v>1.5300675881378301</v>
      </c>
      <c r="M943">
        <f>RAVLT_Learning!N943</f>
        <v>93.7</v>
      </c>
      <c r="O943">
        <f>ABS(L943-RAVLT_Learning!$C$34)</f>
        <v>9.9633144106686196</v>
      </c>
      <c r="P943">
        <f t="shared" si="16"/>
        <v>93.7</v>
      </c>
    </row>
    <row r="944" spans="12:16">
      <c r="L944">
        <f>RAVLT_Learning!M944</f>
        <v>1.53819885858406</v>
      </c>
      <c r="M944">
        <f>RAVLT_Learning!N944</f>
        <v>93.8</v>
      </c>
      <c r="O944">
        <f>ABS(L944-RAVLT_Learning!$C$34)</f>
        <v>9.9714456811148491</v>
      </c>
      <c r="P944">
        <f t="shared" si="16"/>
        <v>93.8</v>
      </c>
    </row>
    <row r="945" spans="12:16">
      <c r="L945">
        <f>RAVLT_Learning!M945</f>
        <v>1.54643312225675</v>
      </c>
      <c r="M945">
        <f>RAVLT_Learning!N945</f>
        <v>93.9</v>
      </c>
      <c r="O945">
        <f>ABS(L945-RAVLT_Learning!$C$34)</f>
        <v>9.9796799447875379</v>
      </c>
      <c r="P945">
        <f t="shared" si="16"/>
        <v>93.9</v>
      </c>
    </row>
    <row r="946" spans="12:16">
      <c r="L946">
        <f>RAVLT_Learning!M946</f>
        <v>1.5547735945968499</v>
      </c>
      <c r="M946">
        <f>RAVLT_Learning!N946</f>
        <v>94</v>
      </c>
      <c r="O946">
        <f>ABS(L946-RAVLT_Learning!$C$34)</f>
        <v>9.9880204171276397</v>
      </c>
      <c r="P946">
        <f t="shared" si="16"/>
        <v>94</v>
      </c>
    </row>
    <row r="947" spans="12:16">
      <c r="L947">
        <f>RAVLT_Learning!M947</f>
        <v>1.5632236468662799</v>
      </c>
      <c r="M947">
        <f>RAVLT_Learning!N947</f>
        <v>94.1</v>
      </c>
      <c r="O947">
        <f>ABS(L947-RAVLT_Learning!$C$34)</f>
        <v>9.9964704693970692</v>
      </c>
      <c r="P947">
        <f t="shared" si="16"/>
        <v>94.1</v>
      </c>
    </row>
    <row r="948" spans="12:16">
      <c r="L948">
        <f>RAVLT_Learning!M948</f>
        <v>1.5717868165098601</v>
      </c>
      <c r="M948">
        <f>RAVLT_Learning!N948</f>
        <v>94.2</v>
      </c>
      <c r="O948">
        <f>ABS(L948-RAVLT_Learning!$C$34)</f>
        <v>10.005033639040649</v>
      </c>
      <c r="P948">
        <f t="shared" si="16"/>
        <v>94.2</v>
      </c>
    </row>
    <row r="949" spans="12:16">
      <c r="L949">
        <f>RAVLT_Learning!M949</f>
        <v>1.58046681839936</v>
      </c>
      <c r="M949">
        <f>RAVLT_Learning!N949</f>
        <v>94.3</v>
      </c>
      <c r="O949">
        <f>ABS(L949-RAVLT_Learning!$C$34)</f>
        <v>10.013713640930149</v>
      </c>
      <c r="P949">
        <f t="shared" si="16"/>
        <v>94.3</v>
      </c>
    </row>
    <row r="950" spans="12:16">
      <c r="L950">
        <f>RAVLT_Learning!M950</f>
        <v>1.5892675570513899</v>
      </c>
      <c r="M950">
        <f>RAVLT_Learning!N950</f>
        <v>94.4</v>
      </c>
      <c r="O950">
        <f>ABS(L950-RAVLT_Learning!$C$34)</f>
        <v>10.022514379582178</v>
      </c>
      <c r="P950">
        <f t="shared" si="16"/>
        <v>94.4</v>
      </c>
    </row>
    <row r="951" spans="12:16">
      <c r="L951">
        <f>RAVLT_Learning!M951</f>
        <v>1.59819313992282</v>
      </c>
      <c r="M951">
        <f>RAVLT_Learning!N951</f>
        <v>94.5</v>
      </c>
      <c r="O951">
        <f>ABS(L951-RAVLT_Learning!$C$34)</f>
        <v>10.031439962453609</v>
      </c>
      <c r="P951">
        <f t="shared" si="16"/>
        <v>94.5</v>
      </c>
    </row>
    <row r="952" spans="12:16">
      <c r="L952">
        <f>RAVLT_Learning!M952</f>
        <v>1.60724789190022</v>
      </c>
      <c r="M952">
        <f>RAVLT_Learning!N952</f>
        <v>94.6</v>
      </c>
      <c r="O952">
        <f>ABS(L952-RAVLT_Learning!$C$34)</f>
        <v>10.040494714431009</v>
      </c>
      <c r="P952">
        <f t="shared" si="16"/>
        <v>94.6</v>
      </c>
    </row>
    <row r="953" spans="12:16">
      <c r="L953">
        <f>RAVLT_Learning!M953</f>
        <v>1.61643637111502</v>
      </c>
      <c r="M953">
        <f>RAVLT_Learning!N953</f>
        <v>94.7</v>
      </c>
      <c r="O953">
        <f>ABS(L953-RAVLT_Learning!$C$34)</f>
        <v>10.049683193645809</v>
      </c>
      <c r="P953">
        <f t="shared" si="16"/>
        <v>94.7</v>
      </c>
    </row>
    <row r="954" spans="12:16">
      <c r="L954">
        <f>RAVLT_Learning!M954</f>
        <v>1.6257633862332399</v>
      </c>
      <c r="M954">
        <f>RAVLT_Learning!N954</f>
        <v>94.8</v>
      </c>
      <c r="O954">
        <f>ABS(L954-RAVLT_Learning!$C$34)</f>
        <v>10.059010208764029</v>
      </c>
      <c r="P954">
        <f t="shared" si="16"/>
        <v>94.8</v>
      </c>
    </row>
    <row r="955" spans="12:16">
      <c r="L955">
        <f>RAVLT_Learning!M955</f>
        <v>1.63523401538865</v>
      </c>
      <c r="M955">
        <f>RAVLT_Learning!N955</f>
        <v>94.9</v>
      </c>
      <c r="O955">
        <f>ABS(L955-RAVLT_Learning!$C$34)</f>
        <v>10.068480837919438</v>
      </c>
      <c r="P955">
        <f t="shared" si="16"/>
        <v>94.9</v>
      </c>
    </row>
    <row r="956" spans="12:16">
      <c r="L956">
        <f>RAVLT_Learning!M956</f>
        <v>1.64485362695147</v>
      </c>
      <c r="M956">
        <f>RAVLT_Learning!N956</f>
        <v>95</v>
      </c>
      <c r="O956">
        <f>ABS(L956-RAVLT_Learning!$C$34)</f>
        <v>10.078100449482259</v>
      </c>
      <c r="P956">
        <f t="shared" si="16"/>
        <v>95</v>
      </c>
    </row>
    <row r="957" spans="12:16">
      <c r="L957">
        <f>RAVLT_Learning!M957</f>
        <v>1.6546279023510799</v>
      </c>
      <c r="M957">
        <f>RAVLT_Learning!N957</f>
        <v>95.1</v>
      </c>
      <c r="O957">
        <f>ABS(L957-RAVLT_Learning!$C$34)</f>
        <v>10.087874724881869</v>
      </c>
      <c r="P957">
        <f t="shared" si="16"/>
        <v>95.1</v>
      </c>
    </row>
    <row r="958" spans="12:16">
      <c r="L958">
        <f>RAVLT_Learning!M958</f>
        <v>1.6645628612027199</v>
      </c>
      <c r="M958">
        <f>RAVLT_Learning!N958</f>
        <v>95.2</v>
      </c>
      <c r="O958">
        <f>ABS(L958-RAVLT_Learning!$C$34)</f>
        <v>10.097809683733509</v>
      </c>
      <c r="P958">
        <f t="shared" si="16"/>
        <v>95.2</v>
      </c>
    </row>
    <row r="959" spans="12:16">
      <c r="L959">
        <f>RAVLT_Learning!M959</f>
        <v>1.6746648890243301</v>
      </c>
      <c r="M959">
        <f>RAVLT_Learning!N959</f>
        <v>95.3</v>
      </c>
      <c r="O959">
        <f>ABS(L959-RAVLT_Learning!$C$34)</f>
        <v>10.107911711555118</v>
      </c>
      <c r="P959">
        <f t="shared" si="16"/>
        <v>95.3</v>
      </c>
    </row>
    <row r="960" spans="12:16">
      <c r="L960">
        <f>RAVLT_Learning!M960</f>
        <v>1.6849407678719199</v>
      </c>
      <c r="M960">
        <f>RAVLT_Learning!N960</f>
        <v>95.4</v>
      </c>
      <c r="O960">
        <f>ABS(L960-RAVLT_Learning!$C$34)</f>
        <v>10.118187590402709</v>
      </c>
      <c r="P960">
        <f t="shared" si="16"/>
        <v>95.4</v>
      </c>
    </row>
    <row r="961" spans="12:16">
      <c r="L961">
        <f>RAVLT_Learning!M961</f>
        <v>1.69539771027214</v>
      </c>
      <c r="M961">
        <f>RAVLT_Learning!N961</f>
        <v>95.5</v>
      </c>
      <c r="O961">
        <f>ABS(L961-RAVLT_Learning!$C$34)</f>
        <v>10.128644532802928</v>
      </c>
      <c r="P961">
        <f t="shared" si="16"/>
        <v>95.5</v>
      </c>
    </row>
    <row r="962" spans="12:16">
      <c r="L962">
        <f>RAVLT_Learning!M962</f>
        <v>1.7060433968889599</v>
      </c>
      <c r="M962">
        <f>RAVLT_Learning!N962</f>
        <v>95.6</v>
      </c>
      <c r="O962">
        <f>ABS(L962-RAVLT_Learning!$C$34)</f>
        <v>10.139290219419749</v>
      </c>
      <c r="P962">
        <f t="shared" si="16"/>
        <v>95.6</v>
      </c>
    </row>
    <row r="963" spans="12:16">
      <c r="L963">
        <f>RAVLT_Learning!M963</f>
        <v>1.7168860184310399</v>
      </c>
      <c r="M963">
        <f>RAVLT_Learning!N963</f>
        <v>95.7</v>
      </c>
      <c r="O963">
        <f>ABS(L963-RAVLT_Learning!$C$34)</f>
        <v>10.150132840961829</v>
      </c>
      <c r="P963">
        <f t="shared" si="16"/>
        <v>95.7</v>
      </c>
    </row>
    <row r="964" spans="12:16">
      <c r="L964">
        <f>RAVLT_Learning!M964</f>
        <v>1.72793432238842</v>
      </c>
      <c r="M964">
        <f>RAVLT_Learning!N964</f>
        <v>95.8</v>
      </c>
      <c r="O964">
        <f>ABS(L964-RAVLT_Learning!$C$34)</f>
        <v>10.161181144919208</v>
      </c>
      <c r="P964">
        <f t="shared" si="16"/>
        <v>95.8</v>
      </c>
    </row>
    <row r="965" spans="12:16">
      <c r="L965">
        <f>RAVLT_Learning!M965</f>
        <v>1.7391976652852501</v>
      </c>
      <c r="M965">
        <f>RAVLT_Learning!N965</f>
        <v>95.9</v>
      </c>
      <c r="O965">
        <f>ABS(L965-RAVLT_Learning!$C$34)</f>
        <v>10.172444487816039</v>
      </c>
      <c r="P965">
        <f t="shared" si="16"/>
        <v>95.9</v>
      </c>
    </row>
    <row r="966" spans="12:16">
      <c r="L966">
        <f>RAVLT_Learning!M966</f>
        <v>1.7506860712521699</v>
      </c>
      <c r="M966">
        <f>RAVLT_Learning!N966</f>
        <v>96</v>
      </c>
      <c r="O966">
        <f>ABS(L966-RAVLT_Learning!$C$34)</f>
        <v>10.183932893782959</v>
      </c>
      <c r="P966">
        <f t="shared" si="16"/>
        <v>96</v>
      </c>
    </row>
    <row r="967" spans="12:16">
      <c r="L967">
        <f>RAVLT_Learning!M967</f>
        <v>1.7624102978623899</v>
      </c>
      <c r="M967">
        <f>RAVLT_Learning!N967</f>
        <v>96.1</v>
      </c>
      <c r="O967">
        <f>ABS(L967-RAVLT_Learning!$C$34)</f>
        <v>10.195657120393179</v>
      </c>
      <c r="P967">
        <f t="shared" si="16"/>
        <v>96.1</v>
      </c>
    </row>
    <row r="968" spans="12:16">
      <c r="L968">
        <f>RAVLT_Learning!M968</f>
        <v>1.7743819103449601</v>
      </c>
      <c r="M968">
        <f>RAVLT_Learning!N968</f>
        <v>96.2</v>
      </c>
      <c r="O968">
        <f>ABS(L968-RAVLT_Learning!$C$34)</f>
        <v>10.207628732875749</v>
      </c>
      <c r="P968">
        <f t="shared" si="16"/>
        <v>96.2</v>
      </c>
    </row>
    <row r="969" spans="12:16">
      <c r="L969">
        <f>RAVLT_Learning!M969</f>
        <v>1.7866133654934699</v>
      </c>
      <c r="M969">
        <f>RAVLT_Learning!N969</f>
        <v>96.3</v>
      </c>
      <c r="O969">
        <f>ABS(L969-RAVLT_Learning!$C$34)</f>
        <v>10.219860188024258</v>
      </c>
      <c r="P969">
        <f t="shared" si="16"/>
        <v>96.3</v>
      </c>
    </row>
    <row r="970" spans="12:16">
      <c r="L970">
        <f>RAVLT_Learning!M970</f>
        <v>1.79911810683797</v>
      </c>
      <c r="M970">
        <f>RAVLT_Learning!N970</f>
        <v>96.4</v>
      </c>
      <c r="O970">
        <f>ABS(L970-RAVLT_Learning!$C$34)</f>
        <v>10.232364929368758</v>
      </c>
      <c r="P970">
        <f t="shared" si="16"/>
        <v>96.4</v>
      </c>
    </row>
    <row r="971" spans="12:16">
      <c r="L971">
        <f>RAVLT_Learning!M971</f>
        <v>1.8119106729526</v>
      </c>
      <c r="M971">
        <f>RAVLT_Learning!N971</f>
        <v>96.5</v>
      </c>
      <c r="O971">
        <f>ABS(L971-RAVLT_Learning!$C$34)</f>
        <v>10.245157495483388</v>
      </c>
      <c r="P971">
        <f t="shared" si="16"/>
        <v>96.5</v>
      </c>
    </row>
    <row r="972" spans="12:16">
      <c r="L972">
        <f>RAVLT_Learning!M972</f>
        <v>1.8250068211463999</v>
      </c>
      <c r="M972">
        <f>RAVLT_Learning!N972</f>
        <v>96.6</v>
      </c>
      <c r="O972">
        <f>ABS(L972-RAVLT_Learning!$C$34)</f>
        <v>10.25825364367719</v>
      </c>
      <c r="P972">
        <f t="shared" si="16"/>
        <v>96.6</v>
      </c>
    </row>
    <row r="973" spans="12:16">
      <c r="L973">
        <f>RAVLT_Learning!M973</f>
        <v>1.83842366924778</v>
      </c>
      <c r="M973">
        <f>RAVLT_Learning!N973</f>
        <v>96.7</v>
      </c>
      <c r="O973">
        <f>ABS(L973-RAVLT_Learning!$C$34)</f>
        <v>10.271670491778568</v>
      </c>
      <c r="P973">
        <f t="shared" si="16"/>
        <v>96.7</v>
      </c>
    </row>
    <row r="974" spans="12:16">
      <c r="L974">
        <f>RAVLT_Learning!M974</f>
        <v>1.8521798587690499</v>
      </c>
      <c r="M974">
        <f>RAVLT_Learning!N974</f>
        <v>96.8</v>
      </c>
      <c r="O974">
        <f>ABS(L974-RAVLT_Learning!$C$34)</f>
        <v>10.285426681299839</v>
      </c>
      <c r="P974">
        <f t="shared" si="16"/>
        <v>96.8</v>
      </c>
    </row>
    <row r="975" spans="12:16">
      <c r="L975">
        <f>RAVLT_Learning!M975</f>
        <v>1.86629574345811</v>
      </c>
      <c r="M975">
        <f>RAVLT_Learning!N975</f>
        <v>96.9</v>
      </c>
      <c r="O975">
        <f>ABS(L975-RAVLT_Learning!$C$34)</f>
        <v>10.299542565988899</v>
      </c>
      <c r="P975">
        <f t="shared" si="16"/>
        <v>96.9</v>
      </c>
    </row>
    <row r="976" spans="12:16">
      <c r="L976">
        <f>RAVLT_Learning!M976</f>
        <v>1.88079360815125</v>
      </c>
      <c r="M976">
        <f>RAVLT_Learning!N976</f>
        <v>97</v>
      </c>
      <c r="O976">
        <f>ABS(L976-RAVLT_Learning!$C$34)</f>
        <v>10.314040430682038</v>
      </c>
      <c r="P976">
        <f t="shared" si="16"/>
        <v>97</v>
      </c>
    </row>
    <row r="977" spans="12:16">
      <c r="L977">
        <f>RAVLT_Learning!M977</f>
        <v>1.8956979239918399</v>
      </c>
      <c r="M977">
        <f>RAVLT_Learning!N977</f>
        <v>97.1</v>
      </c>
      <c r="O977">
        <f>ABS(L977-RAVLT_Learning!$C$34)</f>
        <v>10.328944746522629</v>
      </c>
      <c r="P977">
        <f t="shared" si="16"/>
        <v>97.1</v>
      </c>
    </row>
    <row r="978" spans="12:16">
      <c r="L978">
        <f>RAVLT_Learning!M978</f>
        <v>1.9110356475491199</v>
      </c>
      <c r="M978">
        <f>RAVLT_Learning!N978</f>
        <v>97.2</v>
      </c>
      <c r="O978">
        <f>ABS(L978-RAVLT_Learning!$C$34)</f>
        <v>10.344282470079909</v>
      </c>
      <c r="P978">
        <f t="shared" si="16"/>
        <v>97.2</v>
      </c>
    </row>
    <row r="979" spans="12:16">
      <c r="L979">
        <f>RAVLT_Learning!M979</f>
        <v>1.9268365732639099</v>
      </c>
      <c r="M979">
        <f>RAVLT_Learning!N979</f>
        <v>97.3</v>
      </c>
      <c r="O979">
        <f>ABS(L979-RAVLT_Learning!$C$34)</f>
        <v>10.3600833957947</v>
      </c>
      <c r="P979">
        <f t="shared" si="16"/>
        <v>97.3</v>
      </c>
    </row>
    <row r="980" spans="12:16">
      <c r="L980">
        <f>RAVLT_Learning!M980</f>
        <v>1.9431337511050699</v>
      </c>
      <c r="M980">
        <f>RAVLT_Learning!N980</f>
        <v>97.4</v>
      </c>
      <c r="O980">
        <f>ABS(L980-RAVLT_Learning!$C$34)</f>
        <v>10.376380573635858</v>
      </c>
      <c r="P980">
        <f t="shared" si="16"/>
        <v>97.4</v>
      </c>
    </row>
    <row r="981" spans="12:16">
      <c r="L981">
        <f>RAVLT_Learning!M981</f>
        <v>1.9599639845400501</v>
      </c>
      <c r="M981">
        <f>RAVLT_Learning!N981</f>
        <v>97.5</v>
      </c>
      <c r="O981">
        <f>ABS(L981-RAVLT_Learning!$C$34)</f>
        <v>10.393210807070838</v>
      </c>
      <c r="P981">
        <f t="shared" si="16"/>
        <v>97.5</v>
      </c>
    </row>
    <row r="982" spans="12:16">
      <c r="L982">
        <f>RAVLT_Learning!M982</f>
        <v>1.9773684281819499</v>
      </c>
      <c r="M982">
        <f>RAVLT_Learning!N982</f>
        <v>97.6</v>
      </c>
      <c r="O982">
        <f>ABS(L982-RAVLT_Learning!$C$34)</f>
        <v>10.410615250712739</v>
      </c>
      <c r="P982">
        <f t="shared" si="16"/>
        <v>97.6</v>
      </c>
    </row>
    <row r="983" spans="12:16">
      <c r="L983">
        <f>RAVLT_Learning!M983</f>
        <v>1.9953933101678201</v>
      </c>
      <c r="M983">
        <f>RAVLT_Learning!N983</f>
        <v>97.7</v>
      </c>
      <c r="O983">
        <f>ABS(L983-RAVLT_Learning!$C$34)</f>
        <v>10.428640132698609</v>
      </c>
      <c r="P983">
        <f t="shared" si="16"/>
        <v>97.7</v>
      </c>
    </row>
    <row r="984" spans="12:16">
      <c r="L984">
        <f>RAVLT_Learning!M984</f>
        <v>2.0140908120181402</v>
      </c>
      <c r="M984">
        <f>RAVLT_Learning!N984</f>
        <v>97.8</v>
      </c>
      <c r="O984">
        <f>ABS(L984-RAVLT_Learning!$C$34)</f>
        <v>10.44733763454893</v>
      </c>
      <c r="P984">
        <f t="shared" si="16"/>
        <v>97.8</v>
      </c>
    </row>
    <row r="985" spans="12:16">
      <c r="L985">
        <f>RAVLT_Learning!M985</f>
        <v>2.0335201492530501</v>
      </c>
      <c r="M985">
        <f>RAVLT_Learning!N985</f>
        <v>97.9</v>
      </c>
      <c r="O985">
        <f>ABS(L985-RAVLT_Learning!$C$34)</f>
        <v>10.466766971783839</v>
      </c>
      <c r="P985">
        <f t="shared" si="16"/>
        <v>97.9</v>
      </c>
    </row>
    <row r="986" spans="12:16">
      <c r="L986">
        <f>RAVLT_Learning!M986</f>
        <v>2.0537489106318199</v>
      </c>
      <c r="M986">
        <f>RAVLT_Learning!N986</f>
        <v>98</v>
      </c>
      <c r="O986">
        <f>ABS(L986-RAVLT_Learning!$C$34)</f>
        <v>10.486995733162608</v>
      </c>
      <c r="P986">
        <f t="shared" si="16"/>
        <v>98</v>
      </c>
    </row>
    <row r="987" spans="12:16">
      <c r="L987">
        <f>RAVLT_Learning!M987</f>
        <v>2.0748547343933099</v>
      </c>
      <c r="M987">
        <f>RAVLT_Learning!N987</f>
        <v>98.1</v>
      </c>
      <c r="O987">
        <f>ABS(L987-RAVLT_Learning!$C$34)</f>
        <v>10.5081015569241</v>
      </c>
      <c r="P987">
        <f t="shared" si="16"/>
        <v>98.1</v>
      </c>
    </row>
    <row r="988" spans="12:16">
      <c r="L988">
        <f>RAVLT_Learning!M988</f>
        <v>2.0969274291643401</v>
      </c>
      <c r="M988">
        <f>RAVLT_Learning!N988</f>
        <v>98.2</v>
      </c>
      <c r="O988">
        <f>ABS(L988-RAVLT_Learning!$C$34)</f>
        <v>10.530174251695129</v>
      </c>
      <c r="P988">
        <f t="shared" si="16"/>
        <v>98.2</v>
      </c>
    </row>
    <row r="989" spans="12:16">
      <c r="L989">
        <f>RAVLT_Learning!M989</f>
        <v>2.1200716897421499</v>
      </c>
      <c r="M989">
        <f>RAVLT_Learning!N989</f>
        <v>98.3</v>
      </c>
      <c r="O989">
        <f>ABS(L989-RAVLT_Learning!$C$34)</f>
        <v>10.553318512272938</v>
      </c>
      <c r="P989">
        <f t="shared" si="16"/>
        <v>98.3</v>
      </c>
    </row>
    <row r="990" spans="12:16">
      <c r="L990">
        <f>RAVLT_Learning!M990</f>
        <v>2.1444106209118399</v>
      </c>
      <c r="M990">
        <f>RAVLT_Learning!N990</f>
        <v>98.4</v>
      </c>
      <c r="O990">
        <f>ABS(L990-RAVLT_Learning!$C$34)</f>
        <v>10.577657443442629</v>
      </c>
      <c r="P990">
        <f t="shared" si="16"/>
        <v>98.4</v>
      </c>
    </row>
    <row r="991" spans="12:16">
      <c r="L991">
        <f>RAVLT_Learning!M991</f>
        <v>2.1700903775845601</v>
      </c>
      <c r="M991">
        <f>RAVLT_Learning!N991</f>
        <v>98.5</v>
      </c>
      <c r="O991">
        <f>ABS(L991-RAVLT_Learning!$C$34)</f>
        <v>10.603337200115348</v>
      </c>
      <c r="P991">
        <f t="shared" si="16"/>
        <v>98.5</v>
      </c>
    </row>
    <row r="992" spans="12:16">
      <c r="L992">
        <f>RAVLT_Learning!M992</f>
        <v>2.19728637664105</v>
      </c>
      <c r="M992">
        <f>RAVLT_Learning!N992</f>
        <v>98.6</v>
      </c>
      <c r="O992">
        <f>ABS(L992-RAVLT_Learning!$C$34)</f>
        <v>10.63053319917184</v>
      </c>
      <c r="P992">
        <f t="shared" si="16"/>
        <v>98.6</v>
      </c>
    </row>
    <row r="993" spans="12:16">
      <c r="L993">
        <f>RAVLT_Learning!M993</f>
        <v>2.2262117693171701</v>
      </c>
      <c r="M993">
        <f>RAVLT_Learning!N993</f>
        <v>98.7</v>
      </c>
      <c r="O993">
        <f>ABS(L993-RAVLT_Learning!$C$34)</f>
        <v>10.659458591847958</v>
      </c>
      <c r="P993">
        <f t="shared" si="16"/>
        <v>98.7</v>
      </c>
    </row>
    <row r="994" spans="12:16">
      <c r="L994">
        <f>RAVLT_Learning!M994</f>
        <v>2.2571292444862201</v>
      </c>
      <c r="M994">
        <f>RAVLT_Learning!N994</f>
        <v>98.8</v>
      </c>
      <c r="O994">
        <f>ABS(L994-RAVLT_Learning!$C$34)</f>
        <v>10.690376067017009</v>
      </c>
      <c r="P994">
        <f t="shared" si="16"/>
        <v>98.8</v>
      </c>
    </row>
    <row r="995" spans="12:16">
      <c r="L995">
        <f>RAVLT_Learning!M995</f>
        <v>2.2903678778552701</v>
      </c>
      <c r="M995">
        <f>RAVLT_Learning!N995</f>
        <v>98.9</v>
      </c>
      <c r="O995">
        <f>ABS(L995-RAVLT_Learning!$C$34)</f>
        <v>10.723614700386058</v>
      </c>
      <c r="P995">
        <f t="shared" si="16"/>
        <v>98.9</v>
      </c>
    </row>
    <row r="996" spans="12:16">
      <c r="L996">
        <f>RAVLT_Learning!M996</f>
        <v>2.3263478740408399</v>
      </c>
      <c r="M996">
        <f>RAVLT_Learning!N996</f>
        <v>99</v>
      </c>
      <c r="O996">
        <f>ABS(L996-RAVLT_Learning!$C$34)</f>
        <v>10.759594696571629</v>
      </c>
      <c r="P996">
        <f t="shared" si="16"/>
        <v>99</v>
      </c>
    </row>
    <row r="997" spans="12:16">
      <c r="L997">
        <f>RAVLT_Learning!M997</f>
        <v>2.3656181268642902</v>
      </c>
      <c r="M997">
        <f>RAVLT_Learning!N997</f>
        <v>99.1</v>
      </c>
      <c r="O997">
        <f>ABS(L997-RAVLT_Learning!$C$34)</f>
        <v>10.798864949395078</v>
      </c>
      <c r="P997">
        <f t="shared" si="16"/>
        <v>99.1</v>
      </c>
    </row>
    <row r="998" spans="12:16">
      <c r="L998">
        <f>RAVLT_Learning!M998</f>
        <v>2.4089155458154599</v>
      </c>
      <c r="M998">
        <f>RAVLT_Learning!N998</f>
        <v>99.2</v>
      </c>
      <c r="O998">
        <f>ABS(L998-RAVLT_Learning!$C$34)</f>
        <v>10.842162368346248</v>
      </c>
      <c r="P998">
        <f t="shared" si="16"/>
        <v>99.2</v>
      </c>
    </row>
    <row r="999" spans="12:16">
      <c r="L999">
        <f>RAVLT_Learning!M999</f>
        <v>2.4572633902054402</v>
      </c>
      <c r="M999">
        <f>RAVLT_Learning!N999</f>
        <v>99.3</v>
      </c>
      <c r="O999">
        <f>ABS(L999-RAVLT_Learning!$C$34)</f>
        <v>10.890510212736229</v>
      </c>
      <c r="P999">
        <f t="shared" si="16"/>
        <v>99.3</v>
      </c>
    </row>
    <row r="1000" spans="12:16">
      <c r="L1000">
        <f>RAVLT_Learning!M1000</f>
        <v>2.5121443279304598</v>
      </c>
      <c r="M1000">
        <f>RAVLT_Learning!N1000</f>
        <v>99.4</v>
      </c>
      <c r="O1000">
        <f>ABS(L1000-RAVLT_Learning!$C$34)</f>
        <v>10.945391150461248</v>
      </c>
      <c r="P1000">
        <f t="shared" si="16"/>
        <v>99.4</v>
      </c>
    </row>
    <row r="1001" spans="12:16">
      <c r="L1001">
        <f>RAVLT_Learning!M1001</f>
        <v>2.5758293035488999</v>
      </c>
      <c r="M1001">
        <f>RAVLT_Learning!N1001</f>
        <v>99.5</v>
      </c>
      <c r="O1001">
        <f>ABS(L1001-RAVLT_Learning!$C$34)</f>
        <v>11.009076126079689</v>
      </c>
      <c r="P1001">
        <f t="shared" ref="P1001:P1004" si="17">M1001</f>
        <v>99.5</v>
      </c>
    </row>
    <row r="1002" spans="12:16">
      <c r="L1002">
        <f>RAVLT_Learning!M1002</f>
        <v>2.6520698079021998</v>
      </c>
      <c r="M1002">
        <f>RAVLT_Learning!N1002</f>
        <v>99.6</v>
      </c>
      <c r="O1002">
        <f>ABS(L1002-RAVLT_Learning!$C$34)</f>
        <v>11.085316630432988</v>
      </c>
      <c r="P1002">
        <f t="shared" si="17"/>
        <v>99.6</v>
      </c>
    </row>
    <row r="1003" spans="12:16">
      <c r="L1003">
        <f>RAVLT_Learning!M1003</f>
        <v>2.74778138544499</v>
      </c>
      <c r="M1003">
        <f>RAVLT_Learning!N1003</f>
        <v>99.7</v>
      </c>
      <c r="O1003">
        <f>ABS(L1003-RAVLT_Learning!$C$34)</f>
        <v>11.181028207975778</v>
      </c>
      <c r="P1003">
        <f t="shared" si="17"/>
        <v>99.7</v>
      </c>
    </row>
    <row r="1004" spans="12:16">
      <c r="L1004">
        <f>RAVLT_Learning!M1004</f>
        <v>2.8781617390954799</v>
      </c>
      <c r="M1004">
        <f>RAVLT_Learning!N1004</f>
        <v>99.8</v>
      </c>
      <c r="O1004">
        <f>ABS(L1004-RAVLT_Learning!$C$34)</f>
        <v>11.311408561626269</v>
      </c>
      <c r="P1004">
        <f t="shared" si="17"/>
        <v>99.8</v>
      </c>
    </row>
    <row r="1005" spans="12:16">
      <c r="L1005">
        <f>RAVLT_Learning!M1005</f>
        <v>3.0902323061678101</v>
      </c>
      <c r="M1005">
        <f>RAVLT_Learning!N1005</f>
        <v>99.9</v>
      </c>
      <c r="O1005">
        <f>ABS(L1005-RAVLT_Learning!$C$34)</f>
        <v>11.523479128698598</v>
      </c>
      <c r="P1005">
        <f t="shared" ref="P1005:P1006" si="18">M1005</f>
        <v>99.9</v>
      </c>
    </row>
    <row r="1006" spans="12:16">
      <c r="L1006">
        <f>RAVLT_Learning!M1006</f>
        <v>4.75342430881709</v>
      </c>
      <c r="M1006">
        <f>RAVLT_Learning!N1006</f>
        <v>100</v>
      </c>
      <c r="O1006">
        <f>ABS(L1006-RAVLT_Learning!$C$34)</f>
        <v>13.186671131347879</v>
      </c>
      <c r="P1006">
        <f t="shared" si="18"/>
        <v>100</v>
      </c>
    </row>
  </sheetData>
  <sheetProtection algorithmName="SHA-512" hashValue="iZF1M7tgBAGHc4Zq/vVKUhZvKh9ZhfN+LGsCidF5B2+MxghCVOol4woGumet3eNhaph3eAdpdZiuFijW8SMtDQ==" saltValue="o9ahSWYXNRZqRJLiFT3LjQ==" spinCount="100000" sheet="1" objects="1" scenarios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Normative data</vt:lpstr>
      <vt:lpstr>SEM</vt:lpstr>
      <vt:lpstr>SD_PERC_SEM</vt:lpstr>
      <vt:lpstr>FONO</vt:lpstr>
      <vt:lpstr>SD_PERC_FONO</vt:lpstr>
      <vt:lpstr>TMTB</vt:lpstr>
      <vt:lpstr>SD_PERC_TMTB</vt:lpstr>
      <vt:lpstr>TMTA</vt:lpstr>
      <vt:lpstr>SD_PERC_TMTA</vt:lpstr>
      <vt:lpstr>DigDir</vt:lpstr>
      <vt:lpstr>DigInv</vt:lpstr>
      <vt:lpstr>SD_PERC_DigDir</vt:lpstr>
      <vt:lpstr>SD_PERC_DigInv</vt:lpstr>
      <vt:lpstr>RAVLT_Rec</vt:lpstr>
      <vt:lpstr>RAVLT_Delayed</vt:lpstr>
      <vt:lpstr>SD_PERC_RAVLTR</vt:lpstr>
      <vt:lpstr>SD_PERC_RAVLTD</vt:lpstr>
      <vt:lpstr>RAVLT_Learning</vt:lpstr>
      <vt:lpstr>SD_PERC_RAVLTL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Van der Elst</dc:creator>
  <cp:lastModifiedBy>Usuario de Windows</cp:lastModifiedBy>
  <dcterms:created xsi:type="dcterms:W3CDTF">2021-08-09T13:37:41Z</dcterms:created>
  <dcterms:modified xsi:type="dcterms:W3CDTF">2025-12-21T21:02:14Z</dcterms:modified>
</cp:coreProperties>
</file>